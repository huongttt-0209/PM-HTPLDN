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LC_2021\Downloads\"/>
    </mc:Choice>
  </mc:AlternateContent>
  <xr:revisionPtr revIDLastSave="0" documentId="13_ncr:1_{DB6AACBA-7500-4E0B-BE3B-2BF8AAD03955}" xr6:coauthVersionLast="47" xr6:coauthVersionMax="47" xr10:uidLastSave="{00000000-0000-0000-0000-000000000000}"/>
  <bookViews>
    <workbookView xWindow="28680" yWindow="-120" windowWidth="29040" windowHeight="15840" xr2:uid="{00000000-000D-0000-FFFF-FFFF00000000}"/>
  </bookViews>
  <sheets>
    <sheet name="Phần mềm" sheetId="2" r:id="rId1"/>
    <sheet name="API" sheetId="3" r:id="rId2"/>
  </sheets>
  <definedNames>
    <definedName name="_xlnm._FilterDatabase" localSheetId="0" hidden="1">'Phần mềm'!$A$1:$L$62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 i="2" l="1"/>
  <c r="H3" i="2"/>
  <c r="G3" i="2"/>
  <c r="F3" i="2"/>
  <c r="E3" i="2"/>
  <c r="J2" i="2"/>
  <c r="H2" i="2"/>
  <c r="G2" i="2"/>
  <c r="F2" i="2"/>
  <c r="E2" i="2"/>
</calcChain>
</file>

<file path=xl/sharedStrings.xml><?xml version="1.0" encoding="utf-8"?>
<sst xmlns="http://schemas.openxmlformats.org/spreadsheetml/2006/main" count="516" uniqueCount="208">
  <si>
    <r>
      <rPr>
        <b/>
        <sz val="12"/>
        <color rgb="FF000000"/>
        <rFont val="Times New Roman"/>
        <family val="2"/>
      </rPr>
      <t>Tk:</t>
    </r>
    <r>
      <rPr>
        <sz val="12"/>
        <color rgb="FF000000"/>
        <rFont val="Times New Roman"/>
        <family val="2"/>
      </rPr>
      <t xml:space="preserve"> cb_nv_bn_01
</t>
    </r>
    <r>
      <rPr>
        <b/>
        <sz val="12"/>
        <color rgb="FF000000"/>
        <rFont val="Times New Roman"/>
        <family val="2"/>
      </rPr>
      <t>Lỗi:</t>
    </r>
    <r>
      <rPr>
        <sz val="12"/>
        <color rgb="FF000000"/>
        <rFont val="Times New Roman"/>
        <family val="2"/>
      </rPr>
      <t xml:space="preserve"> Trường Số tiền thực trả và Ngày thanh toán định dạng chưa đúng
</t>
    </r>
    <r>
      <rPr>
        <b/>
        <sz val="12"/>
        <color rgb="FF000000"/>
        <rFont val="Times New Roman"/>
        <family val="2"/>
      </rPr>
      <t>Mong muốn:</t>
    </r>
    <r>
      <rPr>
        <sz val="12"/>
        <color rgb="FF000000"/>
        <rFont val="Times New Roman"/>
        <family val="2"/>
      </rPr>
      <t xml:space="preserve"> 
1. Số tiền thực trả: Có dấu chấm ngăn cách hàng
2. Ngày thanh toán: dd/mm/yyyy</t>
    </r>
  </si>
  <si>
    <r>
      <rPr>
        <u/>
        <sz val="12"/>
        <color theme="10"/>
        <rFont val="Times New Roman"/>
        <family val="2"/>
      </rPr>
      <t>https://prnt.sc/V-Zblxwkkdcf</t>
    </r>
  </si>
  <si>
    <r>
      <rPr>
        <u/>
        <sz val="12"/>
        <color theme="10"/>
        <rFont val="Times New Roman"/>
        <family val="2"/>
      </rPr>
      <t>https://prnt.sc/hMv8JB_5-1Ua</t>
    </r>
  </si>
  <si>
    <r>
      <rPr>
        <b/>
        <sz val="12"/>
        <color rgb="FF000000"/>
        <rFont val="Times New Roman"/>
        <family val="2"/>
      </rPr>
      <t>Tk:</t>
    </r>
    <r>
      <rPr>
        <sz val="12"/>
        <color rgb="FF000000"/>
        <rFont val="Times New Roman"/>
        <family val="2"/>
      </rPr>
      <t xml:space="preserve"> cb_nv_tw_01
</t>
    </r>
    <r>
      <rPr>
        <b/>
        <sz val="12"/>
        <color rgb="FF000000"/>
        <rFont val="Times New Roman"/>
        <family val="2"/>
      </rPr>
      <t xml:space="preserve">Lỗi: </t>
    </r>
    <r>
      <rPr>
        <sz val="12"/>
        <color rgb="FF000000"/>
        <rFont val="Times New Roman"/>
        <family val="2"/>
      </rPr>
      <t xml:space="preserve">Thông báo lỗi khi lưu buổi học ngoài thời gian khóa học có định dạng ngày chưa đúng
</t>
    </r>
    <r>
      <rPr>
        <b/>
        <sz val="12"/>
        <color rgb="FF000000"/>
        <rFont val="Times New Roman"/>
        <family val="2"/>
      </rPr>
      <t>Mong muốn:</t>
    </r>
    <r>
      <rPr>
        <sz val="12"/>
        <color rgb="FF000000"/>
        <rFont val="Times New Roman"/>
        <family val="2"/>
      </rPr>
      <t xml:space="preserve"> Ngày có định dạng là dd/mm/yyyy</t>
    </r>
  </si>
  <si>
    <r>
      <rPr>
        <b/>
        <sz val="12"/>
        <color rgb="FF000000"/>
        <rFont val="Times New Roman"/>
        <family val="2"/>
      </rPr>
      <t>Tk:</t>
    </r>
    <r>
      <rPr>
        <sz val="12"/>
        <color rgb="FF000000"/>
        <rFont val="Times New Roman"/>
        <family val="2"/>
      </rPr>
      <t xml:space="preserve"> cb_pd_bn_01
</t>
    </r>
    <r>
      <rPr>
        <b/>
        <sz val="12"/>
        <color rgb="FF000000"/>
        <rFont val="Times New Roman"/>
        <family val="2"/>
      </rPr>
      <t>Lỗi:</t>
    </r>
    <r>
      <rPr>
        <sz val="12"/>
        <color rgb="FF000000"/>
        <rFont val="Times New Roman"/>
        <family val="2"/>
      </rPr>
      <t xml:space="preserve"> Sau khi phê duyệt back về màn danh sách nhưng bản ghi vẫn ở tab "Chờ phê duyệt", F5 lại mới chuyển sang tab "Đã xử lý"
</t>
    </r>
    <r>
      <rPr>
        <b/>
        <sz val="12"/>
        <color rgb="FF000000"/>
        <rFont val="Times New Roman"/>
        <family val="2"/>
      </rPr>
      <t>Mong muốn:</t>
    </r>
    <r>
      <rPr>
        <sz val="12"/>
        <color rgb="FF000000"/>
        <rFont val="Times New Roman"/>
        <family val="2"/>
      </rPr>
      <t xml:space="preserve"> Sau khi phê duyệt thành công thì bản ghi chuyển sang tab Đã xử lý</t>
    </r>
  </si>
  <si>
    <r>
      <rPr>
        <u/>
        <sz val="12"/>
        <color theme="10"/>
        <rFont val="Times New Roman"/>
        <family val="2"/>
      </rPr>
      <t>https://prnt.sc/XL2rAiFKNvX-</t>
    </r>
  </si>
  <si>
    <r>
      <rPr>
        <b/>
        <sz val="12"/>
        <color rgb="FF000000"/>
        <rFont val="Times New Roman"/>
        <family val="2"/>
      </rPr>
      <t xml:space="preserve">Tk: </t>
    </r>
    <r>
      <rPr>
        <sz val="12"/>
        <color rgb="FF000000"/>
        <rFont val="Times New Roman"/>
        <family val="2"/>
      </rPr>
      <t xml:space="preserve">tvv_r11_mailfix
</t>
    </r>
    <r>
      <rPr>
        <b/>
        <sz val="12"/>
        <color rgb="FF000000"/>
        <rFont val="Times New Roman"/>
        <family val="2"/>
      </rPr>
      <t xml:space="preserve">Lỗi: </t>
    </r>
    <r>
      <rPr>
        <sz val="12"/>
        <color rgb="FF000000"/>
        <rFont val="Times New Roman"/>
        <family val="2"/>
      </rPr>
      <t>Vai trò tư vấn viên không có menu "Hỏi đáp pháp luật" để phản hồi</t>
    </r>
  </si>
  <si>
    <r>
      <rPr>
        <b/>
        <sz val="12"/>
        <color rgb="FF000000"/>
        <rFont val="Times New Roman"/>
        <family val="2"/>
      </rPr>
      <t>Tk:</t>
    </r>
    <r>
      <rPr>
        <sz val="12"/>
        <color rgb="FF000000"/>
        <rFont val="Times New Roman"/>
        <family val="2"/>
      </rPr>
      <t xml:space="preserve"> cb_nv_tw_01
</t>
    </r>
    <r>
      <rPr>
        <b/>
        <sz val="12"/>
        <color rgb="FF000000"/>
        <rFont val="Times New Roman"/>
        <family val="2"/>
      </rPr>
      <t>Lỗi:</t>
    </r>
    <r>
      <rPr>
        <sz val="12"/>
        <color rgb="FF000000"/>
        <rFont val="Times New Roman"/>
        <family val="2"/>
      </rPr>
      <t xml:space="preserve"> Màn chỉnh sửa trường Loại doanh nghiệp hiển thị id
</t>
    </r>
    <r>
      <rPr>
        <b/>
        <sz val="12"/>
        <color rgb="FF000000"/>
        <rFont val="Times New Roman"/>
        <family val="2"/>
      </rPr>
      <t>Mong muốn:</t>
    </r>
    <r>
      <rPr>
        <sz val="12"/>
        <color rgb="FF000000"/>
        <rFont val="Times New Roman"/>
        <family val="2"/>
      </rPr>
      <t xml:space="preserve"> Loại doanh nghiệp hiển thị đúng dữ liệu</t>
    </r>
  </si>
  <si>
    <r>
      <rPr>
        <u/>
        <sz val="12"/>
        <color theme="10"/>
        <rFont val="Times New Roman"/>
        <family val="2"/>
      </rPr>
      <t>https://prnt.sc/U9E2pUX3YEKg</t>
    </r>
  </si>
  <si>
    <r>
      <rPr>
        <u/>
        <sz val="12"/>
        <color theme="10"/>
        <rFont val="Times New Roman"/>
        <family val="2"/>
      </rPr>
      <t>https://prnt.sc/EvJMUF_sDqsB</t>
    </r>
    <r>
      <rPr>
        <sz val="10"/>
        <color theme="1"/>
        <rFont val="Calibri"/>
        <family val="2"/>
        <scheme val="minor"/>
      </rPr>
      <t xml:space="preserve"> </t>
    </r>
    <r>
      <rPr>
        <sz val="10"/>
        <color theme="1"/>
        <rFont val="Calibri"/>
        <family val="2"/>
        <scheme val="minor"/>
      </rPr>
      <t xml:space="preserve">
</t>
    </r>
    <r>
      <rPr>
        <sz val="10"/>
        <color theme="1"/>
        <rFont val="Calibri"/>
        <family val="2"/>
        <scheme val="minor"/>
      </rPr>
      <t xml:space="preserve">
</t>
    </r>
    <r>
      <rPr>
        <u/>
        <sz val="12"/>
        <color theme="10"/>
        <rFont val="Times New Roman"/>
        <family val="2"/>
      </rPr>
      <t>https://prnt.sc/7W6NYVWFf_ZI</t>
    </r>
  </si>
  <si>
    <r>
      <rPr>
        <b/>
        <sz val="12"/>
        <color rgb="FF000000"/>
        <rFont val="Times New Roman"/>
        <family val="2"/>
      </rPr>
      <t xml:space="preserve">Tk: </t>
    </r>
    <r>
      <rPr>
        <sz val="12"/>
        <color rgb="FF000000"/>
        <rFont val="Times New Roman"/>
        <family val="2"/>
      </rPr>
      <t xml:space="preserve">cb_nv_tw_01
</t>
    </r>
    <r>
      <rPr>
        <b/>
        <sz val="12"/>
        <color rgb="FF000000"/>
        <rFont val="Times New Roman"/>
        <family val="2"/>
      </rPr>
      <t>Lỗi</t>
    </r>
    <r>
      <rPr>
        <sz val="12"/>
        <color rgb="FF000000"/>
        <rFont val="Times New Roman"/>
        <family val="2"/>
      </rPr>
      <t xml:space="preserve">: Số lượng cá nhân tư vấn hiển thị chưa đủ
</t>
    </r>
    <r>
      <rPr>
        <b/>
        <sz val="12"/>
        <color rgb="FF000000"/>
        <rFont val="Times New Roman"/>
        <family val="2"/>
      </rPr>
      <t xml:space="preserve">Hiện trang: </t>
    </r>
    <r>
      <rPr>
        <sz val="12"/>
        <color rgb="FF000000"/>
        <rFont val="Times New Roman"/>
        <family val="2"/>
      </rPr>
      <t xml:space="preserve">Tại bản ghi ở trạng thái "Tiếp nhận", chọn "Phân công" chỉ hiển thị bản ghi của 10 người (8 người trong cục và 2 tư vấn viên). Danh sách tư vấn viên đang hoạt động có 9 tư vấn viên đang hoạt động
</t>
    </r>
    <r>
      <rPr>
        <b/>
        <sz val="12"/>
        <color rgb="FF000000"/>
        <rFont val="Times New Roman"/>
        <family val="2"/>
      </rPr>
      <t xml:space="preserve">Mong muốn: </t>
    </r>
    <r>
      <rPr>
        <sz val="12"/>
        <color rgb="FF000000"/>
        <rFont val="Times New Roman"/>
        <family val="2"/>
      </rPr>
      <t>List thêm đủ danh sách tư vấn viên đang hoạt động</t>
    </r>
  </si>
  <si>
    <r>
      <rPr>
        <b/>
        <sz val="12"/>
        <color rgb="FF000000"/>
        <rFont val="Times New Roman"/>
        <family val="2"/>
      </rPr>
      <t>Tk:</t>
    </r>
    <r>
      <rPr>
        <sz val="12"/>
        <color rgb="FF000000"/>
        <rFont val="Times New Roman"/>
        <family val="2"/>
      </rPr>
      <t xml:space="preserve"> cb_nv_bn_01
</t>
    </r>
    <r>
      <rPr>
        <b/>
        <sz val="12"/>
        <color rgb="FF000000"/>
        <rFont val="Times New Roman"/>
        <family val="2"/>
      </rPr>
      <t>Lỗi:</t>
    </r>
    <r>
      <rPr>
        <sz val="12"/>
        <color rgb="FF000000"/>
        <rFont val="Times New Roman"/>
        <family val="2"/>
      </rPr>
      <t xml:space="preserve"> Không có button Thêm mới để thêm doanh nghiệp
</t>
    </r>
    <r>
      <rPr>
        <b/>
        <sz val="12"/>
        <color rgb="FF000000"/>
        <rFont val="Times New Roman"/>
        <family val="2"/>
      </rPr>
      <t>Mong muốn:</t>
    </r>
    <r>
      <rPr>
        <sz val="12"/>
        <color rgb="FF000000"/>
        <rFont val="Times New Roman"/>
        <family val="2"/>
      </rPr>
      <t xml:space="preserve"> Có button Thêm mới doanh nghiệp</t>
    </r>
  </si>
  <si>
    <r>
      <rPr>
        <u/>
        <sz val="12"/>
        <color theme="10"/>
        <rFont val="Times New Roman"/>
        <family val="2"/>
      </rPr>
      <t>https://prnt.sc/3xZ46DePetjD</t>
    </r>
  </si>
  <si>
    <r>
      <rPr>
        <u/>
        <sz val="12"/>
        <color theme="10"/>
        <rFont val="Times New Roman"/>
        <family val="2"/>
      </rPr>
      <t>https://prnt.sc/9Ek5nPM6jmDl</t>
    </r>
  </si>
  <si>
    <r>
      <rPr>
        <b/>
        <sz val="12"/>
        <color rgb="FF000000"/>
        <rFont val="Times New Roman"/>
        <family val="2"/>
      </rPr>
      <t xml:space="preserve">Tk: </t>
    </r>
    <r>
      <rPr>
        <sz val="12"/>
        <color rgb="FF000000"/>
        <rFont val="Times New Roman"/>
        <family val="2"/>
      </rPr>
      <t xml:space="preserve">cb_nv_tw_01
</t>
    </r>
    <r>
      <rPr>
        <b/>
        <sz val="12"/>
        <color rgb="FF000000"/>
        <rFont val="Times New Roman"/>
        <family val="2"/>
      </rPr>
      <t>Lỗi:</t>
    </r>
    <r>
      <rPr>
        <sz val="12"/>
        <color rgb="FF000000"/>
        <rFont val="Times New Roman"/>
        <family val="2"/>
      </rPr>
      <t xml:space="preserve"> Thiếu cột Hành động hiển thị các chức năng (Đang phải nhấn vào màn xem chi tiết mới chỉnh sửa, xóa được)
</t>
    </r>
    <r>
      <rPr>
        <b/>
        <sz val="12"/>
        <color rgb="FF000000"/>
        <rFont val="Times New Roman"/>
        <family val="2"/>
      </rPr>
      <t xml:space="preserve">Mong muốn: </t>
    </r>
    <r>
      <rPr>
        <sz val="12"/>
        <color rgb="FF000000"/>
        <rFont val="Times New Roman"/>
        <family val="2"/>
      </rPr>
      <t>Có cột Hành động hiển thị các chức năng để thao tác
=&gt; Sửa tương tự Khóa đào tạo</t>
    </r>
  </si>
  <si>
    <r>
      <rPr>
        <u/>
        <sz val="12"/>
        <color theme="10"/>
        <rFont val="Times New Roman"/>
        <family val="2"/>
      </rPr>
      <t>https://prnt.sc/qEQRuzliLBcf</t>
    </r>
  </si>
  <si>
    <r>
      <rPr>
        <b/>
        <sz val="12"/>
        <color rgb="FF000000"/>
        <rFont val="Times New Roman"/>
        <family val="2"/>
      </rPr>
      <t>Tk:</t>
    </r>
    <r>
      <rPr>
        <sz val="12"/>
        <color rgb="FF000000"/>
        <rFont val="Times New Roman"/>
        <family val="2"/>
      </rPr>
      <t xml:space="preserve"> cb_nv_tw_01
</t>
    </r>
    <r>
      <rPr>
        <b/>
        <sz val="12"/>
        <color rgb="FF000000"/>
        <rFont val="Times New Roman"/>
        <family val="2"/>
      </rPr>
      <t>Lỗi:</t>
    </r>
    <r>
      <rPr>
        <sz val="12"/>
        <color rgb="FF000000"/>
        <rFont val="Times New Roman"/>
        <family val="2"/>
      </rPr>
      <t xml:space="preserve"> Danh sách vụ việc chưa hiển thị Tên vụ việc, Lĩnh vực, Trạng thái
</t>
    </r>
    <r>
      <rPr>
        <b/>
        <sz val="12"/>
        <color rgb="FF000000"/>
        <rFont val="Times New Roman"/>
        <family val="2"/>
      </rPr>
      <t xml:space="preserve">Mong muốn: </t>
    </r>
    <r>
      <rPr>
        <sz val="12"/>
        <color rgb="FF000000"/>
        <rFont val="Times New Roman"/>
        <family val="2"/>
      </rPr>
      <t>Hiển thị đủ dữ liệu của vụ việc</t>
    </r>
  </si>
  <si>
    <r>
      <rPr>
        <b/>
        <sz val="12"/>
        <color rgb="FF000000"/>
        <rFont val="Times New Roman"/>
        <family val="2"/>
      </rPr>
      <t>Tk:</t>
    </r>
    <r>
      <rPr>
        <sz val="12"/>
        <color rgb="FF000000"/>
        <rFont val="Times New Roman"/>
        <family val="2"/>
      </rPr>
      <t xml:space="preserve"> cb_nv_tw_01
</t>
    </r>
    <r>
      <rPr>
        <b/>
        <sz val="12"/>
        <color rgb="FF000000"/>
        <rFont val="Times New Roman"/>
        <family val="2"/>
      </rPr>
      <t>Lỗi:</t>
    </r>
    <r>
      <rPr>
        <sz val="12"/>
        <color rgb="FF000000"/>
        <rFont val="Times New Roman"/>
        <family val="2"/>
      </rPr>
      <t xml:space="preserve"> Thêm mới có tải lên file đính kèm nhưng khi lưu bị lỗi không lưu được file
</t>
    </r>
    <r>
      <rPr>
        <b/>
        <sz val="12"/>
        <color rgb="FF000000"/>
        <rFont val="Times New Roman"/>
        <family val="2"/>
      </rPr>
      <t xml:space="preserve">Mong muốn: </t>
    </r>
    <r>
      <rPr>
        <sz val="12"/>
        <color rgb="FF000000"/>
        <rFont val="Times New Roman"/>
        <family val="2"/>
      </rPr>
      <t>Thêm mới có tải lên file thì lưu được file đã tải</t>
    </r>
  </si>
  <si>
    <r>
      <rPr>
        <u/>
        <sz val="12"/>
        <color theme="10"/>
        <rFont val="Times New Roman"/>
        <family val="2"/>
      </rPr>
      <t>https://prnt.sc/MCIjnWL_0XFV</t>
    </r>
  </si>
  <si>
    <r>
      <rPr>
        <u/>
        <sz val="12"/>
        <color theme="10"/>
        <rFont val="Times New Roman"/>
        <family val="2"/>
      </rPr>
      <t>https://prnt.sc/9z3TonZZCFvp</t>
    </r>
  </si>
  <si>
    <r>
      <rPr>
        <b/>
        <sz val="12"/>
        <color rgb="FF000000"/>
        <rFont val="Times New Roman"/>
        <family val="2"/>
      </rPr>
      <t>Tk:</t>
    </r>
    <r>
      <rPr>
        <sz val="12"/>
        <color rgb="FF000000"/>
        <rFont val="Times New Roman"/>
        <family val="2"/>
      </rPr>
      <t xml:space="preserve"> cb_nv_tw_03
</t>
    </r>
    <r>
      <rPr>
        <b/>
        <sz val="12"/>
        <color rgb="FF000000"/>
        <rFont val="Times New Roman"/>
        <family val="2"/>
      </rPr>
      <t>Lỗi:</t>
    </r>
    <r>
      <rPr>
        <sz val="12"/>
        <color rgb="FF000000"/>
        <rFont val="Times New Roman"/>
        <family val="2"/>
      </rPr>
      <t xml:space="preserve"> Xác nhận hoàn thành chấm điểm thành công nhưng lại có thêm thông báo lỗi 
</t>
    </r>
    <r>
      <rPr>
        <b/>
        <sz val="12"/>
        <color rgb="FF000000"/>
        <rFont val="Times New Roman"/>
        <family val="2"/>
      </rPr>
      <t xml:space="preserve">Mong muốn: </t>
    </r>
    <r>
      <rPr>
        <sz val="12"/>
        <color rgb="FF000000"/>
        <rFont val="Times New Roman"/>
        <family val="2"/>
      </rPr>
      <t>Không hiển thị thông báo lỗi, chỉ hiển thị thông báo thành công</t>
    </r>
  </si>
  <si>
    <r>
      <rPr>
        <u/>
        <sz val="12"/>
        <color theme="10"/>
        <rFont val="Times New Roman"/>
        <family val="2"/>
      </rPr>
      <t>https://prnt.sc/ex2WROKEsDk_</t>
    </r>
    <r>
      <rPr>
        <sz val="10"/>
        <color theme="1"/>
        <rFont val="Calibri"/>
        <family val="2"/>
        <scheme val="minor"/>
      </rPr>
      <t xml:space="preserve">
</t>
    </r>
    <r>
      <rPr>
        <sz val="10"/>
        <color theme="1"/>
        <rFont val="Calibri"/>
        <family val="2"/>
        <scheme val="minor"/>
      </rPr>
      <t xml:space="preserve">
</t>
    </r>
    <r>
      <rPr>
        <u/>
        <sz val="12"/>
        <color theme="10"/>
        <rFont val="Times New Roman"/>
        <family val="2"/>
      </rPr>
      <t>https://prnt.sc/NnW3XxIM3e8b</t>
    </r>
  </si>
  <si>
    <r>
      <rPr>
        <b/>
        <sz val="12"/>
        <color rgb="FF000000"/>
        <rFont val="Times New Roman"/>
        <family val="2"/>
      </rPr>
      <t>Tk:</t>
    </r>
    <r>
      <rPr>
        <sz val="12"/>
        <color rgb="FF000000"/>
        <rFont val="Times New Roman"/>
        <family val="2"/>
      </rPr>
      <t xml:space="preserve"> cb_nv_tw_01
</t>
    </r>
    <r>
      <rPr>
        <b/>
        <sz val="12"/>
        <color rgb="FF000000"/>
        <rFont val="Times New Roman"/>
        <family val="2"/>
      </rPr>
      <t>Lỗi:</t>
    </r>
    <r>
      <rPr>
        <sz val="12"/>
        <color rgb="FF000000"/>
        <rFont val="Times New Roman"/>
        <family val="2"/>
      </rPr>
      <t xml:space="preserve"> Xác nhận chọn vụ việc thành công nhưng ở bảng danh sách vụ việc vẫn hiển thị 2 vụ việc là chưa chọn
</t>
    </r>
    <r>
      <rPr>
        <b/>
        <sz val="12"/>
        <color rgb="FF000000"/>
        <rFont val="Times New Roman"/>
        <family val="2"/>
      </rPr>
      <t xml:space="preserve">Mong muốn: </t>
    </r>
    <r>
      <rPr>
        <sz val="12"/>
        <color rgb="FF000000"/>
        <rFont val="Times New Roman"/>
        <family val="2"/>
      </rPr>
      <t>Xem được danh sách các vụ việc đã chọn</t>
    </r>
  </si>
  <si>
    <r>
      <rPr>
        <u/>
        <sz val="12"/>
        <color theme="10"/>
        <rFont val="Times New Roman"/>
        <family val="2"/>
      </rPr>
      <t>https://prnt.sc/pYZQPcJOE_Nv</t>
    </r>
  </si>
  <si>
    <r>
      <rPr>
        <b/>
        <sz val="12"/>
        <color rgb="FF000000"/>
        <rFont val="Times New Roman"/>
        <family val="2"/>
      </rPr>
      <t>Tk:</t>
    </r>
    <r>
      <rPr>
        <sz val="12"/>
        <color rgb="FF000000"/>
        <rFont val="Times New Roman"/>
        <family val="2"/>
      </rPr>
      <t xml:space="preserve"> cb_nv_tw_01
</t>
    </r>
    <r>
      <rPr>
        <b/>
        <sz val="12"/>
        <color rgb="FF000000"/>
        <rFont val="Times New Roman"/>
        <family val="2"/>
      </rPr>
      <t xml:space="preserve">Lỗi: </t>
    </r>
    <r>
      <rPr>
        <sz val="12"/>
        <color rgb="FF000000"/>
        <rFont val="Times New Roman"/>
        <family val="2"/>
      </rPr>
      <t xml:space="preserve">Trạng thái "Dụ thảo" ngoài màn danh sách chưa có chức năng Sửa, đang nhấn vào chức năng "Xem" để sửa
</t>
    </r>
    <r>
      <rPr>
        <b/>
        <sz val="12"/>
        <color rgb="FF000000"/>
        <rFont val="Times New Roman"/>
        <family val="2"/>
      </rPr>
      <t xml:space="preserve">Mong muốn: </t>
    </r>
    <r>
      <rPr>
        <sz val="12"/>
        <color rgb="FF000000"/>
        <rFont val="Times New Roman"/>
        <family val="2"/>
      </rPr>
      <t>Chức năng Sửa, Xem chi tiết được tách biệt</t>
    </r>
  </si>
  <si>
    <r>
      <rPr>
        <b/>
        <sz val="12"/>
        <color rgb="FF000000"/>
        <rFont val="Times New Roman"/>
        <family val="2"/>
      </rPr>
      <t>Tk:</t>
    </r>
    <r>
      <rPr>
        <sz val="12"/>
        <color rgb="FF000000"/>
        <rFont val="Times New Roman"/>
        <family val="2"/>
      </rPr>
      <t xml:space="preserve"> cb_pd_tw_01
</t>
    </r>
    <r>
      <rPr>
        <b/>
        <sz val="12"/>
        <color rgb="FF000000"/>
        <rFont val="Times New Roman"/>
        <family val="2"/>
      </rPr>
      <t xml:space="preserve">Lỗi: </t>
    </r>
    <r>
      <rPr>
        <sz val="12"/>
        <color rgb="FF000000"/>
        <rFont val="Times New Roman"/>
        <family val="2"/>
      </rPr>
      <t xml:space="preserve">Tổ chức tư vấn chờ duyệt nhưng không hiển thị chức năng phê duyệt, từ chối
</t>
    </r>
    <r>
      <rPr>
        <b/>
        <sz val="12"/>
        <color rgb="FF000000"/>
        <rFont val="Times New Roman"/>
        <family val="2"/>
      </rPr>
      <t>Mong muốn:</t>
    </r>
    <r>
      <rPr>
        <sz val="12"/>
        <color rgb="FF000000"/>
        <rFont val="Times New Roman"/>
        <family val="2"/>
      </rPr>
      <t xml:space="preserve"> Hiển thị chức năng phê duyệt, từ chối để thao tác</t>
    </r>
  </si>
  <si>
    <r>
      <rPr>
        <u/>
        <sz val="12"/>
        <color theme="10"/>
        <rFont val="Times New Roman"/>
        <family val="2"/>
      </rPr>
      <t>https://prnt.sc/l2RwOM1fhh-h</t>
    </r>
  </si>
  <si>
    <r>
      <rPr>
        <u/>
        <sz val="12"/>
        <color theme="10"/>
        <rFont val="Times New Roman"/>
        <family val="2"/>
      </rPr>
      <t>https://prnt.sc/jPRBGsdqPY7K</t>
    </r>
  </si>
  <si>
    <r>
      <rPr>
        <b/>
        <sz val="12"/>
        <color rgb="FF000000"/>
        <rFont val="Times New Roman"/>
        <family val="2"/>
      </rPr>
      <t>Tk:</t>
    </r>
    <r>
      <rPr>
        <sz val="12"/>
        <color rgb="FF000000"/>
        <rFont val="Times New Roman"/>
        <family val="2"/>
      </rPr>
      <t xml:space="preserve"> cb_nv_tw_01
</t>
    </r>
    <r>
      <rPr>
        <b/>
        <sz val="12"/>
        <color rgb="FF000000"/>
        <rFont val="Times New Roman"/>
        <family val="2"/>
      </rPr>
      <t>Lỗi:</t>
    </r>
    <r>
      <rPr>
        <sz val="12"/>
        <color rgb="FF000000"/>
        <rFont val="Times New Roman"/>
        <family val="2"/>
      </rPr>
      <t xml:space="preserve"> Trường Ngân sách dự kiến (VNĐ) là số tiền chưa có dấu ngăn cách hàng
</t>
    </r>
    <r>
      <rPr>
        <b/>
        <sz val="12"/>
        <color rgb="FF000000"/>
        <rFont val="Times New Roman"/>
        <family val="2"/>
      </rPr>
      <t xml:space="preserve">Mong muốn: </t>
    </r>
    <r>
      <rPr>
        <sz val="12"/>
        <color rgb="FF000000"/>
        <rFont val="Times New Roman"/>
        <family val="2"/>
      </rPr>
      <t xml:space="preserve">Có ngắt cách hàng </t>
    </r>
  </si>
  <si>
    <r>
      <rPr>
        <b/>
        <sz val="12"/>
        <color rgb="FF000000"/>
        <rFont val="Times New Roman"/>
        <family val="2"/>
      </rPr>
      <t>Tk:</t>
    </r>
    <r>
      <rPr>
        <sz val="12"/>
        <color rgb="FF000000"/>
        <rFont val="Times New Roman"/>
        <family val="2"/>
      </rPr>
      <t xml:space="preserve"> cb_nv_tw_01
</t>
    </r>
    <r>
      <rPr>
        <b/>
        <sz val="12"/>
        <color rgb="FF000000"/>
        <rFont val="Times New Roman"/>
        <family val="2"/>
      </rPr>
      <t xml:space="preserve">Lỗi: </t>
    </r>
    <r>
      <rPr>
        <sz val="12"/>
        <color rgb="FF000000"/>
        <rFont val="Times New Roman"/>
        <family val="2"/>
      </rPr>
      <t xml:space="preserve">Thêm mới tổ chức tư vấn chưa tồn tại nhưng lại báo đã tồn tại
</t>
    </r>
    <r>
      <rPr>
        <b/>
        <sz val="12"/>
        <color rgb="FF000000"/>
        <rFont val="Times New Roman"/>
        <family val="2"/>
      </rPr>
      <t>Mong muốn:</t>
    </r>
    <r>
      <rPr>
        <sz val="12"/>
        <color rgb="FF000000"/>
        <rFont val="Times New Roman"/>
        <family val="2"/>
      </rPr>
      <t xml:space="preserve"> Thêm mới được tổ chức tư vấn</t>
    </r>
  </si>
  <si>
    <r>
      <rPr>
        <u/>
        <sz val="12"/>
        <color theme="10"/>
        <rFont val="Times New Roman"/>
        <family val="2"/>
      </rPr>
      <t>https://prnt.sc/dt2UYZrjIEeH</t>
    </r>
  </si>
  <si>
    <r>
      <rPr>
        <b/>
        <sz val="12"/>
        <color rgb="FF000000"/>
        <rFont val="Times New Roman"/>
        <family val="2"/>
      </rPr>
      <t>Tk:</t>
    </r>
    <r>
      <rPr>
        <sz val="12"/>
        <color rgb="FF000000"/>
        <rFont val="Times New Roman"/>
        <family val="2"/>
      </rPr>
      <t xml:space="preserve"> cb_nv_tw_01
</t>
    </r>
    <r>
      <rPr>
        <b/>
        <sz val="12"/>
        <color rgb="FF000000"/>
        <rFont val="Times New Roman"/>
        <family val="2"/>
      </rPr>
      <t xml:space="preserve">Lỗi: </t>
    </r>
    <r>
      <rPr>
        <sz val="12"/>
        <color rgb="FF000000"/>
        <rFont val="Times New Roman"/>
        <family val="2"/>
      </rPr>
      <t xml:space="preserve">Khi thêm mới chọn "Lưu nháp" đang là trạng thái "Mới tạo" nhấn "Tiếp nhận" bị lỗi
</t>
    </r>
    <r>
      <rPr>
        <b/>
        <sz val="12"/>
        <color rgb="FF000000"/>
        <rFont val="Times New Roman"/>
        <family val="2"/>
      </rPr>
      <t>Mong muốn:</t>
    </r>
    <r>
      <rPr>
        <sz val="12"/>
        <color rgb="FF000000"/>
        <rFont val="Times New Roman"/>
        <family val="2"/>
      </rPr>
      <t xml:space="preserve"> Khi chỉnh sửa vụ việc ở trạng thái "Mới tạo" tiếp nhận thành công</t>
    </r>
  </si>
  <si>
    <r>
      <rPr>
        <u/>
        <sz val="12"/>
        <color theme="10"/>
        <rFont val="Times New Roman"/>
        <family val="2"/>
      </rPr>
      <t>https://prnt.sc/zfvWarxA9Qxu</t>
    </r>
  </si>
  <si>
    <r>
      <rPr>
        <b/>
        <sz val="12"/>
        <color rgb="FF000000"/>
        <rFont val="Times New Roman"/>
        <family val="2"/>
      </rPr>
      <t>Tk:</t>
    </r>
    <r>
      <rPr>
        <sz val="12"/>
        <color rgb="FF000000"/>
        <rFont val="Times New Roman"/>
        <family val="2"/>
      </rPr>
      <t xml:space="preserve"> cb_nv_tw_01
</t>
    </r>
    <r>
      <rPr>
        <b/>
        <sz val="12"/>
        <color rgb="FF000000"/>
        <rFont val="Times New Roman"/>
        <family val="2"/>
      </rPr>
      <t xml:space="preserve">Lỗi: </t>
    </r>
    <r>
      <rPr>
        <sz val="12"/>
        <color rgb="FF000000"/>
        <rFont val="Times New Roman"/>
        <family val="2"/>
      </rPr>
      <t xml:space="preserve">Màn chỉnh sửa và màn xem chi tiết vụ việc, nhấn button "Sửa" nhưng lại chuyển đến màn danh sách
</t>
    </r>
    <r>
      <rPr>
        <b/>
        <sz val="12"/>
        <color rgb="FF000000"/>
        <rFont val="Times New Roman"/>
        <family val="2"/>
      </rPr>
      <t>Mong muốn:</t>
    </r>
    <r>
      <rPr>
        <sz val="12"/>
        <color rgb="FF000000"/>
        <rFont val="Times New Roman"/>
        <family val="2"/>
      </rPr>
      <t xml:space="preserve"> 
- Màn chỉnh sửa bỏ button Sửa
- Màn xem chi tiết nhấn Sửa chuyển đến màn chỉnh sửa</t>
    </r>
  </si>
  <si>
    <r>
      <rPr>
        <u/>
        <sz val="12"/>
        <color theme="10"/>
        <rFont val="Times New Roman"/>
        <family val="2"/>
      </rPr>
      <t>https://go.screenpal.com/watch/cOhTDynt7kb</t>
    </r>
  </si>
  <si>
    <r>
      <rPr>
        <b/>
        <sz val="12"/>
        <color rgb="FF000000"/>
        <rFont val="Times New Roman"/>
        <family val="2"/>
      </rPr>
      <t>Tk:</t>
    </r>
    <r>
      <rPr>
        <sz val="12"/>
        <color rgb="FF000000"/>
        <rFont val="Times New Roman"/>
        <family val="2"/>
      </rPr>
      <t xml:space="preserve"> cb_nv_tw_01
</t>
    </r>
    <r>
      <rPr>
        <b/>
        <sz val="12"/>
        <color rgb="FF000000"/>
        <rFont val="Times New Roman"/>
        <family val="2"/>
      </rPr>
      <t>Lỗi:</t>
    </r>
    <r>
      <rPr>
        <sz val="12"/>
        <color rgb="FF000000"/>
        <rFont val="Times New Roman"/>
        <family val="2"/>
      </rPr>
      <t xml:space="preserve"> Vụ việc ở trạng thái "Đã phân công" nhưng vẫn còn button "Phân công"
</t>
    </r>
    <r>
      <rPr>
        <b/>
        <sz val="12"/>
        <color rgb="FF000000"/>
        <rFont val="Times New Roman"/>
        <family val="2"/>
      </rPr>
      <t>Mong muốn:</t>
    </r>
    <r>
      <rPr>
        <sz val="12"/>
        <color rgb="FF000000"/>
        <rFont val="Times New Roman"/>
        <family val="2"/>
      </rPr>
      <t xml:space="preserve"> Vụ việc ở trạng thái "Đã phân công" ẩn button "Phân công"</t>
    </r>
  </si>
  <si>
    <r>
      <rPr>
        <u/>
        <sz val="12"/>
        <color theme="10"/>
        <rFont val="Times New Roman"/>
        <family val="2"/>
      </rPr>
      <t>https://prnt.sc/DW6mT1oXG9os</t>
    </r>
  </si>
  <si>
    <r>
      <rPr>
        <u/>
        <sz val="12"/>
        <color theme="10"/>
        <rFont val="Times New Roman"/>
        <family val="2"/>
      </rPr>
      <t>https://prnt.sc/r-D6bYXi3Jl2</t>
    </r>
  </si>
  <si>
    <r>
      <rPr>
        <b/>
        <sz val="12"/>
        <color rgb="FF000000"/>
        <rFont val="Times New Roman"/>
        <family val="2"/>
      </rPr>
      <t>Tk:</t>
    </r>
    <r>
      <rPr>
        <sz val="12"/>
        <color rgb="FF000000"/>
        <rFont val="Times New Roman"/>
        <family val="2"/>
      </rPr>
      <t xml:space="preserve"> cb_nv_tw_01
</t>
    </r>
    <r>
      <rPr>
        <b/>
        <sz val="12"/>
        <color rgb="FF000000"/>
        <rFont val="Times New Roman"/>
        <family val="2"/>
      </rPr>
      <t>Lỗi:</t>
    </r>
    <r>
      <rPr>
        <sz val="12"/>
        <color rgb="FF000000"/>
        <rFont val="Times New Roman"/>
        <family val="2"/>
      </rPr>
      <t xml:space="preserve"> Không phân công cho người ngoài đơn vị
</t>
    </r>
    <r>
      <rPr>
        <b/>
        <sz val="12"/>
        <color rgb="FF000000"/>
        <rFont val="Times New Roman"/>
        <family val="2"/>
      </rPr>
      <t>Mong muốn:</t>
    </r>
    <r>
      <rPr>
        <sz val="12"/>
        <color rgb="FF000000"/>
        <rFont val="Times New Roman"/>
        <family val="2"/>
      </rPr>
      <t xml:space="preserve"> Phân công được cho người phù hợp (Không giới hạn theo đơn vị)</t>
    </r>
  </si>
  <si>
    <r>
      <rPr>
        <u/>
        <sz val="12"/>
        <color theme="10"/>
        <rFont val="Times New Roman"/>
        <family val="2"/>
      </rPr>
      <t>https://prnt.sc/5D3qRGQmJfQ7</t>
    </r>
  </si>
  <si>
    <r>
      <rPr>
        <b/>
        <sz val="12"/>
        <color rgb="FF000000"/>
        <rFont val="Times New Roman"/>
        <family val="2"/>
      </rPr>
      <t>Tk:</t>
    </r>
    <r>
      <rPr>
        <sz val="12"/>
        <color rgb="FF000000"/>
        <rFont val="Times New Roman"/>
        <family val="2"/>
      </rPr>
      <t xml:space="preserve"> cb_nv_bn_01
</t>
    </r>
    <r>
      <rPr>
        <b/>
        <sz val="12"/>
        <color rgb="FF000000"/>
        <rFont val="Times New Roman"/>
        <family val="2"/>
      </rPr>
      <t>Lỗi:</t>
    </r>
    <r>
      <rPr>
        <sz val="12"/>
        <color rgb="FF000000"/>
        <rFont val="Times New Roman"/>
        <family val="2"/>
      </rPr>
      <t xml:space="preserve"> Không lưu được kết quả thẩm định
</t>
    </r>
    <r>
      <rPr>
        <b/>
        <sz val="12"/>
        <color rgb="FF000000"/>
        <rFont val="Times New Roman"/>
        <family val="2"/>
      </rPr>
      <t>Mong muốn:</t>
    </r>
    <r>
      <rPr>
        <sz val="12"/>
        <color rgb="FF000000"/>
        <rFont val="Times New Roman"/>
        <family val="2"/>
      </rPr>
      <t xml:space="preserve"> Lưu được kết quả thẩm định thành công</t>
    </r>
  </si>
  <si>
    <r>
      <rPr>
        <u/>
        <sz val="12"/>
        <color theme="10"/>
        <rFont val="Times New Roman"/>
        <family val="2"/>
      </rPr>
      <t>https://prnt.sc/NxyB-ZsPG2I_</t>
    </r>
    <r>
      <rPr>
        <sz val="10"/>
        <color theme="1"/>
        <rFont val="Calibri"/>
        <family val="2"/>
        <scheme val="minor"/>
      </rPr>
      <t xml:space="preserve">
</t>
    </r>
    <r>
      <rPr>
        <sz val="10"/>
        <color theme="1"/>
        <rFont val="Calibri"/>
        <family val="2"/>
        <scheme val="minor"/>
      </rPr>
      <t xml:space="preserve">
</t>
    </r>
    <r>
      <rPr>
        <u/>
        <sz val="12"/>
        <color theme="10"/>
        <rFont val="Times New Roman"/>
        <family val="2"/>
      </rPr>
      <t>https://prnt.sc/fOcaAjw1Z7Jf</t>
    </r>
  </si>
  <si>
    <r>
      <rPr>
        <b/>
        <sz val="12"/>
        <color rgb="FF000000"/>
        <rFont val="Times New Roman"/>
        <family val="2"/>
      </rPr>
      <t>Tk:</t>
    </r>
    <r>
      <rPr>
        <sz val="12"/>
        <color rgb="FF000000"/>
        <rFont val="Times New Roman"/>
        <family val="2"/>
      </rPr>
      <t xml:space="preserve"> admin
</t>
    </r>
    <r>
      <rPr>
        <b/>
        <sz val="12"/>
        <color rgb="FF000000"/>
        <rFont val="Times New Roman"/>
        <family val="2"/>
      </rPr>
      <t>Lỗi:</t>
    </r>
    <r>
      <rPr>
        <sz val="12"/>
        <color rgb="FF000000"/>
        <rFont val="Times New Roman"/>
        <family val="2"/>
      </rPr>
      <t xml:space="preserve"> 
1. Cột SLA và Ngày nộp dữ liệu bị đè lên nhau
2. Cột SLA quá hạn màu trắng ko nhìn được text
</t>
    </r>
    <r>
      <rPr>
        <b/>
        <sz val="12"/>
        <color rgb="FF000000"/>
        <rFont val="Times New Roman"/>
        <family val="2"/>
      </rPr>
      <t>Mong muốn:</t>
    </r>
    <r>
      <rPr>
        <sz val="12"/>
        <color rgb="FF000000"/>
        <rFont val="Times New Roman"/>
        <family val="2"/>
      </rPr>
      <t xml:space="preserve"> 
1. Dữ liệu 2 cột ko bị đè lên nhau
2. SLA quá hạn đổi thành màu khác dễ nhìn</t>
    </r>
  </si>
  <si>
    <r>
      <rPr>
        <b/>
        <sz val="12"/>
        <color rgb="FF000000"/>
        <rFont val="Times New Roman"/>
        <family val="2"/>
      </rPr>
      <t>Tk:</t>
    </r>
    <r>
      <rPr>
        <sz val="12"/>
        <color rgb="FF000000"/>
        <rFont val="Times New Roman"/>
        <family val="2"/>
      </rPr>
      <t xml:space="preserve"> cb_nv_tw_01
</t>
    </r>
    <r>
      <rPr>
        <b/>
        <sz val="12"/>
        <color rgb="FF000000"/>
        <rFont val="Times New Roman"/>
        <family val="2"/>
      </rPr>
      <t>Lỗi: Popup Cập nhật thời hạn:</t>
    </r>
    <r>
      <rPr>
        <sz val="12"/>
        <color rgb="FF000000"/>
        <rFont val="Times New Roman"/>
        <family val="2"/>
      </rPr>
      <t xml:space="preserve"> Trạng thái hiện là TIEP_NHAN
</t>
    </r>
    <r>
      <rPr>
        <b/>
        <sz val="12"/>
        <color rgb="FF000000"/>
        <rFont val="Times New Roman"/>
        <family val="2"/>
      </rPr>
      <t xml:space="preserve">Mong muốn: </t>
    </r>
    <r>
      <rPr>
        <sz val="12"/>
        <color rgb="FF000000"/>
        <rFont val="Times New Roman"/>
        <family val="2"/>
      </rPr>
      <t>Trạng thái hiển thị text (VD: Tiếp nhận)
=&gt; Sửa tương tự với popup Phân công xử lý</t>
    </r>
  </si>
  <si>
    <r>
      <rPr>
        <u/>
        <sz val="12"/>
        <color theme="10"/>
        <rFont val="Times New Roman"/>
        <family val="2"/>
      </rPr>
      <t>https://prnt.sc/wsy6__eNYAFB</t>
    </r>
  </si>
  <si>
    <r>
      <rPr>
        <u/>
        <sz val="12"/>
        <color theme="10"/>
        <rFont val="Times New Roman"/>
        <family val="2"/>
      </rPr>
      <t>https://prnt.sc/HKwQi61IJmqx</t>
    </r>
  </si>
  <si>
    <r>
      <rPr>
        <b/>
        <sz val="12"/>
        <color rgb="FF000000"/>
        <rFont val="Times New Roman"/>
        <family val="2"/>
      </rPr>
      <t xml:space="preserve">Tk: </t>
    </r>
    <r>
      <rPr>
        <sz val="12"/>
        <color rgb="FF000000"/>
        <rFont val="Times New Roman"/>
        <family val="2"/>
      </rPr>
      <t xml:space="preserve">cb_nv_tw_01
</t>
    </r>
    <r>
      <rPr>
        <b/>
        <sz val="12"/>
        <color rgb="FF000000"/>
        <rFont val="Times New Roman"/>
        <family val="2"/>
      </rPr>
      <t>Lỗi: Popup Xác nhận tiếp nhận:</t>
    </r>
    <r>
      <rPr>
        <sz val="12"/>
        <color rgb="FF000000"/>
        <rFont val="Times New Roman"/>
        <family val="2"/>
      </rPr>
      <t xml:space="preserve"> Số lượng ký tự ghi chú và button Tiếp nhận bị đè lên nhau
</t>
    </r>
    <r>
      <rPr>
        <b/>
        <sz val="12"/>
        <color rgb="FF000000"/>
        <rFont val="Times New Roman"/>
        <family val="2"/>
      </rPr>
      <t>Mong muốn:</t>
    </r>
    <r>
      <rPr>
        <sz val="12"/>
        <color rgb="FF000000"/>
        <rFont val="Times New Roman"/>
        <family val="2"/>
      </rPr>
      <t xml:space="preserve"> Thêm khoảng cách để ko bị đè
=&gt; Sửa tương tự với popup Đổi mức độ phức tạp, Cập nhật thời hạn =&gt; Rà lại các màn khác nữa</t>
    </r>
  </si>
  <si>
    <r>
      <rPr>
        <b/>
        <sz val="12"/>
        <color rgb="FF000000"/>
        <rFont val="Times New Roman"/>
        <family val="2"/>
      </rPr>
      <t>Tk:</t>
    </r>
    <r>
      <rPr>
        <sz val="12"/>
        <color rgb="FF000000"/>
        <rFont val="Times New Roman"/>
        <family val="2"/>
      </rPr>
      <t xml:space="preserve"> cb_nv_tw_01
</t>
    </r>
    <r>
      <rPr>
        <b/>
        <sz val="12"/>
        <color rgb="FF000000"/>
        <rFont val="Times New Roman"/>
        <family val="2"/>
      </rPr>
      <t>Lỗi:</t>
    </r>
    <r>
      <rPr>
        <sz val="12"/>
        <color rgb="FF000000"/>
        <rFont val="Times New Roman"/>
        <family val="2"/>
      </rPr>
      <t xml:space="preserve"> Chưa có cột Hành động để có thể thực hiện thao tác ở màn danh sách (Phải vào màn xem chi tiết mới thao tác được)
</t>
    </r>
    <r>
      <rPr>
        <b/>
        <sz val="12"/>
        <color rgb="FF000000"/>
        <rFont val="Times New Roman"/>
        <family val="2"/>
      </rPr>
      <t xml:space="preserve">Mong muốn: 
</t>
    </r>
    <r>
      <rPr>
        <sz val="12"/>
        <color rgb="FF000000"/>
        <rFont val="Times New Roman"/>
        <family val="2"/>
      </rPr>
      <t>1. Bổ sung cột Hành động để có thể thực hiện thao tác ở màn danh sách
2. Cột Mã đổi hyperlink sang màu xanh</t>
    </r>
  </si>
  <si>
    <r>
      <rPr>
        <u/>
        <sz val="12"/>
        <color theme="10"/>
        <rFont val="Times New Roman"/>
        <family val="2"/>
      </rPr>
      <t>https://prnt.sc/zKHrYsFZ4-MW</t>
    </r>
  </si>
  <si>
    <r>
      <rPr>
        <b/>
        <sz val="12"/>
        <color rgb="FF000000"/>
        <rFont val="Times New Roman"/>
        <family val="2"/>
      </rPr>
      <t>Tk:</t>
    </r>
    <r>
      <rPr>
        <sz val="12"/>
        <color rgb="FF000000"/>
        <rFont val="Times New Roman"/>
        <family val="2"/>
      </rPr>
      <t xml:space="preserve"> cb_nv_tw_01
</t>
    </r>
    <r>
      <rPr>
        <b/>
        <sz val="12"/>
        <color rgb="FF000000"/>
        <rFont val="Times New Roman"/>
        <family val="2"/>
      </rPr>
      <t xml:space="preserve">Lỗi: </t>
    </r>
    <r>
      <rPr>
        <sz val="12"/>
        <color rgb="FF000000"/>
        <rFont val="Times New Roman"/>
        <family val="2"/>
      </rPr>
      <t xml:space="preserve">Thêm mới bài giảng, trường Mô tả không bắt buộc nhưng lưu lại bắt buộc nhập
</t>
    </r>
    <r>
      <rPr>
        <b/>
        <sz val="12"/>
        <color rgb="FF000000"/>
        <rFont val="Times New Roman"/>
        <family val="2"/>
      </rPr>
      <t>Mong muốn:</t>
    </r>
    <r>
      <rPr>
        <sz val="12"/>
        <color rgb="FF000000"/>
        <rFont val="Times New Roman"/>
        <family val="2"/>
      </rPr>
      <t xml:space="preserve"> Trường mô tả không bắt buộc khi lưu</t>
    </r>
  </si>
  <si>
    <r>
      <rPr>
        <u/>
        <sz val="12"/>
        <color theme="10"/>
        <rFont val="Times New Roman"/>
        <family val="2"/>
      </rPr>
      <t>https://prnt.sc/nWeFF0X7pj-P</t>
    </r>
  </si>
  <si>
    <r>
      <rPr>
        <b/>
        <sz val="12"/>
        <color rgb="FF000000"/>
        <rFont val="Times New Roman"/>
        <family val="2"/>
      </rPr>
      <t>Tk:</t>
    </r>
    <r>
      <rPr>
        <sz val="12"/>
        <color rgb="FF000000"/>
        <rFont val="Times New Roman"/>
        <family val="2"/>
      </rPr>
      <t xml:space="preserve"> cb_nv_tw_01
</t>
    </r>
    <r>
      <rPr>
        <b/>
        <sz val="12"/>
        <color rgb="FF000000"/>
        <rFont val="Times New Roman"/>
        <family val="2"/>
      </rPr>
      <t>Lỗi:</t>
    </r>
    <r>
      <rPr>
        <sz val="12"/>
        <color rgb="FF000000"/>
        <rFont val="Times New Roman"/>
        <family val="2"/>
      </rPr>
      <t xml:space="preserve"> Sau khi duyệt câu hỏi chưa được hiển thị cho người dùng nhưng popup xác nhận đang hiển thị "Sau khi duyệt, câu hỏi sẽ có hiệu lực và hiển thị cho người dùng."
</t>
    </r>
    <r>
      <rPr>
        <b/>
        <sz val="12"/>
        <color rgb="FF000000"/>
        <rFont val="Times New Roman"/>
        <family val="2"/>
      </rPr>
      <t xml:space="preserve">Mong muốn: </t>
    </r>
    <r>
      <rPr>
        <sz val="12"/>
        <color rgb="FF000000"/>
        <rFont val="Times New Roman"/>
        <family val="2"/>
      </rPr>
      <t>Điều chỉnh lại thành "Bạn xác nhận phê duyệt câu hỏi?"</t>
    </r>
  </si>
  <si>
    <r>
      <rPr>
        <u/>
        <sz val="12"/>
        <color theme="10"/>
        <rFont val="Times New Roman"/>
        <family val="2"/>
      </rPr>
      <t>https://prnt.sc/gyUKmerCGpBv</t>
    </r>
  </si>
  <si>
    <r>
      <rPr>
        <b/>
        <sz val="12"/>
        <color rgb="FF000000"/>
        <rFont val="Times New Roman"/>
        <family val="2"/>
      </rPr>
      <t>Tk:</t>
    </r>
    <r>
      <rPr>
        <sz val="12"/>
        <color rgb="FF000000"/>
        <rFont val="Times New Roman"/>
        <family val="2"/>
      </rPr>
      <t xml:space="preserve"> cb_nv_tw_01
</t>
    </r>
    <r>
      <rPr>
        <b/>
        <sz val="12"/>
        <color rgb="FF000000"/>
        <rFont val="Times New Roman"/>
        <family val="2"/>
      </rPr>
      <t xml:space="preserve">Lỗi: </t>
    </r>
    <r>
      <rPr>
        <sz val="12"/>
        <color rgb="FF000000"/>
        <rFont val="Times New Roman"/>
        <family val="2"/>
      </rPr>
      <t xml:space="preserve">Nhấn chỉnh sửa 1 bản ghi cũ rồi nhấn "Thêm bài giảng" bị lưu lại cache của bản ghi trước vào màn thêm mới
</t>
    </r>
    <r>
      <rPr>
        <b/>
        <sz val="12"/>
        <color rgb="FF000000"/>
        <rFont val="Times New Roman"/>
        <family val="2"/>
      </rPr>
      <t>Mong muốn:</t>
    </r>
    <r>
      <rPr>
        <sz val="12"/>
        <color rgb="FF000000"/>
        <rFont val="Times New Roman"/>
        <family val="2"/>
      </rPr>
      <t xml:space="preserve"> Màn thêm mới đều chưa có dữ liệu</t>
    </r>
  </si>
  <si>
    <r>
      <rPr>
        <u/>
        <sz val="12"/>
        <color theme="10"/>
        <rFont val="Times New Roman"/>
        <family val="2"/>
      </rPr>
      <t>https://go.screenpal.com/watch/cOhT28nt7u5</t>
    </r>
  </si>
  <si>
    <r>
      <rPr>
        <u/>
        <sz val="12"/>
        <color theme="10"/>
        <rFont val="Times New Roman"/>
        <family val="2"/>
      </rPr>
      <t>https://prnt.sc/1NclyTQ-O48q</t>
    </r>
  </si>
  <si>
    <r>
      <rPr>
        <b/>
        <sz val="12"/>
        <color rgb="FF000000"/>
        <rFont val="Times New Roman"/>
        <family val="2"/>
      </rPr>
      <t>Tk:</t>
    </r>
    <r>
      <rPr>
        <sz val="12"/>
        <color rgb="FF000000"/>
        <rFont val="Times New Roman"/>
        <family val="2"/>
      </rPr>
      <t xml:space="preserve"> cb_nv_tw_01
</t>
    </r>
    <r>
      <rPr>
        <b/>
        <sz val="12"/>
        <color rgb="FF000000"/>
        <rFont val="Times New Roman"/>
        <family val="2"/>
      </rPr>
      <t xml:space="preserve">Lỗi: </t>
    </r>
    <r>
      <rPr>
        <sz val="12"/>
        <color rgb="FF000000"/>
        <rFont val="Times New Roman"/>
        <family val="2"/>
      </rPr>
      <t xml:space="preserve">Không xem preview file PDF
</t>
    </r>
    <r>
      <rPr>
        <b/>
        <sz val="12"/>
        <color rgb="FF000000"/>
        <rFont val="Times New Roman"/>
        <family val="2"/>
      </rPr>
      <t xml:space="preserve">Mong muốn: </t>
    </r>
    <r>
      <rPr>
        <sz val="12"/>
        <color rgb="FF000000"/>
        <rFont val="Times New Roman"/>
        <family val="2"/>
      </rPr>
      <t>Xem preview được file PDF</t>
    </r>
  </si>
  <si>
    <r>
      <rPr>
        <b/>
        <sz val="12"/>
        <color rgb="FF000000"/>
        <rFont val="Times New Roman"/>
        <family val="2"/>
      </rPr>
      <t>Tk:</t>
    </r>
    <r>
      <rPr>
        <sz val="12"/>
        <color rgb="FF000000"/>
        <rFont val="Times New Roman"/>
        <family val="2"/>
      </rPr>
      <t xml:space="preserve"> cb_nv_tw_01
</t>
    </r>
    <r>
      <rPr>
        <b/>
        <sz val="12"/>
        <color rgb="FF000000"/>
        <rFont val="Times New Roman"/>
        <family val="2"/>
      </rPr>
      <t xml:space="preserve">Lỗi: </t>
    </r>
    <r>
      <rPr>
        <sz val="12"/>
        <color rgb="FF000000"/>
        <rFont val="Times New Roman"/>
        <family val="2"/>
      </rPr>
      <t xml:space="preserve">Mành danh sách bài giảng thừa cột Khóa học
</t>
    </r>
    <r>
      <rPr>
        <b/>
        <sz val="12"/>
        <color rgb="FF000000"/>
        <rFont val="Times New Roman"/>
        <family val="2"/>
      </rPr>
      <t>Mong muốn:</t>
    </r>
    <r>
      <rPr>
        <sz val="12"/>
        <color rgb="FF000000"/>
        <rFont val="Times New Roman"/>
        <family val="2"/>
      </rPr>
      <t xml:space="preserve"> Bài giảng bỏ cột Khóa học</t>
    </r>
  </si>
  <si>
    <r>
      <rPr>
        <u/>
        <sz val="12"/>
        <color theme="10"/>
        <rFont val="Times New Roman"/>
        <family val="2"/>
      </rPr>
      <t>https://prnt.sc/IjNtDbD94D9i</t>
    </r>
  </si>
  <si>
    <r>
      <rPr>
        <u/>
        <sz val="12"/>
        <color theme="10"/>
        <rFont val="Times New Roman"/>
        <family val="2"/>
      </rPr>
      <t>https://prnt.sc/_4DgHWtlMJ9R</t>
    </r>
  </si>
  <si>
    <r>
      <rPr>
        <b/>
        <sz val="12"/>
        <color rgb="FF000000"/>
        <rFont val="Times New Roman"/>
        <family val="2"/>
      </rPr>
      <t>Tk:</t>
    </r>
    <r>
      <rPr>
        <sz val="12"/>
        <color rgb="FF000000"/>
        <rFont val="Times New Roman"/>
        <family val="2"/>
      </rPr>
      <t xml:space="preserve"> cb_nv_tw_01
</t>
    </r>
    <r>
      <rPr>
        <b/>
        <sz val="12"/>
        <color rgb="FF000000"/>
        <rFont val="Times New Roman"/>
        <family val="2"/>
      </rPr>
      <t xml:space="preserve">Lỗi: </t>
    </r>
    <r>
      <rPr>
        <sz val="12"/>
        <color rgb="FF000000"/>
        <rFont val="Times New Roman"/>
        <family val="2"/>
      </rPr>
      <t xml:space="preserve">Danh sách giảng viên thừa thông tin vai trò
</t>
    </r>
    <r>
      <rPr>
        <b/>
        <sz val="12"/>
        <color rgb="FF000000"/>
        <rFont val="Times New Roman"/>
        <family val="2"/>
      </rPr>
      <t xml:space="preserve">Mong muốn: </t>
    </r>
    <r>
      <rPr>
        <sz val="12"/>
        <color rgb="FF000000"/>
        <rFont val="Times New Roman"/>
        <family val="2"/>
      </rPr>
      <t>Giảng viên/trợ giảng phải trong Lịch học và mới có vai trò theo từng lịch học</t>
    </r>
  </si>
  <si>
    <r>
      <rPr>
        <b/>
        <sz val="12"/>
        <color rgb="FF000000"/>
        <rFont val="Times New Roman"/>
        <family val="2"/>
      </rPr>
      <t>Tk:</t>
    </r>
    <r>
      <rPr>
        <sz val="12"/>
        <color rgb="FF000000"/>
        <rFont val="Times New Roman"/>
        <family val="2"/>
      </rPr>
      <t xml:space="preserve"> cb_nv_tw_01
</t>
    </r>
    <r>
      <rPr>
        <b/>
        <sz val="12"/>
        <color rgb="FF000000"/>
        <rFont val="Times New Roman"/>
        <family val="2"/>
      </rPr>
      <t xml:space="preserve">Lỗi: </t>
    </r>
    <r>
      <rPr>
        <sz val="12"/>
        <color rgb="FF000000"/>
        <rFont val="Times New Roman"/>
        <family val="2"/>
      </rPr>
      <t xml:space="preserve">Màn xem chi tiết tư vấn viên, nhấn xem file đính kèm bị lỗi
</t>
    </r>
    <r>
      <rPr>
        <b/>
        <sz val="12"/>
        <color rgb="FF000000"/>
        <rFont val="Times New Roman"/>
        <family val="2"/>
      </rPr>
      <t xml:space="preserve">Mong muốn: </t>
    </r>
    <r>
      <rPr>
        <sz val="12"/>
        <color rgb="FF000000"/>
        <rFont val="Times New Roman"/>
        <family val="2"/>
      </rPr>
      <t>Xem được preview file đính kèm</t>
    </r>
  </si>
  <si>
    <r>
      <rPr>
        <u/>
        <sz val="12"/>
        <color theme="10"/>
        <rFont val="Times New Roman"/>
        <family val="2"/>
      </rPr>
      <t>https://prnt.sc/t5714-gQ_pvf</t>
    </r>
  </si>
  <si>
    <r>
      <rPr>
        <b/>
        <sz val="12"/>
        <color rgb="FF000000"/>
        <rFont val="Times New Roman"/>
        <family val="2"/>
      </rPr>
      <t>Tk:</t>
    </r>
    <r>
      <rPr>
        <sz val="12"/>
        <color rgb="FF000000"/>
        <rFont val="Times New Roman"/>
        <family val="2"/>
      </rPr>
      <t xml:space="preserve"> cb_nv_tw_01
</t>
    </r>
    <r>
      <rPr>
        <b/>
        <sz val="12"/>
        <color rgb="FF000000"/>
        <rFont val="Times New Roman"/>
        <family val="2"/>
      </rPr>
      <t>Lỗi:</t>
    </r>
    <r>
      <rPr>
        <sz val="12"/>
        <color rgb="FF000000"/>
        <rFont val="Times New Roman"/>
        <family val="2"/>
      </rPr>
      <t xml:space="preserve"> Ngày bắt đầu, Ngày kết thúc trong đợt sau khi lưu bị lùi 1 ngày 
</t>
    </r>
    <r>
      <rPr>
        <b/>
        <sz val="12"/>
        <color rgb="FF000000"/>
        <rFont val="Times New Roman"/>
        <family val="2"/>
      </rPr>
      <t xml:space="preserve">Mong muốn: </t>
    </r>
    <r>
      <rPr>
        <sz val="12"/>
        <color rgb="FF000000"/>
        <rFont val="Times New Roman"/>
        <family val="2"/>
      </rPr>
      <t>Lưu lại đúng ngày bắt đầu, ngày kết thúc đã nhập</t>
    </r>
  </si>
  <si>
    <r>
      <rPr>
        <u/>
        <sz val="12"/>
        <color theme="10"/>
        <rFont val="Times New Roman"/>
        <family val="2"/>
      </rPr>
      <t>https://go.screenpal.com/watch/cOhO1PntsPr</t>
    </r>
  </si>
  <si>
    <r>
      <rPr>
        <u/>
        <sz val="12"/>
        <color theme="10"/>
        <rFont val="Times New Roman"/>
        <family val="2"/>
      </rPr>
      <t>https://prnt.sc/GtEB7CrNFsFM</t>
    </r>
  </si>
  <si>
    <r>
      <rPr>
        <b/>
        <sz val="12"/>
        <color rgb="FF000000"/>
        <rFont val="Times New Roman"/>
        <family val="2"/>
      </rPr>
      <t>Tk:</t>
    </r>
    <r>
      <rPr>
        <sz val="12"/>
        <color rgb="FF000000"/>
        <rFont val="Times New Roman"/>
        <family val="2"/>
      </rPr>
      <t xml:space="preserve"> cb_nv_tw_01
</t>
    </r>
    <r>
      <rPr>
        <b/>
        <sz val="12"/>
        <color rgb="FF000000"/>
        <rFont val="Times New Roman"/>
        <family val="2"/>
      </rPr>
      <t xml:space="preserve">Lỗi:
</t>
    </r>
    <r>
      <rPr>
        <sz val="12"/>
        <color rgb="FF000000"/>
        <rFont val="Times New Roman"/>
        <family val="2"/>
      </rPr>
      <t xml:space="preserve">1. Cột Thời gian: Chưa hiển thị dữ liệu theo khóa học
2. Cột Vai trò: Đang hiện mã 
3. Cột Trang thái: Đã kết thúc đang hiện mã
</t>
    </r>
    <r>
      <rPr>
        <b/>
        <sz val="12"/>
        <color rgb="FF000000"/>
        <rFont val="Times New Roman"/>
        <family val="2"/>
      </rPr>
      <t xml:space="preserve">Mong muốn: 
</t>
    </r>
    <r>
      <rPr>
        <sz val="12"/>
        <color rgb="FF000000"/>
        <rFont val="Times New Roman"/>
        <family val="2"/>
      </rPr>
      <t>1. Hiển thị được thời gian theo khóa học
2, 3. Hiển thị text chứ ko hiện mã</t>
    </r>
  </si>
  <si>
    <r>
      <rPr>
        <u/>
        <sz val="12"/>
        <color theme="10"/>
        <rFont val="Times New Roman"/>
        <family val="2"/>
      </rPr>
      <t>https://prnt.sc/7q1VpPjki6Yw</t>
    </r>
  </si>
  <si>
    <r>
      <rPr>
        <b/>
        <sz val="12"/>
        <color rgb="FF000000"/>
        <rFont val="Times New Roman"/>
        <family val="2"/>
      </rPr>
      <t>Tk:</t>
    </r>
    <r>
      <rPr>
        <sz val="12"/>
        <color rgb="FF000000"/>
        <rFont val="Times New Roman"/>
        <family val="2"/>
      </rPr>
      <t xml:space="preserve"> cb_nv_tw_03
</t>
    </r>
    <r>
      <rPr>
        <b/>
        <sz val="12"/>
        <color rgb="FF000000"/>
        <rFont val="Times New Roman"/>
        <family val="2"/>
      </rPr>
      <t>Lỗi:</t>
    </r>
    <r>
      <rPr>
        <sz val="12"/>
        <color rgb="FF000000"/>
        <rFont val="Times New Roman"/>
        <family val="2"/>
      </rPr>
      <t xml:space="preserve"> 
1. Các trường Số liệu tổng hợp đang là mã
2. Xếp loại chưa hiển thị được dữ liệu
3. Trường Trạng thái báo cáo là mã
</t>
    </r>
    <r>
      <rPr>
        <b/>
        <sz val="12"/>
        <color rgb="FF000000"/>
        <rFont val="Times New Roman"/>
        <family val="2"/>
      </rPr>
      <t xml:space="preserve">Mong muốn: 
</t>
    </r>
    <r>
      <rPr>
        <sz val="12"/>
        <color rgb="FF000000"/>
        <rFont val="Times New Roman"/>
        <family val="2"/>
      </rPr>
      <t>1. Hiển thị dạng text các trường thông tin
2. Xếp loại hiển thị được dữ liệu
3. Trạng thái báo cáo hiển thị đúng text\</t>
    </r>
  </si>
  <si>
    <r>
      <rPr>
        <u/>
        <sz val="12"/>
        <color theme="10"/>
        <rFont val="Times New Roman"/>
        <family val="2"/>
      </rPr>
      <t>https://somup.com/cOhT26VVpBT</t>
    </r>
  </si>
  <si>
    <r>
      <rPr>
        <b/>
        <sz val="12"/>
        <color rgb="FF000000"/>
        <rFont val="Times New Roman"/>
        <family val="2"/>
      </rPr>
      <t>Tk:</t>
    </r>
    <r>
      <rPr>
        <sz val="12"/>
        <color rgb="FF000000"/>
        <rFont val="Times New Roman"/>
        <family val="2"/>
      </rPr>
      <t xml:space="preserve"> cb_pd_tw_01
</t>
    </r>
    <r>
      <rPr>
        <b/>
        <sz val="12"/>
        <color rgb="FF000000"/>
        <rFont val="Times New Roman"/>
        <family val="2"/>
      </rPr>
      <t xml:space="preserve">Lỗi: </t>
    </r>
    <r>
      <rPr>
        <sz val="12"/>
        <color rgb="FF000000"/>
        <rFont val="Times New Roman"/>
        <family val="2"/>
      </rPr>
      <t xml:space="preserve">Khi chương trình đào tạo ở trạng thái "Chờ duyệt", cán bộ phê duyệt nhấn "Phê duyệt", bản ghi đã chuyển sang trạng thái "Đã duyệt" nhưng Lịch sử phê duyệt chưa update (F5 mới update)
</t>
    </r>
    <r>
      <rPr>
        <b/>
        <sz val="12"/>
        <color rgb="FF000000"/>
        <rFont val="Times New Roman"/>
        <family val="2"/>
      </rPr>
      <t xml:space="preserve">Mong muốn: </t>
    </r>
    <r>
      <rPr>
        <sz val="12"/>
        <color rgb="FF000000"/>
        <rFont val="Times New Roman"/>
        <family val="2"/>
      </rPr>
      <t>Khi bản ghi ghi chuyển trạng thái thì lịch sử phê duyệt cũng cập nhật</t>
    </r>
  </si>
  <si>
    <r>
      <rPr>
        <b/>
        <sz val="12"/>
        <color rgb="FF000000"/>
        <rFont val="Times New Roman"/>
        <family val="2"/>
      </rPr>
      <t>Tk:</t>
    </r>
    <r>
      <rPr>
        <sz val="12"/>
        <color rgb="FF000000"/>
        <rFont val="Times New Roman"/>
        <family val="2"/>
      </rPr>
      <t xml:space="preserve"> cb_nv_tw_01
</t>
    </r>
    <r>
      <rPr>
        <b/>
        <sz val="12"/>
        <color rgb="FF000000"/>
        <rFont val="Times New Roman"/>
        <family val="2"/>
      </rPr>
      <t>Lỗi:</t>
    </r>
    <r>
      <rPr>
        <sz val="12"/>
        <color rgb="FF000000"/>
        <rFont val="Times New Roman"/>
        <family val="2"/>
      </rPr>
      <t xml:space="preserve"> Nhấn xem preview file biểu mẫu bị lỗi
</t>
    </r>
    <r>
      <rPr>
        <b/>
        <sz val="12"/>
        <color rgb="FF000000"/>
        <rFont val="Times New Roman"/>
        <family val="2"/>
      </rPr>
      <t>Mong muốn:</t>
    </r>
    <r>
      <rPr>
        <sz val="12"/>
        <color rgb="FF000000"/>
        <rFont val="Times New Roman"/>
        <family val="2"/>
      </rPr>
      <t xml:space="preserve"> Xm được preview file biểu mẫu 
=&gt; Sửa cả với button "Tải xuống"</t>
    </r>
  </si>
  <si>
    <r>
      <rPr>
        <u/>
        <sz val="12"/>
        <color theme="10"/>
        <rFont val="Times New Roman"/>
        <family val="2"/>
      </rPr>
      <t>https://prnt.sc/uD_B_rHJ0I-_</t>
    </r>
  </si>
  <si>
    <r>
      <rPr>
        <b/>
        <sz val="12"/>
        <color rgb="FF000000"/>
        <rFont val="Times New Roman"/>
        <family val="2"/>
      </rPr>
      <t>Tk:</t>
    </r>
    <r>
      <rPr>
        <sz val="12"/>
        <color rgb="FF000000"/>
        <rFont val="Times New Roman"/>
        <family val="2"/>
      </rPr>
      <t xml:space="preserve"> cb_nv_tw_01
</t>
    </r>
    <r>
      <rPr>
        <b/>
        <sz val="12"/>
        <color rgb="FF000000"/>
        <rFont val="Times New Roman"/>
        <family val="2"/>
      </rPr>
      <t xml:space="preserve">Lỗi: </t>
    </r>
    <r>
      <rPr>
        <sz val="12"/>
        <color rgb="FF000000"/>
        <rFont val="Times New Roman"/>
        <family val="2"/>
      </rPr>
      <t xml:space="preserve">Không hiển thị dữ liệu cột Lĩnh vực
</t>
    </r>
    <r>
      <rPr>
        <b/>
        <sz val="12"/>
        <color rgb="FF000000"/>
        <rFont val="Times New Roman"/>
        <family val="2"/>
      </rPr>
      <t xml:space="preserve">Mong muốn: </t>
    </r>
    <r>
      <rPr>
        <sz val="12"/>
        <color rgb="FF000000"/>
        <rFont val="Times New Roman"/>
        <family val="2"/>
      </rPr>
      <t>Hiển thị được dữ liệu Lĩnh vực đã chọn</t>
    </r>
  </si>
  <si>
    <r>
      <rPr>
        <u/>
        <sz val="12"/>
        <color theme="10"/>
        <rFont val="Times New Roman"/>
        <family val="2"/>
      </rPr>
      <t>https://prnt.sc/4GR8wucYWrnD</t>
    </r>
    <r>
      <rPr>
        <sz val="10"/>
        <color theme="1"/>
        <rFont val="Calibri"/>
        <family val="2"/>
        <scheme val="minor"/>
      </rPr>
      <t xml:space="preserve">
</t>
    </r>
    <r>
      <rPr>
        <sz val="10"/>
        <color theme="1"/>
        <rFont val="Calibri"/>
        <family val="2"/>
        <scheme val="minor"/>
      </rPr>
      <t xml:space="preserve">
</t>
    </r>
    <r>
      <rPr>
        <u/>
        <sz val="12"/>
        <color theme="10"/>
        <rFont val="Times New Roman"/>
        <family val="2"/>
      </rPr>
      <t>https://prnt.sc/C1wAdrywMsUr</t>
    </r>
  </si>
  <si>
    <r>
      <rPr>
        <u/>
        <sz val="12"/>
        <color theme="10"/>
        <rFont val="Times New Roman"/>
        <family val="2"/>
      </rPr>
      <t>https://prnt.sc/BW2J4HJ_vMar</t>
    </r>
  </si>
  <si>
    <r>
      <rPr>
        <b/>
        <sz val="12"/>
        <color rgb="FF000000"/>
        <rFont val="Times New Roman"/>
        <family val="2"/>
      </rPr>
      <t>Tk:</t>
    </r>
    <r>
      <rPr>
        <sz val="12"/>
        <color rgb="FF000000"/>
        <rFont val="Times New Roman"/>
        <family val="2"/>
      </rPr>
      <t xml:space="preserve"> cb_nv_tw_01
</t>
    </r>
    <r>
      <rPr>
        <b/>
        <sz val="12"/>
        <color rgb="FF000000"/>
        <rFont val="Times New Roman"/>
        <family val="2"/>
      </rPr>
      <t>Lỗi:</t>
    </r>
    <r>
      <rPr>
        <sz val="12"/>
        <color rgb="FF000000"/>
        <rFont val="Times New Roman"/>
        <family val="2"/>
      </rPr>
      <t xml:space="preserve"> Không thấy menu hay button để chuyển đến màn danh sách tất cả biểu mẫu </t>
    </r>
    <r>
      <rPr>
        <u/>
        <sz val="12"/>
        <color theme="10"/>
        <rFont val="Times New Roman"/>
        <family val="2"/>
      </rPr>
      <t>https://htpldn-dev.ospgroup.vn/bieu-mau/danh-sach</t>
    </r>
    <r>
      <rPr>
        <sz val="12"/>
        <color rgb="FF000000"/>
        <rFont val="Times New Roman"/>
        <family val="2"/>
      </rPr>
      <t xml:space="preserve"> (Phải thêm mới biểu mẫu xong mới hiển thị danh sách tất cả biểu mẫu) 
</t>
    </r>
    <r>
      <rPr>
        <b/>
        <sz val="12"/>
        <color rgb="FF000000"/>
        <rFont val="Times New Roman"/>
        <family val="2"/>
      </rPr>
      <t>Mong muốn:</t>
    </r>
    <r>
      <rPr>
        <sz val="12"/>
        <color rgb="FF000000"/>
        <rFont val="Times New Roman"/>
        <family val="2"/>
      </rPr>
      <t xml:space="preserve"> Có memu xem danh sách tất cả biểu mẫu</t>
    </r>
  </si>
  <si>
    <r>
      <rPr>
        <u/>
        <sz val="12"/>
        <color theme="10"/>
        <rFont val="Times New Roman"/>
        <family val="2"/>
      </rPr>
      <t>https://prnt.sc/KsEsxw7DG2Ao</t>
    </r>
  </si>
  <si>
    <r>
      <rPr>
        <b/>
        <sz val="12"/>
        <color rgb="FF000000"/>
        <rFont val="Times New Roman"/>
        <family val="2"/>
      </rPr>
      <t>Tk:</t>
    </r>
    <r>
      <rPr>
        <sz val="12"/>
        <color rgb="FF000000"/>
        <rFont val="Times New Roman"/>
        <family val="2"/>
      </rPr>
      <t xml:space="preserve"> cb_nv_tw_01
</t>
    </r>
    <r>
      <rPr>
        <b/>
        <sz val="12"/>
        <color rgb="FF000000"/>
        <rFont val="Times New Roman"/>
        <family val="2"/>
      </rPr>
      <t xml:space="preserve">Lỗi: </t>
    </r>
    <r>
      <rPr>
        <sz val="12"/>
        <color rgb="FF000000"/>
        <rFont val="Times New Roman"/>
        <family val="2"/>
      </rPr>
      <t xml:space="preserve">Chức năng "Hủy" nhưng hiển thị lại là "Rút bản nháp"
</t>
    </r>
    <r>
      <rPr>
        <b/>
        <sz val="12"/>
        <color rgb="FF000000"/>
        <rFont val="Times New Roman"/>
        <family val="2"/>
      </rPr>
      <t xml:space="preserve">Mong muốn: </t>
    </r>
    <r>
      <rPr>
        <sz val="12"/>
        <color rgb="FF000000"/>
        <rFont val="Times New Roman"/>
        <family val="2"/>
      </rPr>
      <t>Điều chỉnh lại text button và popup xác nhận thành "Hủy" để đồng nhất với trạng thái "Đã hủy"</t>
    </r>
  </si>
  <si>
    <r>
      <rPr>
        <b/>
        <sz val="12"/>
        <color rgb="FF000000"/>
        <rFont val="Times New Roman"/>
        <family val="2"/>
      </rPr>
      <t>Tk:</t>
    </r>
    <r>
      <rPr>
        <sz val="12"/>
        <color rgb="FF000000"/>
        <rFont val="Times New Roman"/>
        <family val="2"/>
      </rPr>
      <t xml:space="preserve"> cb_nv_tw_01
</t>
    </r>
    <r>
      <rPr>
        <b/>
        <sz val="12"/>
        <color rgb="FF000000"/>
        <rFont val="Times New Roman"/>
        <family val="2"/>
      </rPr>
      <t>Lỗi:</t>
    </r>
    <r>
      <rPr>
        <sz val="12"/>
        <color rgb="FF000000"/>
        <rFont val="Times New Roman"/>
        <family val="2"/>
      </rPr>
      <t xml:space="preserve"> Màn danh sách Mục tiêu chưa hiển thị được dữ liệu đã nhập
</t>
    </r>
    <r>
      <rPr>
        <b/>
        <sz val="12"/>
        <color rgb="FF000000"/>
        <rFont val="Times New Roman"/>
        <family val="2"/>
      </rPr>
      <t>Mong muốn:</t>
    </r>
    <r>
      <rPr>
        <sz val="12"/>
        <color rgb="FF000000"/>
        <rFont val="Times New Roman"/>
        <family val="2"/>
      </rPr>
      <t xml:space="preserve"> Mục tiêu hiển thị được dữ liệu đã nhập</t>
    </r>
  </si>
  <si>
    <r>
      <rPr>
        <u/>
        <sz val="12"/>
        <color theme="10"/>
        <rFont val="Times New Roman"/>
        <family val="2"/>
      </rPr>
      <t>https://prnt.sc/ESFgd16c903V</t>
    </r>
    <r>
      <rPr>
        <sz val="10"/>
        <color theme="1"/>
        <rFont val="Calibri"/>
        <family val="2"/>
        <scheme val="minor"/>
      </rPr>
      <t xml:space="preserve">
</t>
    </r>
    <r>
      <rPr>
        <sz val="10"/>
        <color theme="1"/>
        <rFont val="Calibri"/>
        <family val="2"/>
        <scheme val="minor"/>
      </rPr>
      <t xml:space="preserve">
</t>
    </r>
    <r>
      <rPr>
        <u/>
        <sz val="12"/>
        <color theme="10"/>
        <rFont val="Times New Roman"/>
        <family val="2"/>
      </rPr>
      <t>https://prnt.sc/twE_--k49Xkl</t>
    </r>
  </si>
  <si>
    <r>
      <rPr>
        <b/>
        <sz val="12"/>
        <color rgb="FF000000"/>
        <rFont val="Times New Roman"/>
        <family val="2"/>
      </rPr>
      <t>Tk:</t>
    </r>
    <r>
      <rPr>
        <sz val="12"/>
        <color rgb="FF000000"/>
        <rFont val="Times New Roman"/>
        <family val="2"/>
      </rPr>
      <t xml:space="preserve"> cb_nv_tw_01, cb_pd_tw_01
</t>
    </r>
    <r>
      <rPr>
        <b/>
        <sz val="12"/>
        <color rgb="FF000000"/>
        <rFont val="Times New Roman"/>
        <family val="2"/>
      </rPr>
      <t xml:space="preserve">Lỗi: </t>
    </r>
    <r>
      <rPr>
        <sz val="12"/>
        <color rgb="FF000000"/>
        <rFont val="Times New Roman"/>
        <family val="2"/>
      </rPr>
      <t xml:space="preserve">Bản ghi đến trạng thái "Đã tiếp nhận" ở cả 2 tài khoản khôn thấy button thao tác nào để thực hiện tiếp luồng
</t>
    </r>
    <r>
      <rPr>
        <b/>
        <sz val="12"/>
        <color rgb="FF000000"/>
        <rFont val="Times New Roman"/>
        <family val="2"/>
      </rPr>
      <t xml:space="preserve">Mong muốn: </t>
    </r>
    <r>
      <rPr>
        <sz val="12"/>
        <color rgb="FF000000"/>
        <rFont val="Times New Roman"/>
        <family val="2"/>
      </rPr>
      <t>Bản ghi đến trạng thái "Đã tiếp nhận" có thể chạy tiếp luồng</t>
    </r>
  </si>
  <si>
    <r>
      <rPr>
        <u/>
        <sz val="12"/>
        <color theme="10"/>
        <rFont val="Times New Roman"/>
        <family val="2"/>
      </rPr>
      <t>https://prnt.sc/nwtGh6PkC6Va</t>
    </r>
    <r>
      <rPr>
        <sz val="10"/>
        <color theme="1"/>
        <rFont val="Calibri"/>
        <family val="2"/>
        <scheme val="minor"/>
      </rPr>
      <t xml:space="preserve">
</t>
    </r>
    <r>
      <rPr>
        <sz val="10"/>
        <color theme="1"/>
        <rFont val="Calibri"/>
        <family val="2"/>
        <scheme val="minor"/>
      </rPr>
      <t xml:space="preserve">
</t>
    </r>
    <r>
      <rPr>
        <u/>
        <sz val="12"/>
        <color theme="10"/>
        <rFont val="Times New Roman"/>
        <family val="2"/>
      </rPr>
      <t>https://prnt.sc/ywmEtKS9sDyl</t>
    </r>
  </si>
  <si>
    <r>
      <rPr>
        <b/>
        <sz val="12"/>
        <color rgb="FF000000"/>
        <rFont val="Times New Roman"/>
        <family val="2"/>
      </rPr>
      <t>Tk:</t>
    </r>
    <r>
      <rPr>
        <sz val="12"/>
        <color rgb="FF000000"/>
        <rFont val="Times New Roman"/>
        <family val="2"/>
      </rPr>
      <t xml:space="preserve"> cb_nv_tw_01
</t>
    </r>
    <r>
      <rPr>
        <b/>
        <sz val="12"/>
        <color rgb="FF000000"/>
        <rFont val="Times New Roman"/>
        <family val="2"/>
      </rPr>
      <t>Lỗi:</t>
    </r>
    <r>
      <rPr>
        <sz val="12"/>
        <color rgb="FF000000"/>
        <rFont val="Times New Roman"/>
        <family val="2"/>
      </rPr>
      <t xml:space="preserve"> Thêm mới tải lên file đính kèm bị lỗi
</t>
    </r>
    <r>
      <rPr>
        <b/>
        <sz val="12"/>
        <color rgb="FF000000"/>
        <rFont val="Times New Roman"/>
        <family val="2"/>
      </rPr>
      <t>Mong muốn:</t>
    </r>
    <r>
      <rPr>
        <sz val="12"/>
        <color rgb="FF000000"/>
        <rFont val="Times New Roman"/>
        <family val="2"/>
      </rPr>
      <t xml:space="preserve"> Thêm mới tải được file đính kèm</t>
    </r>
  </si>
  <si>
    <r>
      <rPr>
        <u/>
        <sz val="12"/>
        <color theme="10"/>
        <rFont val="Times New Roman"/>
        <family val="2"/>
      </rPr>
      <t>https://prnt.sc/n1Ct1yBQfDC4</t>
    </r>
  </si>
  <si>
    <r>
      <rPr>
        <u/>
        <sz val="12"/>
        <color theme="10"/>
        <rFont val="Times New Roman"/>
        <family val="2"/>
      </rPr>
      <t>https://prnt.sc/T9kC8FAklWR7</t>
    </r>
  </si>
  <si>
    <r>
      <rPr>
        <b/>
        <sz val="12"/>
        <color rgb="FF000000"/>
        <rFont val="Times New Roman"/>
        <family val="2"/>
      </rPr>
      <t>Tk:</t>
    </r>
    <r>
      <rPr>
        <sz val="12"/>
        <color rgb="FF000000"/>
        <rFont val="Times New Roman"/>
        <family val="2"/>
      </rPr>
      <t xml:space="preserve"> cb_nv_tw_01
</t>
    </r>
    <r>
      <rPr>
        <b/>
        <sz val="12"/>
        <color rgb="FF000000"/>
        <rFont val="Times New Roman"/>
        <family val="2"/>
      </rPr>
      <t xml:space="preserve">Lỗi: </t>
    </r>
    <r>
      <rPr>
        <sz val="12"/>
        <color rgb="FF000000"/>
        <rFont val="Times New Roman"/>
        <family val="2"/>
      </rPr>
      <t xml:space="preserve">Buổi học trong khóa không bắt buộc Địa điểm/Link zoom nhưng khi lưu đang bắt buộc nhập
</t>
    </r>
    <r>
      <rPr>
        <b/>
        <sz val="12"/>
        <color rgb="FF000000"/>
        <rFont val="Times New Roman"/>
        <family val="2"/>
      </rPr>
      <t xml:space="preserve">Mong muốn: </t>
    </r>
    <r>
      <rPr>
        <sz val="12"/>
        <color rgb="FF000000"/>
        <rFont val="Times New Roman"/>
        <family val="2"/>
      </rPr>
      <t>Địa điểm/Link zoom không bắt buộc nhập khi lưu</t>
    </r>
  </si>
  <si>
    <r>
      <rPr>
        <b/>
        <sz val="12"/>
        <color rgb="FF000000"/>
        <rFont val="Times New Roman"/>
        <family val="2"/>
      </rPr>
      <t>Tk:</t>
    </r>
    <r>
      <rPr>
        <sz val="12"/>
        <color rgb="FF000000"/>
        <rFont val="Times New Roman"/>
        <family val="2"/>
      </rPr>
      <t xml:space="preserve"> cb_nv_tw_01
</t>
    </r>
    <r>
      <rPr>
        <b/>
        <sz val="12"/>
        <color rgb="FF000000"/>
        <rFont val="Times New Roman"/>
        <family val="2"/>
      </rPr>
      <t>Lỗi:</t>
    </r>
    <r>
      <rPr>
        <sz val="12"/>
        <color rgb="FF000000"/>
        <rFont val="Times New Roman"/>
        <family val="2"/>
      </rPr>
      <t xml:space="preserve"> 
- Đợt báo cáo đang gán với chương trình kế hoạch
- Đợt báo cáo chưa có chọn phạm vi người nộp báo cáo
</t>
    </r>
    <r>
      <rPr>
        <b/>
        <sz val="12"/>
        <color rgb="FF000000"/>
        <rFont val="Times New Roman"/>
        <family val="2"/>
      </rPr>
      <t xml:space="preserve">Mong muốn: 
</t>
    </r>
    <r>
      <rPr>
        <sz val="12"/>
        <color rgb="FF000000"/>
        <rFont val="Times New Roman"/>
        <family val="2"/>
      </rPr>
      <t>1. Đợt báo cáo quản lý độc lập với chương trình kế hoạch
2. Đợt báo cáo phải có chọn phạm vi người nộp báo cáo và xem được tiến độ nộp báo cáo</t>
    </r>
  </si>
  <si>
    <r>
      <rPr>
        <u/>
        <sz val="12"/>
        <color theme="10"/>
        <rFont val="Times New Roman"/>
        <family val="2"/>
      </rPr>
      <t>https://prnt.sc/kZ0t4PSv-pCt</t>
    </r>
  </si>
  <si>
    <r>
      <rPr>
        <b/>
        <sz val="12"/>
        <color rgb="FF000000"/>
        <rFont val="Times New Roman"/>
        <family val="2"/>
      </rPr>
      <t>Tk:</t>
    </r>
    <r>
      <rPr>
        <sz val="12"/>
        <color rgb="FF000000"/>
        <rFont val="Times New Roman"/>
        <family val="2"/>
      </rPr>
      <t xml:space="preserve"> cb_nv_tw_01
</t>
    </r>
    <r>
      <rPr>
        <b/>
        <sz val="12"/>
        <color rgb="FF000000"/>
        <rFont val="Times New Roman"/>
        <family val="2"/>
      </rPr>
      <t xml:space="preserve">Lỗi: </t>
    </r>
    <r>
      <rPr>
        <sz val="12"/>
        <color rgb="FF000000"/>
        <rFont val="Times New Roman"/>
        <family val="2"/>
      </rPr>
      <t xml:space="preserve">Danh sách học viên trong khóa chưa có thêm mới thủ công và tải file mẫu để import
</t>
    </r>
    <r>
      <rPr>
        <b/>
        <sz val="12"/>
        <color rgb="FF000000"/>
        <rFont val="Times New Roman"/>
        <family val="2"/>
      </rPr>
      <t xml:space="preserve">Mong muốn: </t>
    </r>
    <r>
      <rPr>
        <sz val="12"/>
        <color rgb="FF000000"/>
        <rFont val="Times New Roman"/>
        <family val="2"/>
      </rPr>
      <t>Có chức năng thêm học viên thủ công và tải file mẫu import</t>
    </r>
  </si>
  <si>
    <r>
      <rPr>
        <u/>
        <sz val="12"/>
        <color theme="10"/>
        <rFont val="Times New Roman"/>
        <family val="2"/>
      </rPr>
      <t>https://prnt.sc/it9F1UA_du5o</t>
    </r>
  </si>
  <si>
    <r>
      <rPr>
        <b/>
        <sz val="12"/>
        <color rgb="FF000000"/>
        <rFont val="Times New Roman"/>
        <family val="2"/>
      </rPr>
      <t>Tk:</t>
    </r>
    <r>
      <rPr>
        <sz val="12"/>
        <color rgb="FF000000"/>
        <rFont val="Times New Roman"/>
        <family val="2"/>
      </rPr>
      <t xml:space="preserve"> cb_nv_tw_01
</t>
    </r>
    <r>
      <rPr>
        <b/>
        <sz val="12"/>
        <color rgb="FF000000"/>
        <rFont val="Times New Roman"/>
        <family val="2"/>
      </rPr>
      <t>Lỗi:</t>
    </r>
    <r>
      <rPr>
        <sz val="12"/>
        <color rgb="FF000000"/>
        <rFont val="Times New Roman"/>
        <family val="2"/>
      </rPr>
      <t xml:space="preserve"> Màn xem chi tiết thừa tab "Tài liệu" (Không thao tác gì được)
</t>
    </r>
    <r>
      <rPr>
        <b/>
        <sz val="12"/>
        <color rgb="FF000000"/>
        <rFont val="Times New Roman"/>
        <family val="2"/>
      </rPr>
      <t>Mong muốn:</t>
    </r>
    <r>
      <rPr>
        <sz val="12"/>
        <color rgb="FF000000"/>
        <rFont val="Times New Roman"/>
        <family val="2"/>
      </rPr>
      <t xml:space="preserve"> Ẩn tab "Tài liệu"</t>
    </r>
  </si>
  <si>
    <r>
      <rPr>
        <u/>
        <sz val="12"/>
        <color theme="10"/>
        <rFont val="Times New Roman"/>
        <family val="2"/>
      </rPr>
      <t>https://prnt.sc/ngs_X6Nj-IAH</t>
    </r>
  </si>
  <si>
    <r>
      <rPr>
        <b/>
        <sz val="12"/>
        <color rgb="FF000000"/>
        <rFont val="Times New Roman"/>
        <family val="2"/>
      </rPr>
      <t>Tk:</t>
    </r>
    <r>
      <rPr>
        <sz val="12"/>
        <color rgb="FF000000"/>
        <rFont val="Times New Roman"/>
        <family val="2"/>
      </rPr>
      <t xml:space="preserve"> cb_nv_tw_01
</t>
    </r>
    <r>
      <rPr>
        <b/>
        <sz val="12"/>
        <color rgb="FF000000"/>
        <rFont val="Times New Roman"/>
        <family val="2"/>
      </rPr>
      <t xml:space="preserve">Lỗi: </t>
    </r>
    <r>
      <rPr>
        <sz val="12"/>
        <color rgb="FF000000"/>
        <rFont val="Times New Roman"/>
        <family val="2"/>
      </rPr>
      <t xml:space="preserve">Không hiển thị danh sách bài giảng để thêm vào khóa học
</t>
    </r>
    <r>
      <rPr>
        <b/>
        <sz val="12"/>
        <color rgb="FF000000"/>
        <rFont val="Times New Roman"/>
        <family val="2"/>
      </rPr>
      <t>Mong muốn:</t>
    </r>
    <r>
      <rPr>
        <sz val="12"/>
        <color rgb="FF000000"/>
        <rFont val="Times New Roman"/>
        <family val="2"/>
      </rPr>
      <t xml:space="preserve"> Hiển thị danh sách bài giảng ở kho bài giảng để thêm vào khóa học</t>
    </r>
  </si>
  <si>
    <r>
      <rPr>
        <sz val="12"/>
        <color rgb="FF000000"/>
        <rFont val="Times New Roman"/>
        <family val="2"/>
      </rPr>
      <t xml:space="preserve">Cần bổ sung api về quản lý lịch sử hỏi đáp/tư vấn chuyên sâu theo người gửi
</t>
    </r>
    <r>
      <rPr>
        <b/>
        <sz val="12"/>
        <color rgb="FF000000"/>
        <rFont val="Times New Roman"/>
        <family val="2"/>
      </rPr>
      <t xml:space="preserve">1. Lịch sử hỏi đáp
Trường thông tin:
</t>
    </r>
    <r>
      <rPr>
        <sz val="12"/>
        <color rgb="FF000000"/>
        <rFont val="Times New Roman"/>
        <family val="2"/>
      </rPr>
      <t xml:space="preserve">- Tiêu đề câu hỏi
- Lĩnh vực
- Ngày gửi câu hỏi
- Trạng thái: Được map trạng thái với PM: Gồm 3 trạng thái: 
  + Đang xử lý: Mới, Tiếp nhận, Đang xử lý, Đã trả lời, Chờ phê duyệt
  + Đã hoàn thành: Đã duyệt, Công khai, Hoàn thành
  + Đã từ chối: Hủy
- Câu trả lời
</t>
    </r>
    <r>
      <rPr>
        <b/>
        <sz val="12"/>
        <color rgb="FF000000"/>
        <rFont val="Times New Roman"/>
        <family val="2"/>
      </rPr>
      <t xml:space="preserve">Bộ lọc: 
</t>
    </r>
    <r>
      <rPr>
        <sz val="12"/>
        <color rgb="FF000000"/>
        <rFont val="Times New Roman"/>
        <family val="2"/>
      </rPr>
      <t xml:space="preserve">- Từ khóa (Search tương đối theo câu hỏi, câu trả lời)
- Lĩnh vực (Dropdown, chọn nhiều)
- Trạng thái (Dropdown, chọn nhiều)
</t>
    </r>
    <r>
      <rPr>
        <b/>
        <sz val="12"/>
        <color rgb="FF000000"/>
        <rFont val="Times New Roman"/>
        <family val="2"/>
      </rPr>
      <t xml:space="preserve">2. Lịch sử tư vấn chuyên sâu
Trường thông tin:
</t>
    </r>
    <r>
      <rPr>
        <sz val="12"/>
        <color rgb="FF000000"/>
        <rFont val="Times New Roman"/>
        <family val="2"/>
      </rPr>
      <t xml:space="preserve">- Tiêu đề yêu cầu (Trường Tóm tắt)
- Lĩnh vực
- Chuyên gia tư vấn
- Ngày gửi yêu cầu
- Trạng thái: Được map trạng thái với PM: Gồm 3 trạng thái: 
  + Đang xử lý: Tiếp nhận, Phân công, Đang tư vấn, Chờ phê duyệt
  + Đã hoàn thành: Đã duyệt, Hoàn thành
  + Đã từ chối: Hủy
- Nội dung yêu cầu tư vấn
- Kết quả tư vấn
</t>
    </r>
    <r>
      <rPr>
        <b/>
        <sz val="12"/>
        <color rgb="FF000000"/>
        <rFont val="Times New Roman"/>
        <family val="2"/>
      </rPr>
      <t xml:space="preserve">Bộ lọc: 
</t>
    </r>
    <r>
      <rPr>
        <sz val="12"/>
        <color rgb="FF000000"/>
        <rFont val="Times New Roman"/>
        <family val="2"/>
      </rPr>
      <t>- Từ khóa (Search tương đối theo câu hỏi, câu trả lời)
- Lĩnh vực (Dropdown, chọn nhiều)
- Trạng thái (Dropdown, chọn nhiều)</t>
    </r>
  </si>
  <si>
    <r>
      <rPr>
        <sz val="12"/>
        <color rgb="FF000000"/>
        <rFont val="Times New Roman"/>
        <family val="2"/>
      </rPr>
      <t xml:space="preserve">Cần bổ sung api về tra cứu lịch sử hỏi đáp/tư vấn chuyên sâu theo người gửi
</t>
    </r>
    <r>
      <rPr>
        <b/>
        <sz val="12"/>
        <color rgb="FF000000"/>
        <rFont val="Times New Roman"/>
        <family val="2"/>
      </rPr>
      <t xml:space="preserve">Bộ lọc
</t>
    </r>
    <r>
      <rPr>
        <sz val="12"/>
        <color rgb="FF000000"/>
        <rFont val="Times New Roman"/>
        <family val="2"/>
      </rPr>
      <t xml:space="preserve">- Từ khóa (Search tương đối theo tiêu đề)
- Lĩnh vực (Dropdown, chọn nhiều)
- Phân loại (Dropdown, chọn nhiều, gồm Hỏi đáp, Tư vấn)
- Trạng thái (Dropdown, chọn nhiều, gồm Đang xử lý, Đã hoàn thành, Đã từ chối)
- Từ ngày (Date, lọc theo ngày gửi (dd/mm/yyyy). Dựa vào Ngày gửi câu hỏi/gửi yêu cầu thuộc khoảng thời gian đã chọn (có check dấu bằng). 
- Đến ngày (Date, lọc theo ngày gửi (dd/mm/yyyy). Dựa vào Ngày gửi câu hỏi/gửi yêu cầu thuộc khoảng thời gian đã chọn (có check dấu bằng).
   + Nếu chỉ chọn "Từ ngày": Ngày gửi &gt;= Từ ngày
   + Nếu chỉ chọn "Đến ngày": Ngày gửi &lt;= Đến ngày
   + Nếu chọn cả hai: Từ ngày &lt;= Ngày gửi &lt;= Đến ngày (có check dấu bằng)
</t>
    </r>
    <r>
      <rPr>
        <b/>
        <sz val="12"/>
        <color rgb="FF000000"/>
        <rFont val="Times New Roman"/>
        <family val="2"/>
      </rPr>
      <t xml:space="preserve">Kết quả tra cứu:
</t>
    </r>
    <r>
      <rPr>
        <sz val="12"/>
        <color rgb="FF000000"/>
        <rFont val="Times New Roman"/>
        <family val="2"/>
      </rPr>
      <t>- Phân loại: Hỏi đáp/Tư vấn
- Tiêu đề: Tiêu đề câu hỏi/yêu cầu
- Lĩnh vực: Lĩnh vực câu hỏi/yêu cầu
- Ngày gửi: Ngày gửi câu hỏi/yêu cầu
- Trạng thái: Đang xử lý, Đã hoàn thành, Đã từ chối (Tương ứng theo API lịch sử trên)</t>
    </r>
  </si>
  <si>
    <r>
      <rPr>
        <sz val="12"/>
        <color rgb="FF000000"/>
        <rFont val="Times New Roman"/>
        <family val="2"/>
      </rPr>
      <t xml:space="preserve">Cần bổ sung api về thông tin Khóa học để thực hiện đăng ký học trên chuyên trang
</t>
    </r>
    <r>
      <rPr>
        <b/>
        <sz val="12"/>
        <color rgb="FF000000"/>
        <rFont val="Times New Roman"/>
        <family val="2"/>
      </rPr>
      <t xml:space="preserve">Trường thông tin:
</t>
    </r>
    <r>
      <rPr>
        <sz val="12"/>
        <color rgb="FF000000"/>
        <rFont val="Times New Roman"/>
        <family val="2"/>
      </rPr>
      <t xml:space="preserve">- Tên khóa học
- Hình thức
- Địa điểm
- Ngày bắt đầu học (dd/mm/yyyy)
- Ngày kết thúc học (dd/mm/yyyy)
- Đối tượng đào tạo
- Số lượng tối đa
- Số lượng đã đăng ký
- Mở đăng ký từ (dd/mm/yyyy) (Bổ sung trường này, đã log bên sheet "Phần mềm", STT 56)
- Mở đăng ký đến (dd/mm/yyyy)(Bổ sung trường này, đã log bên sheet "Phần mềm", STT 56)
- Mô tả (Bổ sung trường này, đã log bên sheet "Phần mềm", STT 56)
</t>
    </r>
    <r>
      <rPr>
        <b/>
        <sz val="12"/>
        <color rgb="FF000000"/>
        <rFont val="Times New Roman"/>
        <family val="2"/>
      </rPr>
      <t xml:space="preserve">Bộ lọc: 
</t>
    </r>
    <r>
      <rPr>
        <sz val="12"/>
        <color rgb="FF000000"/>
        <rFont val="Times New Roman"/>
        <family val="2"/>
      </rPr>
      <t>- Từ khóa (Search tương đối theo tên khóa học)
- Hình thức đào tạo (Dropdown, chọn nhiều)</t>
    </r>
  </si>
  <si>
    <r>
      <t>response {
    "success": false,
    "error": {
        "code": "ERR-AUTH-MTLS-01",
        "message": "mTLS client certificate verification failed",
        "timestamp": "2026-05-25T08:54:25.607Z",
        "requestId": "3fd9715a-0269-4527-a568-21f7fbc96a4e"
    }
}
cURL 
curl --location '</t>
    </r>
    <r>
      <rPr>
        <u/>
        <sz val="12"/>
        <color theme="10"/>
        <rFont val="Times New Roman"/>
        <family val="2"/>
      </rPr>
      <t>https://htpldn-dev.ospgroup.vn/api/v1/public/oauth/token</t>
    </r>
    <r>
      <rPr>
        <sz val="10"/>
        <color theme="1"/>
        <rFont val="Calibri"/>
        <family val="2"/>
        <scheme val="minor"/>
      </rPr>
      <t>' \</t>
    </r>
    <r>
      <rPr>
        <sz val="10"/>
        <color theme="1"/>
        <rFont val="Calibri"/>
        <family val="2"/>
        <scheme val="minor"/>
      </rPr>
      <t xml:space="preserve">
</t>
    </r>
    <r>
      <rPr>
        <sz val="10"/>
        <color theme="1"/>
        <rFont val="Calibri"/>
        <family val="2"/>
        <scheme val="minor"/>
      </rPr>
      <t>--header 'Accept: application/json, text/plain, */*' \</t>
    </r>
    <r>
      <rPr>
        <sz val="10"/>
        <color theme="1"/>
        <rFont val="Calibri"/>
        <family val="2"/>
        <scheme val="minor"/>
      </rPr>
      <t xml:space="preserve">
</t>
    </r>
    <r>
      <rPr>
        <sz val="10"/>
        <color theme="1"/>
        <rFont val="Calibri"/>
        <family val="2"/>
        <scheme val="minor"/>
      </rPr>
      <t>--header 'Accept-Language: vi-VN,vi;q=0.9,en-US;q=0.8,en;q=0.7' \</t>
    </r>
    <r>
      <rPr>
        <sz val="10"/>
        <color theme="1"/>
        <rFont val="Calibri"/>
        <family val="2"/>
        <scheme val="minor"/>
      </rPr>
      <t xml:space="preserve">
</t>
    </r>
    <r>
      <rPr>
        <sz val="10"/>
        <color theme="1"/>
        <rFont val="Calibri"/>
        <family val="2"/>
        <scheme val="minor"/>
      </rPr>
      <t>--header 'Cache-Control: no-cache' \</t>
    </r>
    <r>
      <rPr>
        <sz val="10"/>
        <color theme="1"/>
        <rFont val="Calibri"/>
        <family val="2"/>
        <scheme val="minor"/>
      </rPr>
      <t xml:space="preserve">
</t>
    </r>
    <r>
      <rPr>
        <sz val="10"/>
        <color theme="1"/>
        <rFont val="Calibri"/>
        <family val="2"/>
        <scheme val="minor"/>
      </rPr>
      <t>--header 'Connection: keep-alive' \</t>
    </r>
    <r>
      <rPr>
        <sz val="10"/>
        <color theme="1"/>
        <rFont val="Calibri"/>
        <family val="2"/>
        <scheme val="minor"/>
      </rPr>
      <t xml:space="preserve">
</t>
    </r>
    <r>
      <rPr>
        <sz val="10"/>
        <color theme="1"/>
        <rFont val="Calibri"/>
        <family val="2"/>
        <scheme val="minor"/>
      </rPr>
      <t>--header 'Pragma: no-cache' \</t>
    </r>
    <r>
      <rPr>
        <sz val="10"/>
        <color theme="1"/>
        <rFont val="Calibri"/>
        <family val="2"/>
        <scheme val="minor"/>
      </rPr>
      <t xml:space="preserve">
</t>
    </r>
    <r>
      <rPr>
        <sz val="10"/>
        <color theme="1"/>
        <rFont val="Calibri"/>
        <family val="2"/>
        <scheme val="minor"/>
      </rPr>
      <t>--header 'User-Agent: Mozilla/5.0 (Windows NT 10.0; Win64; x64) AppleWebKit/537.36 (KHTML, like Gecko) Chrome/148.0.0.0 Safari/537.36' \</t>
    </r>
    <r>
      <rPr>
        <sz val="10"/>
        <color theme="1"/>
        <rFont val="Calibri"/>
        <family val="2"/>
        <scheme val="minor"/>
      </rPr>
      <t xml:space="preserve">
</t>
    </r>
    <r>
      <rPr>
        <sz val="10"/>
        <color theme="1"/>
        <rFont val="Calibri"/>
        <family val="2"/>
        <scheme val="minor"/>
      </rPr>
      <t>--header 'X-Client-Fingerprint: sha256:213374447b44a72a23a0ba2406c349efac6957db0f2518df1769e72276a4af65' \</t>
    </r>
    <r>
      <rPr>
        <sz val="10"/>
        <color theme="1"/>
        <rFont val="Calibri"/>
        <family val="2"/>
        <scheme val="minor"/>
      </rPr>
      <t xml:space="preserve">
</t>
    </r>
    <r>
      <rPr>
        <sz val="10"/>
        <color theme="1"/>
        <rFont val="Calibri"/>
        <family val="2"/>
        <scheme val="minor"/>
      </rPr>
      <t>--header 'X-Client-Verify: SUCCESS' \</t>
    </r>
    <r>
      <rPr>
        <sz val="10"/>
        <color theme="1"/>
        <rFont val="Calibri"/>
        <family val="2"/>
        <scheme val="minor"/>
      </rPr>
      <t xml:space="preserve">
</t>
    </r>
    <r>
      <rPr>
        <sz val="10"/>
        <color theme="1"/>
        <rFont val="Calibri"/>
        <family val="2"/>
        <scheme val="minor"/>
      </rPr>
      <t>--header 'Content-Type: application/json' \</t>
    </r>
    <r>
      <rPr>
        <sz val="10"/>
        <color theme="1"/>
        <rFont val="Calibri"/>
        <family val="2"/>
        <scheme val="minor"/>
      </rPr>
      <t xml:space="preserve">
</t>
    </r>
    <r>
      <rPr>
        <sz val="10"/>
        <color theme="1"/>
        <rFont val="Calibri"/>
        <family val="2"/>
        <scheme val="minor"/>
      </rPr>
      <t>--data '{</t>
    </r>
    <r>
      <rPr>
        <sz val="10"/>
        <color theme="1"/>
        <rFont val="Calibri"/>
        <family val="2"/>
        <scheme val="minor"/>
      </rPr>
      <t xml:space="preserve">
</t>
    </r>
    <r>
      <rPr>
        <sz val="10"/>
        <color theme="1"/>
        <rFont val="Calibri"/>
        <family val="2"/>
        <scheme val="minor"/>
      </rPr>
      <t xml:space="preserve">    "grant_type": "client_credentials",</t>
    </r>
    <r>
      <rPr>
        <sz val="10"/>
        <color theme="1"/>
        <rFont val="Calibri"/>
        <family val="2"/>
        <scheme val="minor"/>
      </rPr>
      <t xml:space="preserve">
</t>
    </r>
    <r>
      <rPr>
        <sz val="10"/>
        <color theme="1"/>
        <rFont val="Calibri"/>
        <family val="2"/>
        <scheme val="minor"/>
      </rPr>
      <t xml:space="preserve">    "client_assertion_type": "urn:ietf:params:oauth:client-assertion-type:jwt-bearer",</t>
    </r>
    <r>
      <rPr>
        <sz val="10"/>
        <color theme="1"/>
        <rFont val="Calibri"/>
        <family val="2"/>
        <scheme val="minor"/>
      </rPr>
      <t xml:space="preserve">
</t>
    </r>
    <r>
      <rPr>
        <sz val="10"/>
        <color theme="1"/>
        <rFont val="Calibri"/>
        <family val="2"/>
        <scheme val="minor"/>
      </rPr>
      <t xml:space="preserve">    "client_assertion":"eyJhbGciOiJSUzI1NiIsInR5cCI6IkpXVCJ9.eyJpc3MiOiJjb25nLXBscWctMDEiLCJzdWIiOiJjb25nLXBscWctMDEiLCJhdWQiOiJodHRwczovL2h0cGxkbi1kZXYub3NwZ3JvdXAudm4vYXBpL3YxL3B1YmxpYy9vYXV0aC90b2tlbiIsImlhdCI6MTc3OTY5ODQxMCwiZXhwIjoxNzc5Njk4NTMwLCJqdGkiOiIwM2Q4ZDg1YS05MDY0LTQ0ZGUtYTEyNC04OTUyMWU4NWUzYTQifQ.ME5fHVAAOOWP1QGzvLBXO4AeWxewq_O3oDqFVtFckxs1yOnuGmwoUYAFGBElhPds35QbazZyAmaK3aLsJqjyK9Oc6bk3-3RoX1-eEMV5MeW2imJ1iFm52COq0fjVNlxEXFf84P9BXLwRrZMLw0Xwi7J01F0pGNA1IbNLKZbfYNcYaG1a2rlVsBT2zMsQsXYt1gMt9ravN8TSWMrWOxDOYSMBmo-_KJpKRWIkBpg8Ii1TH1G4rlOf8rU77yOrdhaFXXqrDdVGGwBBnym0ytciYV-55du7WaWlzOrX27tubo7aaYamfs8sJmOdX0lCgk6KNkW-Y-N4uRvnYltYYC8mzQ"</t>
    </r>
    <r>
      <rPr>
        <sz val="10"/>
        <color theme="1"/>
        <rFont val="Calibri"/>
        <family val="2"/>
        <scheme val="minor"/>
      </rPr>
      <t xml:space="preserve">
</t>
    </r>
    <r>
      <rPr>
        <sz val="10"/>
        <color theme="1"/>
        <rFont val="Calibri"/>
        <family val="2"/>
        <scheme val="minor"/>
      </rPr>
      <t>}'</t>
    </r>
  </si>
  <si>
    <r>
      <rPr>
        <sz val="12"/>
        <color rgb="FF000000"/>
        <rFont val="Times New Roman"/>
        <family val="2"/>
      </rPr>
      <t xml:space="preserve">Cần bổ sung api về Kho tài liệu/bài giảng loại "PDF" và "Slide"
</t>
    </r>
    <r>
      <rPr>
        <b/>
        <sz val="12"/>
        <color rgb="FF000000"/>
        <rFont val="Times New Roman"/>
        <family val="2"/>
      </rPr>
      <t xml:space="preserve">Trường thông tin:
</t>
    </r>
    <r>
      <rPr>
        <sz val="12"/>
        <color rgb="FF000000"/>
        <rFont val="Times New Roman"/>
        <family val="2"/>
      </rPr>
      <t xml:space="preserve">- Tên tài liệu
- Mô tả
- Ngày công khai cuối cùng (dd/mm/yyyy)
- Loại tài liệu là "PDF" và "Slide"
- Tệp tài liệu
</t>
    </r>
    <r>
      <rPr>
        <b/>
        <sz val="12"/>
        <color rgb="FF000000"/>
        <rFont val="Times New Roman"/>
        <family val="2"/>
      </rPr>
      <t xml:space="preserve">Bộ lọc: 
</t>
    </r>
    <r>
      <rPr>
        <sz val="12"/>
        <color rgb="FF000000"/>
        <rFont val="Times New Roman"/>
        <family val="2"/>
      </rPr>
      <t>- Từ khóa (Search tương đối theo tên tài liệu)</t>
    </r>
  </si>
  <si>
    <r>
      <rPr>
        <sz val="12"/>
        <color rgb="FF000000"/>
        <rFont val="Times New Roman"/>
        <family val="2"/>
      </rPr>
      <t xml:space="preserve">Cần bổ sung api về Kho tài liệu/bài giảng loại "Video"
</t>
    </r>
    <r>
      <rPr>
        <b/>
        <sz val="12"/>
        <color rgb="FF000000"/>
        <rFont val="Times New Roman"/>
        <family val="2"/>
      </rPr>
      <t xml:space="preserve">Trường thông tin:
</t>
    </r>
    <r>
      <rPr>
        <sz val="12"/>
        <color rgb="FF000000"/>
        <rFont val="Times New Roman"/>
        <family val="2"/>
      </rPr>
      <t xml:space="preserve">- Tên tài liệu
- Mô tả
- Ngày công khai cuối cùng (dd/mm/yyyy)
- Loại tài liệu là "Video"
- Tệp tải liệu (Bổ sung trường này, đã log bên sheet "Phần mềm", STT 55)
- YouTube URL
</t>
    </r>
    <r>
      <rPr>
        <b/>
        <sz val="12"/>
        <color rgb="FF000000"/>
        <rFont val="Times New Roman"/>
        <family val="2"/>
      </rPr>
      <t xml:space="preserve">Bộ lọc: 
</t>
    </r>
    <r>
      <rPr>
        <sz val="12"/>
        <color rgb="FF000000"/>
        <rFont val="Times New Roman"/>
        <family val="2"/>
      </rPr>
      <t>- Từ khóa (Search tương đối theo tên tài liệu)</t>
    </r>
  </si>
  <si>
    <t>Loại</t>
  </si>
  <si>
    <t>Xử lý xong</t>
  </si>
  <si>
    <t>Đã thực hiện</t>
  </si>
  <si>
    <t>Đang thực hiện</t>
  </si>
  <si>
    <t>Chưa thực hiện</t>
  </si>
  <si>
    <t>Hủy</t>
  </si>
  <si>
    <t>Bug</t>
  </si>
  <si>
    <t>Task</t>
  </si>
  <si>
    <t>STT</t>
  </si>
  <si>
    <t>Nhóm chức năng</t>
  </si>
  <si>
    <t>Tên Usecase</t>
  </si>
  <si>
    <t>Tác nhân chính</t>
  </si>
  <si>
    <t>Transaction</t>
  </si>
  <si>
    <t>Mô tả</t>
  </si>
  <si>
    <t>Ảnh minh chứng</t>
  </si>
  <si>
    <t>Phân loại</t>
  </si>
  <si>
    <t>Độ ưu tiên</t>
  </si>
  <si>
    <t>Ngày log</t>
  </si>
  <si>
    <t>Trạng thái xử lý</t>
  </si>
  <si>
    <t>Ghi chú</t>
  </si>
  <si>
    <t>Trung bình</t>
  </si>
  <si>
    <t>25/05/2026</t>
  </si>
  <si>
    <t>Cao</t>
  </si>
  <si>
    <t>II. Quản lý tiếp nhận hỏi đáp vướng mắc pháp lý</t>
  </si>
  <si>
    <t>Tiếp nhận xử lý hỏi đáp, vướng mắc pháp lý</t>
  </si>
  <si>
    <t>Cán bộ nghiệp vụ TW,BN,ĐP</t>
  </si>
  <si>
    <t>Cán bộ nghiệp vụ TW,BN,ĐP xác nhận tiếp nhận xử lý hỏi đáp, vướng mắc pháp lý để chuyển phân công;
Hệ thống kiểm tra điều kiện và xác nhận tiếp nhận xử lý hỏi đáp, vướng mắc pháp lý thành công.</t>
  </si>
  <si>
    <t>Thấp</t>
  </si>
  <si>
    <t>Quản lý thông tin tiếp nhận xử lý hỏi đáp, vướng mắc pháp lý</t>
  </si>
  <si>
    <t>Cán bộ nghiệp vụ TW,BN,ĐP xem kết quả cập nhật thông tin xử lý hỏi đáp, vướng mắc pháp lý;
Hệ thống kiểm tra điều kiện và hiển thị thông tin phân công, thời hạn xử lý và trạng thái luân chuyển của hồ sơ sau khi được cập nhật.</t>
  </si>
  <si>
    <t>Phân công xử lý câu hỏi, vướng mắc</t>
  </si>
  <si>
    <t>Cán bộ nghiệp vụ TW,BN,ĐP lựa chọn Người hỗ trợ/Tổ chức tư vấn phù hợp để phân công xử lý câu hỏi, vướng mắc;
Hệ thống kiểm tra điều kiện và chuyển yêu cầu hỏi đáp đến Người hỗ trợ/Tổ chức tư vấn đã chọn nếu hợp lệ.</t>
  </si>
  <si>
    <t>Phản hồi câu hỏi, vướng mắc</t>
  </si>
  <si>
    <t>Cán bộ nghiệp vụ TW,BN,ĐP nhập phản hồi câu hỏi, vướng mắc rồi nhấn Lưu;
Hệ thống kiểm tra điều kiện và lưu lại phản hồi câu hỏi, vướng mắc đã nhập.</t>
  </si>
  <si>
    <t>III. Quản lý thông tin chương trình đào tạo tập huấn</t>
  </si>
  <si>
    <t>Quản lý lập kế hoạch đào tạo bồi dưỡng</t>
  </si>
  <si>
    <t>Cán bộ nghiệp vụ TW,BN,ĐP/Cán bộ phê duyệt TW,BN,ĐP</t>
  </si>
  <si>
    <t>Cán bộ nghiệp vụ TW,BN,ĐP/Cán bộ phê duyệt TW,BN,ĐP xem danh sách lập kế hoạch đào tạo bồi dưỡng;
Hệ thống kiểm tra điều kiện và hiển thị danh sách lập kế hoạch đào tạo bồi dưỡng.</t>
  </si>
  <si>
    <t>Quản lý chương trình đào tạo, tập huấn</t>
  </si>
  <si>
    <t>Cán bộ nghiệp vụ TW,BN,ĐP thêm mới chương trình đào tạo, tập huấn;
Hệ thống kiểm tra điều kiện và hiển thị màn hình thêm mới chương trình đào tạo, tập huấn.</t>
  </si>
  <si>
    <t>Cán bộ nghiệp vụ TW,BN,ĐP chỉnh sửa chương trình đào tạo, tập huấn;
Hệ thống kiểm tra điều kiện và hiển thị màn hình chỉnh sửa chương trình đào tạo, tập huấn.</t>
  </si>
  <si>
    <t>Cán bộ nghiệp vụ TW,BN,ĐP xem danh sách chương trình đào tạo, tập huấn;
Hệ thống kiểm tra điều kiện và hiển thị danh sách chương trình đào tạo, tập huấn.</t>
  </si>
  <si>
    <t>Cán bộ nghiệp vụ TW,BN,ĐP xem chi tiết chương trình đào tạo, tập huấn;
Hệ thống kiểm tra điều kiện và hiển thị thông tin chi tiết chương trình đào tạo, tập huấn.</t>
  </si>
  <si>
    <t>Quản lý đề xuất đào tạo, tập huấn</t>
  </si>
  <si>
    <t>Người dân/Doanh nghiệp</t>
  </si>
  <si>
    <t>Doanh nghiệp/Người hỗ trợ thêm mới đề xuất đào tạo, tập huấn;
Hệ thống kiểm tra điều kiện và hiển thị màn hình thêm mới đề xuất đào tạo, tập huấn.</t>
  </si>
  <si>
    <t>Quản lý kho tài liệu, bài giảng</t>
  </si>
  <si>
    <t>Cán bộ nghiệp vụ TW,BN,ĐP/Cán bộ phê duyệt TW,BN,ĐP thêm mới kho tài liệu, bài giảng;
Hệ thống kiểm tra điều kiện và hiển thị màn hình thêm mới kho tài liệu, bài giảng.</t>
  </si>
  <si>
    <t>Cán bộ nghiệp vụ TW,BN,ĐP/Cán bộ phê duyệt TW,BN,ĐP xem danh sách kho tài liệu, bài giảng;
Hệ thống kiểm tra điều kiện và hiển thị danh sách kho tài liệu, bài giảng.</t>
  </si>
  <si>
    <t>Cán bộ nghiệp vụ TW,BN,ĐP/Cán bộ phê duyệt TW,BN,ĐP xem file kho tài liệu, bài giảng;
Hệ thống kiểm tra điều kiện và hiển thị màn hình xem file kho tài liệu, bài giảng.</t>
  </si>
  <si>
    <t>Quản lý giảng viên, trợ giảng</t>
  </si>
  <si>
    <t>Cán bộ nghiệp vụ TW,BN,ĐP/Cán bộ phê duyệt TW,BN,ĐP thêm mới giảng viên, trợ giảng;
Hệ thống kiểm tra điều kiện và hiển thị màn hình thêm mới giảng viên, trợ giảng.</t>
  </si>
  <si>
    <t>Cán bộ nghiệp vụ TW,BN,ĐP/Cán bộ phê duyệt TW,BN,ĐP xem lịch sử giảng dạy của giảng viên, trợ giảng;
Hệ thống kiểm tra điều kiện và hiển thị lịch sử giảng dạy của giảng viên, trợ giảng.</t>
  </si>
  <si>
    <t>IV. Quản lý thông tin chuyên gia tư vấn viên pháp lý</t>
  </si>
  <si>
    <t>Quản lý tư vấn viên</t>
  </si>
  <si>
    <t>Cán bộ nghiệp vụ TW,BN,ĐP xem chi tiết tư vấn viên;
Hệ thống kiểm tra điều kiện và hiển thị thông tin chi tiết tư vấn viên.</t>
  </si>
  <si>
    <t>V. Quản lý vụ việc trợ giúp pháp lý</t>
  </si>
  <si>
    <t>Nhập hồ sơ yêu cầu</t>
  </si>
  <si>
    <t>Cán bộ nghiệp vụ TW,BN,ĐP chỉnh sửa hồ sơ yêu cầu từ văn bản giấy, điện thoại...;
Hệ thống kiểm tra điều kiện và hiển thị màn hình chỉnh sửa hồ sơ yêu cầu.</t>
  </si>
  <si>
    <t>Lựa chọn người hỗ trợ cho vụ việc</t>
  </si>
  <si>
    <t>Cán bộ nghiệp vụ TW,BN,ĐP lựa chọn Tư vấn viên hoặc Tổ chức tư vấn phù hợp để hỗ trợ cho vụ việc;
Hệ thống kiểm tra điều kiện và hiển thị màn hình xác nhận lựa chọn.</t>
  </si>
  <si>
    <t>Quản lý hồ sơ đề nghị thanh toán</t>
  </si>
  <si>
    <t>Cán bộ nghiệp vụ TW,BN,ĐP xem danh sách hồ sơ đề nghị thanh toán;
Hệ thống kiểm tra điều kiện và hiển thị danh sách hồ sơ đề nghị thanh toán.</t>
  </si>
  <si>
    <t>26/05/2026</t>
  </si>
  <si>
    <t>Thẩm định hồ sơ đề nghị thanh toán</t>
  </si>
  <si>
    <t>Cán bộ nghiệp vụ TW,BN,ĐP nhập nhận xét và kết quả thẩm định hồ sơ đề nghị thanh toán;
Hệ thống lưu trữ kết quả thẩm định và cập nhật trạng thái hồ sơ.</t>
  </si>
  <si>
    <t>Phê duyệt hồ sơ đề nghị thanh toán</t>
  </si>
  <si>
    <t>Cán bộ phê duyệt TW,BN,ĐP phê duyệt hồ sơ đề nghị thanh toán;
Hệ thống kiểm tra điều kiện và cập nhật trạng thái đã duyệt hồ sơ đề nghị thanh toán.</t>
  </si>
  <si>
    <t>Cập nhật kết quả xử lý hồ sơ đề nghị thanh toán</t>
  </si>
  <si>
    <t>Cán bộ nghiệp vụ TW,BN,ĐP cập nhật kết quả xử lý hồ sơ đề nghị thanh toán và cập nhật trạng thái cuối cùng của hồ sơ (Đã thanh toán/Từ chối thanh toán);
Hệ thống kiểm tra điều kiện và lưu lại dữ liệu đã cập nhật kết quả xử lý hồ sơ đề nghị thanh toán.</t>
  </si>
  <si>
    <t>Quản lý doanh nghiệp được hỗ trợ pháp lý</t>
  </si>
  <si>
    <t>Cán bộ nghiệp vụ TW,BN,ĐP thêm mới doanh nghiệp được hỗ trợ pháp lý;
Hệ thống kiểm tra điều kiện và hiển thị màn hình thêm mới doanh nghiệp được hỗ trợ pháp lý.</t>
  </si>
  <si>
    <t>Cán bộ nghiệp vụ TW,BN,ĐP chỉnh sửa doanh nghiệp được hỗ trợ pháp lý;
Hệ thống kiểm tra điều kiện và hiển thị màn hình chỉnh sửa doanh nghiệp được hỗ trợ pháp lý.</t>
  </si>
  <si>
    <t>VI. Quản lý kiểm tra đánh giá hiệu quả hỗ trợ</t>
  </si>
  <si>
    <t>Lập kế hoạch đánh giá</t>
  </si>
  <si>
    <t>Cán bộ nghiệp vụ TW,BN,ĐP lập kế hoạch đánh giá;
Hệ thống kiểm tra điều kiện và hiển thị màn hình thêm mới kế hoạch đánh giá.</t>
  </si>
  <si>
    <t>Chọn vụ việc đánh giá</t>
  </si>
  <si>
    <t>Cán bộ nghiệp vụ TW,BN,ĐP lựa chọn các vụ việc;
Hệ thống kiểm tra điều kiện và lưu lại dữ liệu các vụ việc đánh giá đã chọn.</t>
  </si>
  <si>
    <t>Thực hiện đánh giá</t>
  </si>
  <si>
    <t>Cán bộ nghiệp vụ TW,BN,ĐP lưu kết quả đánh giá;
Hệ thống lưu dữ liệu và hiển thị thông báo đánh giá thành công.</t>
  </si>
  <si>
    <t>Lập báo cáo đánh giá</t>
  </si>
  <si>
    <t>Cán bộ nghiệp vụ TW,BN,ĐP thực hiện thao tác tổng hợp dữ liệu đánh giá theo đợt;
Hệ thống tự động tổng hợp điểm số, nhận xét theo từng tiêu chí, từng vụ việc trong đợt.</t>
  </si>
  <si>
    <t>VII. Quản lý thư viện biểu mẫu hợp đồng</t>
  </si>
  <si>
    <t>Quản lý biểu mẫu, hợp đồng</t>
  </si>
  <si>
    <t>Cán bộ nghiệp vụ TW,BN,ĐP xem danh sách biểu mẫu, hợp đồng;
Hệ thống kiểm tra điều kiện và hiển thị danh sách biểu mẫu, hợp đồng.</t>
  </si>
  <si>
    <t>Cán bộ nghiệp vụ TW,BN,ĐP xem file biểu mẫu, hợp đồng trực tuyến;
Hệ thống kiểm tra điều kiện và hiển thị màn hình xem file biểu mẫu, hợp đồng trực tuyến.</t>
  </si>
  <si>
    <t>XI. Quản lý kế hoạch thực hiện chương trình hỗ trợ pháp lý doanh nghiệp</t>
  </si>
  <si>
    <t>Quản lý kế hoạch thực hiện chương trình hỗ trợ pháp lý</t>
  </si>
  <si>
    <t>Cán bộ nghiệp vụ TW,BN,ĐP thêm mới kế hoạch thực hiện chương trình hỗ trợ pháp lý;
Hệ thống kiểm tra điều kiện và hiển thị màn hình thêm mới kế hoạch thực hiện chương trình hỗ trợ pháp lý.</t>
  </si>
  <si>
    <t>Cán bộ nghiệp vụ TW,BN,ĐP xem danh sách kế hoạch thực hiện chương trình hỗ trợ pháp lý;
Hệ thống kiểm tra điều kiện và hiển thị danh sách kế hoạch thực hiện chương trình hỗ trợ pháp lý.</t>
  </si>
  <si>
    <t>Cán bộ nghiệp vụ TW,BN,ĐP xem chi tiết kế hoạch thực hiện chương trình hỗ trợ pháp lý;
Hệ thống kiểm tra điều kiện và hiển thị thông tin chi tiết kế hoạch thực hiện chương trình hỗ trợ pháp lý.</t>
  </si>
  <si>
    <t>Quản lý đợt báo cáo</t>
  </si>
  <si>
    <t>Cán bộ nghiệp vụ TW,BN,ĐP thêm mới đợt báo cáo;
Hệ thống kiểm tra điều kiện và hiển thị màn hình thêm mới đợt báo cáo.</t>
  </si>
  <si>
    <t>X. Quản lý tư vấn chuyên sâu với chuyên gia</t>
  </si>
  <si>
    <t>Phê duyệt nội dung câu hỏi, tư vấn</t>
  </si>
  <si>
    <t>Cán bộ phê duyệt TW,BN,ĐP phê duyệt nội dung câu hỏi, tư vấn;
Hệ thống hiển thị màn hình xác nhận phê duyệt nội dung câu hỏi, tư vấn.</t>
  </si>
  <si>
    <t>Quản lý kho câu hỏi, tư vấn</t>
  </si>
  <si>
    <t>Cán bộ nghiệp vụ TW,BN,ĐP xem danh sách kho câu hỏi, tư vấn;
Hệ thống kiểm tra điều kiện và hiển thị danh sách kho câu hỏi, tư vấn.</t>
  </si>
  <si>
    <t>Issue</t>
  </si>
  <si>
    <t>Mô tả issue</t>
  </si>
  <si>
    <t>UC - Xem thông tin, danh sách tài liệu hỗ trợ pháp lý cho doanh nghiệp (Chuyên trang HTPLDN)</t>
  </si>
  <si>
    <t>OSP thực hiện</t>
  </si>
  <si>
    <t>UC - Xem danh sách bài giảng trực tuyến
UC - Xem nội dung bài giải trực tuyến
UC - Xem danh sách bài giảng liên quan
3 UC thuộc chuyên trang HTPLDN</t>
  </si>
  <si>
    <t>UC - Quản lý lịch sử tư vấn pháp lý (Chuyên trang HTPLDN)</t>
  </si>
  <si>
    <t>UC - Tra cứu lại lịch sử tư vấn (Chuyên trang HTPLDN)</t>
  </si>
  <si>
    <t>UC - Đăng ký tham gia học tập (PM HTPLDN)</t>
  </si>
  <si>
    <t>Lấy token như nào?</t>
  </si>
  <si>
    <t xml:space="preserve">Đã tạo tài liệu runbook cho cả OSP và FPT (gửi Yến nhé). 2 bên check lại xem triển khai đã đủ thành phần chưa, đã có cert để xác thực chưa. Nếu chưa thì cần gen ra thì mới lấy được token auth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</si>
</sst>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theme="1"/>
      <name val="Calibri"/>
      <family val="2"/>
      <scheme val="minor"/>
    </font>
    <font>
      <sz val="12"/>
      <color rgb="FF000000"/>
      <name val="Times New Roman"/>
      <family val="2"/>
    </font>
    <font>
      <sz val="10"/>
      <color rgb="FF000000"/>
      <name val="Calibri"/>
      <family val="2"/>
      <scheme val="minor"/>
    </font>
    <font>
      <sz val="12"/>
      <color rgb="FF000000"/>
      <name val="Times New Roman"/>
      <family val="2"/>
    </font>
    <font>
      <b/>
      <sz val="12"/>
      <color rgb="FF000000"/>
      <name val="Times New Roman"/>
      <family val="2"/>
    </font>
    <font>
      <b/>
      <sz val="14"/>
      <color rgb="FF000000"/>
      <name val="Times New Roman"/>
      <family val="2"/>
    </font>
    <font>
      <sz val="14"/>
      <color rgb="FF000000"/>
      <name val="Times New Roman"/>
      <family val="2"/>
    </font>
    <font>
      <u/>
      <sz val="12"/>
      <color theme="10"/>
      <name val="Times New Roman"/>
      <family val="2"/>
    </font>
  </fonts>
  <fills count="10">
    <fill>
      <patternFill patternType="none"/>
    </fill>
    <fill>
      <patternFill patternType="gray125"/>
    </fill>
    <fill>
      <patternFill patternType="solid">
        <fgColor rgb="FFD5F6F2"/>
      </patternFill>
    </fill>
    <fill>
      <patternFill patternType="solid">
        <fgColor rgb="FFD5F6F2"/>
      </patternFill>
    </fill>
    <fill>
      <patternFill patternType="solid">
        <fgColor rgb="FFD5F6F2"/>
      </patternFill>
    </fill>
    <fill>
      <patternFill patternType="solid">
        <fgColor rgb="FFD5F6F2"/>
      </patternFill>
    </fill>
    <fill>
      <patternFill patternType="solid">
        <fgColor rgb="FFE1EAFF"/>
      </patternFill>
    </fill>
    <fill>
      <patternFill patternType="solid">
        <fgColor rgb="FFE1EAFF"/>
      </patternFill>
    </fill>
    <fill>
      <patternFill patternType="solid">
        <fgColor rgb="FFE1EAFF"/>
      </patternFill>
    </fill>
    <fill>
      <patternFill patternType="solid">
        <fgColor rgb="FFE1EAFF"/>
      </patternFill>
    </fill>
  </fills>
  <borders count="33">
    <border>
      <left/>
      <right/>
      <top/>
      <bottom/>
      <diagonal/>
    </border>
    <border>
      <left style="thin">
        <color rgb="FF8F959E"/>
      </left>
      <right style="thin">
        <color rgb="FF8F959E"/>
      </right>
      <top style="thin">
        <color rgb="FF8F959E"/>
      </top>
      <bottom style="thin">
        <color rgb="FF8F959E"/>
      </bottom>
      <diagonal/>
    </border>
    <border>
      <left/>
      <right style="thin">
        <color rgb="FF8F959E"/>
      </right>
      <top style="thin">
        <color rgb="FF8F959E"/>
      </top>
      <bottom style="thin">
        <color rgb="FF8F959E"/>
      </bottom>
      <diagonal/>
    </border>
    <border>
      <left style="thin">
        <color rgb="FF8F959E"/>
      </left>
      <right style="thin">
        <color rgb="FF8F959E"/>
      </right>
      <top style="thin">
        <color rgb="FF8F959E"/>
      </top>
      <bottom style="thin">
        <color rgb="FF8F959E"/>
      </bottom>
      <diagonal/>
    </border>
    <border>
      <left style="thin">
        <color rgb="FF8F959E"/>
      </left>
      <right/>
      <top style="thin">
        <color rgb="FF8F959E"/>
      </top>
      <bottom style="thin">
        <color rgb="FF8F959E"/>
      </bottom>
      <diagonal/>
    </border>
    <border>
      <left style="thin">
        <color rgb="FF8F959E"/>
      </left>
      <right style="thin">
        <color rgb="FF8F959E"/>
      </right>
      <top style="thin">
        <color rgb="FF8F959E"/>
      </top>
      <bottom style="thin">
        <color rgb="FF8F959E"/>
      </bottom>
      <diagonal/>
    </border>
    <border>
      <left style="thin">
        <color rgb="FF8F959E"/>
      </left>
      <right style="thin">
        <color rgb="FF8F959E"/>
      </right>
      <top style="thin">
        <color rgb="FF8F959E"/>
      </top>
      <bottom style="thin">
        <color rgb="FF8F959E"/>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8F959E"/>
      </left>
      <right style="thin">
        <color rgb="FF8F959E"/>
      </right>
      <top style="thin">
        <color rgb="FF8F959E"/>
      </top>
      <bottom style="thin">
        <color rgb="FF8F959E"/>
      </bottom>
      <diagonal/>
    </border>
    <border>
      <left style="thin">
        <color rgb="FF8F959E"/>
      </left>
      <right style="thin">
        <color rgb="FF8F959E"/>
      </right>
      <top style="thin">
        <color rgb="FF8F959E"/>
      </top>
      <bottom style="thin">
        <color rgb="FF8F959E"/>
      </bottom>
      <diagonal/>
    </border>
    <border>
      <left style="thin">
        <color rgb="FF8F959E"/>
      </left>
      <right style="thin">
        <color rgb="FF8F959E"/>
      </right>
      <top style="thin">
        <color rgb="FF8F959E"/>
      </top>
      <bottom style="thin">
        <color rgb="FF8F959E"/>
      </bottom>
      <diagonal/>
    </border>
    <border>
      <left style="thin">
        <color rgb="FF8F959E"/>
      </left>
      <right style="thin">
        <color rgb="FF8F959E"/>
      </right>
      <top style="thin">
        <color rgb="FF8F959E"/>
      </top>
      <bottom style="thin">
        <color rgb="FF8F959E"/>
      </bottom>
      <diagonal/>
    </border>
    <border>
      <left style="thin">
        <color rgb="FF8F959E"/>
      </left>
      <right style="thin">
        <color rgb="FF8F959E"/>
      </right>
      <top style="thin">
        <color rgb="FF8F959E"/>
      </top>
      <bottom/>
      <diagonal/>
    </border>
    <border>
      <left style="thin">
        <color rgb="FF8F959E"/>
      </left>
      <right style="thin">
        <color rgb="FF8F959E"/>
      </right>
      <top style="thin">
        <color rgb="FF8F959E"/>
      </top>
      <bottom/>
      <diagonal/>
    </border>
    <border>
      <left style="thin">
        <color rgb="FF8F959E"/>
      </left>
      <right style="thin">
        <color rgb="FF8F959E"/>
      </right>
      <top style="thin">
        <color rgb="FF8F959E"/>
      </top>
      <bottom/>
      <diagonal/>
    </border>
    <border>
      <left style="thin">
        <color rgb="FF8F959E"/>
      </left>
      <right style="thin">
        <color rgb="FF8F959E"/>
      </right>
      <top style="thin">
        <color rgb="FF8F959E"/>
      </top>
      <bottom/>
      <diagonal/>
    </border>
    <border>
      <left style="thin">
        <color rgb="FF8F959E"/>
      </left>
      <right style="thin">
        <color rgb="FF8F959E"/>
      </right>
      <top style="thin">
        <color rgb="FF8F959E"/>
      </top>
      <bottom style="thin">
        <color rgb="FF8F959E"/>
      </bottom>
      <diagonal/>
    </border>
    <border>
      <left style="thin">
        <color rgb="FF8F959E"/>
      </left>
      <right style="thin">
        <color rgb="FF8F959E"/>
      </right>
      <top style="thin">
        <color rgb="FF8F959E"/>
      </top>
      <bottom/>
      <diagonal/>
    </border>
    <border>
      <left style="thin">
        <color rgb="FF8F959E"/>
      </left>
      <right style="thin">
        <color rgb="FF8F959E"/>
      </right>
      <top style="thin">
        <color rgb="FF8F959E"/>
      </top>
      <bottom style="thin">
        <color rgb="FF8F959E"/>
      </bottom>
      <diagonal/>
    </border>
    <border>
      <left style="thin">
        <color rgb="FF8F959E"/>
      </left>
      <right style="thin">
        <color rgb="FF8F959E"/>
      </right>
      <top style="thin">
        <color rgb="FF8F959E"/>
      </top>
      <bottom style="thin">
        <color rgb="FF8F959E"/>
      </bottom>
      <diagonal/>
    </border>
    <border>
      <left style="thin">
        <color rgb="FF8F959E"/>
      </left>
      <right style="thin">
        <color rgb="FF8F959E"/>
      </right>
      <top style="thin">
        <color rgb="FF8F959E"/>
      </top>
      <bottom/>
      <diagonal/>
    </border>
    <border>
      <left style="thin">
        <color rgb="FF8F959E"/>
      </left>
      <right style="thin">
        <color rgb="FF8F959E"/>
      </right>
      <top style="thin">
        <color rgb="FF8F959E"/>
      </top>
      <bottom/>
      <diagonal/>
    </border>
    <border>
      <left style="thin">
        <color rgb="FF8F959E"/>
      </left>
      <right style="thin">
        <color rgb="FF8F959E"/>
      </right>
      <top style="thin">
        <color rgb="FF8F959E"/>
      </top>
      <bottom style="thin">
        <color rgb="FF8F959E"/>
      </bottom>
      <diagonal/>
    </border>
    <border>
      <left style="thin">
        <color rgb="FF8F959E"/>
      </left>
      <right style="thin">
        <color rgb="FF8F959E"/>
      </right>
      <top style="thin">
        <color rgb="FF8F959E"/>
      </top>
      <bottom/>
      <diagonal/>
    </border>
    <border>
      <left style="thin">
        <color rgb="FF8F959E"/>
      </left>
      <right style="thin">
        <color rgb="FF8F959E"/>
      </right>
      <top style="thin">
        <color rgb="FF8F959E"/>
      </top>
      <bottom style="thin">
        <color rgb="FF8F959E"/>
      </bottom>
      <diagonal/>
    </border>
    <border>
      <left style="thin">
        <color rgb="FF8F959E"/>
      </left>
      <right style="thin">
        <color rgb="FF8F959E"/>
      </right>
      <top/>
      <bottom style="thin">
        <color rgb="FF8F959E"/>
      </bottom>
      <diagonal/>
    </border>
    <border>
      <left style="thin">
        <color rgb="FF8F959E"/>
      </left>
      <right style="thin">
        <color rgb="FF8F959E"/>
      </right>
      <top style="thin">
        <color rgb="FF8F959E"/>
      </top>
      <bottom style="thin">
        <color rgb="FF8F959E"/>
      </bottom>
      <diagonal/>
    </border>
  </borders>
  <cellStyleXfs count="1">
    <xf numFmtId="0" fontId="0" fillId="0" borderId="0" applyNumberFormat="0" applyFont="0" applyFill="0" applyBorder="0" applyProtection="0"/>
  </cellStyleXfs>
  <cellXfs count="35">
    <xf numFmtId="0" fontId="0" fillId="0" borderId="0" xfId="0" applyAlignment="1">
      <alignment vertical="center"/>
    </xf>
    <xf numFmtId="0" fontId="1" fillId="0" borderId="1" xfId="0" applyFont="1" applyBorder="1" applyAlignment="1">
      <alignment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xf>
    <xf numFmtId="0" fontId="1" fillId="0" borderId="5" xfId="0" applyFont="1" applyBorder="1" applyAlignment="1">
      <alignment horizontal="left" vertical="center" wrapText="1"/>
    </xf>
    <xf numFmtId="0" fontId="1" fillId="0" borderId="6"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vertical="center" wrapText="1"/>
    </xf>
    <xf numFmtId="0" fontId="2" fillId="0" borderId="9" xfId="0" applyFont="1" applyBorder="1" applyAlignment="1">
      <alignment horizontal="center" vertical="center"/>
    </xf>
    <xf numFmtId="0" fontId="1" fillId="0" borderId="10" xfId="0" applyFont="1" applyBorder="1" applyAlignment="1">
      <alignment horizontal="center" vertical="center"/>
    </xf>
    <xf numFmtId="0" fontId="2" fillId="0" borderId="11" xfId="0" applyFont="1" applyBorder="1" applyAlignment="1">
      <alignment horizontal="left" vertical="center"/>
    </xf>
    <xf numFmtId="0" fontId="2"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left" vertical="center"/>
    </xf>
    <xf numFmtId="0" fontId="1" fillId="0" borderId="15" xfId="0" applyFont="1" applyBorder="1" applyAlignment="1">
      <alignment vertical="center"/>
    </xf>
    <xf numFmtId="0" fontId="3" fillId="0" borderId="16" xfId="0" applyFont="1" applyBorder="1" applyAlignment="1">
      <alignment vertical="top" wrapText="1"/>
    </xf>
    <xf numFmtId="0" fontId="3" fillId="0" borderId="17" xfId="0" applyFont="1" applyBorder="1" applyAlignment="1">
      <alignment vertical="center" wrapText="1"/>
    </xf>
    <xf numFmtId="0" fontId="4" fillId="0" borderId="18" xfId="0" applyFont="1" applyBorder="1" applyAlignment="1">
      <alignment horizontal="center" vertical="center" wrapText="1"/>
    </xf>
    <xf numFmtId="0" fontId="5" fillId="2" borderId="19" xfId="0" applyFont="1" applyFill="1" applyBorder="1" applyAlignment="1">
      <alignment horizontal="center" vertical="center"/>
    </xf>
    <xf numFmtId="0" fontId="6" fillId="3" borderId="20" xfId="0" applyFont="1" applyFill="1" applyBorder="1" applyAlignment="1">
      <alignment horizontal="center" vertical="center" wrapText="1"/>
    </xf>
    <xf numFmtId="0" fontId="1" fillId="0" borderId="21" xfId="0" applyFont="1" applyBorder="1" applyAlignment="1">
      <alignment horizontal="center" vertical="center" wrapText="1"/>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4" fillId="0" borderId="24" xfId="0" applyFont="1" applyBorder="1" applyAlignment="1">
      <alignment horizontal="center" vertical="center" wrapText="1"/>
    </xf>
    <xf numFmtId="0" fontId="5" fillId="4" borderId="25" xfId="0" applyFont="1" applyFill="1" applyBorder="1" applyAlignment="1">
      <alignment horizontal="center" vertical="center"/>
    </xf>
    <xf numFmtId="0" fontId="5" fillId="5" borderId="26" xfId="0" applyFont="1" applyFill="1" applyBorder="1" applyAlignment="1">
      <alignment horizontal="center" vertical="center" wrapText="1"/>
    </xf>
    <xf numFmtId="0" fontId="4" fillId="6" borderId="27" xfId="0" applyFont="1" applyFill="1" applyBorder="1" applyAlignment="1">
      <alignment horizontal="center" vertical="center" wrapText="1"/>
    </xf>
    <xf numFmtId="0" fontId="4" fillId="7" borderId="28" xfId="0" applyFont="1" applyFill="1" applyBorder="1" applyAlignment="1">
      <alignment horizontal="center" vertical="center"/>
    </xf>
    <xf numFmtId="0" fontId="4" fillId="8" borderId="29" xfId="0" applyFont="1" applyFill="1" applyBorder="1" applyAlignment="1">
      <alignment horizontal="center" vertical="center"/>
    </xf>
    <xf numFmtId="0" fontId="4" fillId="9" borderId="30" xfId="0" applyFont="1" applyFill="1" applyBorder="1" applyAlignment="1">
      <alignment horizontal="center" vertical="center" wrapText="1"/>
    </xf>
    <xf numFmtId="0" fontId="1" fillId="0" borderId="31" xfId="0" applyFont="1" applyBorder="1" applyAlignment="1">
      <alignment vertical="center" wrapText="1"/>
    </xf>
    <xf numFmtId="0" fontId="2" fillId="0" borderId="32" xfId="0" applyFont="1" applyBorder="1" applyAlignment="1">
      <alignment vertical="center" wrapText="1"/>
    </xf>
    <xf numFmtId="0" fontId="6" fillId="3" borderId="20" xfId="0" applyFont="1" applyFill="1" applyBorder="1" applyAlignment="1">
      <alignment horizontal="center" vertical="center" wrapText="1"/>
    </xf>
    <xf numFmtId="0" fontId="5" fillId="4" borderId="2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rnt.sc/zfvWarxA9Qxu" TargetMode="External"/><Relationship Id="rId13" Type="http://schemas.openxmlformats.org/officeDocument/2006/relationships/hyperlink" Target="https://somup.com/cOhT26VVpBT" TargetMode="External"/><Relationship Id="rId18" Type="http://schemas.openxmlformats.org/officeDocument/2006/relationships/hyperlink" Target="https://prnt.sc/l2RwOM1fhh-h" TargetMode="External"/><Relationship Id="rId26" Type="http://schemas.openxmlformats.org/officeDocument/2006/relationships/hyperlink" Target="https://prnt.sc/it9F1UA_du5o" TargetMode="External"/><Relationship Id="rId39" Type="http://schemas.openxmlformats.org/officeDocument/2006/relationships/hyperlink" Target="https://prnt.sc/qEQRuzliLBcf" TargetMode="External"/><Relationship Id="rId3" Type="http://schemas.openxmlformats.org/officeDocument/2006/relationships/hyperlink" Target="https://prnt.sc/ngs_X6Nj-IAH" TargetMode="External"/><Relationship Id="rId21" Type="http://schemas.openxmlformats.org/officeDocument/2006/relationships/hyperlink" Target="https://prnt.sc/NxyB-ZsPG2I_" TargetMode="External"/><Relationship Id="rId34" Type="http://schemas.openxmlformats.org/officeDocument/2006/relationships/hyperlink" Target="https://prnt.sc/GtEB7CrNFsFM" TargetMode="External"/><Relationship Id="rId42" Type="http://schemas.openxmlformats.org/officeDocument/2006/relationships/hyperlink" Target="https://prnt.sc/t5714-gQ_pvf" TargetMode="External"/><Relationship Id="rId47" Type="http://schemas.openxmlformats.org/officeDocument/2006/relationships/hyperlink" Target="https://prnt.sc/V-Zblxwkkdcf" TargetMode="External"/><Relationship Id="rId7" Type="http://schemas.openxmlformats.org/officeDocument/2006/relationships/hyperlink" Target="https://go.screenpal.com/watch/cOhT28nt7u5" TargetMode="External"/><Relationship Id="rId12" Type="http://schemas.openxmlformats.org/officeDocument/2006/relationships/hyperlink" Target="https://prnt.sc/IjNtDbD94D9i" TargetMode="External"/><Relationship Id="rId17" Type="http://schemas.openxmlformats.org/officeDocument/2006/relationships/hyperlink" Target="https://prnt.sc/4GR8wucYWrnD" TargetMode="External"/><Relationship Id="rId25" Type="http://schemas.openxmlformats.org/officeDocument/2006/relationships/hyperlink" Target="https://go.screenpal.com/watch/cOhTDynt7kb" TargetMode="External"/><Relationship Id="rId33" Type="http://schemas.openxmlformats.org/officeDocument/2006/relationships/hyperlink" Target="https://prnt.sc/ESFgd16c903V" TargetMode="External"/><Relationship Id="rId38" Type="http://schemas.openxmlformats.org/officeDocument/2006/relationships/hyperlink" Target="https://prnt.sc/DW6mT1oXG9os" TargetMode="External"/><Relationship Id="rId46" Type="http://schemas.openxmlformats.org/officeDocument/2006/relationships/hyperlink" Target="https://prnt.sc/1NclyTQ-O48q" TargetMode="External"/><Relationship Id="rId2" Type="http://schemas.openxmlformats.org/officeDocument/2006/relationships/hyperlink" Target="https://htpldn-dev.ospgroup.vn/bieu-mau/danh-sach" TargetMode="External"/><Relationship Id="rId16" Type="http://schemas.openxmlformats.org/officeDocument/2006/relationships/hyperlink" Target="https://prnt.sc/gyUKmerCGpBv" TargetMode="External"/><Relationship Id="rId20" Type="http://schemas.openxmlformats.org/officeDocument/2006/relationships/hyperlink" Target="https://prnt.sc/ex2WROKEsDk_" TargetMode="External"/><Relationship Id="rId29" Type="http://schemas.openxmlformats.org/officeDocument/2006/relationships/hyperlink" Target="https://prnt.sc/9Ek5nPM6jmDl" TargetMode="External"/><Relationship Id="rId41" Type="http://schemas.openxmlformats.org/officeDocument/2006/relationships/hyperlink" Target="https://prnt.sc/KsEsxw7DG2Ao" TargetMode="External"/><Relationship Id="rId1" Type="http://schemas.openxmlformats.org/officeDocument/2006/relationships/hyperlink" Target="https://prnt.sc/7q1VpPjki6Yw" TargetMode="External"/><Relationship Id="rId6" Type="http://schemas.openxmlformats.org/officeDocument/2006/relationships/hyperlink" Target="https://go.screenpal.com/watch/cOhO1PntsPr" TargetMode="External"/><Relationship Id="rId11" Type="http://schemas.openxmlformats.org/officeDocument/2006/relationships/hyperlink" Target="https://prnt.sc/r-D6bYXi3Jl2" TargetMode="External"/><Relationship Id="rId24" Type="http://schemas.openxmlformats.org/officeDocument/2006/relationships/hyperlink" Target="https://prnt.sc/5D3qRGQmJfQ7" TargetMode="External"/><Relationship Id="rId32" Type="http://schemas.openxmlformats.org/officeDocument/2006/relationships/hyperlink" Target="https://prnt.sc/zKHrYsFZ4-MW" TargetMode="External"/><Relationship Id="rId37" Type="http://schemas.openxmlformats.org/officeDocument/2006/relationships/hyperlink" Target="https://prnt.sc/nWeFF0X7pj-P" TargetMode="External"/><Relationship Id="rId40" Type="http://schemas.openxmlformats.org/officeDocument/2006/relationships/hyperlink" Target="https://prnt.sc/nwtGh6PkC6Va" TargetMode="External"/><Relationship Id="rId45" Type="http://schemas.openxmlformats.org/officeDocument/2006/relationships/hyperlink" Target="https://prnt.sc/n1Ct1yBQfDC4" TargetMode="External"/><Relationship Id="rId5" Type="http://schemas.openxmlformats.org/officeDocument/2006/relationships/hyperlink" Target="https://prnt.sc/uD_B_rHJ0I-_" TargetMode="External"/><Relationship Id="rId15" Type="http://schemas.openxmlformats.org/officeDocument/2006/relationships/hyperlink" Target="https://prnt.sc/9z3TonZZCFvp" TargetMode="External"/><Relationship Id="rId23" Type="http://schemas.openxmlformats.org/officeDocument/2006/relationships/hyperlink" Target="https://prnt.sc/dt2UYZrjIEeH" TargetMode="External"/><Relationship Id="rId28" Type="http://schemas.openxmlformats.org/officeDocument/2006/relationships/hyperlink" Target="https://prnt.sc/jPRBGsdqPY7K" TargetMode="External"/><Relationship Id="rId36" Type="http://schemas.openxmlformats.org/officeDocument/2006/relationships/hyperlink" Target="https://prnt.sc/U9E2pUX3YEKg" TargetMode="External"/><Relationship Id="rId10" Type="http://schemas.openxmlformats.org/officeDocument/2006/relationships/hyperlink" Target="https://prnt.sc/HKwQi61IJmqx" TargetMode="External"/><Relationship Id="rId19" Type="http://schemas.openxmlformats.org/officeDocument/2006/relationships/hyperlink" Target="https://prnt.sc/MCIjnWL_0XFV" TargetMode="External"/><Relationship Id="rId31" Type="http://schemas.openxmlformats.org/officeDocument/2006/relationships/hyperlink" Target="https://prnt.sc/BW2J4HJ_vMar" TargetMode="External"/><Relationship Id="rId44" Type="http://schemas.openxmlformats.org/officeDocument/2006/relationships/hyperlink" Target="https://prnt.sc/hMv8JB_5-1Ua" TargetMode="External"/><Relationship Id="rId4" Type="http://schemas.openxmlformats.org/officeDocument/2006/relationships/hyperlink" Target="https://prnt.sc/3xZ46DePetjD" TargetMode="External"/><Relationship Id="rId9" Type="http://schemas.openxmlformats.org/officeDocument/2006/relationships/hyperlink" Target="https://prnt.sc/kZ0t4PSv-pCt" TargetMode="External"/><Relationship Id="rId14" Type="http://schemas.openxmlformats.org/officeDocument/2006/relationships/hyperlink" Target="https://prnt.sc/pYZQPcJOE_Nv" TargetMode="External"/><Relationship Id="rId22" Type="http://schemas.openxmlformats.org/officeDocument/2006/relationships/hyperlink" Target="https://prnt.sc/XL2rAiFKNvX-" TargetMode="External"/><Relationship Id="rId27" Type="http://schemas.openxmlformats.org/officeDocument/2006/relationships/hyperlink" Target="https://prnt.sc/T9kC8FAklWR7" TargetMode="External"/><Relationship Id="rId30" Type="http://schemas.openxmlformats.org/officeDocument/2006/relationships/hyperlink" Target="https://prnt.sc/wsy6__eNYAFB" TargetMode="External"/><Relationship Id="rId35" Type="http://schemas.openxmlformats.org/officeDocument/2006/relationships/hyperlink" Target="https://prnt.sc/_4DgHWtlMJ9R" TargetMode="External"/><Relationship Id="rId43" Type="http://schemas.openxmlformats.org/officeDocument/2006/relationships/hyperlink" Target="https://prnt.sc/EvJMUF_sDqsB"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htpldn-dev.ospgroup.vn/api/v1/public/oauth/tok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F1AD7-1C97-4854-A0B8-55E79BDC0C65}">
  <sheetPr>
    <outlinePr summaryBelow="0" summaryRight="0"/>
  </sheetPr>
  <dimension ref="A1:L211"/>
  <sheetViews>
    <sheetView tabSelected="1" workbookViewId="0">
      <pane ySplit="4" topLeftCell="A50" activePane="bottomLeft" state="frozen"/>
      <selection pane="bottomLeft" activeCell="F52" sqref="F52"/>
    </sheetView>
  </sheetViews>
  <sheetFormatPr defaultColWidth="14" defaultRowHeight="12.75" x14ac:dyDescent="0.2"/>
  <cols>
    <col min="1" max="1" width="8" customWidth="1"/>
    <col min="2" max="2" width="24" customWidth="1"/>
    <col min="3" max="3" width="16" customWidth="1"/>
    <col min="4" max="4" width="15" customWidth="1"/>
    <col min="5" max="5" width="37" customWidth="1"/>
    <col min="6" max="6" width="46" customWidth="1"/>
    <col min="7" max="7" width="20" customWidth="1"/>
    <col min="8" max="8" width="9" customWidth="1"/>
    <col min="9" max="10" width="11" customWidth="1"/>
    <col min="11" max="11" width="18" customWidth="1"/>
    <col min="12" max="12" width="23" customWidth="1"/>
  </cols>
  <sheetData>
    <row r="1" spans="1:12" ht="42.75" customHeight="1" x14ac:dyDescent="0.2">
      <c r="A1" s="22"/>
      <c r="B1" s="18"/>
      <c r="C1" s="23"/>
      <c r="D1" s="19" t="s">
        <v>100</v>
      </c>
      <c r="E1" s="26" t="s">
        <v>101</v>
      </c>
      <c r="F1" s="26" t="s">
        <v>102</v>
      </c>
      <c r="G1" s="26" t="s">
        <v>103</v>
      </c>
      <c r="H1" s="34" t="s">
        <v>104</v>
      </c>
      <c r="I1" s="34"/>
      <c r="J1" s="25" t="s">
        <v>105</v>
      </c>
      <c r="K1" s="24"/>
      <c r="L1" s="22"/>
    </row>
    <row r="2" spans="1:12" ht="21.95" customHeight="1" x14ac:dyDescent="0.2">
      <c r="A2" s="22"/>
      <c r="B2" s="18"/>
      <c r="C2" s="23"/>
      <c r="D2" s="19" t="s">
        <v>106</v>
      </c>
      <c r="E2" s="20">
        <f>COUNTIFS(K5:K507, "Xử lý xong", H5:H507, "Bug")</f>
        <v>0</v>
      </c>
      <c r="F2" s="20">
        <f>COUNTIFS(K5:K507, "Đã thực hiện - chờ test lại", H5:H507, "Bug")</f>
        <v>0</v>
      </c>
      <c r="G2" s="20">
        <f>COUNTIFS(K5:K507, "Đang thực hiện", H5:H507, "Bug")</f>
        <v>48</v>
      </c>
      <c r="H2" s="33">
        <f>COUNTIFS(K5:K507, "Chưa thực hiện", H5:H507, "Bug")</f>
        <v>0</v>
      </c>
      <c r="I2" s="33"/>
      <c r="J2" s="20">
        <f>COUNTIFS(K5:K507, "Hủy", H5:H507, "Bug")</f>
        <v>0</v>
      </c>
      <c r="K2" s="24"/>
      <c r="L2" s="21"/>
    </row>
    <row r="3" spans="1:12" ht="21.95" customHeight="1" x14ac:dyDescent="0.2">
      <c r="A3" s="22"/>
      <c r="B3" s="18"/>
      <c r="C3" s="23"/>
      <c r="D3" s="19" t="s">
        <v>107</v>
      </c>
      <c r="E3" s="20">
        <f>COUNTIFS(K5:K507, "Xử lý xong", H5:H507, "Task")</f>
        <v>0</v>
      </c>
      <c r="F3" s="20">
        <f>COUNTIFS(K5:K507, "Đã thực hiện - chờ test lại", H5:H507, "Task")</f>
        <v>0</v>
      </c>
      <c r="G3" s="20">
        <f>COUNTIFS(K5:K507, "Đang thực hiện", H5:H507, "Task")</f>
        <v>0</v>
      </c>
      <c r="H3" s="33">
        <f>COUNTIFS(K5:K507, "Chưa thực hiện", H5:H507, "Task")</f>
        <v>0</v>
      </c>
      <c r="I3" s="33"/>
      <c r="J3" s="20">
        <f>COUNTIFS(K5:K507, "Hủy", H5:H507, "Task")</f>
        <v>0</v>
      </c>
      <c r="K3" s="24"/>
      <c r="L3" s="21"/>
    </row>
    <row r="4" spans="1:12" ht="31.5" x14ac:dyDescent="0.2">
      <c r="A4" s="28" t="s">
        <v>108</v>
      </c>
      <c r="B4" s="27" t="s">
        <v>109</v>
      </c>
      <c r="C4" s="29" t="s">
        <v>110</v>
      </c>
      <c r="D4" s="29" t="s">
        <v>111</v>
      </c>
      <c r="E4" s="29" t="s">
        <v>112</v>
      </c>
      <c r="F4" s="27" t="s">
        <v>113</v>
      </c>
      <c r="G4" s="27" t="s">
        <v>114</v>
      </c>
      <c r="H4" s="28" t="s">
        <v>115</v>
      </c>
      <c r="I4" s="30" t="s">
        <v>116</v>
      </c>
      <c r="J4" s="28" t="s">
        <v>117</v>
      </c>
      <c r="K4" s="30" t="s">
        <v>118</v>
      </c>
      <c r="L4" s="28" t="s">
        <v>119</v>
      </c>
    </row>
    <row r="5" spans="1:12" ht="94.5" x14ac:dyDescent="0.2">
      <c r="A5" s="4">
        <v>1</v>
      </c>
      <c r="B5" s="5" t="s">
        <v>123</v>
      </c>
      <c r="C5" s="17" t="s">
        <v>124</v>
      </c>
      <c r="D5" s="17" t="s">
        <v>125</v>
      </c>
      <c r="E5" s="16" t="s">
        <v>126</v>
      </c>
      <c r="F5" s="1" t="s">
        <v>46</v>
      </c>
      <c r="G5" s="1" t="s">
        <v>45</v>
      </c>
      <c r="H5" s="2" t="s">
        <v>106</v>
      </c>
      <c r="I5" s="3" t="s">
        <v>127</v>
      </c>
      <c r="J5" s="6" t="s">
        <v>121</v>
      </c>
      <c r="K5" s="3" t="s">
        <v>103</v>
      </c>
      <c r="L5" s="6"/>
    </row>
    <row r="6" spans="1:12" ht="110.25" x14ac:dyDescent="0.2">
      <c r="A6" s="4">
        <v>2</v>
      </c>
      <c r="B6" s="5" t="s">
        <v>123</v>
      </c>
      <c r="C6" s="17" t="s">
        <v>128</v>
      </c>
      <c r="D6" s="17" t="s">
        <v>125</v>
      </c>
      <c r="E6" s="16" t="s">
        <v>129</v>
      </c>
      <c r="F6" s="31" t="s">
        <v>43</v>
      </c>
      <c r="G6" s="31" t="s">
        <v>44</v>
      </c>
      <c r="H6" s="2" t="s">
        <v>106</v>
      </c>
      <c r="I6" s="3" t="s">
        <v>127</v>
      </c>
      <c r="J6" s="6" t="s">
        <v>121</v>
      </c>
      <c r="K6" s="3" t="s">
        <v>103</v>
      </c>
      <c r="L6" s="6"/>
    </row>
    <row r="7" spans="1:12" ht="141.75" x14ac:dyDescent="0.2">
      <c r="A7" s="4">
        <v>3</v>
      </c>
      <c r="B7" s="5" t="s">
        <v>123</v>
      </c>
      <c r="C7" s="17" t="s">
        <v>130</v>
      </c>
      <c r="D7" s="17" t="s">
        <v>125</v>
      </c>
      <c r="E7" s="16" t="s">
        <v>131</v>
      </c>
      <c r="F7" s="1" t="s">
        <v>10</v>
      </c>
      <c r="G7" s="1" t="s">
        <v>9</v>
      </c>
      <c r="H7" s="2" t="s">
        <v>106</v>
      </c>
      <c r="I7" s="3" t="s">
        <v>120</v>
      </c>
      <c r="J7" s="6" t="s">
        <v>121</v>
      </c>
      <c r="K7" s="3" t="s">
        <v>103</v>
      </c>
      <c r="L7" s="6"/>
    </row>
    <row r="8" spans="1:12" ht="71.099999999999994" customHeight="1" x14ac:dyDescent="0.2">
      <c r="A8" s="4">
        <v>4</v>
      </c>
      <c r="B8" s="5" t="s">
        <v>123</v>
      </c>
      <c r="C8" s="5" t="s">
        <v>132</v>
      </c>
      <c r="D8" s="17" t="s">
        <v>125</v>
      </c>
      <c r="E8" s="16" t="s">
        <v>133</v>
      </c>
      <c r="F8" s="1" t="s">
        <v>6</v>
      </c>
      <c r="G8" s="1" t="s">
        <v>5</v>
      </c>
      <c r="H8" s="2" t="s">
        <v>106</v>
      </c>
      <c r="I8" s="3" t="s">
        <v>122</v>
      </c>
      <c r="J8" s="6" t="s">
        <v>121</v>
      </c>
      <c r="K8" s="3" t="s">
        <v>103</v>
      </c>
      <c r="L8" s="6"/>
    </row>
    <row r="9" spans="1:12" ht="110.25" x14ac:dyDescent="0.2">
      <c r="A9" s="4">
        <v>5</v>
      </c>
      <c r="B9" s="5" t="s">
        <v>134</v>
      </c>
      <c r="C9" s="5" t="s">
        <v>135</v>
      </c>
      <c r="D9" s="1" t="s">
        <v>136</v>
      </c>
      <c r="E9" s="1" t="s">
        <v>137</v>
      </c>
      <c r="F9" s="1" t="s">
        <v>14</v>
      </c>
      <c r="G9" s="1" t="s">
        <v>13</v>
      </c>
      <c r="H9" s="2" t="s">
        <v>106</v>
      </c>
      <c r="I9" s="3" t="s">
        <v>120</v>
      </c>
      <c r="J9" s="6" t="s">
        <v>121</v>
      </c>
      <c r="K9" s="3" t="s">
        <v>103</v>
      </c>
      <c r="L9" s="6"/>
    </row>
    <row r="10" spans="1:12" ht="78.75" x14ac:dyDescent="0.2">
      <c r="A10" s="4">
        <v>6</v>
      </c>
      <c r="B10" s="5" t="s">
        <v>134</v>
      </c>
      <c r="C10" s="5" t="s">
        <v>138</v>
      </c>
      <c r="D10" s="1" t="s">
        <v>125</v>
      </c>
      <c r="E10" s="1" t="s">
        <v>139</v>
      </c>
      <c r="F10" s="1" t="s">
        <v>28</v>
      </c>
      <c r="G10" s="1" t="s">
        <v>27</v>
      </c>
      <c r="H10" s="2" t="s">
        <v>106</v>
      </c>
      <c r="I10" s="3" t="s">
        <v>120</v>
      </c>
      <c r="J10" s="6" t="s">
        <v>121</v>
      </c>
      <c r="K10" s="3" t="s">
        <v>103</v>
      </c>
      <c r="L10" s="6"/>
    </row>
    <row r="11" spans="1:12" ht="94.5" x14ac:dyDescent="0.2">
      <c r="A11" s="4">
        <v>7</v>
      </c>
      <c r="B11" s="5" t="s">
        <v>134</v>
      </c>
      <c r="C11" s="5" t="s">
        <v>138</v>
      </c>
      <c r="D11" s="1" t="s">
        <v>125</v>
      </c>
      <c r="E11" s="1" t="s">
        <v>140</v>
      </c>
      <c r="F11" s="1" t="s">
        <v>24</v>
      </c>
      <c r="G11" s="1" t="s">
        <v>23</v>
      </c>
      <c r="H11" s="2" t="s">
        <v>106</v>
      </c>
      <c r="I11" s="3" t="s">
        <v>120</v>
      </c>
      <c r="J11" s="6" t="s">
        <v>121</v>
      </c>
      <c r="K11" s="3" t="s">
        <v>103</v>
      </c>
      <c r="L11" s="6"/>
    </row>
    <row r="12" spans="1:12" ht="78.75" x14ac:dyDescent="0.2">
      <c r="A12" s="4">
        <v>8</v>
      </c>
      <c r="B12" s="5" t="s">
        <v>134</v>
      </c>
      <c r="C12" s="5" t="s">
        <v>138</v>
      </c>
      <c r="D12" s="1" t="s">
        <v>125</v>
      </c>
      <c r="E12" s="1" t="s">
        <v>141</v>
      </c>
      <c r="F12" s="1" t="s">
        <v>73</v>
      </c>
      <c r="G12" s="1" t="s">
        <v>74</v>
      </c>
      <c r="H12" s="2" t="s">
        <v>106</v>
      </c>
      <c r="I12" s="3" t="s">
        <v>122</v>
      </c>
      <c r="J12" s="6" t="s">
        <v>121</v>
      </c>
      <c r="K12" s="3" t="s">
        <v>103</v>
      </c>
      <c r="L12" s="6"/>
    </row>
    <row r="13" spans="1:12" ht="110.25" x14ac:dyDescent="0.2">
      <c r="A13" s="4">
        <v>9</v>
      </c>
      <c r="B13" s="5" t="s">
        <v>134</v>
      </c>
      <c r="C13" s="5" t="s">
        <v>138</v>
      </c>
      <c r="D13" s="1" t="s">
        <v>125</v>
      </c>
      <c r="E13" s="1" t="s">
        <v>142</v>
      </c>
      <c r="F13" s="1" t="s">
        <v>70</v>
      </c>
      <c r="G13" s="1" t="s">
        <v>69</v>
      </c>
      <c r="H13" s="2" t="s">
        <v>106</v>
      </c>
      <c r="I13" s="3" t="s">
        <v>127</v>
      </c>
      <c r="J13" s="6" t="s">
        <v>121</v>
      </c>
      <c r="K13" s="3" t="s">
        <v>103</v>
      </c>
      <c r="L13" s="6"/>
    </row>
    <row r="14" spans="1:12" ht="94.5" x14ac:dyDescent="0.2">
      <c r="A14" s="4">
        <v>10</v>
      </c>
      <c r="B14" s="5" t="s">
        <v>134</v>
      </c>
      <c r="C14" s="5" t="s">
        <v>143</v>
      </c>
      <c r="D14" s="1" t="s">
        <v>144</v>
      </c>
      <c r="E14" s="1" t="s">
        <v>145</v>
      </c>
      <c r="F14" s="1" t="s">
        <v>81</v>
      </c>
      <c r="G14" s="1" t="s">
        <v>82</v>
      </c>
      <c r="H14" s="2" t="s">
        <v>106</v>
      </c>
      <c r="I14" s="3" t="s">
        <v>122</v>
      </c>
      <c r="J14" s="6" t="s">
        <v>121</v>
      </c>
      <c r="K14" s="3" t="s">
        <v>103</v>
      </c>
      <c r="L14" s="6"/>
    </row>
    <row r="15" spans="1:12" ht="94.5" x14ac:dyDescent="0.2">
      <c r="A15" s="4">
        <v>11</v>
      </c>
      <c r="B15" s="5" t="s">
        <v>134</v>
      </c>
      <c r="C15" s="5" t="s">
        <v>138</v>
      </c>
      <c r="D15" s="1" t="s">
        <v>125</v>
      </c>
      <c r="E15" s="1" t="s">
        <v>139</v>
      </c>
      <c r="F15" s="1" t="s">
        <v>78</v>
      </c>
      <c r="G15" s="1" t="s">
        <v>77</v>
      </c>
      <c r="H15" s="2" t="s">
        <v>106</v>
      </c>
      <c r="I15" s="3" t="s">
        <v>127</v>
      </c>
      <c r="J15" s="6" t="s">
        <v>121</v>
      </c>
      <c r="K15" s="3" t="s">
        <v>103</v>
      </c>
      <c r="L15" s="6"/>
    </row>
    <row r="16" spans="1:12" ht="78.75" x14ac:dyDescent="0.2">
      <c r="A16" s="4">
        <v>12</v>
      </c>
      <c r="B16" s="5" t="s">
        <v>134</v>
      </c>
      <c r="C16" s="14"/>
      <c r="D16" s="15"/>
      <c r="E16" s="15"/>
      <c r="F16" s="1" t="s">
        <v>89</v>
      </c>
      <c r="G16" s="1" t="s">
        <v>88</v>
      </c>
      <c r="H16" s="2" t="s">
        <v>106</v>
      </c>
      <c r="I16" s="3" t="s">
        <v>122</v>
      </c>
      <c r="J16" s="6" t="s">
        <v>121</v>
      </c>
      <c r="K16" s="3" t="s">
        <v>103</v>
      </c>
      <c r="L16" s="6"/>
    </row>
    <row r="17" spans="1:12" ht="78.75" x14ac:dyDescent="0.2">
      <c r="A17" s="4">
        <v>13</v>
      </c>
      <c r="B17" s="5" t="s">
        <v>134</v>
      </c>
      <c r="C17" s="14"/>
      <c r="D17" s="15"/>
      <c r="E17" s="15"/>
      <c r="F17" s="1" t="s">
        <v>86</v>
      </c>
      <c r="G17" s="1" t="s">
        <v>85</v>
      </c>
      <c r="H17" s="2" t="s">
        <v>106</v>
      </c>
      <c r="I17" s="3" t="s">
        <v>122</v>
      </c>
      <c r="J17" s="6" t="s">
        <v>121</v>
      </c>
      <c r="K17" s="3" t="s">
        <v>103</v>
      </c>
      <c r="L17" s="6"/>
    </row>
    <row r="18" spans="1:12" ht="63" x14ac:dyDescent="0.2">
      <c r="A18" s="4">
        <v>14</v>
      </c>
      <c r="B18" s="5" t="s">
        <v>134</v>
      </c>
      <c r="C18" s="14"/>
      <c r="D18" s="15"/>
      <c r="E18" s="15"/>
      <c r="F18" s="1" t="s">
        <v>3</v>
      </c>
      <c r="G18" s="1" t="s">
        <v>2</v>
      </c>
      <c r="H18" s="2" t="s">
        <v>106</v>
      </c>
      <c r="I18" s="3" t="s">
        <v>120</v>
      </c>
      <c r="J18" s="6" t="s">
        <v>121</v>
      </c>
      <c r="K18" s="3" t="s">
        <v>103</v>
      </c>
      <c r="L18" s="6"/>
    </row>
    <row r="19" spans="1:12" ht="78.75" x14ac:dyDescent="0.2">
      <c r="A19" s="4">
        <v>15</v>
      </c>
      <c r="B19" s="5" t="s">
        <v>134</v>
      </c>
      <c r="C19" s="14"/>
      <c r="D19" s="15"/>
      <c r="E19" s="15"/>
      <c r="F19" s="1" t="s">
        <v>93</v>
      </c>
      <c r="G19" s="1" t="s">
        <v>92</v>
      </c>
      <c r="H19" s="2" t="s">
        <v>106</v>
      </c>
      <c r="I19" s="3" t="s">
        <v>122</v>
      </c>
      <c r="J19" s="6" t="s">
        <v>121</v>
      </c>
      <c r="K19" s="3" t="s">
        <v>103</v>
      </c>
      <c r="L19" s="6"/>
    </row>
    <row r="20" spans="1:12" ht="78.75" x14ac:dyDescent="0.2">
      <c r="A20" s="4">
        <v>16</v>
      </c>
      <c r="B20" s="5" t="s">
        <v>134</v>
      </c>
      <c r="C20" s="5" t="s">
        <v>146</v>
      </c>
      <c r="D20" s="1" t="s">
        <v>136</v>
      </c>
      <c r="E20" s="1" t="s">
        <v>147</v>
      </c>
      <c r="F20" s="1" t="s">
        <v>53</v>
      </c>
      <c r="G20" s="1" t="s">
        <v>54</v>
      </c>
      <c r="H20" s="2" t="s">
        <v>106</v>
      </c>
      <c r="I20" s="3" t="s">
        <v>120</v>
      </c>
      <c r="J20" s="6" t="s">
        <v>121</v>
      </c>
      <c r="K20" s="3" t="s">
        <v>103</v>
      </c>
      <c r="L20" s="6"/>
    </row>
    <row r="21" spans="1:12" ht="78.75" x14ac:dyDescent="0.2">
      <c r="A21" s="4">
        <v>17</v>
      </c>
      <c r="B21" s="5" t="s">
        <v>134</v>
      </c>
      <c r="C21" s="5" t="s">
        <v>146</v>
      </c>
      <c r="D21" s="1" t="s">
        <v>136</v>
      </c>
      <c r="E21" s="1" t="s">
        <v>147</v>
      </c>
      <c r="F21" s="1" t="s">
        <v>49</v>
      </c>
      <c r="G21" s="1" t="s">
        <v>50</v>
      </c>
      <c r="H21" s="2" t="s">
        <v>106</v>
      </c>
      <c r="I21" s="3" t="s">
        <v>122</v>
      </c>
      <c r="J21" s="6" t="s">
        <v>121</v>
      </c>
      <c r="K21" s="3" t="s">
        <v>103</v>
      </c>
      <c r="L21" s="6"/>
    </row>
    <row r="22" spans="1:12" ht="78.75" x14ac:dyDescent="0.2">
      <c r="A22" s="4">
        <v>18</v>
      </c>
      <c r="B22" s="5" t="s">
        <v>134</v>
      </c>
      <c r="C22" s="5" t="s">
        <v>146</v>
      </c>
      <c r="D22" s="1" t="s">
        <v>136</v>
      </c>
      <c r="E22" s="1" t="s">
        <v>148</v>
      </c>
      <c r="F22" s="1" t="s">
        <v>57</v>
      </c>
      <c r="G22" s="1" t="s">
        <v>58</v>
      </c>
      <c r="H22" s="2" t="s">
        <v>106</v>
      </c>
      <c r="I22" s="3" t="s">
        <v>122</v>
      </c>
      <c r="J22" s="6" t="s">
        <v>121</v>
      </c>
      <c r="K22" s="3" t="s">
        <v>103</v>
      </c>
      <c r="L22" s="6"/>
    </row>
    <row r="23" spans="1:12" ht="78.75" x14ac:dyDescent="0.2">
      <c r="A23" s="4">
        <v>19</v>
      </c>
      <c r="B23" s="5" t="s">
        <v>134</v>
      </c>
      <c r="C23" s="5" t="s">
        <v>146</v>
      </c>
      <c r="D23" s="1" t="s">
        <v>136</v>
      </c>
      <c r="E23" s="1" t="s">
        <v>149</v>
      </c>
      <c r="F23" s="1" t="s">
        <v>56</v>
      </c>
      <c r="G23" s="1" t="s">
        <v>55</v>
      </c>
      <c r="H23" s="2" t="s">
        <v>106</v>
      </c>
      <c r="I23" s="3" t="s">
        <v>120</v>
      </c>
      <c r="J23" s="6" t="s">
        <v>121</v>
      </c>
      <c r="K23" s="3" t="s">
        <v>103</v>
      </c>
      <c r="L23" s="6"/>
    </row>
    <row r="24" spans="1:12" ht="78.75" x14ac:dyDescent="0.2">
      <c r="A24" s="4">
        <v>20</v>
      </c>
      <c r="B24" s="5" t="s">
        <v>134</v>
      </c>
      <c r="C24" s="5" t="s">
        <v>150</v>
      </c>
      <c r="D24" s="1" t="s">
        <v>136</v>
      </c>
      <c r="E24" s="1" t="s">
        <v>151</v>
      </c>
      <c r="F24" s="1" t="s">
        <v>60</v>
      </c>
      <c r="G24" s="1" t="s">
        <v>59</v>
      </c>
      <c r="H24" s="2" t="s">
        <v>106</v>
      </c>
      <c r="I24" s="3" t="s">
        <v>122</v>
      </c>
      <c r="J24" s="6" t="s">
        <v>121</v>
      </c>
      <c r="K24" s="3" t="s">
        <v>103</v>
      </c>
      <c r="L24" s="6"/>
    </row>
    <row r="25" spans="1:12" ht="141.75" x14ac:dyDescent="0.2">
      <c r="A25" s="4">
        <v>21</v>
      </c>
      <c r="B25" s="5" t="s">
        <v>134</v>
      </c>
      <c r="C25" s="5" t="s">
        <v>150</v>
      </c>
      <c r="D25" s="1" t="s">
        <v>136</v>
      </c>
      <c r="E25" s="1" t="s">
        <v>152</v>
      </c>
      <c r="F25" s="1" t="s">
        <v>66</v>
      </c>
      <c r="G25" s="1" t="s">
        <v>65</v>
      </c>
      <c r="H25" s="2" t="s">
        <v>106</v>
      </c>
      <c r="I25" s="3" t="s">
        <v>122</v>
      </c>
      <c r="J25" s="6" t="s">
        <v>121</v>
      </c>
      <c r="K25" s="3" t="s">
        <v>103</v>
      </c>
      <c r="L25" s="6"/>
    </row>
    <row r="26" spans="1:12" ht="63" x14ac:dyDescent="0.2">
      <c r="A26" s="4">
        <v>22</v>
      </c>
      <c r="B26" s="5" t="s">
        <v>153</v>
      </c>
      <c r="C26" s="5" t="s">
        <v>154</v>
      </c>
      <c r="D26" s="1" t="s">
        <v>125</v>
      </c>
      <c r="E26" s="1" t="s">
        <v>155</v>
      </c>
      <c r="F26" s="1" t="s">
        <v>61</v>
      </c>
      <c r="G26" s="1" t="s">
        <v>62</v>
      </c>
      <c r="H26" s="2" t="s">
        <v>106</v>
      </c>
      <c r="I26" s="3" t="s">
        <v>122</v>
      </c>
      <c r="J26" s="6" t="s">
        <v>121</v>
      </c>
      <c r="K26" s="3" t="s">
        <v>103</v>
      </c>
      <c r="L26" s="6"/>
    </row>
    <row r="27" spans="1:12" ht="63" x14ac:dyDescent="0.2">
      <c r="A27" s="4">
        <v>23</v>
      </c>
      <c r="B27" s="5" t="s">
        <v>153</v>
      </c>
      <c r="C27" s="5"/>
      <c r="D27" s="1"/>
      <c r="E27" s="1"/>
      <c r="F27" s="1" t="s">
        <v>29</v>
      </c>
      <c r="G27" s="1" t="s">
        <v>30</v>
      </c>
      <c r="H27" s="2" t="s">
        <v>106</v>
      </c>
      <c r="I27" s="3" t="s">
        <v>122</v>
      </c>
      <c r="J27" s="6" t="s">
        <v>121</v>
      </c>
      <c r="K27" s="3" t="s">
        <v>103</v>
      </c>
      <c r="L27" s="6"/>
    </row>
    <row r="28" spans="1:12" ht="78.75" x14ac:dyDescent="0.2">
      <c r="A28" s="4">
        <v>24</v>
      </c>
      <c r="B28" s="5" t="s">
        <v>153</v>
      </c>
      <c r="C28" s="5"/>
      <c r="D28" s="1"/>
      <c r="E28" s="1"/>
      <c r="F28" s="1" t="s">
        <v>25</v>
      </c>
      <c r="G28" s="1" t="s">
        <v>26</v>
      </c>
      <c r="H28" s="2" t="s">
        <v>106</v>
      </c>
      <c r="I28" s="3" t="s">
        <v>122</v>
      </c>
      <c r="J28" s="6" t="s">
        <v>121</v>
      </c>
      <c r="K28" s="3" t="s">
        <v>103</v>
      </c>
      <c r="L28" s="6"/>
    </row>
    <row r="29" spans="1:12" ht="126" x14ac:dyDescent="0.2">
      <c r="A29" s="4">
        <v>25</v>
      </c>
      <c r="B29" s="5" t="s">
        <v>156</v>
      </c>
      <c r="C29" s="5" t="s">
        <v>157</v>
      </c>
      <c r="D29" s="1" t="s">
        <v>125</v>
      </c>
      <c r="E29" s="1" t="s">
        <v>158</v>
      </c>
      <c r="F29" s="1" t="s">
        <v>33</v>
      </c>
      <c r="G29" s="1" t="s">
        <v>34</v>
      </c>
      <c r="H29" s="2" t="s">
        <v>106</v>
      </c>
      <c r="I29" s="3" t="s">
        <v>120</v>
      </c>
      <c r="J29" s="6" t="s">
        <v>121</v>
      </c>
      <c r="K29" s="3" t="s">
        <v>103</v>
      </c>
      <c r="L29" s="6"/>
    </row>
    <row r="30" spans="1:12" ht="78.75" x14ac:dyDescent="0.2">
      <c r="A30" s="4">
        <v>26</v>
      </c>
      <c r="B30" s="5" t="s">
        <v>156</v>
      </c>
      <c r="C30" s="5" t="s">
        <v>157</v>
      </c>
      <c r="D30" s="1" t="s">
        <v>125</v>
      </c>
      <c r="E30" s="1" t="s">
        <v>158</v>
      </c>
      <c r="F30" s="1" t="s">
        <v>31</v>
      </c>
      <c r="G30" s="1" t="s">
        <v>32</v>
      </c>
      <c r="H30" s="2" t="s">
        <v>106</v>
      </c>
      <c r="I30" s="3" t="s">
        <v>122</v>
      </c>
      <c r="J30" s="6" t="s">
        <v>121</v>
      </c>
      <c r="K30" s="3" t="s">
        <v>103</v>
      </c>
      <c r="L30" s="6"/>
    </row>
    <row r="31" spans="1:12" ht="78.75" x14ac:dyDescent="0.2">
      <c r="A31" s="4">
        <v>27</v>
      </c>
      <c r="B31" s="5" t="s">
        <v>156</v>
      </c>
      <c r="C31" s="5" t="s">
        <v>159</v>
      </c>
      <c r="D31" s="1" t="s">
        <v>125</v>
      </c>
      <c r="E31" s="1" t="s">
        <v>160</v>
      </c>
      <c r="F31" s="1" t="s">
        <v>38</v>
      </c>
      <c r="G31" s="1" t="s">
        <v>37</v>
      </c>
      <c r="H31" s="2" t="s">
        <v>106</v>
      </c>
      <c r="I31" s="3" t="s">
        <v>122</v>
      </c>
      <c r="J31" s="6" t="s">
        <v>121</v>
      </c>
      <c r="K31" s="3" t="s">
        <v>103</v>
      </c>
      <c r="L31" s="6"/>
    </row>
    <row r="32" spans="1:12" ht="78.75" x14ac:dyDescent="0.2">
      <c r="A32" s="4">
        <v>28</v>
      </c>
      <c r="B32" s="5" t="s">
        <v>156</v>
      </c>
      <c r="C32" s="5" t="s">
        <v>159</v>
      </c>
      <c r="D32" s="1" t="s">
        <v>125</v>
      </c>
      <c r="E32" s="1" t="s">
        <v>160</v>
      </c>
      <c r="F32" s="1" t="s">
        <v>35</v>
      </c>
      <c r="G32" s="1" t="s">
        <v>36</v>
      </c>
      <c r="H32" s="2" t="s">
        <v>106</v>
      </c>
      <c r="I32" s="3" t="s">
        <v>127</v>
      </c>
      <c r="J32" s="6" t="s">
        <v>121</v>
      </c>
      <c r="K32" s="3" t="s">
        <v>103</v>
      </c>
      <c r="L32" s="6"/>
    </row>
    <row r="33" spans="1:12" ht="110.25" x14ac:dyDescent="0.2">
      <c r="A33" s="4">
        <v>29</v>
      </c>
      <c r="B33" s="5" t="s">
        <v>156</v>
      </c>
      <c r="C33" s="5" t="s">
        <v>161</v>
      </c>
      <c r="D33" s="1" t="s">
        <v>125</v>
      </c>
      <c r="E33" s="1" t="s">
        <v>162</v>
      </c>
      <c r="F33" s="1" t="s">
        <v>42</v>
      </c>
      <c r="G33" s="1" t="s">
        <v>41</v>
      </c>
      <c r="H33" s="2" t="s">
        <v>106</v>
      </c>
      <c r="I33" s="3" t="s">
        <v>120</v>
      </c>
      <c r="J33" s="6" t="s">
        <v>163</v>
      </c>
      <c r="K33" s="3" t="s">
        <v>103</v>
      </c>
      <c r="L33" s="6"/>
    </row>
    <row r="34" spans="1:12" ht="87" customHeight="1" x14ac:dyDescent="0.2">
      <c r="A34" s="4">
        <v>30</v>
      </c>
      <c r="B34" s="5" t="s">
        <v>156</v>
      </c>
      <c r="C34" s="5" t="s">
        <v>164</v>
      </c>
      <c r="D34" s="1" t="s">
        <v>125</v>
      </c>
      <c r="E34" s="1" t="s">
        <v>165</v>
      </c>
      <c r="F34" s="1" t="s">
        <v>40</v>
      </c>
      <c r="G34" s="1" t="s">
        <v>39</v>
      </c>
      <c r="H34" s="2" t="s">
        <v>106</v>
      </c>
      <c r="I34" s="3" t="s">
        <v>122</v>
      </c>
      <c r="J34" s="6" t="s">
        <v>163</v>
      </c>
      <c r="K34" s="3" t="s">
        <v>103</v>
      </c>
      <c r="L34" s="6"/>
    </row>
    <row r="35" spans="1:12" ht="94.5" x14ac:dyDescent="0.2">
      <c r="A35" s="4">
        <v>31</v>
      </c>
      <c r="B35" s="5" t="s">
        <v>156</v>
      </c>
      <c r="C35" s="5" t="s">
        <v>166</v>
      </c>
      <c r="D35" s="1" t="s">
        <v>125</v>
      </c>
      <c r="E35" s="1" t="s">
        <v>167</v>
      </c>
      <c r="F35" s="1" t="s">
        <v>4</v>
      </c>
      <c r="G35" s="1"/>
      <c r="H35" s="2" t="s">
        <v>106</v>
      </c>
      <c r="I35" s="3" t="s">
        <v>127</v>
      </c>
      <c r="J35" s="6" t="s">
        <v>163</v>
      </c>
      <c r="K35" s="3" t="s">
        <v>103</v>
      </c>
      <c r="L35" s="6"/>
    </row>
    <row r="36" spans="1:12" ht="110.25" x14ac:dyDescent="0.2">
      <c r="A36" s="4">
        <v>32</v>
      </c>
      <c r="B36" s="5" t="s">
        <v>156</v>
      </c>
      <c r="C36" s="5" t="s">
        <v>168</v>
      </c>
      <c r="D36" s="1" t="s">
        <v>125</v>
      </c>
      <c r="E36" s="1" t="s">
        <v>169</v>
      </c>
      <c r="F36" s="1" t="s">
        <v>0</v>
      </c>
      <c r="G36" s="1" t="s">
        <v>1</v>
      </c>
      <c r="H36" s="2" t="s">
        <v>106</v>
      </c>
      <c r="I36" s="3" t="s">
        <v>127</v>
      </c>
      <c r="J36" s="6" t="s">
        <v>163</v>
      </c>
      <c r="K36" s="3" t="s">
        <v>103</v>
      </c>
      <c r="L36" s="6"/>
    </row>
    <row r="37" spans="1:12" ht="119.1" customHeight="1" x14ac:dyDescent="0.2">
      <c r="A37" s="4">
        <v>33</v>
      </c>
      <c r="B37" s="5" t="s">
        <v>156</v>
      </c>
      <c r="C37" s="5" t="s">
        <v>170</v>
      </c>
      <c r="D37" s="1" t="s">
        <v>125</v>
      </c>
      <c r="E37" s="1" t="s">
        <v>171</v>
      </c>
      <c r="F37" s="1" t="s">
        <v>11</v>
      </c>
      <c r="G37" s="1" t="s">
        <v>12</v>
      </c>
      <c r="H37" s="2" t="s">
        <v>106</v>
      </c>
      <c r="I37" s="3" t="s">
        <v>122</v>
      </c>
      <c r="J37" s="6" t="s">
        <v>163</v>
      </c>
      <c r="K37" s="3" t="s">
        <v>103</v>
      </c>
      <c r="L37" s="6"/>
    </row>
    <row r="38" spans="1:12" ht="119.1" customHeight="1" x14ac:dyDescent="0.2">
      <c r="A38" s="4">
        <v>34</v>
      </c>
      <c r="B38" s="5" t="s">
        <v>156</v>
      </c>
      <c r="C38" s="5" t="s">
        <v>170</v>
      </c>
      <c r="D38" s="1" t="s">
        <v>125</v>
      </c>
      <c r="E38" s="1" t="s">
        <v>172</v>
      </c>
      <c r="F38" s="1" t="s">
        <v>7</v>
      </c>
      <c r="G38" s="1" t="s">
        <v>8</v>
      </c>
      <c r="H38" s="2" t="s">
        <v>106</v>
      </c>
      <c r="I38" s="3" t="s">
        <v>122</v>
      </c>
      <c r="J38" s="6" t="s">
        <v>163</v>
      </c>
      <c r="K38" s="3" t="s">
        <v>103</v>
      </c>
      <c r="L38" s="6"/>
    </row>
    <row r="39" spans="1:12" ht="119.1" customHeight="1" x14ac:dyDescent="0.2">
      <c r="A39" s="4">
        <v>35</v>
      </c>
      <c r="B39" s="5" t="s">
        <v>173</v>
      </c>
      <c r="C39" s="5" t="s">
        <v>174</v>
      </c>
      <c r="D39" s="1" t="s">
        <v>125</v>
      </c>
      <c r="E39" s="1" t="s">
        <v>175</v>
      </c>
      <c r="F39" s="1" t="s">
        <v>17</v>
      </c>
      <c r="G39" s="1" t="s">
        <v>18</v>
      </c>
      <c r="H39" s="2" t="s">
        <v>106</v>
      </c>
      <c r="I39" s="3" t="s">
        <v>122</v>
      </c>
      <c r="J39" s="6" t="s">
        <v>163</v>
      </c>
      <c r="K39" s="3" t="s">
        <v>103</v>
      </c>
      <c r="L39" s="6"/>
    </row>
    <row r="40" spans="1:12" ht="119.1" customHeight="1" x14ac:dyDescent="0.2">
      <c r="A40" s="4">
        <v>36</v>
      </c>
      <c r="B40" s="5" t="s">
        <v>173</v>
      </c>
      <c r="C40" s="5" t="s">
        <v>176</v>
      </c>
      <c r="D40" s="1" t="s">
        <v>125</v>
      </c>
      <c r="E40" s="1" t="s">
        <v>177</v>
      </c>
      <c r="F40" s="1" t="s">
        <v>16</v>
      </c>
      <c r="G40" s="1" t="s">
        <v>15</v>
      </c>
      <c r="H40" s="2" t="s">
        <v>106</v>
      </c>
      <c r="I40" s="3" t="s">
        <v>120</v>
      </c>
      <c r="J40" s="6" t="s">
        <v>163</v>
      </c>
      <c r="K40" s="3" t="s">
        <v>103</v>
      </c>
      <c r="L40" s="6"/>
    </row>
    <row r="41" spans="1:12" ht="119.1" customHeight="1" x14ac:dyDescent="0.2">
      <c r="A41" s="4">
        <v>37</v>
      </c>
      <c r="B41" s="5" t="s">
        <v>173</v>
      </c>
      <c r="C41" s="5" t="s">
        <v>176</v>
      </c>
      <c r="D41" s="1" t="s">
        <v>125</v>
      </c>
      <c r="E41" s="1" t="s">
        <v>177</v>
      </c>
      <c r="F41" s="1" t="s">
        <v>22</v>
      </c>
      <c r="G41" s="1" t="s">
        <v>21</v>
      </c>
      <c r="H41" s="2" t="s">
        <v>106</v>
      </c>
      <c r="I41" s="3" t="s">
        <v>122</v>
      </c>
      <c r="J41" s="6" t="s">
        <v>163</v>
      </c>
      <c r="K41" s="3" t="s">
        <v>103</v>
      </c>
      <c r="L41" s="6"/>
    </row>
    <row r="42" spans="1:12" ht="119.1" customHeight="1" x14ac:dyDescent="0.2">
      <c r="A42" s="4">
        <v>38</v>
      </c>
      <c r="B42" s="5" t="s">
        <v>173</v>
      </c>
      <c r="C42" s="5" t="s">
        <v>178</v>
      </c>
      <c r="D42" s="1" t="s">
        <v>125</v>
      </c>
      <c r="E42" s="1" t="s">
        <v>179</v>
      </c>
      <c r="F42" s="1" t="s">
        <v>20</v>
      </c>
      <c r="G42" s="1" t="s">
        <v>19</v>
      </c>
      <c r="H42" s="2" t="s">
        <v>106</v>
      </c>
      <c r="I42" s="3" t="s">
        <v>120</v>
      </c>
      <c r="J42" s="6" t="s">
        <v>163</v>
      </c>
      <c r="K42" s="3" t="s">
        <v>103</v>
      </c>
      <c r="L42" s="6"/>
    </row>
    <row r="43" spans="1:12" ht="141.75" x14ac:dyDescent="0.2">
      <c r="A43" s="4">
        <v>39</v>
      </c>
      <c r="B43" s="5" t="s">
        <v>173</v>
      </c>
      <c r="C43" s="5" t="s">
        <v>180</v>
      </c>
      <c r="D43" s="1" t="s">
        <v>125</v>
      </c>
      <c r="E43" s="1" t="s">
        <v>181</v>
      </c>
      <c r="F43" s="1" t="s">
        <v>68</v>
      </c>
      <c r="G43" s="1" t="s">
        <v>67</v>
      </c>
      <c r="H43" s="2" t="s">
        <v>106</v>
      </c>
      <c r="I43" s="3" t="s">
        <v>120</v>
      </c>
      <c r="J43" s="6" t="s">
        <v>163</v>
      </c>
      <c r="K43" s="3" t="s">
        <v>103</v>
      </c>
      <c r="L43" s="6"/>
    </row>
    <row r="44" spans="1:12" ht="119.1" customHeight="1" x14ac:dyDescent="0.2">
      <c r="A44" s="4">
        <v>40</v>
      </c>
      <c r="B44" s="5" t="s">
        <v>173</v>
      </c>
      <c r="C44" s="5" t="s">
        <v>174</v>
      </c>
      <c r="D44" s="1" t="s">
        <v>125</v>
      </c>
      <c r="E44" s="1" t="s">
        <v>175</v>
      </c>
      <c r="F44" s="1" t="s">
        <v>63</v>
      </c>
      <c r="G44" s="1" t="s">
        <v>64</v>
      </c>
      <c r="H44" s="2" t="s">
        <v>106</v>
      </c>
      <c r="I44" s="3" t="s">
        <v>122</v>
      </c>
      <c r="J44" s="6" t="s">
        <v>163</v>
      </c>
      <c r="K44" s="3" t="s">
        <v>103</v>
      </c>
      <c r="L44" s="6"/>
    </row>
    <row r="45" spans="1:12" ht="126" x14ac:dyDescent="0.2">
      <c r="A45" s="4">
        <v>41</v>
      </c>
      <c r="B45" s="5" t="s">
        <v>182</v>
      </c>
      <c r="C45" s="5" t="s">
        <v>183</v>
      </c>
      <c r="D45" s="1" t="s">
        <v>125</v>
      </c>
      <c r="E45" s="1" t="s">
        <v>184</v>
      </c>
      <c r="F45" s="1" t="s">
        <v>76</v>
      </c>
      <c r="G45" s="1" t="s">
        <v>75</v>
      </c>
      <c r="H45" s="2" t="s">
        <v>106</v>
      </c>
      <c r="I45" s="3" t="s">
        <v>122</v>
      </c>
      <c r="J45" s="6" t="s">
        <v>121</v>
      </c>
      <c r="K45" s="3" t="s">
        <v>103</v>
      </c>
      <c r="L45" s="6"/>
    </row>
    <row r="46" spans="1:12" ht="78.75" x14ac:dyDescent="0.2">
      <c r="A46" s="4">
        <v>42</v>
      </c>
      <c r="B46" s="5" t="s">
        <v>182</v>
      </c>
      <c r="C46" s="5" t="s">
        <v>183</v>
      </c>
      <c r="D46" s="1" t="s">
        <v>125</v>
      </c>
      <c r="E46" s="1" t="s">
        <v>185</v>
      </c>
      <c r="F46" s="1" t="s">
        <v>71</v>
      </c>
      <c r="G46" s="1" t="s">
        <v>72</v>
      </c>
      <c r="H46" s="2" t="s">
        <v>106</v>
      </c>
      <c r="I46" s="3" t="s">
        <v>120</v>
      </c>
      <c r="J46" s="6" t="s">
        <v>121</v>
      </c>
      <c r="K46" s="3" t="s">
        <v>103</v>
      </c>
      <c r="L46" s="6"/>
    </row>
    <row r="47" spans="1:12" ht="94.5" x14ac:dyDescent="0.2">
      <c r="A47" s="4">
        <v>43</v>
      </c>
      <c r="B47" s="5" t="s">
        <v>186</v>
      </c>
      <c r="C47" s="5" t="s">
        <v>187</v>
      </c>
      <c r="D47" s="1" t="s">
        <v>125</v>
      </c>
      <c r="E47" s="1" t="s">
        <v>188</v>
      </c>
      <c r="F47" s="1" t="s">
        <v>83</v>
      </c>
      <c r="G47" s="1" t="s">
        <v>84</v>
      </c>
      <c r="H47" s="2" t="s">
        <v>106</v>
      </c>
      <c r="I47" s="3" t="s">
        <v>122</v>
      </c>
      <c r="J47" s="6" t="s">
        <v>121</v>
      </c>
      <c r="K47" s="3" t="s">
        <v>103</v>
      </c>
      <c r="L47" s="6"/>
    </row>
    <row r="48" spans="1:12" ht="94.5" x14ac:dyDescent="0.2">
      <c r="A48" s="4">
        <v>44</v>
      </c>
      <c r="B48" s="5" t="s">
        <v>186</v>
      </c>
      <c r="C48" s="5" t="s">
        <v>187</v>
      </c>
      <c r="D48" s="1" t="s">
        <v>125</v>
      </c>
      <c r="E48" s="1" t="s">
        <v>189</v>
      </c>
      <c r="F48" s="1" t="s">
        <v>79</v>
      </c>
      <c r="G48" s="1" t="s">
        <v>80</v>
      </c>
      <c r="H48" s="2" t="s">
        <v>106</v>
      </c>
      <c r="I48" s="3" t="s">
        <v>120</v>
      </c>
      <c r="J48" s="6" t="s">
        <v>121</v>
      </c>
      <c r="K48" s="3" t="s">
        <v>103</v>
      </c>
      <c r="L48" s="6"/>
    </row>
    <row r="49" spans="1:12" ht="94.5" x14ac:dyDescent="0.2">
      <c r="A49" s="4">
        <v>45</v>
      </c>
      <c r="B49" s="5" t="s">
        <v>186</v>
      </c>
      <c r="C49" s="5" t="s">
        <v>187</v>
      </c>
      <c r="D49" s="1" t="s">
        <v>125</v>
      </c>
      <c r="E49" s="1" t="s">
        <v>190</v>
      </c>
      <c r="F49" s="1" t="s">
        <v>91</v>
      </c>
      <c r="G49" s="1" t="s">
        <v>90</v>
      </c>
      <c r="H49" s="2" t="s">
        <v>106</v>
      </c>
      <c r="I49" s="3" t="s">
        <v>120</v>
      </c>
      <c r="J49" s="6" t="s">
        <v>121</v>
      </c>
      <c r="K49" s="3" t="s">
        <v>103</v>
      </c>
      <c r="L49" s="6"/>
    </row>
    <row r="50" spans="1:12" ht="157.5" x14ac:dyDescent="0.2">
      <c r="A50" s="4">
        <v>46</v>
      </c>
      <c r="B50" s="5" t="s">
        <v>186</v>
      </c>
      <c r="C50" s="5" t="s">
        <v>191</v>
      </c>
      <c r="D50" s="1" t="s">
        <v>125</v>
      </c>
      <c r="E50" s="1" t="s">
        <v>192</v>
      </c>
      <c r="F50" s="1" t="s">
        <v>87</v>
      </c>
      <c r="G50" s="1"/>
      <c r="H50" s="2" t="s">
        <v>106</v>
      </c>
      <c r="I50" s="3" t="s">
        <v>122</v>
      </c>
      <c r="J50" s="6" t="s">
        <v>121</v>
      </c>
      <c r="K50" s="3" t="s">
        <v>103</v>
      </c>
      <c r="L50" s="6"/>
    </row>
    <row r="51" spans="1:12" ht="110.25" x14ac:dyDescent="0.2">
      <c r="A51" s="4">
        <v>47</v>
      </c>
      <c r="B51" s="5" t="s">
        <v>193</v>
      </c>
      <c r="C51" s="5" t="s">
        <v>194</v>
      </c>
      <c r="D51" s="1" t="s">
        <v>125</v>
      </c>
      <c r="E51" s="1" t="s">
        <v>195</v>
      </c>
      <c r="F51" s="1" t="s">
        <v>51</v>
      </c>
      <c r="G51" s="1" t="s">
        <v>52</v>
      </c>
      <c r="H51" s="2" t="s">
        <v>106</v>
      </c>
      <c r="I51" s="3" t="s">
        <v>127</v>
      </c>
      <c r="J51" s="6" t="s">
        <v>163</v>
      </c>
      <c r="K51" s="3" t="s">
        <v>103</v>
      </c>
      <c r="L51" s="6"/>
    </row>
    <row r="52" spans="1:12" ht="126" x14ac:dyDescent="0.2">
      <c r="A52" s="4">
        <v>48</v>
      </c>
      <c r="B52" s="5" t="s">
        <v>193</v>
      </c>
      <c r="C52" s="5" t="s">
        <v>196</v>
      </c>
      <c r="D52" s="1" t="s">
        <v>125</v>
      </c>
      <c r="E52" s="1" t="s">
        <v>197</v>
      </c>
      <c r="F52" s="1" t="s">
        <v>47</v>
      </c>
      <c r="G52" s="1" t="s">
        <v>48</v>
      </c>
      <c r="H52" s="2" t="s">
        <v>106</v>
      </c>
      <c r="I52" s="3" t="s">
        <v>127</v>
      </c>
      <c r="J52" s="6" t="s">
        <v>163</v>
      </c>
      <c r="K52" s="3" t="s">
        <v>103</v>
      </c>
      <c r="L52" s="6"/>
    </row>
    <row r="53" spans="1:12" ht="15.75" x14ac:dyDescent="0.2">
      <c r="A53" s="4"/>
      <c r="B53" s="5"/>
      <c r="C53" s="5"/>
      <c r="D53" s="1"/>
      <c r="E53" s="1"/>
      <c r="F53" s="1"/>
      <c r="G53" s="1"/>
      <c r="H53" s="2"/>
      <c r="I53" s="3"/>
      <c r="J53" s="6"/>
      <c r="K53" s="3"/>
      <c r="L53" s="6"/>
    </row>
    <row r="54" spans="1:12" ht="15.75" x14ac:dyDescent="0.2">
      <c r="A54" s="4"/>
      <c r="B54" s="5"/>
      <c r="C54" s="5"/>
      <c r="D54" s="1"/>
      <c r="E54" s="1"/>
      <c r="F54" s="1"/>
      <c r="G54" s="1"/>
      <c r="H54" s="2"/>
      <c r="I54" s="3"/>
      <c r="J54" s="6"/>
      <c r="K54" s="3"/>
      <c r="L54" s="6"/>
    </row>
    <row r="55" spans="1:12" ht="15.75" x14ac:dyDescent="0.2">
      <c r="A55" s="4"/>
      <c r="B55" s="5"/>
      <c r="C55" s="5"/>
      <c r="D55" s="1"/>
      <c r="E55" s="1"/>
      <c r="F55" s="1"/>
      <c r="G55" s="1"/>
      <c r="H55" s="2"/>
      <c r="I55" s="3"/>
      <c r="J55" s="6"/>
      <c r="K55" s="3"/>
      <c r="L55" s="6"/>
    </row>
    <row r="56" spans="1:12" ht="15.75" x14ac:dyDescent="0.2">
      <c r="A56" s="4"/>
      <c r="B56" s="5"/>
      <c r="C56" s="5"/>
      <c r="D56" s="1"/>
      <c r="E56" s="1"/>
      <c r="F56" s="1"/>
      <c r="G56" s="1"/>
      <c r="H56" s="2"/>
      <c r="I56" s="3"/>
      <c r="J56" s="6"/>
      <c r="K56" s="3"/>
      <c r="L56" s="6"/>
    </row>
    <row r="57" spans="1:12" ht="15.75" x14ac:dyDescent="0.2">
      <c r="A57" s="4"/>
      <c r="B57" s="5"/>
      <c r="C57" s="5"/>
      <c r="D57" s="1"/>
      <c r="E57" s="1"/>
      <c r="F57" s="1"/>
      <c r="G57" s="1"/>
      <c r="H57" s="2"/>
      <c r="I57" s="3"/>
      <c r="J57" s="6"/>
      <c r="K57" s="3"/>
      <c r="L57" s="6"/>
    </row>
    <row r="58" spans="1:12" ht="15.75" x14ac:dyDescent="0.2">
      <c r="A58" s="4"/>
      <c r="B58" s="5"/>
      <c r="C58" s="5"/>
      <c r="D58" s="1"/>
      <c r="E58" s="1"/>
      <c r="F58" s="1"/>
      <c r="G58" s="1"/>
      <c r="H58" s="2"/>
      <c r="I58" s="3"/>
      <c r="J58" s="6"/>
      <c r="K58" s="3"/>
      <c r="L58" s="6"/>
    </row>
    <row r="59" spans="1:12" ht="15.75" x14ac:dyDescent="0.2">
      <c r="A59" s="4"/>
      <c r="B59" s="5"/>
      <c r="C59" s="5"/>
      <c r="D59" s="1"/>
      <c r="E59" s="1"/>
      <c r="F59" s="1"/>
      <c r="G59" s="1"/>
      <c r="H59" s="2"/>
      <c r="I59" s="3"/>
      <c r="J59" s="6"/>
      <c r="K59" s="3"/>
      <c r="L59" s="6"/>
    </row>
    <row r="60" spans="1:12" ht="15.75" x14ac:dyDescent="0.2">
      <c r="A60" s="4"/>
      <c r="B60" s="5"/>
      <c r="C60" s="5"/>
      <c r="D60" s="1"/>
      <c r="E60" s="1"/>
      <c r="F60" s="1"/>
      <c r="G60" s="1"/>
      <c r="H60" s="2"/>
      <c r="I60" s="3"/>
      <c r="J60" s="6"/>
      <c r="K60" s="3"/>
      <c r="L60" s="6"/>
    </row>
    <row r="61" spans="1:12" ht="15.75" x14ac:dyDescent="0.2">
      <c r="A61" s="4"/>
      <c r="B61" s="5"/>
      <c r="C61" s="5"/>
      <c r="D61" s="1"/>
      <c r="E61" s="1"/>
      <c r="F61" s="1"/>
      <c r="G61" s="1"/>
      <c r="H61" s="2"/>
      <c r="I61" s="3"/>
      <c r="J61" s="6"/>
      <c r="K61" s="3"/>
      <c r="L61" s="6"/>
    </row>
    <row r="62" spans="1:12" ht="15.75" x14ac:dyDescent="0.2">
      <c r="A62" s="4"/>
      <c r="B62" s="5"/>
      <c r="C62" s="5"/>
      <c r="D62" s="1"/>
      <c r="E62" s="1"/>
      <c r="F62" s="1"/>
      <c r="G62" s="1"/>
      <c r="H62" s="2"/>
      <c r="I62" s="3"/>
      <c r="J62" s="6"/>
      <c r="K62" s="3"/>
      <c r="L62" s="6"/>
    </row>
    <row r="63" spans="1:12" ht="15.75" x14ac:dyDescent="0.2">
      <c r="A63" s="9"/>
      <c r="B63" s="7"/>
      <c r="C63" s="11"/>
      <c r="F63" s="8"/>
      <c r="G63" s="8"/>
      <c r="H63" s="9"/>
      <c r="I63" s="12"/>
      <c r="J63" s="10"/>
      <c r="K63" s="13"/>
      <c r="L63" s="10"/>
    </row>
    <row r="64" spans="1:12" ht="15.75" x14ac:dyDescent="0.2">
      <c r="A64" s="9"/>
      <c r="B64" s="7"/>
      <c r="C64" s="11"/>
      <c r="F64" s="8"/>
      <c r="G64" s="8"/>
      <c r="H64" s="9"/>
      <c r="I64" s="12"/>
      <c r="J64" s="10"/>
      <c r="K64" s="13"/>
      <c r="L64" s="10"/>
    </row>
    <row r="65" spans="1:12" ht="15.75" x14ac:dyDescent="0.2">
      <c r="A65" s="9"/>
      <c r="B65" s="7"/>
      <c r="C65" s="11"/>
      <c r="F65" s="8"/>
      <c r="G65" s="8"/>
      <c r="H65" s="9"/>
      <c r="I65" s="12"/>
      <c r="J65" s="10"/>
      <c r="K65" s="13"/>
      <c r="L65" s="10"/>
    </row>
    <row r="66" spans="1:12" ht="15.75" x14ac:dyDescent="0.2">
      <c r="A66" s="9"/>
      <c r="B66" s="7"/>
      <c r="C66" s="11"/>
      <c r="F66" s="8"/>
      <c r="G66" s="8"/>
      <c r="H66" s="9"/>
      <c r="I66" s="12"/>
      <c r="J66" s="10"/>
      <c r="K66" s="13"/>
      <c r="L66" s="10"/>
    </row>
    <row r="67" spans="1:12" ht="15.75" x14ac:dyDescent="0.2">
      <c r="A67" s="9"/>
      <c r="B67" s="7"/>
      <c r="C67" s="11"/>
      <c r="F67" s="8"/>
      <c r="G67" s="8"/>
      <c r="H67" s="9"/>
      <c r="I67" s="12"/>
      <c r="J67" s="10"/>
      <c r="K67" s="13"/>
      <c r="L67" s="10"/>
    </row>
    <row r="68" spans="1:12" ht="15.75" x14ac:dyDescent="0.2">
      <c r="A68" s="9"/>
      <c r="B68" s="7"/>
      <c r="C68" s="11"/>
      <c r="F68" s="8"/>
      <c r="G68" s="8"/>
      <c r="H68" s="9"/>
      <c r="I68" s="12"/>
      <c r="J68" s="10"/>
      <c r="K68" s="13"/>
      <c r="L68" s="10"/>
    </row>
    <row r="69" spans="1:12" ht="15.75" x14ac:dyDescent="0.2">
      <c r="A69" s="9"/>
      <c r="B69" s="7"/>
      <c r="C69" s="11"/>
      <c r="F69" s="8"/>
      <c r="G69" s="8"/>
      <c r="H69" s="9"/>
      <c r="I69" s="12"/>
      <c r="J69" s="10"/>
      <c r="K69" s="13"/>
      <c r="L69" s="10"/>
    </row>
    <row r="70" spans="1:12" ht="15.75" x14ac:dyDescent="0.2">
      <c r="A70" s="9"/>
      <c r="B70" s="7"/>
      <c r="C70" s="11"/>
      <c r="F70" s="8"/>
      <c r="G70" s="8"/>
      <c r="H70" s="9"/>
      <c r="I70" s="12"/>
      <c r="J70" s="10"/>
      <c r="K70" s="13"/>
      <c r="L70" s="10"/>
    </row>
    <row r="71" spans="1:12" ht="15.75" x14ac:dyDescent="0.2">
      <c r="A71" s="9"/>
      <c r="B71" s="7"/>
      <c r="C71" s="11"/>
      <c r="F71" s="8"/>
      <c r="G71" s="8"/>
      <c r="H71" s="9"/>
      <c r="I71" s="12"/>
      <c r="J71" s="10"/>
      <c r="K71" s="13"/>
      <c r="L71" s="10"/>
    </row>
    <row r="72" spans="1:12" ht="15.75" x14ac:dyDescent="0.2">
      <c r="A72" s="9"/>
      <c r="B72" s="7"/>
      <c r="C72" s="11"/>
      <c r="F72" s="8"/>
      <c r="G72" s="8"/>
      <c r="H72" s="9"/>
      <c r="I72" s="12"/>
      <c r="J72" s="10"/>
      <c r="K72" s="13"/>
      <c r="L72" s="10"/>
    </row>
    <row r="73" spans="1:12" ht="15.75" x14ac:dyDescent="0.2">
      <c r="A73" s="9"/>
      <c r="B73" s="7"/>
      <c r="C73" s="11"/>
      <c r="F73" s="8"/>
      <c r="G73" s="8"/>
      <c r="H73" s="9"/>
      <c r="I73" s="12"/>
      <c r="J73" s="10"/>
      <c r="K73" s="13"/>
      <c r="L73" s="10"/>
    </row>
    <row r="74" spans="1:12" ht="15.75" x14ac:dyDescent="0.2">
      <c r="A74" s="9"/>
      <c r="B74" s="7"/>
      <c r="C74" s="11"/>
      <c r="F74" s="8"/>
      <c r="G74" s="8"/>
      <c r="H74" s="9"/>
      <c r="I74" s="12"/>
      <c r="J74" s="10"/>
      <c r="K74" s="13"/>
      <c r="L74" s="10"/>
    </row>
    <row r="75" spans="1:12" ht="15.75" x14ac:dyDescent="0.2">
      <c r="A75" s="9"/>
      <c r="B75" s="7"/>
      <c r="C75" s="11"/>
      <c r="F75" s="8"/>
      <c r="G75" s="8"/>
      <c r="H75" s="9"/>
      <c r="I75" s="12"/>
      <c r="J75" s="10"/>
      <c r="K75" s="13"/>
      <c r="L75" s="10"/>
    </row>
    <row r="76" spans="1:12" ht="15.75" x14ac:dyDescent="0.2">
      <c r="A76" s="9"/>
      <c r="B76" s="7"/>
      <c r="C76" s="11"/>
      <c r="F76" s="8"/>
      <c r="G76" s="8"/>
      <c r="H76" s="9"/>
      <c r="I76" s="12"/>
      <c r="J76" s="10"/>
      <c r="K76" s="13"/>
      <c r="L76" s="10"/>
    </row>
    <row r="77" spans="1:12" ht="15.75" x14ac:dyDescent="0.2">
      <c r="A77" s="9"/>
      <c r="B77" s="7"/>
      <c r="C77" s="11"/>
      <c r="F77" s="8"/>
      <c r="G77" s="8"/>
      <c r="H77" s="9"/>
      <c r="I77" s="12"/>
      <c r="J77" s="10"/>
      <c r="K77" s="13"/>
      <c r="L77" s="10"/>
    </row>
    <row r="78" spans="1:12" ht="15.75" x14ac:dyDescent="0.2">
      <c r="A78" s="9"/>
      <c r="B78" s="7"/>
      <c r="C78" s="11"/>
      <c r="F78" s="8"/>
      <c r="G78" s="8"/>
      <c r="H78" s="9"/>
      <c r="I78" s="12"/>
      <c r="J78" s="10"/>
      <c r="K78" s="13"/>
      <c r="L78" s="10"/>
    </row>
    <row r="79" spans="1:12" ht="15.75" x14ac:dyDescent="0.2">
      <c r="A79" s="9"/>
      <c r="B79" s="7"/>
      <c r="C79" s="11"/>
      <c r="F79" s="8"/>
      <c r="G79" s="8"/>
      <c r="H79" s="9"/>
      <c r="I79" s="12"/>
      <c r="J79" s="10"/>
      <c r="K79" s="13"/>
      <c r="L79" s="10"/>
    </row>
    <row r="80" spans="1:12" ht="15.75" x14ac:dyDescent="0.2">
      <c r="A80" s="9"/>
      <c r="B80" s="7"/>
      <c r="C80" s="11"/>
      <c r="F80" s="8"/>
      <c r="G80" s="8"/>
      <c r="H80" s="9"/>
      <c r="I80" s="12"/>
      <c r="J80" s="10"/>
      <c r="K80" s="13"/>
      <c r="L80" s="10"/>
    </row>
    <row r="81" spans="1:12" ht="15.75" x14ac:dyDescent="0.2">
      <c r="A81" s="9"/>
      <c r="B81" s="7"/>
      <c r="C81" s="11"/>
      <c r="F81" s="8"/>
      <c r="G81" s="8"/>
      <c r="H81" s="9"/>
      <c r="I81" s="12"/>
      <c r="J81" s="10"/>
      <c r="K81" s="13"/>
      <c r="L81" s="10"/>
    </row>
    <row r="82" spans="1:12" ht="15.75" x14ac:dyDescent="0.2">
      <c r="A82" s="9"/>
      <c r="B82" s="7"/>
      <c r="C82" s="11"/>
      <c r="F82" s="8"/>
      <c r="G82" s="8"/>
      <c r="H82" s="9"/>
      <c r="I82" s="12"/>
      <c r="J82" s="10"/>
      <c r="K82" s="13"/>
      <c r="L82" s="10"/>
    </row>
    <row r="83" spans="1:12" ht="15.75" x14ac:dyDescent="0.2">
      <c r="A83" s="9"/>
      <c r="B83" s="7"/>
      <c r="C83" s="11"/>
      <c r="F83" s="8"/>
      <c r="G83" s="8"/>
      <c r="H83" s="9"/>
      <c r="I83" s="12"/>
      <c r="J83" s="10"/>
      <c r="K83" s="13"/>
      <c r="L83" s="10"/>
    </row>
    <row r="84" spans="1:12" ht="15.75" x14ac:dyDescent="0.2">
      <c r="A84" s="9"/>
      <c r="B84" s="7"/>
      <c r="C84" s="11"/>
      <c r="F84" s="8"/>
      <c r="G84" s="8"/>
      <c r="H84" s="9"/>
      <c r="I84" s="12"/>
      <c r="J84" s="10"/>
      <c r="K84" s="13"/>
      <c r="L84" s="10"/>
    </row>
    <row r="85" spans="1:12" ht="15.75" x14ac:dyDescent="0.2">
      <c r="A85" s="9"/>
      <c r="B85" s="7"/>
      <c r="C85" s="11"/>
      <c r="F85" s="8"/>
      <c r="G85" s="8"/>
      <c r="H85" s="9"/>
      <c r="I85" s="12"/>
      <c r="J85" s="10"/>
      <c r="K85" s="13"/>
      <c r="L85" s="10"/>
    </row>
    <row r="86" spans="1:12" ht="15.75" x14ac:dyDescent="0.2">
      <c r="A86" s="9"/>
      <c r="B86" s="7"/>
      <c r="C86" s="11"/>
      <c r="F86" s="8"/>
      <c r="G86" s="8"/>
      <c r="H86" s="9"/>
      <c r="I86" s="12"/>
      <c r="J86" s="10"/>
      <c r="K86" s="13"/>
      <c r="L86" s="10"/>
    </row>
    <row r="87" spans="1:12" ht="15.75" x14ac:dyDescent="0.2">
      <c r="A87" s="9"/>
      <c r="B87" s="7"/>
      <c r="C87" s="11"/>
      <c r="F87" s="8"/>
      <c r="G87" s="8"/>
      <c r="H87" s="9"/>
      <c r="I87" s="12"/>
      <c r="J87" s="10"/>
      <c r="K87" s="13"/>
      <c r="L87" s="10"/>
    </row>
    <row r="88" spans="1:12" ht="15.75" x14ac:dyDescent="0.2">
      <c r="A88" s="9"/>
      <c r="B88" s="7"/>
      <c r="C88" s="11"/>
      <c r="F88" s="8"/>
      <c r="G88" s="8"/>
      <c r="H88" s="9"/>
      <c r="I88" s="12"/>
      <c r="J88" s="10"/>
      <c r="K88" s="13"/>
      <c r="L88" s="10"/>
    </row>
    <row r="89" spans="1:12" ht="15.75" x14ac:dyDescent="0.2">
      <c r="A89" s="9"/>
      <c r="B89" s="7"/>
      <c r="C89" s="11"/>
      <c r="F89" s="8"/>
      <c r="G89" s="8"/>
      <c r="H89" s="9"/>
      <c r="I89" s="12"/>
      <c r="J89" s="10"/>
      <c r="K89" s="13"/>
      <c r="L89" s="10"/>
    </row>
    <row r="90" spans="1:12" ht="15.75" x14ac:dyDescent="0.2">
      <c r="A90" s="9"/>
      <c r="B90" s="7"/>
      <c r="C90" s="11"/>
      <c r="F90" s="8"/>
      <c r="G90" s="8"/>
      <c r="H90" s="9"/>
      <c r="I90" s="12"/>
      <c r="J90" s="10"/>
      <c r="K90" s="13"/>
      <c r="L90" s="10"/>
    </row>
    <row r="91" spans="1:12" ht="15.75" x14ac:dyDescent="0.2">
      <c r="A91" s="9"/>
      <c r="B91" s="7"/>
      <c r="C91" s="11"/>
      <c r="F91" s="8"/>
      <c r="G91" s="8"/>
      <c r="H91" s="9"/>
      <c r="I91" s="12"/>
      <c r="J91" s="10"/>
      <c r="K91" s="13"/>
      <c r="L91" s="10"/>
    </row>
    <row r="92" spans="1:12" ht="15.75" x14ac:dyDescent="0.2">
      <c r="A92" s="9"/>
      <c r="B92" s="7"/>
      <c r="C92" s="11"/>
      <c r="F92" s="8"/>
      <c r="G92" s="8"/>
      <c r="H92" s="9"/>
      <c r="I92" s="12"/>
      <c r="J92" s="10"/>
      <c r="K92" s="13"/>
      <c r="L92" s="10"/>
    </row>
    <row r="93" spans="1:12" ht="15.75" x14ac:dyDescent="0.2">
      <c r="A93" s="9"/>
      <c r="B93" s="7"/>
      <c r="C93" s="11"/>
      <c r="F93" s="8"/>
      <c r="G93" s="8"/>
      <c r="H93" s="9"/>
      <c r="I93" s="12"/>
      <c r="J93" s="10"/>
      <c r="K93" s="13"/>
      <c r="L93" s="10"/>
    </row>
    <row r="94" spans="1:12" ht="15.75" x14ac:dyDescent="0.2">
      <c r="A94" s="9"/>
      <c r="B94" s="7"/>
      <c r="C94" s="11"/>
      <c r="F94" s="8"/>
      <c r="G94" s="8"/>
      <c r="H94" s="9"/>
      <c r="I94" s="12"/>
      <c r="J94" s="10"/>
      <c r="K94" s="13"/>
      <c r="L94" s="10"/>
    </row>
    <row r="95" spans="1:12" ht="15.75" x14ac:dyDescent="0.2">
      <c r="A95" s="9"/>
      <c r="B95" s="7"/>
      <c r="C95" s="11"/>
      <c r="F95" s="8"/>
      <c r="G95" s="8"/>
      <c r="H95" s="9"/>
      <c r="I95" s="12"/>
      <c r="J95" s="10"/>
      <c r="K95" s="13"/>
      <c r="L95" s="10"/>
    </row>
    <row r="96" spans="1:12" ht="15.75" x14ac:dyDescent="0.2">
      <c r="A96" s="9"/>
      <c r="B96" s="7"/>
      <c r="C96" s="11"/>
      <c r="F96" s="8"/>
      <c r="G96" s="8"/>
      <c r="H96" s="9"/>
      <c r="I96" s="12"/>
      <c r="J96" s="10"/>
      <c r="K96" s="13"/>
      <c r="L96" s="10"/>
    </row>
    <row r="97" spans="1:12" ht="15.75" x14ac:dyDescent="0.2">
      <c r="A97" s="9"/>
      <c r="B97" s="7"/>
      <c r="C97" s="11"/>
      <c r="F97" s="8"/>
      <c r="G97" s="8"/>
      <c r="H97" s="9"/>
      <c r="I97" s="12"/>
      <c r="J97" s="10"/>
      <c r="K97" s="13"/>
      <c r="L97" s="10"/>
    </row>
    <row r="98" spans="1:12" ht="15.75" x14ac:dyDescent="0.2">
      <c r="A98" s="9"/>
      <c r="B98" s="7"/>
      <c r="C98" s="11"/>
      <c r="F98" s="8"/>
      <c r="G98" s="8"/>
      <c r="H98" s="9"/>
      <c r="I98" s="12"/>
      <c r="J98" s="10"/>
      <c r="K98" s="13"/>
      <c r="L98" s="10"/>
    </row>
    <row r="99" spans="1:12" ht="15.75" x14ac:dyDescent="0.2">
      <c r="A99" s="9"/>
      <c r="B99" s="7"/>
      <c r="C99" s="11"/>
      <c r="F99" s="8"/>
      <c r="G99" s="8"/>
      <c r="H99" s="9"/>
      <c r="I99" s="12"/>
      <c r="J99" s="10"/>
      <c r="K99" s="13"/>
      <c r="L99" s="10"/>
    </row>
    <row r="100" spans="1:12" ht="15.75" x14ac:dyDescent="0.2">
      <c r="A100" s="9"/>
      <c r="B100" s="7"/>
      <c r="C100" s="11"/>
      <c r="F100" s="8"/>
      <c r="G100" s="8"/>
      <c r="H100" s="9"/>
      <c r="I100" s="12"/>
      <c r="J100" s="10"/>
      <c r="K100" s="13"/>
      <c r="L100" s="10"/>
    </row>
    <row r="101" spans="1:12" ht="15.75" x14ac:dyDescent="0.2">
      <c r="A101" s="9"/>
      <c r="B101" s="7"/>
      <c r="C101" s="11"/>
      <c r="F101" s="8"/>
      <c r="G101" s="8"/>
      <c r="H101" s="9"/>
      <c r="I101" s="12"/>
      <c r="J101" s="10"/>
      <c r="K101" s="13"/>
      <c r="L101" s="10"/>
    </row>
    <row r="102" spans="1:12" ht="15.75" x14ac:dyDescent="0.2">
      <c r="A102" s="9"/>
      <c r="B102" s="7"/>
      <c r="C102" s="11"/>
      <c r="F102" s="8"/>
      <c r="G102" s="8"/>
      <c r="H102" s="9"/>
      <c r="I102" s="12"/>
      <c r="J102" s="10"/>
      <c r="K102" s="13"/>
      <c r="L102" s="10"/>
    </row>
    <row r="103" spans="1:12" ht="15.75" x14ac:dyDescent="0.2">
      <c r="A103" s="9"/>
      <c r="B103" s="7"/>
      <c r="C103" s="11"/>
      <c r="F103" s="8"/>
      <c r="G103" s="8"/>
      <c r="H103" s="9"/>
      <c r="I103" s="12"/>
      <c r="J103" s="10"/>
      <c r="K103" s="13"/>
      <c r="L103" s="10"/>
    </row>
    <row r="104" spans="1:12" ht="15.75" x14ac:dyDescent="0.2">
      <c r="A104" s="9"/>
      <c r="B104" s="7"/>
      <c r="C104" s="11"/>
      <c r="F104" s="8"/>
      <c r="G104" s="8"/>
      <c r="H104" s="9"/>
      <c r="I104" s="12"/>
      <c r="J104" s="10"/>
      <c r="K104" s="13"/>
      <c r="L104" s="10"/>
    </row>
    <row r="105" spans="1:12" ht="15.75" x14ac:dyDescent="0.2">
      <c r="A105" s="9"/>
      <c r="B105" s="7"/>
      <c r="C105" s="11"/>
      <c r="F105" s="8"/>
      <c r="G105" s="8"/>
      <c r="H105" s="9"/>
      <c r="I105" s="12"/>
      <c r="J105" s="10"/>
      <c r="K105" s="13"/>
      <c r="L105" s="10"/>
    </row>
    <row r="106" spans="1:12" ht="15.75" x14ac:dyDescent="0.2">
      <c r="A106" s="9"/>
      <c r="B106" s="7"/>
      <c r="C106" s="11"/>
      <c r="F106" s="8"/>
      <c r="G106" s="8"/>
      <c r="H106" s="9"/>
      <c r="I106" s="12"/>
      <c r="J106" s="10"/>
      <c r="K106" s="13"/>
      <c r="L106" s="10"/>
    </row>
    <row r="107" spans="1:12" ht="15.75" x14ac:dyDescent="0.2">
      <c r="A107" s="9"/>
      <c r="B107" s="7"/>
      <c r="C107" s="11"/>
      <c r="F107" s="8"/>
      <c r="G107" s="8"/>
      <c r="H107" s="9"/>
      <c r="I107" s="12"/>
      <c r="J107" s="10"/>
      <c r="K107" s="13"/>
      <c r="L107" s="10"/>
    </row>
    <row r="108" spans="1:12" ht="15.75" x14ac:dyDescent="0.2">
      <c r="A108" s="9"/>
      <c r="B108" s="7"/>
      <c r="C108" s="11"/>
      <c r="F108" s="8"/>
      <c r="G108" s="8"/>
      <c r="H108" s="9"/>
      <c r="I108" s="12"/>
      <c r="J108" s="10"/>
      <c r="K108" s="13"/>
      <c r="L108" s="10"/>
    </row>
    <row r="109" spans="1:12" ht="15.75" x14ac:dyDescent="0.2">
      <c r="A109" s="9"/>
      <c r="B109" s="7"/>
      <c r="C109" s="11"/>
      <c r="F109" s="8"/>
      <c r="G109" s="8"/>
      <c r="H109" s="9"/>
      <c r="I109" s="12"/>
      <c r="J109" s="10"/>
      <c r="K109" s="13"/>
      <c r="L109" s="10"/>
    </row>
    <row r="110" spans="1:12" ht="15.75" x14ac:dyDescent="0.2">
      <c r="A110" s="9"/>
      <c r="B110" s="7"/>
      <c r="C110" s="11"/>
      <c r="F110" s="8"/>
      <c r="G110" s="8"/>
      <c r="H110" s="9"/>
      <c r="I110" s="12"/>
      <c r="J110" s="10"/>
      <c r="K110" s="13"/>
      <c r="L110" s="10"/>
    </row>
    <row r="111" spans="1:12" ht="15.75" x14ac:dyDescent="0.2">
      <c r="A111" s="9"/>
      <c r="B111" s="7"/>
      <c r="C111" s="11"/>
      <c r="F111" s="8"/>
      <c r="G111" s="8"/>
      <c r="H111" s="9"/>
      <c r="I111" s="12"/>
      <c r="J111" s="10"/>
      <c r="K111" s="13"/>
      <c r="L111" s="10"/>
    </row>
    <row r="112" spans="1:12" ht="15.75" x14ac:dyDescent="0.2">
      <c r="A112" s="9"/>
      <c r="B112" s="7"/>
      <c r="C112" s="11"/>
      <c r="F112" s="8"/>
      <c r="G112" s="8"/>
      <c r="H112" s="9"/>
      <c r="I112" s="12"/>
      <c r="J112" s="10"/>
      <c r="K112" s="13"/>
      <c r="L112" s="10"/>
    </row>
    <row r="113" spans="1:12" ht="15.75" x14ac:dyDescent="0.2">
      <c r="A113" s="9"/>
      <c r="B113" s="7"/>
      <c r="C113" s="11"/>
      <c r="F113" s="8"/>
      <c r="G113" s="8"/>
      <c r="H113" s="9"/>
      <c r="I113" s="12"/>
      <c r="J113" s="10"/>
      <c r="K113" s="13"/>
      <c r="L113" s="10"/>
    </row>
    <row r="114" spans="1:12" ht="15.75" x14ac:dyDescent="0.2">
      <c r="A114" s="9"/>
      <c r="B114" s="7"/>
      <c r="C114" s="11"/>
      <c r="F114" s="8"/>
      <c r="G114" s="8"/>
      <c r="H114" s="9"/>
      <c r="I114" s="12"/>
      <c r="J114" s="10"/>
      <c r="K114" s="13"/>
      <c r="L114" s="10"/>
    </row>
    <row r="115" spans="1:12" ht="15.75" x14ac:dyDescent="0.2">
      <c r="A115" s="9"/>
      <c r="B115" s="7"/>
      <c r="C115" s="11"/>
      <c r="F115" s="8"/>
      <c r="G115" s="8"/>
      <c r="H115" s="9"/>
      <c r="I115" s="12"/>
      <c r="J115" s="10"/>
      <c r="K115" s="13"/>
      <c r="L115" s="10"/>
    </row>
    <row r="116" spans="1:12" ht="15.75" x14ac:dyDescent="0.2">
      <c r="A116" s="9"/>
      <c r="B116" s="7"/>
      <c r="C116" s="11"/>
      <c r="F116" s="8"/>
      <c r="G116" s="8"/>
      <c r="H116" s="9"/>
      <c r="I116" s="12"/>
      <c r="J116" s="10"/>
      <c r="K116" s="13"/>
      <c r="L116" s="10"/>
    </row>
    <row r="117" spans="1:12" ht="15.75" x14ac:dyDescent="0.2">
      <c r="A117" s="9"/>
      <c r="B117" s="7"/>
      <c r="C117" s="11"/>
      <c r="F117" s="8"/>
      <c r="G117" s="8"/>
      <c r="H117" s="9"/>
      <c r="I117" s="12"/>
      <c r="J117" s="10"/>
      <c r="K117" s="13"/>
      <c r="L117" s="10"/>
    </row>
    <row r="118" spans="1:12" ht="15.75" x14ac:dyDescent="0.2">
      <c r="A118" s="9"/>
      <c r="B118" s="7"/>
      <c r="C118" s="11"/>
      <c r="F118" s="8"/>
      <c r="G118" s="8"/>
      <c r="H118" s="9"/>
      <c r="I118" s="12"/>
      <c r="J118" s="10"/>
      <c r="K118" s="13"/>
      <c r="L118" s="10"/>
    </row>
    <row r="119" spans="1:12" ht="15.75" x14ac:dyDescent="0.2">
      <c r="A119" s="9"/>
      <c r="B119" s="7"/>
      <c r="C119" s="11"/>
      <c r="F119" s="8"/>
      <c r="G119" s="8"/>
      <c r="H119" s="9"/>
      <c r="I119" s="12"/>
      <c r="J119" s="10"/>
      <c r="K119" s="13"/>
      <c r="L119" s="10"/>
    </row>
    <row r="120" spans="1:12" ht="15.75" x14ac:dyDescent="0.2">
      <c r="A120" s="9"/>
      <c r="B120" s="7"/>
      <c r="C120" s="11"/>
      <c r="F120" s="8"/>
      <c r="G120" s="8"/>
      <c r="H120" s="9"/>
      <c r="I120" s="12"/>
      <c r="J120" s="10"/>
      <c r="K120" s="13"/>
      <c r="L120" s="10"/>
    </row>
    <row r="121" spans="1:12" ht="15.75" x14ac:dyDescent="0.2">
      <c r="A121" s="9"/>
      <c r="B121" s="7"/>
      <c r="C121" s="11"/>
      <c r="F121" s="8"/>
      <c r="G121" s="8"/>
      <c r="H121" s="9"/>
      <c r="I121" s="12"/>
      <c r="J121" s="10"/>
      <c r="K121" s="13"/>
      <c r="L121" s="10"/>
    </row>
    <row r="122" spans="1:12" ht="15.75" x14ac:dyDescent="0.2">
      <c r="A122" s="9"/>
      <c r="B122" s="7"/>
      <c r="C122" s="11"/>
      <c r="F122" s="8"/>
      <c r="G122" s="8"/>
      <c r="H122" s="9"/>
      <c r="I122" s="12"/>
      <c r="J122" s="10"/>
      <c r="K122" s="13"/>
      <c r="L122" s="10"/>
    </row>
    <row r="123" spans="1:12" ht="15.75" x14ac:dyDescent="0.2">
      <c r="A123" s="9"/>
      <c r="B123" s="7"/>
      <c r="C123" s="11"/>
      <c r="F123" s="8"/>
      <c r="G123" s="8"/>
      <c r="H123" s="9"/>
      <c r="I123" s="12"/>
      <c r="J123" s="10"/>
      <c r="K123" s="13"/>
      <c r="L123" s="10"/>
    </row>
    <row r="124" spans="1:12" ht="15.75" x14ac:dyDescent="0.2">
      <c r="A124" s="9"/>
      <c r="B124" s="7"/>
      <c r="C124" s="11"/>
      <c r="F124" s="8"/>
      <c r="G124" s="8"/>
      <c r="H124" s="9"/>
      <c r="I124" s="12"/>
      <c r="J124" s="10"/>
      <c r="K124" s="13"/>
      <c r="L124" s="10"/>
    </row>
    <row r="125" spans="1:12" ht="15.75" x14ac:dyDescent="0.2">
      <c r="A125" s="9"/>
      <c r="B125" s="7"/>
      <c r="C125" s="11"/>
      <c r="F125" s="8"/>
      <c r="G125" s="8"/>
      <c r="H125" s="9"/>
      <c r="I125" s="12"/>
      <c r="J125" s="10"/>
      <c r="K125" s="13"/>
      <c r="L125" s="10"/>
    </row>
    <row r="126" spans="1:12" ht="15.75" x14ac:dyDescent="0.2">
      <c r="A126" s="9"/>
      <c r="B126" s="7"/>
      <c r="C126" s="11"/>
      <c r="F126" s="8"/>
      <c r="G126" s="8"/>
      <c r="H126" s="9"/>
      <c r="I126" s="12"/>
      <c r="J126" s="10"/>
      <c r="K126" s="13"/>
      <c r="L126" s="10"/>
    </row>
    <row r="127" spans="1:12" ht="15.75" x14ac:dyDescent="0.2">
      <c r="A127" s="9"/>
      <c r="B127" s="7"/>
      <c r="C127" s="11"/>
      <c r="F127" s="8"/>
      <c r="G127" s="8"/>
      <c r="H127" s="9"/>
      <c r="I127" s="12"/>
      <c r="J127" s="10"/>
      <c r="K127" s="13"/>
      <c r="L127" s="10"/>
    </row>
    <row r="128" spans="1:12" ht="15.75" x14ac:dyDescent="0.2">
      <c r="A128" s="9"/>
      <c r="B128" s="7"/>
      <c r="C128" s="11"/>
      <c r="F128" s="8"/>
      <c r="G128" s="8"/>
      <c r="H128" s="9"/>
      <c r="I128" s="12"/>
      <c r="J128" s="10"/>
      <c r="K128" s="13"/>
      <c r="L128" s="10"/>
    </row>
    <row r="129" spans="1:12" ht="15.75" x14ac:dyDescent="0.2">
      <c r="A129" s="9"/>
      <c r="B129" s="7"/>
      <c r="C129" s="11"/>
      <c r="F129" s="8"/>
      <c r="G129" s="8"/>
      <c r="H129" s="9"/>
      <c r="I129" s="12"/>
      <c r="J129" s="10"/>
      <c r="K129" s="13"/>
      <c r="L129" s="10"/>
    </row>
    <row r="130" spans="1:12" ht="15.75" x14ac:dyDescent="0.2">
      <c r="A130" s="9"/>
      <c r="B130" s="7"/>
      <c r="C130" s="11"/>
      <c r="F130" s="8"/>
      <c r="G130" s="8"/>
      <c r="H130" s="9"/>
      <c r="I130" s="12"/>
      <c r="J130" s="10"/>
      <c r="K130" s="13"/>
      <c r="L130" s="10"/>
    </row>
    <row r="131" spans="1:12" ht="15.75" x14ac:dyDescent="0.2">
      <c r="A131" s="9"/>
      <c r="B131" s="7"/>
      <c r="C131" s="11"/>
      <c r="F131" s="8"/>
      <c r="G131" s="8"/>
      <c r="H131" s="9"/>
      <c r="I131" s="12"/>
      <c r="J131" s="10"/>
      <c r="K131" s="13"/>
      <c r="L131" s="10"/>
    </row>
    <row r="132" spans="1:12" ht="15.75" x14ac:dyDescent="0.2">
      <c r="A132" s="9"/>
      <c r="B132" s="7"/>
      <c r="C132" s="11"/>
      <c r="F132" s="8"/>
      <c r="G132" s="8"/>
      <c r="H132" s="9"/>
      <c r="I132" s="12"/>
      <c r="J132" s="10"/>
      <c r="K132" s="13"/>
      <c r="L132" s="10"/>
    </row>
    <row r="133" spans="1:12" ht="15.75" x14ac:dyDescent="0.2">
      <c r="A133" s="9"/>
      <c r="B133" s="7"/>
      <c r="C133" s="11"/>
      <c r="F133" s="8"/>
      <c r="G133" s="8"/>
      <c r="H133" s="9"/>
      <c r="I133" s="12"/>
      <c r="J133" s="10"/>
      <c r="K133" s="13"/>
      <c r="L133" s="10"/>
    </row>
    <row r="134" spans="1:12" ht="15.75" x14ac:dyDescent="0.2">
      <c r="A134" s="9"/>
      <c r="B134" s="7"/>
      <c r="C134" s="11"/>
      <c r="F134" s="8"/>
      <c r="G134" s="8"/>
      <c r="H134" s="9"/>
      <c r="I134" s="12"/>
      <c r="J134" s="10"/>
      <c r="K134" s="13"/>
      <c r="L134" s="10"/>
    </row>
    <row r="135" spans="1:12" ht="15.75" x14ac:dyDescent="0.2">
      <c r="A135" s="9"/>
      <c r="B135" s="7"/>
      <c r="C135" s="11"/>
      <c r="F135" s="8"/>
      <c r="G135" s="8"/>
      <c r="H135" s="9"/>
      <c r="I135" s="12"/>
      <c r="J135" s="10"/>
      <c r="K135" s="13"/>
      <c r="L135" s="10"/>
    </row>
    <row r="136" spans="1:12" ht="15.75" x14ac:dyDescent="0.2">
      <c r="A136" s="9"/>
      <c r="B136" s="7"/>
      <c r="C136" s="11"/>
      <c r="F136" s="8"/>
      <c r="G136" s="8"/>
      <c r="H136" s="9"/>
      <c r="I136" s="12"/>
      <c r="J136" s="10"/>
      <c r="K136" s="13"/>
      <c r="L136" s="10"/>
    </row>
    <row r="137" spans="1:12" ht="15.75" x14ac:dyDescent="0.2">
      <c r="A137" s="9"/>
      <c r="B137" s="7"/>
      <c r="C137" s="11"/>
      <c r="F137" s="8"/>
      <c r="G137" s="8"/>
      <c r="H137" s="9"/>
      <c r="I137" s="12"/>
      <c r="J137" s="10"/>
      <c r="K137" s="13"/>
      <c r="L137" s="10"/>
    </row>
    <row r="138" spans="1:12" ht="15.75" x14ac:dyDescent="0.2">
      <c r="A138" s="9"/>
      <c r="B138" s="7"/>
      <c r="C138" s="11"/>
      <c r="F138" s="8"/>
      <c r="G138" s="8"/>
      <c r="H138" s="9"/>
      <c r="I138" s="12"/>
      <c r="J138" s="10"/>
      <c r="K138" s="13"/>
      <c r="L138" s="10"/>
    </row>
    <row r="139" spans="1:12" ht="15.75" x14ac:dyDescent="0.2">
      <c r="A139" s="9"/>
      <c r="B139" s="7"/>
      <c r="C139" s="11"/>
      <c r="F139" s="8"/>
      <c r="G139" s="8"/>
      <c r="H139" s="9"/>
      <c r="I139" s="12"/>
      <c r="J139" s="10"/>
      <c r="K139" s="13"/>
      <c r="L139" s="10"/>
    </row>
    <row r="140" spans="1:12" ht="15.75" x14ac:dyDescent="0.2">
      <c r="A140" s="9"/>
      <c r="B140" s="7"/>
      <c r="C140" s="11"/>
      <c r="F140" s="8"/>
      <c r="G140" s="8"/>
      <c r="H140" s="9"/>
      <c r="I140" s="12"/>
      <c r="J140" s="10"/>
      <c r="K140" s="13"/>
      <c r="L140" s="10"/>
    </row>
    <row r="141" spans="1:12" ht="15.75" x14ac:dyDescent="0.2">
      <c r="A141" s="9"/>
      <c r="B141" s="7"/>
      <c r="C141" s="11"/>
      <c r="F141" s="8"/>
      <c r="G141" s="8"/>
      <c r="H141" s="9"/>
      <c r="I141" s="12"/>
      <c r="J141" s="10"/>
      <c r="K141" s="13"/>
      <c r="L141" s="10"/>
    </row>
    <row r="142" spans="1:12" ht="15.75" x14ac:dyDescent="0.2">
      <c r="A142" s="9"/>
      <c r="B142" s="7"/>
      <c r="C142" s="11"/>
      <c r="F142" s="8"/>
      <c r="G142" s="8"/>
      <c r="H142" s="9"/>
      <c r="I142" s="12"/>
      <c r="J142" s="10"/>
      <c r="K142" s="13"/>
      <c r="L142" s="10"/>
    </row>
    <row r="143" spans="1:12" ht="15.75" x14ac:dyDescent="0.2">
      <c r="A143" s="9"/>
      <c r="B143" s="7"/>
      <c r="C143" s="11"/>
      <c r="F143" s="8"/>
      <c r="G143" s="8"/>
      <c r="H143" s="9"/>
      <c r="I143" s="12"/>
      <c r="J143" s="10"/>
      <c r="K143" s="13"/>
      <c r="L143" s="10"/>
    </row>
    <row r="144" spans="1:12" ht="15.75" x14ac:dyDescent="0.2">
      <c r="A144" s="9"/>
      <c r="B144" s="7"/>
      <c r="C144" s="11"/>
      <c r="F144" s="8"/>
      <c r="G144" s="8"/>
      <c r="H144" s="9"/>
      <c r="I144" s="12"/>
      <c r="J144" s="10"/>
      <c r="K144" s="13"/>
      <c r="L144" s="10"/>
    </row>
    <row r="145" spans="1:12" ht="15.75" x14ac:dyDescent="0.2">
      <c r="A145" s="9"/>
      <c r="B145" s="7"/>
      <c r="C145" s="11"/>
      <c r="F145" s="8"/>
      <c r="G145" s="8"/>
      <c r="H145" s="9"/>
      <c r="I145" s="12"/>
      <c r="J145" s="10"/>
      <c r="K145" s="13"/>
      <c r="L145" s="10"/>
    </row>
    <row r="146" spans="1:12" ht="15.75" x14ac:dyDescent="0.2">
      <c r="A146" s="9"/>
      <c r="B146" s="7"/>
      <c r="C146" s="11"/>
      <c r="F146" s="8"/>
      <c r="G146" s="8"/>
      <c r="H146" s="9"/>
      <c r="I146" s="12"/>
      <c r="J146" s="10"/>
      <c r="K146" s="13"/>
      <c r="L146" s="10"/>
    </row>
    <row r="147" spans="1:12" ht="15.75" x14ac:dyDescent="0.2">
      <c r="A147" s="9"/>
      <c r="B147" s="7"/>
      <c r="C147" s="11"/>
      <c r="F147" s="8"/>
      <c r="G147" s="8"/>
      <c r="H147" s="9"/>
      <c r="I147" s="12"/>
      <c r="J147" s="10"/>
      <c r="K147" s="13"/>
      <c r="L147" s="10"/>
    </row>
    <row r="148" spans="1:12" ht="15.75" x14ac:dyDescent="0.2">
      <c r="A148" s="9"/>
      <c r="B148" s="7"/>
      <c r="C148" s="11"/>
      <c r="F148" s="8"/>
      <c r="G148" s="8"/>
      <c r="H148" s="9"/>
      <c r="I148" s="12"/>
      <c r="J148" s="10"/>
      <c r="K148" s="13"/>
      <c r="L148" s="10"/>
    </row>
    <row r="149" spans="1:12" ht="15.75" x14ac:dyDescent="0.2">
      <c r="A149" s="9"/>
      <c r="B149" s="7"/>
      <c r="C149" s="11"/>
      <c r="F149" s="8"/>
      <c r="G149" s="8"/>
      <c r="H149" s="9"/>
      <c r="I149" s="12"/>
      <c r="J149" s="10"/>
      <c r="K149" s="13"/>
      <c r="L149" s="10"/>
    </row>
    <row r="150" spans="1:12" ht="15.75" x14ac:dyDescent="0.2">
      <c r="A150" s="9"/>
      <c r="B150" s="7"/>
      <c r="C150" s="11"/>
      <c r="F150" s="8"/>
      <c r="G150" s="8"/>
      <c r="H150" s="9"/>
      <c r="I150" s="12"/>
      <c r="J150" s="10"/>
      <c r="K150" s="13"/>
      <c r="L150" s="10"/>
    </row>
    <row r="151" spans="1:12" ht="15.75" x14ac:dyDescent="0.2">
      <c r="A151" s="9"/>
      <c r="B151" s="7"/>
      <c r="C151" s="11"/>
      <c r="F151" s="8"/>
      <c r="G151" s="8"/>
      <c r="H151" s="9"/>
      <c r="I151" s="12"/>
      <c r="J151" s="10"/>
      <c r="K151" s="13"/>
      <c r="L151" s="10"/>
    </row>
    <row r="152" spans="1:12" ht="15.75" x14ac:dyDescent="0.2">
      <c r="A152" s="9"/>
      <c r="B152" s="7"/>
      <c r="C152" s="11"/>
      <c r="F152" s="8"/>
      <c r="G152" s="8"/>
      <c r="H152" s="9"/>
      <c r="I152" s="12"/>
      <c r="J152" s="10"/>
      <c r="K152" s="13"/>
      <c r="L152" s="10"/>
    </row>
    <row r="153" spans="1:12" ht="15.75" x14ac:dyDescent="0.2">
      <c r="A153" s="9"/>
      <c r="B153" s="7"/>
      <c r="C153" s="11"/>
      <c r="F153" s="8"/>
      <c r="G153" s="8"/>
      <c r="H153" s="9"/>
      <c r="I153" s="12"/>
      <c r="J153" s="10"/>
      <c r="K153" s="13"/>
      <c r="L153" s="10"/>
    </row>
    <row r="154" spans="1:12" ht="15.75" x14ac:dyDescent="0.2">
      <c r="A154" s="9"/>
      <c r="B154" s="7"/>
      <c r="C154" s="11"/>
      <c r="F154" s="8"/>
      <c r="G154" s="8"/>
      <c r="H154" s="9"/>
      <c r="I154" s="12"/>
      <c r="J154" s="10"/>
      <c r="K154" s="13"/>
      <c r="L154" s="10"/>
    </row>
    <row r="155" spans="1:12" ht="15.75" x14ac:dyDescent="0.2">
      <c r="A155" s="9"/>
      <c r="B155" s="7"/>
      <c r="C155" s="11"/>
      <c r="F155" s="8"/>
      <c r="G155" s="8"/>
      <c r="H155" s="9"/>
      <c r="I155" s="12"/>
      <c r="J155" s="10"/>
      <c r="K155" s="13"/>
      <c r="L155" s="10"/>
    </row>
    <row r="156" spans="1:12" ht="15.75" x14ac:dyDescent="0.2">
      <c r="A156" s="9"/>
      <c r="B156" s="7"/>
      <c r="C156" s="11"/>
      <c r="F156" s="8"/>
      <c r="G156" s="8"/>
      <c r="H156" s="9"/>
      <c r="I156" s="12"/>
      <c r="J156" s="10"/>
      <c r="K156" s="13"/>
      <c r="L156" s="10"/>
    </row>
    <row r="157" spans="1:12" ht="15.75" x14ac:dyDescent="0.2">
      <c r="A157" s="9"/>
      <c r="B157" s="7"/>
      <c r="C157" s="11"/>
      <c r="F157" s="8"/>
      <c r="G157" s="8"/>
      <c r="H157" s="9"/>
      <c r="I157" s="12"/>
      <c r="J157" s="10"/>
      <c r="K157" s="13"/>
      <c r="L157" s="10"/>
    </row>
    <row r="158" spans="1:12" ht="15.75" x14ac:dyDescent="0.2">
      <c r="A158" s="9"/>
      <c r="B158" s="7"/>
      <c r="C158" s="11"/>
      <c r="F158" s="8"/>
      <c r="G158" s="8"/>
      <c r="H158" s="9"/>
      <c r="I158" s="12"/>
      <c r="J158" s="10"/>
      <c r="K158" s="13"/>
      <c r="L158" s="10"/>
    </row>
    <row r="159" spans="1:12" ht="15.75" x14ac:dyDescent="0.2">
      <c r="A159" s="9"/>
      <c r="B159" s="7"/>
      <c r="C159" s="11"/>
      <c r="F159" s="8"/>
      <c r="G159" s="8"/>
      <c r="H159" s="9"/>
      <c r="I159" s="12"/>
      <c r="J159" s="10"/>
      <c r="K159" s="13"/>
      <c r="L159" s="10"/>
    </row>
    <row r="160" spans="1:12" ht="15.75" x14ac:dyDescent="0.2">
      <c r="A160" s="9"/>
      <c r="B160" s="7"/>
      <c r="C160" s="11"/>
      <c r="F160" s="8"/>
      <c r="G160" s="8"/>
      <c r="H160" s="9"/>
      <c r="I160" s="12"/>
      <c r="J160" s="10"/>
      <c r="K160" s="13"/>
      <c r="L160" s="10"/>
    </row>
    <row r="161" spans="1:12" ht="15.75" x14ac:dyDescent="0.2">
      <c r="A161" s="9"/>
      <c r="B161" s="7"/>
      <c r="C161" s="11"/>
      <c r="F161" s="8"/>
      <c r="G161" s="8"/>
      <c r="H161" s="9"/>
      <c r="I161" s="12"/>
      <c r="J161" s="10"/>
      <c r="K161" s="13"/>
      <c r="L161" s="10"/>
    </row>
    <row r="162" spans="1:12" ht="15.75" x14ac:dyDescent="0.2">
      <c r="A162" s="9"/>
      <c r="B162" s="7"/>
      <c r="C162" s="11"/>
      <c r="F162" s="8"/>
      <c r="G162" s="8"/>
      <c r="H162" s="9"/>
      <c r="I162" s="12"/>
      <c r="J162" s="10"/>
      <c r="K162" s="13"/>
      <c r="L162" s="10"/>
    </row>
    <row r="163" spans="1:12" ht="15.75" x14ac:dyDescent="0.2">
      <c r="A163" s="9"/>
      <c r="B163" s="7"/>
      <c r="C163" s="11"/>
      <c r="F163" s="8"/>
      <c r="G163" s="8"/>
      <c r="H163" s="9"/>
      <c r="I163" s="12"/>
      <c r="J163" s="10"/>
      <c r="K163" s="13"/>
      <c r="L163" s="10"/>
    </row>
    <row r="164" spans="1:12" ht="15.75" x14ac:dyDescent="0.2">
      <c r="A164" s="9"/>
      <c r="B164" s="7"/>
      <c r="C164" s="11"/>
      <c r="F164" s="8"/>
      <c r="G164" s="8"/>
      <c r="H164" s="9"/>
      <c r="I164" s="12"/>
      <c r="J164" s="10"/>
      <c r="K164" s="13"/>
      <c r="L164" s="10"/>
    </row>
    <row r="165" spans="1:12" ht="15.75" x14ac:dyDescent="0.2">
      <c r="A165" s="9"/>
      <c r="B165" s="7"/>
      <c r="C165" s="11"/>
      <c r="F165" s="8"/>
      <c r="G165" s="8"/>
      <c r="H165" s="9"/>
      <c r="I165" s="12"/>
      <c r="J165" s="10"/>
      <c r="K165" s="13"/>
      <c r="L165" s="10"/>
    </row>
    <row r="166" spans="1:12" ht="15.75" x14ac:dyDescent="0.2">
      <c r="A166" s="9"/>
      <c r="B166" s="7"/>
      <c r="C166" s="11"/>
      <c r="F166" s="8"/>
      <c r="G166" s="8"/>
      <c r="H166" s="9"/>
      <c r="I166" s="12"/>
      <c r="J166" s="10"/>
      <c r="K166" s="13"/>
      <c r="L166" s="10"/>
    </row>
    <row r="167" spans="1:12" ht="15.75" x14ac:dyDescent="0.2">
      <c r="A167" s="9"/>
      <c r="B167" s="7"/>
      <c r="C167" s="11"/>
      <c r="F167" s="8"/>
      <c r="G167" s="8"/>
      <c r="H167" s="9"/>
      <c r="I167" s="12"/>
      <c r="J167" s="10"/>
      <c r="K167" s="13"/>
      <c r="L167" s="10"/>
    </row>
    <row r="168" spans="1:12" ht="15.75" x14ac:dyDescent="0.2">
      <c r="A168" s="9"/>
      <c r="B168" s="7"/>
      <c r="C168" s="11"/>
      <c r="F168" s="8"/>
      <c r="G168" s="8"/>
      <c r="H168" s="9"/>
      <c r="I168" s="12"/>
      <c r="J168" s="10"/>
      <c r="K168" s="13"/>
      <c r="L168" s="10"/>
    </row>
    <row r="169" spans="1:12" ht="15.75" x14ac:dyDescent="0.2">
      <c r="A169" s="9"/>
      <c r="B169" s="7"/>
      <c r="C169" s="11"/>
      <c r="F169" s="8"/>
      <c r="G169" s="8"/>
      <c r="H169" s="9"/>
      <c r="I169" s="12"/>
      <c r="J169" s="10"/>
      <c r="K169" s="13"/>
      <c r="L169" s="10"/>
    </row>
    <row r="170" spans="1:12" ht="15.75" x14ac:dyDescent="0.2">
      <c r="A170" s="9"/>
      <c r="B170" s="7"/>
      <c r="C170" s="11"/>
      <c r="F170" s="8"/>
      <c r="G170" s="8"/>
      <c r="H170" s="9"/>
      <c r="I170" s="12"/>
      <c r="J170" s="10"/>
      <c r="K170" s="13"/>
      <c r="L170" s="10"/>
    </row>
    <row r="171" spans="1:12" ht="15.75" x14ac:dyDescent="0.2">
      <c r="A171" s="9"/>
      <c r="B171" s="7"/>
      <c r="C171" s="11"/>
      <c r="F171" s="8"/>
      <c r="G171" s="8"/>
      <c r="H171" s="9"/>
      <c r="I171" s="12"/>
      <c r="J171" s="10"/>
      <c r="K171" s="13"/>
      <c r="L171" s="10"/>
    </row>
    <row r="172" spans="1:12" ht="15.75" x14ac:dyDescent="0.2">
      <c r="A172" s="9"/>
      <c r="B172" s="7"/>
      <c r="C172" s="11"/>
      <c r="F172" s="8"/>
      <c r="G172" s="8"/>
      <c r="H172" s="9"/>
      <c r="I172" s="12"/>
      <c r="J172" s="10"/>
      <c r="K172" s="13"/>
      <c r="L172" s="10"/>
    </row>
    <row r="173" spans="1:12" ht="15.75" x14ac:dyDescent="0.2">
      <c r="A173" s="9"/>
      <c r="B173" s="7"/>
      <c r="C173" s="11"/>
      <c r="F173" s="8"/>
      <c r="G173" s="8"/>
      <c r="H173" s="9"/>
      <c r="I173" s="12"/>
      <c r="J173" s="10"/>
      <c r="K173" s="13"/>
      <c r="L173" s="10"/>
    </row>
    <row r="174" spans="1:12" ht="15.75" x14ac:dyDescent="0.2">
      <c r="A174" s="9"/>
      <c r="B174" s="7"/>
      <c r="C174" s="11"/>
      <c r="F174" s="8"/>
      <c r="G174" s="8"/>
      <c r="H174" s="9"/>
      <c r="I174" s="12"/>
      <c r="J174" s="10"/>
      <c r="K174" s="13"/>
      <c r="L174" s="10"/>
    </row>
    <row r="175" spans="1:12" ht="15.75" x14ac:dyDescent="0.2">
      <c r="A175" s="9"/>
      <c r="B175" s="7"/>
      <c r="C175" s="11"/>
      <c r="F175" s="8"/>
      <c r="G175" s="8"/>
      <c r="H175" s="9"/>
      <c r="I175" s="12"/>
      <c r="J175" s="10"/>
      <c r="K175" s="13"/>
      <c r="L175" s="10"/>
    </row>
    <row r="176" spans="1:12" ht="15.75" x14ac:dyDescent="0.2">
      <c r="A176" s="9"/>
      <c r="B176" s="7"/>
      <c r="C176" s="11"/>
      <c r="F176" s="8"/>
      <c r="G176" s="8"/>
      <c r="H176" s="9"/>
      <c r="I176" s="12"/>
      <c r="J176" s="10"/>
      <c r="K176" s="13"/>
      <c r="L176" s="10"/>
    </row>
    <row r="177" spans="1:12" ht="15.75" x14ac:dyDescent="0.2">
      <c r="A177" s="9"/>
      <c r="B177" s="7"/>
      <c r="C177" s="11"/>
      <c r="F177" s="8"/>
      <c r="G177" s="8"/>
      <c r="H177" s="9"/>
      <c r="I177" s="12"/>
      <c r="J177" s="10"/>
      <c r="K177" s="13"/>
      <c r="L177" s="10"/>
    </row>
    <row r="178" spans="1:12" ht="15.75" x14ac:dyDescent="0.2">
      <c r="A178" s="9"/>
      <c r="B178" s="7"/>
      <c r="C178" s="11"/>
      <c r="F178" s="8"/>
      <c r="G178" s="8"/>
      <c r="H178" s="9"/>
      <c r="I178" s="12"/>
      <c r="J178" s="10"/>
      <c r="K178" s="13"/>
      <c r="L178" s="10"/>
    </row>
    <row r="179" spans="1:12" ht="15.75" x14ac:dyDescent="0.2">
      <c r="A179" s="9"/>
      <c r="B179" s="7"/>
      <c r="C179" s="11"/>
      <c r="F179" s="8"/>
      <c r="G179" s="8"/>
      <c r="H179" s="9"/>
      <c r="I179" s="12"/>
      <c r="J179" s="10"/>
      <c r="K179" s="13"/>
      <c r="L179" s="10"/>
    </row>
    <row r="180" spans="1:12" ht="15.75" x14ac:dyDescent="0.2">
      <c r="A180" s="9"/>
      <c r="B180" s="7"/>
      <c r="C180" s="11"/>
      <c r="F180" s="8"/>
      <c r="G180" s="8"/>
      <c r="H180" s="9"/>
      <c r="I180" s="12"/>
      <c r="J180" s="10"/>
      <c r="K180" s="13"/>
      <c r="L180" s="10"/>
    </row>
    <row r="181" spans="1:12" ht="15.75" x14ac:dyDescent="0.2">
      <c r="A181" s="9"/>
      <c r="B181" s="7"/>
      <c r="C181" s="11"/>
      <c r="F181" s="8"/>
      <c r="G181" s="8"/>
      <c r="H181" s="9"/>
      <c r="I181" s="12"/>
      <c r="J181" s="10"/>
      <c r="K181" s="13"/>
      <c r="L181" s="10"/>
    </row>
    <row r="182" spans="1:12" ht="15.75" x14ac:dyDescent="0.2">
      <c r="A182" s="9"/>
      <c r="B182" s="7"/>
      <c r="C182" s="11"/>
      <c r="F182" s="8"/>
      <c r="G182" s="8"/>
      <c r="H182" s="9"/>
      <c r="I182" s="12"/>
      <c r="J182" s="10"/>
      <c r="K182" s="13"/>
      <c r="L182" s="10"/>
    </row>
    <row r="183" spans="1:12" ht="15.75" x14ac:dyDescent="0.2">
      <c r="A183" s="9"/>
      <c r="B183" s="7"/>
      <c r="C183" s="11"/>
      <c r="F183" s="8"/>
      <c r="G183" s="8"/>
      <c r="H183" s="9"/>
      <c r="I183" s="12"/>
      <c r="J183" s="10"/>
      <c r="K183" s="13"/>
      <c r="L183" s="10"/>
    </row>
    <row r="184" spans="1:12" ht="15.75" x14ac:dyDescent="0.2">
      <c r="A184" s="9"/>
      <c r="B184" s="7"/>
      <c r="C184" s="11"/>
      <c r="F184" s="8"/>
      <c r="G184" s="8"/>
      <c r="H184" s="9"/>
      <c r="I184" s="12"/>
      <c r="J184" s="10"/>
      <c r="K184" s="13"/>
      <c r="L184" s="10"/>
    </row>
    <row r="185" spans="1:12" ht="15.75" x14ac:dyDescent="0.2">
      <c r="A185" s="9"/>
      <c r="B185" s="7"/>
      <c r="C185" s="11"/>
      <c r="F185" s="8"/>
      <c r="G185" s="8"/>
      <c r="H185" s="9"/>
      <c r="I185" s="12"/>
      <c r="J185" s="10"/>
      <c r="K185" s="13"/>
      <c r="L185" s="10"/>
    </row>
    <row r="186" spans="1:12" ht="15.75" x14ac:dyDescent="0.2">
      <c r="A186" s="9"/>
      <c r="B186" s="7"/>
      <c r="C186" s="11"/>
      <c r="F186" s="8"/>
      <c r="G186" s="8"/>
      <c r="H186" s="9"/>
      <c r="I186" s="12"/>
      <c r="J186" s="10"/>
      <c r="K186" s="13"/>
      <c r="L186" s="10"/>
    </row>
    <row r="187" spans="1:12" ht="15.75" x14ac:dyDescent="0.2">
      <c r="A187" s="9"/>
      <c r="B187" s="7"/>
      <c r="C187" s="11"/>
      <c r="F187" s="8"/>
      <c r="G187" s="8"/>
      <c r="H187" s="9"/>
      <c r="I187" s="12"/>
      <c r="J187" s="10"/>
      <c r="K187" s="13"/>
      <c r="L187" s="10"/>
    </row>
    <row r="188" spans="1:12" ht="15.75" x14ac:dyDescent="0.2">
      <c r="A188" s="9"/>
      <c r="B188" s="7"/>
      <c r="C188" s="11"/>
      <c r="F188" s="8"/>
      <c r="G188" s="8"/>
      <c r="H188" s="9"/>
      <c r="I188" s="12"/>
      <c r="J188" s="10"/>
      <c r="K188" s="13"/>
      <c r="L188" s="10"/>
    </row>
    <row r="189" spans="1:12" ht="15.75" x14ac:dyDescent="0.2">
      <c r="A189" s="9"/>
      <c r="B189" s="7"/>
      <c r="C189" s="11"/>
      <c r="F189" s="8"/>
      <c r="G189" s="8"/>
      <c r="H189" s="9"/>
      <c r="I189" s="12"/>
      <c r="J189" s="10"/>
      <c r="K189" s="13"/>
      <c r="L189" s="10"/>
    </row>
    <row r="190" spans="1:12" ht="15.75" x14ac:dyDescent="0.2">
      <c r="A190" s="9"/>
      <c r="B190" s="7"/>
      <c r="C190" s="11"/>
      <c r="F190" s="8"/>
      <c r="G190" s="8"/>
      <c r="H190" s="9"/>
      <c r="I190" s="12"/>
      <c r="J190" s="10"/>
      <c r="K190" s="13"/>
      <c r="L190" s="10"/>
    </row>
    <row r="191" spans="1:12" ht="15.75" x14ac:dyDescent="0.2">
      <c r="A191" s="9"/>
      <c r="B191" s="7"/>
      <c r="C191" s="11"/>
      <c r="F191" s="8"/>
      <c r="G191" s="8"/>
      <c r="H191" s="9"/>
      <c r="I191" s="12"/>
      <c r="J191" s="10"/>
      <c r="K191" s="13"/>
      <c r="L191" s="10"/>
    </row>
    <row r="192" spans="1:12" ht="15.75" x14ac:dyDescent="0.2">
      <c r="A192" s="9"/>
      <c r="B192" s="7"/>
      <c r="C192" s="11"/>
      <c r="F192" s="8"/>
      <c r="G192" s="8"/>
      <c r="H192" s="9"/>
      <c r="I192" s="12"/>
      <c r="J192" s="10"/>
      <c r="K192" s="13"/>
      <c r="L192" s="10"/>
    </row>
    <row r="193" spans="1:12" ht="15.75" x14ac:dyDescent="0.2">
      <c r="A193" s="9"/>
      <c r="B193" s="7"/>
      <c r="C193" s="11"/>
      <c r="F193" s="8"/>
      <c r="G193" s="8"/>
      <c r="H193" s="9"/>
      <c r="I193" s="12"/>
      <c r="J193" s="10"/>
      <c r="K193" s="13"/>
      <c r="L193" s="10"/>
    </row>
    <row r="194" spans="1:12" ht="15.75" x14ac:dyDescent="0.2">
      <c r="A194" s="9"/>
      <c r="B194" s="7"/>
      <c r="C194" s="11"/>
      <c r="F194" s="8"/>
      <c r="G194" s="8"/>
      <c r="H194" s="9"/>
      <c r="I194" s="12"/>
      <c r="J194" s="10"/>
      <c r="K194" s="13"/>
      <c r="L194" s="10"/>
    </row>
    <row r="195" spans="1:12" ht="15.75" x14ac:dyDescent="0.2">
      <c r="A195" s="9"/>
      <c r="B195" s="7"/>
      <c r="C195" s="11"/>
      <c r="F195" s="8"/>
      <c r="G195" s="8"/>
      <c r="H195" s="9"/>
      <c r="I195" s="12"/>
      <c r="J195" s="10"/>
      <c r="K195" s="13"/>
      <c r="L195" s="10"/>
    </row>
    <row r="196" spans="1:12" ht="15.75" x14ac:dyDescent="0.2">
      <c r="A196" s="9"/>
      <c r="B196" s="7"/>
      <c r="C196" s="11"/>
      <c r="F196" s="8"/>
      <c r="G196" s="8"/>
      <c r="H196" s="9"/>
      <c r="I196" s="12"/>
      <c r="J196" s="10"/>
      <c r="K196" s="13"/>
      <c r="L196" s="10"/>
    </row>
    <row r="197" spans="1:12" ht="15.75" x14ac:dyDescent="0.2">
      <c r="A197" s="9"/>
      <c r="B197" s="7"/>
      <c r="C197" s="11"/>
      <c r="F197" s="8"/>
      <c r="G197" s="8"/>
      <c r="H197" s="9"/>
      <c r="I197" s="12"/>
      <c r="J197" s="10"/>
      <c r="K197" s="13"/>
      <c r="L197" s="10"/>
    </row>
    <row r="198" spans="1:12" ht="15.75" x14ac:dyDescent="0.2">
      <c r="A198" s="9"/>
      <c r="B198" s="7"/>
      <c r="C198" s="11"/>
      <c r="F198" s="8"/>
      <c r="G198" s="8"/>
      <c r="H198" s="9"/>
      <c r="I198" s="12"/>
      <c r="J198" s="10"/>
      <c r="K198" s="13"/>
      <c r="L198" s="10"/>
    </row>
    <row r="199" spans="1:12" ht="15.75" x14ac:dyDescent="0.2">
      <c r="A199" s="9"/>
      <c r="B199" s="7"/>
      <c r="C199" s="11"/>
      <c r="F199" s="8"/>
      <c r="G199" s="8"/>
      <c r="H199" s="9"/>
      <c r="I199" s="12"/>
      <c r="J199" s="10"/>
      <c r="K199" s="13"/>
      <c r="L199" s="10"/>
    </row>
    <row r="200" spans="1:12" ht="15.75" x14ac:dyDescent="0.2">
      <c r="A200" s="9"/>
      <c r="B200" s="7"/>
      <c r="C200" s="11"/>
      <c r="F200" s="8"/>
      <c r="G200" s="8"/>
      <c r="H200" s="9"/>
      <c r="I200" s="12"/>
      <c r="J200" s="10"/>
      <c r="K200" s="13"/>
      <c r="L200" s="10"/>
    </row>
    <row r="201" spans="1:12" ht="15.75" x14ac:dyDescent="0.2">
      <c r="A201" s="9"/>
      <c r="B201" s="7"/>
      <c r="C201" s="11"/>
      <c r="F201" s="8"/>
      <c r="G201" s="8"/>
      <c r="H201" s="9"/>
      <c r="I201" s="12"/>
      <c r="J201" s="10"/>
      <c r="K201" s="13"/>
      <c r="L201" s="10"/>
    </row>
    <row r="202" spans="1:12" ht="15.75" x14ac:dyDescent="0.2">
      <c r="A202" s="9"/>
      <c r="B202" s="7"/>
      <c r="C202" s="11"/>
      <c r="F202" s="8"/>
      <c r="G202" s="8"/>
      <c r="H202" s="9"/>
      <c r="I202" s="12"/>
      <c r="J202" s="10"/>
      <c r="K202" s="13"/>
      <c r="L202" s="10"/>
    </row>
    <row r="203" spans="1:12" ht="15.75" x14ac:dyDescent="0.2">
      <c r="A203" s="9"/>
      <c r="B203" s="7"/>
      <c r="C203" s="11"/>
      <c r="F203" s="8"/>
      <c r="G203" s="8"/>
      <c r="H203" s="9"/>
      <c r="I203" s="12"/>
      <c r="J203" s="10"/>
      <c r="K203" s="13"/>
      <c r="L203" s="10"/>
    </row>
    <row r="204" spans="1:12" ht="15.75" x14ac:dyDescent="0.2">
      <c r="A204" s="9"/>
      <c r="B204" s="7"/>
      <c r="C204" s="11"/>
      <c r="F204" s="8"/>
      <c r="G204" s="8"/>
      <c r="H204" s="9"/>
      <c r="I204" s="12"/>
      <c r="J204" s="10"/>
      <c r="K204" s="13"/>
      <c r="L204" s="10"/>
    </row>
    <row r="205" spans="1:12" ht="15.75" x14ac:dyDescent="0.2">
      <c r="A205" s="9"/>
      <c r="B205" s="7"/>
      <c r="C205" s="11"/>
      <c r="F205" s="8"/>
      <c r="G205" s="8"/>
      <c r="H205" s="9"/>
      <c r="I205" s="12"/>
      <c r="J205" s="10"/>
      <c r="K205" s="13"/>
      <c r="L205" s="10"/>
    </row>
    <row r="206" spans="1:12" ht="15.75" x14ac:dyDescent="0.2">
      <c r="A206" s="9"/>
      <c r="B206" s="7"/>
      <c r="C206" s="11"/>
      <c r="F206" s="8"/>
      <c r="G206" s="8"/>
      <c r="H206" s="9"/>
      <c r="I206" s="12"/>
      <c r="J206" s="10"/>
      <c r="K206" s="13"/>
      <c r="L206" s="10"/>
    </row>
    <row r="207" spans="1:12" ht="15.75" x14ac:dyDescent="0.2">
      <c r="A207" s="9"/>
      <c r="B207" s="7"/>
      <c r="C207" s="11"/>
      <c r="F207" s="8"/>
      <c r="G207" s="8"/>
      <c r="H207" s="9"/>
      <c r="I207" s="12"/>
      <c r="J207" s="10"/>
      <c r="K207" s="13"/>
      <c r="L207" s="10"/>
    </row>
    <row r="208" spans="1:12" ht="15.75" x14ac:dyDescent="0.2">
      <c r="A208" s="9"/>
      <c r="B208" s="7"/>
      <c r="C208" s="11"/>
      <c r="F208" s="8"/>
      <c r="G208" s="8"/>
      <c r="H208" s="9"/>
      <c r="I208" s="12"/>
      <c r="J208" s="10"/>
      <c r="K208" s="13"/>
      <c r="L208" s="10"/>
    </row>
    <row r="209" spans="1:12" ht="15.75" x14ac:dyDescent="0.2">
      <c r="A209" s="9"/>
      <c r="B209" s="7"/>
      <c r="C209" s="11"/>
      <c r="F209" s="8"/>
      <c r="G209" s="8"/>
      <c r="H209" s="9"/>
      <c r="I209" s="12"/>
      <c r="J209" s="10"/>
      <c r="K209" s="13"/>
      <c r="L209" s="10"/>
    </row>
    <row r="210" spans="1:12" ht="15.75" x14ac:dyDescent="0.2">
      <c r="A210" s="9"/>
      <c r="B210" s="7"/>
      <c r="C210" s="11"/>
      <c r="F210" s="8"/>
      <c r="G210" s="8"/>
      <c r="H210" s="9"/>
      <c r="I210" s="12"/>
      <c r="J210" s="10"/>
      <c r="K210" s="13"/>
      <c r="L210" s="10"/>
    </row>
    <row r="211" spans="1:12" ht="15.75" x14ac:dyDescent="0.2">
      <c r="A211" s="9"/>
      <c r="B211" s="7"/>
      <c r="C211" s="11"/>
      <c r="F211" s="8"/>
      <c r="G211" s="8"/>
      <c r="H211" s="9"/>
      <c r="I211" s="12"/>
      <c r="J211" s="10"/>
      <c r="K211" s="13"/>
      <c r="L211" s="10"/>
    </row>
  </sheetData>
  <mergeCells count="3">
    <mergeCell ref="H3:I3"/>
    <mergeCell ref="H2:I2"/>
    <mergeCell ref="H1:I1"/>
  </mergeCells>
  <dataValidations count="3">
    <dataValidation type="list" allowBlank="1" showErrorMessage="1" sqref="H5:H62" xr:uid="{00000000-0002-0000-0000-000000000000}">
      <formula1>"Bug,Task"</formula1>
    </dataValidation>
    <dataValidation type="list" allowBlank="1" showErrorMessage="1" sqref="I5:I62" xr:uid="{00000000-0002-0000-0000-000001000000}">
      <formula1>"Cao,Trung bình,Thấp"</formula1>
    </dataValidation>
    <dataValidation type="list" allowBlank="1" showErrorMessage="1" sqref="K5:K62" xr:uid="{00000000-0002-0000-0000-000002000000}">
      <formula1>"Chưa thực hiện,Đang thực hiện,Đã thực hiện - chờ test lại,Xử lý xong,Hủy"</formula1>
    </dataValidation>
  </dataValidations>
  <hyperlinks>
    <hyperlink ref="G43" r:id="rId1" xr:uid="{00000000-0004-0000-0000-000001000000}"/>
    <hyperlink ref="F45" r:id="rId2" display="https://htpldn-dev.ospgroup.vn/bieu-mau/danh-sach" xr:uid="{00000000-0004-0000-0000-000002000000}"/>
    <hyperlink ref="G19" r:id="rId3" xr:uid="{00000000-0004-0000-0000-000003000000}"/>
    <hyperlink ref="G37" r:id="rId4" xr:uid="{00000000-0004-0000-0000-000004000000}"/>
    <hyperlink ref="G46" r:id="rId5" xr:uid="{00000000-0004-0000-0000-000005000000}"/>
    <hyperlink ref="G44" r:id="rId6" xr:uid="{00000000-0004-0000-0000-000006000000}"/>
    <hyperlink ref="G20" r:id="rId7" xr:uid="{00000000-0004-0000-0000-000007000000}"/>
    <hyperlink ref="G30" r:id="rId8" xr:uid="{00000000-0004-0000-0000-000008000000}"/>
    <hyperlink ref="G16" r:id="rId9" xr:uid="{00000000-0004-0000-0000-000009000000}"/>
    <hyperlink ref="G5" r:id="rId10" xr:uid="{00000000-0004-0000-0000-00000A000000}"/>
    <hyperlink ref="G31" r:id="rId11" xr:uid="{00000000-0004-0000-0000-00000B000000}"/>
    <hyperlink ref="G22" r:id="rId12" xr:uid="{00000000-0004-0000-0000-00000C000000}"/>
    <hyperlink ref="G13" r:id="rId13" xr:uid="{00000000-0004-0000-0000-00000D000000}"/>
    <hyperlink ref="G11" r:id="rId14" xr:uid="{00000000-0004-0000-0000-00000E000000}"/>
    <hyperlink ref="G42" r:id="rId15" xr:uid="{00000000-0004-0000-0000-00000F000000}"/>
    <hyperlink ref="G51" r:id="rId16" xr:uid="{00000000-0004-0000-0000-000010000000}"/>
    <hyperlink ref="G12" r:id="rId17" display="https://prnt.sc/4GR8wucYWrnD" xr:uid="{00000000-0004-0000-0000-000011000000}"/>
    <hyperlink ref="G28" r:id="rId18" xr:uid="{00000000-0004-0000-0000-000012000000}"/>
    <hyperlink ref="G39" r:id="rId19" xr:uid="{00000000-0004-0000-0000-000013000000}"/>
    <hyperlink ref="G41" r:id="rId20" display="https://prnt.sc/ex2WROKEsDk_" xr:uid="{00000000-0004-0000-0000-000014000000}"/>
    <hyperlink ref="G33" r:id="rId21" display="https://prnt.sc/NxyB-ZsPG2I_" xr:uid="{00000000-0004-0000-0000-000015000000}"/>
    <hyperlink ref="G8" r:id="rId22" xr:uid="{00000000-0004-0000-0000-000016000000}"/>
    <hyperlink ref="G27" r:id="rId23" xr:uid="{00000000-0004-0000-0000-000017000000}"/>
    <hyperlink ref="G34" r:id="rId24" xr:uid="{00000000-0004-0000-0000-000018000000}"/>
    <hyperlink ref="G29" r:id="rId25" xr:uid="{00000000-0004-0000-0000-000019000000}"/>
    <hyperlink ref="G49" r:id="rId26" xr:uid="{00000000-0004-0000-0000-00001A000000}"/>
    <hyperlink ref="G17" r:id="rId27" xr:uid="{00000000-0004-0000-0000-00001B000000}"/>
    <hyperlink ref="G10" r:id="rId28" xr:uid="{00000000-0004-0000-0000-00001C000000}"/>
    <hyperlink ref="G9" r:id="rId29" xr:uid="{00000000-0004-0000-0000-00001D000000}"/>
    <hyperlink ref="G6" r:id="rId30" xr:uid="{00000000-0004-0000-0000-00001E000000}"/>
    <hyperlink ref="G45" r:id="rId31" xr:uid="{00000000-0004-0000-0000-00001F000000}"/>
    <hyperlink ref="G52" r:id="rId32" xr:uid="{00000000-0004-0000-0000-000021000000}"/>
    <hyperlink ref="G48" r:id="rId33" display="https://prnt.sc/ESFgd16c903V" xr:uid="{00000000-0004-0000-0000-000022000000}"/>
    <hyperlink ref="G25" r:id="rId34" xr:uid="{00000000-0004-0000-0000-000023000000}"/>
    <hyperlink ref="G24" r:id="rId35" xr:uid="{00000000-0004-0000-0000-000024000000}"/>
    <hyperlink ref="G38" r:id="rId36" xr:uid="{00000000-0004-0000-0000-000025000000}"/>
    <hyperlink ref="G21" r:id="rId37" xr:uid="{00000000-0004-0000-0000-000026000000}"/>
    <hyperlink ref="G32" r:id="rId38" xr:uid="{00000000-0004-0000-0000-000027000000}"/>
    <hyperlink ref="G40" r:id="rId39" xr:uid="{00000000-0004-0000-0000-000028000000}"/>
    <hyperlink ref="G14" r:id="rId40" display="https://prnt.sc/nwtGh6PkC6Va" xr:uid="{00000000-0004-0000-0000-000029000000}"/>
    <hyperlink ref="G15" r:id="rId41" xr:uid="{00000000-0004-0000-0000-00002A000000}"/>
    <hyperlink ref="G26" r:id="rId42" xr:uid="{00000000-0004-0000-0000-00002B000000}"/>
    <hyperlink ref="G7" r:id="rId43" display="https://prnt.sc/EvJMUF_sDqsB" xr:uid="{00000000-0004-0000-0000-00002C000000}"/>
    <hyperlink ref="G18" r:id="rId44" xr:uid="{00000000-0004-0000-0000-00002D000000}"/>
    <hyperlink ref="G47" r:id="rId45" xr:uid="{00000000-0004-0000-0000-00002E000000}"/>
    <hyperlink ref="G23" r:id="rId46" xr:uid="{00000000-0004-0000-0000-00002F000000}"/>
    <hyperlink ref="G36" r:id="rId47" xr:uid="{00000000-0004-0000-0000-00003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C098A-F5B1-4CE0-82F1-D82004326A17}">
  <sheetPr>
    <outlinePr summaryBelow="0" summaryRight="0"/>
  </sheetPr>
  <dimension ref="A1:V200"/>
  <sheetViews>
    <sheetView workbookViewId="0">
      <pane ySplit="1" topLeftCell="A2" activePane="bottomLeft" state="frozen"/>
      <selection pane="bottomLeft"/>
    </sheetView>
  </sheetViews>
  <sheetFormatPr defaultColWidth="14" defaultRowHeight="12.75" x14ac:dyDescent="0.2"/>
  <cols>
    <col min="1" max="1" width="10" customWidth="1"/>
    <col min="2" max="2" width="45" customWidth="1"/>
    <col min="3" max="3" width="136" customWidth="1"/>
    <col min="4" max="4" width="13" customWidth="1"/>
    <col min="5" max="5" width="23" customWidth="1"/>
    <col min="6" max="6" width="45" customWidth="1"/>
  </cols>
  <sheetData>
    <row r="1" spans="1:22" ht="15.75" x14ac:dyDescent="0.2">
      <c r="A1" s="30" t="s">
        <v>108</v>
      </c>
      <c r="B1" s="30" t="s">
        <v>198</v>
      </c>
      <c r="C1" s="30" t="s">
        <v>199</v>
      </c>
      <c r="D1" s="30" t="s">
        <v>117</v>
      </c>
      <c r="E1" s="30" t="s">
        <v>118</v>
      </c>
      <c r="F1" s="30" t="s">
        <v>119</v>
      </c>
      <c r="G1" s="8"/>
      <c r="H1" s="8"/>
      <c r="I1" s="8"/>
      <c r="J1" s="8"/>
      <c r="K1" s="8"/>
      <c r="L1" s="8"/>
      <c r="M1" s="8"/>
      <c r="N1" s="8"/>
      <c r="O1" s="8"/>
      <c r="P1" s="8"/>
      <c r="Q1" s="8"/>
      <c r="R1" s="8"/>
      <c r="S1" s="8"/>
      <c r="T1" s="8"/>
      <c r="U1" s="8"/>
      <c r="V1" s="8"/>
    </row>
    <row r="2" spans="1:22" ht="141.75" x14ac:dyDescent="0.2">
      <c r="A2" s="3">
        <v>1</v>
      </c>
      <c r="B2" s="1" t="s">
        <v>200</v>
      </c>
      <c r="C2" s="5" t="s">
        <v>98</v>
      </c>
      <c r="D2" s="3" t="s">
        <v>163</v>
      </c>
      <c r="E2" s="3" t="s">
        <v>104</v>
      </c>
      <c r="F2" s="1" t="s">
        <v>201</v>
      </c>
      <c r="G2" s="8"/>
      <c r="H2" s="8"/>
      <c r="I2" s="8"/>
      <c r="J2" s="8"/>
      <c r="K2" s="8"/>
      <c r="L2" s="8"/>
      <c r="M2" s="8"/>
      <c r="N2" s="8"/>
      <c r="O2" s="8"/>
      <c r="P2" s="8"/>
      <c r="Q2" s="8"/>
      <c r="R2" s="8"/>
      <c r="S2" s="8"/>
      <c r="T2" s="8"/>
      <c r="U2" s="8"/>
      <c r="V2" s="8"/>
    </row>
    <row r="3" spans="1:22" ht="157.5" x14ac:dyDescent="0.2">
      <c r="A3" s="3">
        <v>2</v>
      </c>
      <c r="B3" s="1" t="s">
        <v>202</v>
      </c>
      <c r="C3" s="5" t="s">
        <v>99</v>
      </c>
      <c r="D3" s="3" t="s">
        <v>163</v>
      </c>
      <c r="E3" s="3" t="s">
        <v>104</v>
      </c>
      <c r="F3" s="1" t="s">
        <v>201</v>
      </c>
      <c r="G3" s="8"/>
      <c r="H3" s="8"/>
      <c r="I3" s="8"/>
      <c r="J3" s="8"/>
      <c r="K3" s="8"/>
      <c r="L3" s="8"/>
      <c r="M3" s="8"/>
      <c r="N3" s="8"/>
      <c r="O3" s="8"/>
      <c r="P3" s="8"/>
      <c r="Q3" s="8"/>
      <c r="R3" s="8"/>
      <c r="S3" s="8"/>
      <c r="T3" s="8"/>
      <c r="U3" s="8"/>
      <c r="V3" s="8"/>
    </row>
    <row r="4" spans="1:22" ht="409.5" x14ac:dyDescent="0.2">
      <c r="A4" s="3">
        <v>3</v>
      </c>
      <c r="B4" s="1" t="s">
        <v>203</v>
      </c>
      <c r="C4" s="1" t="s">
        <v>94</v>
      </c>
      <c r="D4" s="3" t="s">
        <v>163</v>
      </c>
      <c r="E4" s="3" t="s">
        <v>104</v>
      </c>
      <c r="F4" s="1" t="s">
        <v>201</v>
      </c>
      <c r="G4" s="8"/>
      <c r="H4" s="8"/>
      <c r="I4" s="8"/>
      <c r="J4" s="8"/>
      <c r="K4" s="8"/>
      <c r="L4" s="8"/>
      <c r="M4" s="8"/>
      <c r="N4" s="8"/>
      <c r="O4" s="8"/>
      <c r="P4" s="8"/>
      <c r="Q4" s="8"/>
      <c r="R4" s="8"/>
      <c r="S4" s="8"/>
      <c r="T4" s="8"/>
      <c r="U4" s="8"/>
      <c r="V4" s="8"/>
    </row>
    <row r="5" spans="1:22" ht="267.75" x14ac:dyDescent="0.2">
      <c r="A5" s="3">
        <v>4</v>
      </c>
      <c r="B5" s="1" t="s">
        <v>204</v>
      </c>
      <c r="C5" s="1" t="s">
        <v>95</v>
      </c>
      <c r="D5" s="3" t="s">
        <v>163</v>
      </c>
      <c r="E5" s="3" t="s">
        <v>104</v>
      </c>
      <c r="F5" s="1" t="s">
        <v>201</v>
      </c>
      <c r="G5" s="8"/>
      <c r="H5" s="8"/>
      <c r="I5" s="8"/>
      <c r="J5" s="8"/>
      <c r="K5" s="8"/>
      <c r="L5" s="8"/>
      <c r="M5" s="8"/>
      <c r="N5" s="8"/>
      <c r="O5" s="8"/>
      <c r="P5" s="8"/>
      <c r="Q5" s="8"/>
      <c r="R5" s="8"/>
      <c r="S5" s="8"/>
      <c r="T5" s="8"/>
      <c r="U5" s="8"/>
      <c r="V5" s="8"/>
    </row>
    <row r="6" spans="1:22" ht="252" x14ac:dyDescent="0.2">
      <c r="A6" s="3">
        <v>5</v>
      </c>
      <c r="B6" s="1" t="s">
        <v>205</v>
      </c>
      <c r="C6" s="1" t="s">
        <v>96</v>
      </c>
      <c r="D6" s="3" t="s">
        <v>163</v>
      </c>
      <c r="E6" s="3" t="s">
        <v>104</v>
      </c>
      <c r="F6" s="1" t="s">
        <v>201</v>
      </c>
      <c r="G6" s="8"/>
      <c r="H6" s="8"/>
      <c r="I6" s="8"/>
      <c r="J6" s="8"/>
      <c r="K6" s="8"/>
      <c r="L6" s="8"/>
      <c r="M6" s="8"/>
      <c r="N6" s="8"/>
      <c r="O6" s="8"/>
      <c r="P6" s="8"/>
      <c r="Q6" s="8"/>
      <c r="R6" s="8"/>
      <c r="S6" s="8"/>
      <c r="T6" s="8"/>
      <c r="U6" s="8"/>
      <c r="V6" s="8"/>
    </row>
    <row r="7" spans="1:22" ht="409.5" x14ac:dyDescent="0.2">
      <c r="A7" s="3">
        <v>6</v>
      </c>
      <c r="B7" s="1" t="s">
        <v>206</v>
      </c>
      <c r="C7" s="1" t="s">
        <v>97</v>
      </c>
      <c r="D7" s="3" t="s">
        <v>163</v>
      </c>
      <c r="E7" s="3" t="s">
        <v>101</v>
      </c>
      <c r="F7" s="1" t="s">
        <v>207</v>
      </c>
      <c r="G7" s="8"/>
      <c r="H7" s="8"/>
      <c r="I7" s="8"/>
      <c r="J7" s="8"/>
      <c r="K7" s="8"/>
      <c r="L7" s="8"/>
      <c r="M7" s="8"/>
      <c r="N7" s="8"/>
      <c r="O7" s="8"/>
      <c r="P7" s="8"/>
      <c r="Q7" s="8"/>
      <c r="R7" s="8"/>
      <c r="S7" s="8"/>
      <c r="T7" s="8"/>
      <c r="U7" s="8"/>
      <c r="V7" s="8"/>
    </row>
    <row r="8" spans="1:22" ht="15.75" x14ac:dyDescent="0.2">
      <c r="A8" s="3"/>
      <c r="B8" s="1"/>
      <c r="C8" s="1"/>
      <c r="D8" s="1"/>
      <c r="E8" s="1"/>
      <c r="F8" s="1"/>
      <c r="G8" s="8"/>
      <c r="H8" s="8"/>
      <c r="I8" s="8"/>
      <c r="J8" s="8"/>
      <c r="K8" s="8"/>
      <c r="L8" s="8"/>
      <c r="M8" s="8"/>
      <c r="N8" s="8"/>
      <c r="O8" s="8"/>
      <c r="P8" s="8"/>
      <c r="Q8" s="8"/>
      <c r="R8" s="8"/>
      <c r="S8" s="8"/>
      <c r="T8" s="8"/>
      <c r="U8" s="8"/>
      <c r="V8" s="8"/>
    </row>
    <row r="9" spans="1:22" ht="15.75" x14ac:dyDescent="0.2">
      <c r="A9" s="3"/>
      <c r="B9" s="1"/>
      <c r="C9" s="1"/>
      <c r="D9" s="1"/>
      <c r="E9" s="1"/>
      <c r="F9" s="1"/>
      <c r="G9" s="8"/>
      <c r="H9" s="8"/>
      <c r="I9" s="8"/>
      <c r="J9" s="8"/>
      <c r="K9" s="8"/>
      <c r="L9" s="8"/>
      <c r="M9" s="8"/>
      <c r="N9" s="8"/>
      <c r="O9" s="8"/>
      <c r="P9" s="8"/>
      <c r="Q9" s="8"/>
      <c r="R9" s="8"/>
      <c r="S9" s="8"/>
      <c r="T9" s="8"/>
      <c r="U9" s="8"/>
      <c r="V9" s="8"/>
    </row>
    <row r="10" spans="1:22" ht="15.75" x14ac:dyDescent="0.2">
      <c r="A10" s="3"/>
      <c r="B10" s="1"/>
      <c r="C10" s="1"/>
      <c r="D10" s="1"/>
      <c r="E10" s="1"/>
      <c r="F10" s="1"/>
      <c r="G10" s="8"/>
      <c r="H10" s="8"/>
      <c r="I10" s="8"/>
      <c r="J10" s="8"/>
      <c r="K10" s="8"/>
      <c r="L10" s="8"/>
      <c r="M10" s="8"/>
      <c r="N10" s="8"/>
      <c r="O10" s="8"/>
      <c r="P10" s="8"/>
      <c r="Q10" s="8"/>
      <c r="R10" s="8"/>
      <c r="S10" s="8"/>
      <c r="T10" s="8"/>
      <c r="U10" s="8"/>
      <c r="V10" s="8"/>
    </row>
    <row r="11" spans="1:22" ht="15.75" x14ac:dyDescent="0.2">
      <c r="A11" s="3"/>
      <c r="B11" s="1"/>
      <c r="C11" s="1"/>
      <c r="D11" s="1"/>
      <c r="E11" s="1"/>
      <c r="F11" s="1"/>
      <c r="G11" s="8"/>
      <c r="H11" s="8"/>
      <c r="I11" s="8"/>
      <c r="J11" s="8"/>
      <c r="K11" s="8"/>
      <c r="L11" s="8"/>
      <c r="M11" s="8"/>
      <c r="N11" s="8"/>
      <c r="O11" s="8"/>
      <c r="P11" s="8"/>
      <c r="Q11" s="8"/>
      <c r="R11" s="8"/>
      <c r="S11" s="8"/>
      <c r="T11" s="8"/>
      <c r="U11" s="8"/>
      <c r="V11" s="8"/>
    </row>
    <row r="12" spans="1:22" ht="15.75" x14ac:dyDescent="0.2">
      <c r="A12" s="3"/>
      <c r="B12" s="1"/>
      <c r="C12" s="1"/>
      <c r="D12" s="1"/>
      <c r="E12" s="1"/>
      <c r="F12" s="1"/>
      <c r="G12" s="8"/>
      <c r="H12" s="8"/>
      <c r="I12" s="8"/>
      <c r="J12" s="8"/>
      <c r="K12" s="8"/>
      <c r="L12" s="8"/>
      <c r="M12" s="8"/>
      <c r="N12" s="8"/>
      <c r="O12" s="8"/>
      <c r="P12" s="8"/>
      <c r="Q12" s="8"/>
      <c r="R12" s="8"/>
      <c r="S12" s="8"/>
      <c r="T12" s="8"/>
      <c r="U12" s="8"/>
      <c r="V12" s="8"/>
    </row>
    <row r="13" spans="1:22" ht="15.75" x14ac:dyDescent="0.2">
      <c r="A13" s="1"/>
      <c r="B13" s="1"/>
      <c r="C13" s="1"/>
      <c r="D13" s="1"/>
      <c r="E13" s="1"/>
      <c r="F13" s="1"/>
      <c r="G13" s="8"/>
      <c r="H13" s="8"/>
      <c r="I13" s="8"/>
      <c r="J13" s="8"/>
      <c r="K13" s="8"/>
      <c r="L13" s="8"/>
      <c r="M13" s="8"/>
      <c r="N13" s="8"/>
      <c r="O13" s="8"/>
      <c r="P13" s="8"/>
      <c r="Q13" s="8"/>
      <c r="R13" s="8"/>
      <c r="S13" s="8"/>
      <c r="T13" s="8"/>
      <c r="U13" s="8"/>
      <c r="V13" s="8"/>
    </row>
    <row r="14" spans="1:22" ht="15.75" x14ac:dyDescent="0.2">
      <c r="A14" s="1"/>
      <c r="B14" s="1"/>
      <c r="C14" s="1"/>
      <c r="D14" s="1"/>
      <c r="E14" s="1"/>
      <c r="F14" s="1"/>
      <c r="G14" s="8"/>
      <c r="H14" s="8"/>
      <c r="I14" s="8"/>
      <c r="J14" s="8"/>
      <c r="K14" s="8"/>
      <c r="L14" s="8"/>
      <c r="M14" s="8"/>
      <c r="N14" s="8"/>
      <c r="O14" s="8"/>
      <c r="P14" s="8"/>
      <c r="Q14" s="8"/>
      <c r="R14" s="8"/>
      <c r="S14" s="8"/>
      <c r="T14" s="8"/>
      <c r="U14" s="8"/>
      <c r="V14" s="8"/>
    </row>
    <row r="15" spans="1:22" x14ac:dyDescent="0.2">
      <c r="A15" s="32"/>
      <c r="B15" s="32"/>
      <c r="C15" s="32"/>
      <c r="D15" s="32"/>
      <c r="E15" s="32"/>
      <c r="F15" s="32"/>
      <c r="G15" s="8"/>
      <c r="H15" s="8"/>
      <c r="I15" s="8"/>
      <c r="J15" s="8"/>
      <c r="K15" s="8"/>
      <c r="L15" s="8"/>
      <c r="M15" s="8"/>
      <c r="N15" s="8"/>
      <c r="O15" s="8"/>
      <c r="P15" s="8"/>
      <c r="Q15" s="8"/>
      <c r="R15" s="8"/>
      <c r="S15" s="8"/>
      <c r="T15" s="8"/>
      <c r="U15" s="8"/>
      <c r="V15" s="8"/>
    </row>
    <row r="16" spans="1:22" x14ac:dyDescent="0.2">
      <c r="A16" s="32"/>
      <c r="B16" s="32"/>
      <c r="C16" s="32"/>
      <c r="D16" s="32"/>
      <c r="E16" s="32"/>
      <c r="F16" s="32"/>
      <c r="G16" s="8"/>
      <c r="H16" s="8"/>
      <c r="I16" s="8"/>
      <c r="J16" s="8"/>
      <c r="K16" s="8"/>
      <c r="L16" s="8"/>
      <c r="M16" s="8"/>
      <c r="N16" s="8"/>
      <c r="O16" s="8"/>
      <c r="P16" s="8"/>
      <c r="Q16" s="8"/>
      <c r="R16" s="8"/>
      <c r="S16" s="8"/>
      <c r="T16" s="8"/>
      <c r="U16" s="8"/>
      <c r="V16" s="8"/>
    </row>
    <row r="17" spans="1:22" x14ac:dyDescent="0.2">
      <c r="A17" s="32"/>
      <c r="B17" s="32"/>
      <c r="C17" s="32"/>
      <c r="D17" s="32"/>
      <c r="E17" s="32"/>
      <c r="F17" s="32"/>
      <c r="G17" s="8"/>
      <c r="H17" s="8"/>
      <c r="I17" s="8"/>
      <c r="J17" s="8"/>
      <c r="K17" s="8"/>
      <c r="L17" s="8"/>
      <c r="M17" s="8"/>
      <c r="N17" s="8"/>
      <c r="O17" s="8"/>
      <c r="P17" s="8"/>
      <c r="Q17" s="8"/>
      <c r="R17" s="8"/>
      <c r="S17" s="8"/>
      <c r="T17" s="8"/>
      <c r="U17" s="8"/>
      <c r="V17" s="8"/>
    </row>
    <row r="18" spans="1:22" x14ac:dyDescent="0.2">
      <c r="A18" s="32"/>
      <c r="B18" s="32"/>
      <c r="C18" s="32"/>
      <c r="D18" s="32"/>
      <c r="E18" s="32"/>
      <c r="F18" s="32"/>
      <c r="G18" s="8"/>
      <c r="H18" s="8"/>
      <c r="I18" s="8"/>
      <c r="J18" s="8"/>
      <c r="K18" s="8"/>
      <c r="L18" s="8"/>
      <c r="M18" s="8"/>
      <c r="N18" s="8"/>
      <c r="O18" s="8"/>
      <c r="P18" s="8"/>
      <c r="Q18" s="8"/>
      <c r="R18" s="8"/>
      <c r="S18" s="8"/>
      <c r="T18" s="8"/>
      <c r="U18" s="8"/>
      <c r="V18" s="8"/>
    </row>
    <row r="19" spans="1:22" x14ac:dyDescent="0.2">
      <c r="A19" s="32"/>
      <c r="B19" s="32"/>
      <c r="C19" s="32"/>
      <c r="D19" s="32"/>
      <c r="E19" s="32"/>
      <c r="F19" s="32"/>
      <c r="G19" s="8"/>
      <c r="H19" s="8"/>
      <c r="I19" s="8"/>
      <c r="J19" s="8"/>
      <c r="K19" s="8"/>
      <c r="L19" s="8"/>
      <c r="M19" s="8"/>
      <c r="N19" s="8"/>
      <c r="O19" s="8"/>
      <c r="P19" s="8"/>
      <c r="Q19" s="8"/>
      <c r="R19" s="8"/>
      <c r="S19" s="8"/>
      <c r="T19" s="8"/>
      <c r="U19" s="8"/>
      <c r="V19" s="8"/>
    </row>
    <row r="20" spans="1:22" x14ac:dyDescent="0.2">
      <c r="A20" s="32"/>
      <c r="B20" s="32"/>
      <c r="C20" s="32"/>
      <c r="D20" s="32"/>
      <c r="E20" s="32"/>
      <c r="F20" s="32"/>
      <c r="G20" s="8"/>
      <c r="H20" s="8"/>
      <c r="I20" s="8"/>
      <c r="J20" s="8"/>
      <c r="K20" s="8"/>
      <c r="L20" s="8"/>
      <c r="M20" s="8"/>
      <c r="N20" s="8"/>
      <c r="O20" s="8"/>
      <c r="P20" s="8"/>
      <c r="Q20" s="8"/>
      <c r="R20" s="8"/>
      <c r="S20" s="8"/>
      <c r="T20" s="8"/>
      <c r="U20" s="8"/>
      <c r="V20" s="8"/>
    </row>
    <row r="21" spans="1:22" x14ac:dyDescent="0.2">
      <c r="A21" s="32"/>
      <c r="B21" s="32"/>
      <c r="C21" s="32"/>
      <c r="D21" s="32"/>
      <c r="E21" s="32"/>
      <c r="F21" s="32"/>
      <c r="G21" s="8"/>
      <c r="H21" s="8"/>
      <c r="I21" s="8"/>
      <c r="J21" s="8"/>
      <c r="K21" s="8"/>
      <c r="L21" s="8"/>
      <c r="M21" s="8"/>
      <c r="N21" s="8"/>
      <c r="O21" s="8"/>
      <c r="P21" s="8"/>
      <c r="Q21" s="8"/>
      <c r="R21" s="8"/>
      <c r="S21" s="8"/>
      <c r="T21" s="8"/>
      <c r="U21" s="8"/>
      <c r="V21" s="8"/>
    </row>
    <row r="22" spans="1:22" x14ac:dyDescent="0.2">
      <c r="A22" s="32"/>
      <c r="B22" s="32"/>
      <c r="C22" s="32"/>
      <c r="D22" s="32"/>
      <c r="E22" s="32"/>
      <c r="F22" s="32"/>
      <c r="G22" s="8"/>
      <c r="H22" s="8"/>
      <c r="I22" s="8"/>
      <c r="J22" s="8"/>
      <c r="K22" s="8"/>
      <c r="L22" s="8"/>
      <c r="M22" s="8"/>
      <c r="N22" s="8"/>
      <c r="O22" s="8"/>
      <c r="P22" s="8"/>
      <c r="Q22" s="8"/>
      <c r="R22" s="8"/>
      <c r="S22" s="8"/>
      <c r="T22" s="8"/>
      <c r="U22" s="8"/>
      <c r="V22" s="8"/>
    </row>
    <row r="23" spans="1:22" x14ac:dyDescent="0.2">
      <c r="A23" s="8"/>
      <c r="B23" s="8"/>
      <c r="C23" s="8"/>
      <c r="D23" s="8"/>
      <c r="E23" s="8"/>
      <c r="F23" s="8"/>
      <c r="G23" s="8"/>
      <c r="H23" s="8"/>
      <c r="I23" s="8"/>
      <c r="J23" s="8"/>
      <c r="K23" s="8"/>
      <c r="L23" s="8"/>
      <c r="M23" s="8"/>
      <c r="N23" s="8"/>
      <c r="O23" s="8"/>
      <c r="P23" s="8"/>
      <c r="Q23" s="8"/>
      <c r="R23" s="8"/>
      <c r="S23" s="8"/>
      <c r="T23" s="8"/>
      <c r="U23" s="8"/>
      <c r="V23" s="8"/>
    </row>
    <row r="24" spans="1:22" x14ac:dyDescent="0.2">
      <c r="A24" s="8"/>
      <c r="B24" s="8"/>
      <c r="C24" s="8"/>
      <c r="D24" s="8"/>
      <c r="E24" s="8"/>
      <c r="F24" s="8"/>
      <c r="G24" s="8"/>
      <c r="H24" s="8"/>
      <c r="I24" s="8"/>
      <c r="J24" s="8"/>
      <c r="K24" s="8"/>
      <c r="L24" s="8"/>
      <c r="M24" s="8"/>
      <c r="N24" s="8"/>
      <c r="O24" s="8"/>
      <c r="P24" s="8"/>
      <c r="Q24" s="8"/>
      <c r="R24" s="8"/>
      <c r="S24" s="8"/>
      <c r="T24" s="8"/>
      <c r="U24" s="8"/>
      <c r="V24" s="8"/>
    </row>
    <row r="25" spans="1:22" x14ac:dyDescent="0.2">
      <c r="A25" s="8"/>
      <c r="B25" s="8"/>
      <c r="C25" s="8"/>
      <c r="D25" s="8"/>
      <c r="E25" s="8"/>
      <c r="F25" s="8"/>
      <c r="G25" s="8"/>
      <c r="H25" s="8"/>
      <c r="I25" s="8"/>
      <c r="J25" s="8"/>
      <c r="K25" s="8"/>
      <c r="L25" s="8"/>
      <c r="M25" s="8"/>
      <c r="N25" s="8"/>
      <c r="O25" s="8"/>
      <c r="P25" s="8"/>
      <c r="Q25" s="8"/>
      <c r="R25" s="8"/>
      <c r="S25" s="8"/>
      <c r="T25" s="8"/>
      <c r="U25" s="8"/>
      <c r="V25" s="8"/>
    </row>
    <row r="26" spans="1:22" x14ac:dyDescent="0.2">
      <c r="A26" s="8"/>
      <c r="B26" s="8"/>
      <c r="C26" s="8"/>
      <c r="D26" s="8"/>
      <c r="E26" s="8"/>
      <c r="F26" s="8"/>
      <c r="G26" s="8"/>
      <c r="H26" s="8"/>
      <c r="I26" s="8"/>
      <c r="J26" s="8"/>
      <c r="K26" s="8"/>
      <c r="L26" s="8"/>
      <c r="M26" s="8"/>
      <c r="N26" s="8"/>
      <c r="O26" s="8"/>
      <c r="P26" s="8"/>
      <c r="Q26" s="8"/>
      <c r="R26" s="8"/>
      <c r="S26" s="8"/>
      <c r="T26" s="8"/>
      <c r="U26" s="8"/>
      <c r="V26" s="8"/>
    </row>
    <row r="27" spans="1:22" x14ac:dyDescent="0.2">
      <c r="A27" s="8"/>
      <c r="B27" s="8"/>
      <c r="C27" s="8"/>
      <c r="D27" s="8"/>
      <c r="E27" s="8"/>
      <c r="F27" s="8"/>
      <c r="G27" s="8"/>
      <c r="H27" s="8"/>
      <c r="I27" s="8"/>
      <c r="J27" s="8"/>
      <c r="K27" s="8"/>
      <c r="L27" s="8"/>
      <c r="M27" s="8"/>
      <c r="N27" s="8"/>
      <c r="O27" s="8"/>
      <c r="P27" s="8"/>
      <c r="Q27" s="8"/>
      <c r="R27" s="8"/>
      <c r="S27" s="8"/>
      <c r="T27" s="8"/>
      <c r="U27" s="8"/>
      <c r="V27" s="8"/>
    </row>
    <row r="28" spans="1:22" x14ac:dyDescent="0.2">
      <c r="A28" s="8"/>
      <c r="B28" s="8"/>
      <c r="C28" s="8"/>
      <c r="D28" s="8"/>
      <c r="E28" s="8"/>
      <c r="F28" s="8"/>
      <c r="G28" s="8"/>
      <c r="H28" s="8"/>
      <c r="I28" s="8"/>
      <c r="J28" s="8"/>
      <c r="K28" s="8"/>
      <c r="L28" s="8"/>
      <c r="M28" s="8"/>
      <c r="N28" s="8"/>
      <c r="O28" s="8"/>
      <c r="P28" s="8"/>
      <c r="Q28" s="8"/>
      <c r="R28" s="8"/>
      <c r="S28" s="8"/>
      <c r="T28" s="8"/>
      <c r="U28" s="8"/>
      <c r="V28" s="8"/>
    </row>
    <row r="29" spans="1:22" x14ac:dyDescent="0.2">
      <c r="A29" s="8"/>
      <c r="B29" s="8"/>
      <c r="C29" s="8"/>
      <c r="D29" s="8"/>
      <c r="E29" s="8"/>
      <c r="F29" s="8"/>
      <c r="G29" s="8"/>
      <c r="H29" s="8"/>
      <c r="I29" s="8"/>
      <c r="J29" s="8"/>
      <c r="K29" s="8"/>
      <c r="L29" s="8"/>
      <c r="M29" s="8"/>
      <c r="N29" s="8"/>
      <c r="O29" s="8"/>
      <c r="P29" s="8"/>
      <c r="Q29" s="8"/>
      <c r="R29" s="8"/>
      <c r="S29" s="8"/>
      <c r="T29" s="8"/>
      <c r="U29" s="8"/>
      <c r="V29" s="8"/>
    </row>
    <row r="30" spans="1:22" x14ac:dyDescent="0.2">
      <c r="A30" s="8"/>
      <c r="B30" s="8"/>
      <c r="C30" s="8"/>
      <c r="D30" s="8"/>
      <c r="E30" s="8"/>
      <c r="F30" s="8"/>
      <c r="G30" s="8"/>
      <c r="H30" s="8"/>
      <c r="I30" s="8"/>
      <c r="J30" s="8"/>
      <c r="K30" s="8"/>
      <c r="L30" s="8"/>
      <c r="M30" s="8"/>
      <c r="N30" s="8"/>
      <c r="O30" s="8"/>
      <c r="P30" s="8"/>
      <c r="Q30" s="8"/>
      <c r="R30" s="8"/>
      <c r="S30" s="8"/>
      <c r="T30" s="8"/>
      <c r="U30" s="8"/>
      <c r="V30" s="8"/>
    </row>
    <row r="31" spans="1:22" x14ac:dyDescent="0.2">
      <c r="A31" s="8"/>
      <c r="B31" s="8"/>
      <c r="C31" s="8"/>
      <c r="D31" s="8"/>
      <c r="E31" s="8"/>
      <c r="F31" s="8"/>
      <c r="G31" s="8"/>
      <c r="H31" s="8"/>
      <c r="I31" s="8"/>
      <c r="J31" s="8"/>
      <c r="K31" s="8"/>
      <c r="L31" s="8"/>
      <c r="M31" s="8"/>
      <c r="N31" s="8"/>
      <c r="O31" s="8"/>
      <c r="P31" s="8"/>
      <c r="Q31" s="8"/>
      <c r="R31" s="8"/>
      <c r="S31" s="8"/>
      <c r="T31" s="8"/>
      <c r="U31" s="8"/>
      <c r="V31" s="8"/>
    </row>
    <row r="32" spans="1:22" x14ac:dyDescent="0.2">
      <c r="A32" s="8"/>
      <c r="B32" s="8"/>
      <c r="C32" s="8"/>
      <c r="D32" s="8"/>
      <c r="E32" s="8"/>
      <c r="F32" s="8"/>
      <c r="G32" s="8"/>
      <c r="H32" s="8"/>
      <c r="I32" s="8"/>
      <c r="J32" s="8"/>
      <c r="K32" s="8"/>
      <c r="L32" s="8"/>
      <c r="M32" s="8"/>
      <c r="N32" s="8"/>
      <c r="O32" s="8"/>
      <c r="P32" s="8"/>
      <c r="Q32" s="8"/>
      <c r="R32" s="8"/>
      <c r="S32" s="8"/>
      <c r="T32" s="8"/>
      <c r="U32" s="8"/>
      <c r="V32" s="8"/>
    </row>
    <row r="33" spans="1:22" x14ac:dyDescent="0.2">
      <c r="A33" s="8"/>
      <c r="B33" s="8"/>
      <c r="C33" s="8"/>
      <c r="D33" s="8"/>
      <c r="E33" s="8"/>
      <c r="F33" s="8"/>
      <c r="G33" s="8"/>
      <c r="H33" s="8"/>
      <c r="I33" s="8"/>
      <c r="J33" s="8"/>
      <c r="K33" s="8"/>
      <c r="L33" s="8"/>
      <c r="M33" s="8"/>
      <c r="N33" s="8"/>
      <c r="O33" s="8"/>
      <c r="P33" s="8"/>
      <c r="Q33" s="8"/>
      <c r="R33" s="8"/>
      <c r="S33" s="8"/>
      <c r="T33" s="8"/>
      <c r="U33" s="8"/>
      <c r="V33" s="8"/>
    </row>
    <row r="34" spans="1:22" x14ac:dyDescent="0.2">
      <c r="A34" s="8"/>
      <c r="B34" s="8"/>
      <c r="C34" s="8"/>
      <c r="D34" s="8"/>
      <c r="E34" s="8"/>
      <c r="F34" s="8"/>
      <c r="G34" s="8"/>
      <c r="H34" s="8"/>
      <c r="I34" s="8"/>
      <c r="J34" s="8"/>
      <c r="K34" s="8"/>
      <c r="L34" s="8"/>
      <c r="M34" s="8"/>
      <c r="N34" s="8"/>
      <c r="O34" s="8"/>
      <c r="P34" s="8"/>
      <c r="Q34" s="8"/>
      <c r="R34" s="8"/>
      <c r="S34" s="8"/>
      <c r="T34" s="8"/>
      <c r="U34" s="8"/>
      <c r="V34" s="8"/>
    </row>
    <row r="35" spans="1:22" x14ac:dyDescent="0.2">
      <c r="A35" s="8"/>
      <c r="B35" s="8"/>
      <c r="C35" s="8"/>
      <c r="D35" s="8"/>
      <c r="E35" s="8"/>
      <c r="F35" s="8"/>
      <c r="G35" s="8"/>
      <c r="H35" s="8"/>
      <c r="I35" s="8"/>
      <c r="J35" s="8"/>
      <c r="K35" s="8"/>
      <c r="L35" s="8"/>
      <c r="M35" s="8"/>
      <c r="N35" s="8"/>
      <c r="O35" s="8"/>
      <c r="P35" s="8"/>
      <c r="Q35" s="8"/>
      <c r="R35" s="8"/>
      <c r="S35" s="8"/>
      <c r="T35" s="8"/>
      <c r="U35" s="8"/>
      <c r="V35" s="8"/>
    </row>
    <row r="36" spans="1:22" x14ac:dyDescent="0.2">
      <c r="A36" s="8"/>
      <c r="B36" s="8"/>
      <c r="C36" s="8"/>
      <c r="D36" s="8"/>
      <c r="E36" s="8"/>
      <c r="F36" s="8"/>
      <c r="G36" s="8"/>
      <c r="H36" s="8"/>
      <c r="I36" s="8"/>
      <c r="J36" s="8"/>
      <c r="K36" s="8"/>
      <c r="L36" s="8"/>
      <c r="M36" s="8"/>
      <c r="N36" s="8"/>
      <c r="O36" s="8"/>
      <c r="P36" s="8"/>
      <c r="Q36" s="8"/>
      <c r="R36" s="8"/>
      <c r="S36" s="8"/>
      <c r="T36" s="8"/>
      <c r="U36" s="8"/>
      <c r="V36" s="8"/>
    </row>
    <row r="37" spans="1:22" x14ac:dyDescent="0.2">
      <c r="A37" s="8"/>
      <c r="B37" s="8"/>
      <c r="C37" s="8"/>
      <c r="D37" s="8"/>
      <c r="E37" s="8"/>
      <c r="F37" s="8"/>
      <c r="G37" s="8"/>
      <c r="H37" s="8"/>
      <c r="I37" s="8"/>
      <c r="J37" s="8"/>
      <c r="K37" s="8"/>
      <c r="L37" s="8"/>
      <c r="M37" s="8"/>
      <c r="N37" s="8"/>
      <c r="O37" s="8"/>
      <c r="P37" s="8"/>
      <c r="Q37" s="8"/>
      <c r="R37" s="8"/>
      <c r="S37" s="8"/>
      <c r="T37" s="8"/>
      <c r="U37" s="8"/>
      <c r="V37" s="8"/>
    </row>
    <row r="38" spans="1:22" x14ac:dyDescent="0.2">
      <c r="A38" s="8"/>
      <c r="B38" s="8"/>
      <c r="C38" s="8"/>
      <c r="D38" s="8"/>
      <c r="E38" s="8"/>
      <c r="F38" s="8"/>
      <c r="G38" s="8"/>
      <c r="H38" s="8"/>
      <c r="I38" s="8"/>
      <c r="J38" s="8"/>
      <c r="K38" s="8"/>
      <c r="L38" s="8"/>
      <c r="M38" s="8"/>
      <c r="N38" s="8"/>
      <c r="O38" s="8"/>
      <c r="P38" s="8"/>
      <c r="Q38" s="8"/>
      <c r="R38" s="8"/>
      <c r="S38" s="8"/>
      <c r="T38" s="8"/>
      <c r="U38" s="8"/>
      <c r="V38" s="8"/>
    </row>
    <row r="39" spans="1:22" x14ac:dyDescent="0.2">
      <c r="A39" s="8"/>
      <c r="B39" s="8"/>
      <c r="C39" s="8"/>
      <c r="D39" s="8"/>
      <c r="E39" s="8"/>
      <c r="F39" s="8"/>
      <c r="G39" s="8"/>
      <c r="H39" s="8"/>
      <c r="I39" s="8"/>
      <c r="J39" s="8"/>
      <c r="K39" s="8"/>
      <c r="L39" s="8"/>
      <c r="M39" s="8"/>
      <c r="N39" s="8"/>
      <c r="O39" s="8"/>
      <c r="P39" s="8"/>
      <c r="Q39" s="8"/>
      <c r="R39" s="8"/>
      <c r="S39" s="8"/>
      <c r="T39" s="8"/>
      <c r="U39" s="8"/>
      <c r="V39" s="8"/>
    </row>
    <row r="40" spans="1:22" x14ac:dyDescent="0.2">
      <c r="A40" s="8"/>
      <c r="B40" s="8"/>
      <c r="C40" s="8"/>
      <c r="D40" s="8"/>
      <c r="E40" s="8"/>
      <c r="F40" s="8"/>
      <c r="G40" s="8"/>
      <c r="H40" s="8"/>
      <c r="I40" s="8"/>
      <c r="J40" s="8"/>
      <c r="K40" s="8"/>
      <c r="L40" s="8"/>
      <c r="M40" s="8"/>
      <c r="N40" s="8"/>
      <c r="O40" s="8"/>
      <c r="P40" s="8"/>
      <c r="Q40" s="8"/>
      <c r="R40" s="8"/>
      <c r="S40" s="8"/>
      <c r="T40" s="8"/>
      <c r="U40" s="8"/>
      <c r="V40" s="8"/>
    </row>
    <row r="41" spans="1:22" x14ac:dyDescent="0.2">
      <c r="A41" s="8"/>
      <c r="B41" s="8"/>
      <c r="C41" s="8"/>
      <c r="D41" s="8"/>
      <c r="E41" s="8"/>
      <c r="F41" s="8"/>
      <c r="G41" s="8"/>
      <c r="H41" s="8"/>
      <c r="I41" s="8"/>
      <c r="J41" s="8"/>
      <c r="K41" s="8"/>
      <c r="L41" s="8"/>
      <c r="M41" s="8"/>
      <c r="N41" s="8"/>
      <c r="O41" s="8"/>
      <c r="P41" s="8"/>
      <c r="Q41" s="8"/>
      <c r="R41" s="8"/>
      <c r="S41" s="8"/>
      <c r="T41" s="8"/>
      <c r="U41" s="8"/>
      <c r="V41" s="8"/>
    </row>
    <row r="42" spans="1:22" x14ac:dyDescent="0.2">
      <c r="A42" s="8"/>
      <c r="B42" s="8"/>
      <c r="C42" s="8"/>
      <c r="D42" s="8"/>
      <c r="E42" s="8"/>
      <c r="F42" s="8"/>
      <c r="G42" s="8"/>
      <c r="H42" s="8"/>
      <c r="I42" s="8"/>
      <c r="J42" s="8"/>
      <c r="K42" s="8"/>
      <c r="L42" s="8"/>
      <c r="M42" s="8"/>
      <c r="N42" s="8"/>
      <c r="O42" s="8"/>
      <c r="P42" s="8"/>
      <c r="Q42" s="8"/>
      <c r="R42" s="8"/>
      <c r="S42" s="8"/>
      <c r="T42" s="8"/>
      <c r="U42" s="8"/>
      <c r="V42" s="8"/>
    </row>
    <row r="43" spans="1:22" x14ac:dyDescent="0.2">
      <c r="A43" s="8"/>
      <c r="B43" s="8"/>
      <c r="C43" s="8"/>
      <c r="D43" s="8"/>
      <c r="E43" s="8"/>
      <c r="F43" s="8"/>
      <c r="G43" s="8"/>
      <c r="H43" s="8"/>
      <c r="I43" s="8"/>
      <c r="J43" s="8"/>
      <c r="K43" s="8"/>
      <c r="L43" s="8"/>
      <c r="M43" s="8"/>
      <c r="N43" s="8"/>
      <c r="O43" s="8"/>
      <c r="P43" s="8"/>
      <c r="Q43" s="8"/>
      <c r="R43" s="8"/>
      <c r="S43" s="8"/>
      <c r="T43" s="8"/>
      <c r="U43" s="8"/>
      <c r="V43" s="8"/>
    </row>
    <row r="44" spans="1:22" x14ac:dyDescent="0.2">
      <c r="A44" s="8"/>
      <c r="B44" s="8"/>
      <c r="C44" s="8"/>
      <c r="D44" s="8"/>
      <c r="E44" s="8"/>
      <c r="F44" s="8"/>
      <c r="G44" s="8"/>
      <c r="H44" s="8"/>
      <c r="I44" s="8"/>
      <c r="J44" s="8"/>
      <c r="K44" s="8"/>
      <c r="L44" s="8"/>
      <c r="M44" s="8"/>
      <c r="N44" s="8"/>
      <c r="O44" s="8"/>
      <c r="P44" s="8"/>
      <c r="Q44" s="8"/>
      <c r="R44" s="8"/>
      <c r="S44" s="8"/>
      <c r="T44" s="8"/>
      <c r="U44" s="8"/>
      <c r="V44" s="8"/>
    </row>
    <row r="45" spans="1:22" x14ac:dyDescent="0.2">
      <c r="A45" s="8"/>
      <c r="B45" s="8"/>
      <c r="C45" s="8"/>
      <c r="D45" s="8"/>
      <c r="E45" s="8"/>
      <c r="F45" s="8"/>
      <c r="G45" s="8"/>
      <c r="H45" s="8"/>
      <c r="I45" s="8"/>
      <c r="J45" s="8"/>
      <c r="K45" s="8"/>
      <c r="L45" s="8"/>
      <c r="M45" s="8"/>
      <c r="N45" s="8"/>
      <c r="O45" s="8"/>
      <c r="P45" s="8"/>
      <c r="Q45" s="8"/>
      <c r="R45" s="8"/>
      <c r="S45" s="8"/>
      <c r="T45" s="8"/>
      <c r="U45" s="8"/>
      <c r="V45" s="8"/>
    </row>
    <row r="46" spans="1:22" x14ac:dyDescent="0.2">
      <c r="A46" s="8"/>
      <c r="B46" s="8"/>
      <c r="C46" s="8"/>
      <c r="D46" s="8"/>
      <c r="E46" s="8"/>
      <c r="F46" s="8"/>
      <c r="G46" s="8"/>
      <c r="H46" s="8"/>
      <c r="I46" s="8"/>
      <c r="J46" s="8"/>
      <c r="K46" s="8"/>
      <c r="L46" s="8"/>
      <c r="M46" s="8"/>
      <c r="N46" s="8"/>
      <c r="O46" s="8"/>
      <c r="P46" s="8"/>
      <c r="Q46" s="8"/>
      <c r="R46" s="8"/>
      <c r="S46" s="8"/>
      <c r="T46" s="8"/>
      <c r="U46" s="8"/>
      <c r="V46" s="8"/>
    </row>
    <row r="47" spans="1:22" x14ac:dyDescent="0.2">
      <c r="A47" s="8"/>
      <c r="B47" s="8"/>
      <c r="C47" s="8"/>
      <c r="D47" s="8"/>
      <c r="E47" s="8"/>
      <c r="F47" s="8"/>
      <c r="G47" s="8"/>
      <c r="H47" s="8"/>
      <c r="I47" s="8"/>
      <c r="J47" s="8"/>
      <c r="K47" s="8"/>
      <c r="L47" s="8"/>
      <c r="M47" s="8"/>
      <c r="N47" s="8"/>
      <c r="O47" s="8"/>
      <c r="P47" s="8"/>
      <c r="Q47" s="8"/>
      <c r="R47" s="8"/>
      <c r="S47" s="8"/>
      <c r="T47" s="8"/>
      <c r="U47" s="8"/>
      <c r="V47" s="8"/>
    </row>
    <row r="48" spans="1:22" x14ac:dyDescent="0.2">
      <c r="A48" s="8"/>
      <c r="B48" s="8"/>
      <c r="C48" s="8"/>
      <c r="D48" s="8"/>
      <c r="E48" s="8"/>
      <c r="F48" s="8"/>
      <c r="G48" s="8"/>
      <c r="H48" s="8"/>
      <c r="I48" s="8"/>
      <c r="J48" s="8"/>
      <c r="K48" s="8"/>
      <c r="L48" s="8"/>
      <c r="M48" s="8"/>
      <c r="N48" s="8"/>
      <c r="O48" s="8"/>
      <c r="P48" s="8"/>
      <c r="Q48" s="8"/>
      <c r="R48" s="8"/>
      <c r="S48" s="8"/>
      <c r="T48" s="8"/>
      <c r="U48" s="8"/>
      <c r="V48" s="8"/>
    </row>
    <row r="49" spans="1:22" x14ac:dyDescent="0.2">
      <c r="A49" s="8"/>
      <c r="B49" s="8"/>
      <c r="C49" s="8"/>
      <c r="D49" s="8"/>
      <c r="E49" s="8"/>
      <c r="F49" s="8"/>
      <c r="G49" s="8"/>
      <c r="H49" s="8"/>
      <c r="I49" s="8"/>
      <c r="J49" s="8"/>
      <c r="K49" s="8"/>
      <c r="L49" s="8"/>
      <c r="M49" s="8"/>
      <c r="N49" s="8"/>
      <c r="O49" s="8"/>
      <c r="P49" s="8"/>
      <c r="Q49" s="8"/>
      <c r="R49" s="8"/>
      <c r="S49" s="8"/>
      <c r="T49" s="8"/>
      <c r="U49" s="8"/>
      <c r="V49" s="8"/>
    </row>
    <row r="50" spans="1:22" x14ac:dyDescent="0.2">
      <c r="A50" s="8"/>
      <c r="B50" s="8"/>
      <c r="C50" s="8"/>
      <c r="D50" s="8"/>
      <c r="E50" s="8"/>
      <c r="F50" s="8"/>
      <c r="G50" s="8"/>
      <c r="H50" s="8"/>
      <c r="I50" s="8"/>
      <c r="J50" s="8"/>
      <c r="K50" s="8"/>
      <c r="L50" s="8"/>
      <c r="M50" s="8"/>
      <c r="N50" s="8"/>
      <c r="O50" s="8"/>
      <c r="P50" s="8"/>
      <c r="Q50" s="8"/>
      <c r="R50" s="8"/>
      <c r="S50" s="8"/>
      <c r="T50" s="8"/>
      <c r="U50" s="8"/>
      <c r="V50" s="8"/>
    </row>
    <row r="51" spans="1:22" x14ac:dyDescent="0.2">
      <c r="A51" s="8"/>
      <c r="B51" s="8"/>
      <c r="C51" s="8"/>
      <c r="D51" s="8"/>
      <c r="E51" s="8"/>
      <c r="F51" s="8"/>
      <c r="G51" s="8"/>
      <c r="H51" s="8"/>
      <c r="I51" s="8"/>
      <c r="J51" s="8"/>
      <c r="K51" s="8"/>
      <c r="L51" s="8"/>
      <c r="M51" s="8"/>
      <c r="N51" s="8"/>
      <c r="O51" s="8"/>
      <c r="P51" s="8"/>
      <c r="Q51" s="8"/>
      <c r="R51" s="8"/>
      <c r="S51" s="8"/>
      <c r="T51" s="8"/>
      <c r="U51" s="8"/>
      <c r="V51" s="8"/>
    </row>
    <row r="52" spans="1:22" x14ac:dyDescent="0.2">
      <c r="A52" s="8"/>
      <c r="B52" s="8"/>
      <c r="C52" s="8"/>
      <c r="D52" s="8"/>
      <c r="E52" s="8"/>
      <c r="F52" s="8"/>
      <c r="G52" s="8"/>
      <c r="H52" s="8"/>
      <c r="I52" s="8"/>
      <c r="J52" s="8"/>
      <c r="K52" s="8"/>
      <c r="L52" s="8"/>
      <c r="M52" s="8"/>
      <c r="N52" s="8"/>
      <c r="O52" s="8"/>
      <c r="P52" s="8"/>
      <c r="Q52" s="8"/>
      <c r="R52" s="8"/>
      <c r="S52" s="8"/>
      <c r="T52" s="8"/>
      <c r="U52" s="8"/>
      <c r="V52" s="8"/>
    </row>
    <row r="53" spans="1:22" x14ac:dyDescent="0.2">
      <c r="A53" s="8"/>
      <c r="B53" s="8"/>
      <c r="C53" s="8"/>
      <c r="D53" s="8"/>
      <c r="E53" s="8"/>
      <c r="F53" s="8"/>
      <c r="G53" s="8"/>
      <c r="H53" s="8"/>
      <c r="I53" s="8"/>
      <c r="J53" s="8"/>
      <c r="K53" s="8"/>
      <c r="L53" s="8"/>
      <c r="M53" s="8"/>
      <c r="N53" s="8"/>
      <c r="O53" s="8"/>
      <c r="P53" s="8"/>
      <c r="Q53" s="8"/>
      <c r="R53" s="8"/>
      <c r="S53" s="8"/>
      <c r="T53" s="8"/>
      <c r="U53" s="8"/>
      <c r="V53" s="8"/>
    </row>
    <row r="54" spans="1:22" x14ac:dyDescent="0.2">
      <c r="A54" s="8"/>
      <c r="B54" s="8"/>
      <c r="C54" s="8"/>
      <c r="D54" s="8"/>
      <c r="E54" s="8"/>
      <c r="F54" s="8"/>
      <c r="G54" s="8"/>
      <c r="H54" s="8"/>
      <c r="I54" s="8"/>
      <c r="J54" s="8"/>
      <c r="K54" s="8"/>
      <c r="L54" s="8"/>
      <c r="M54" s="8"/>
      <c r="N54" s="8"/>
      <c r="O54" s="8"/>
      <c r="P54" s="8"/>
      <c r="Q54" s="8"/>
      <c r="R54" s="8"/>
      <c r="S54" s="8"/>
      <c r="T54" s="8"/>
      <c r="U54" s="8"/>
      <c r="V54" s="8"/>
    </row>
    <row r="55" spans="1:22" x14ac:dyDescent="0.2">
      <c r="A55" s="8"/>
      <c r="B55" s="8"/>
      <c r="C55" s="8"/>
      <c r="D55" s="8"/>
      <c r="E55" s="8"/>
      <c r="F55" s="8"/>
      <c r="G55" s="8"/>
      <c r="H55" s="8"/>
      <c r="I55" s="8"/>
      <c r="J55" s="8"/>
      <c r="K55" s="8"/>
      <c r="L55" s="8"/>
      <c r="M55" s="8"/>
      <c r="N55" s="8"/>
      <c r="O55" s="8"/>
      <c r="P55" s="8"/>
      <c r="Q55" s="8"/>
      <c r="R55" s="8"/>
      <c r="S55" s="8"/>
      <c r="T55" s="8"/>
      <c r="U55" s="8"/>
      <c r="V55" s="8"/>
    </row>
    <row r="56" spans="1:22" x14ac:dyDescent="0.2">
      <c r="A56" s="8"/>
      <c r="B56" s="8"/>
      <c r="C56" s="8"/>
      <c r="D56" s="8"/>
      <c r="E56" s="8"/>
      <c r="F56" s="8"/>
      <c r="G56" s="8"/>
      <c r="H56" s="8"/>
      <c r="I56" s="8"/>
      <c r="J56" s="8"/>
      <c r="K56" s="8"/>
      <c r="L56" s="8"/>
      <c r="M56" s="8"/>
      <c r="N56" s="8"/>
      <c r="O56" s="8"/>
      <c r="P56" s="8"/>
      <c r="Q56" s="8"/>
      <c r="R56" s="8"/>
      <c r="S56" s="8"/>
      <c r="T56" s="8"/>
      <c r="U56" s="8"/>
      <c r="V56" s="8"/>
    </row>
    <row r="57" spans="1:22" x14ac:dyDescent="0.2">
      <c r="A57" s="8"/>
      <c r="B57" s="8"/>
      <c r="C57" s="8"/>
      <c r="D57" s="8"/>
      <c r="E57" s="8"/>
      <c r="F57" s="8"/>
      <c r="G57" s="8"/>
      <c r="H57" s="8"/>
      <c r="I57" s="8"/>
      <c r="J57" s="8"/>
      <c r="K57" s="8"/>
      <c r="L57" s="8"/>
      <c r="M57" s="8"/>
      <c r="N57" s="8"/>
      <c r="O57" s="8"/>
      <c r="P57" s="8"/>
      <c r="Q57" s="8"/>
      <c r="R57" s="8"/>
      <c r="S57" s="8"/>
      <c r="T57" s="8"/>
      <c r="U57" s="8"/>
      <c r="V57" s="8"/>
    </row>
    <row r="58" spans="1:22" x14ac:dyDescent="0.2">
      <c r="A58" s="8"/>
      <c r="B58" s="8"/>
      <c r="C58" s="8"/>
      <c r="D58" s="8"/>
      <c r="E58" s="8"/>
      <c r="F58" s="8"/>
      <c r="G58" s="8"/>
      <c r="H58" s="8"/>
      <c r="I58" s="8"/>
      <c r="J58" s="8"/>
      <c r="K58" s="8"/>
      <c r="L58" s="8"/>
      <c r="M58" s="8"/>
      <c r="N58" s="8"/>
      <c r="O58" s="8"/>
      <c r="P58" s="8"/>
      <c r="Q58" s="8"/>
      <c r="R58" s="8"/>
      <c r="S58" s="8"/>
      <c r="T58" s="8"/>
      <c r="U58" s="8"/>
      <c r="V58" s="8"/>
    </row>
    <row r="59" spans="1:22" x14ac:dyDescent="0.2">
      <c r="A59" s="8"/>
      <c r="B59" s="8"/>
      <c r="C59" s="8"/>
      <c r="D59" s="8"/>
      <c r="E59" s="8"/>
      <c r="F59" s="8"/>
      <c r="G59" s="8"/>
      <c r="H59" s="8"/>
      <c r="I59" s="8"/>
      <c r="J59" s="8"/>
      <c r="K59" s="8"/>
      <c r="L59" s="8"/>
      <c r="M59" s="8"/>
      <c r="N59" s="8"/>
      <c r="O59" s="8"/>
      <c r="P59" s="8"/>
      <c r="Q59" s="8"/>
      <c r="R59" s="8"/>
      <c r="S59" s="8"/>
      <c r="T59" s="8"/>
      <c r="U59" s="8"/>
      <c r="V59" s="8"/>
    </row>
    <row r="60" spans="1:22" x14ac:dyDescent="0.2">
      <c r="A60" s="8"/>
      <c r="B60" s="8"/>
      <c r="C60" s="8"/>
      <c r="D60" s="8"/>
      <c r="E60" s="8"/>
      <c r="F60" s="8"/>
      <c r="G60" s="8"/>
      <c r="H60" s="8"/>
      <c r="I60" s="8"/>
      <c r="J60" s="8"/>
      <c r="K60" s="8"/>
      <c r="L60" s="8"/>
      <c r="M60" s="8"/>
      <c r="N60" s="8"/>
      <c r="O60" s="8"/>
      <c r="P60" s="8"/>
      <c r="Q60" s="8"/>
      <c r="R60" s="8"/>
      <c r="S60" s="8"/>
      <c r="T60" s="8"/>
      <c r="U60" s="8"/>
      <c r="V60" s="8"/>
    </row>
    <row r="61" spans="1:22" x14ac:dyDescent="0.2">
      <c r="A61" s="8"/>
      <c r="B61" s="8"/>
      <c r="C61" s="8"/>
      <c r="D61" s="8"/>
      <c r="E61" s="8"/>
      <c r="F61" s="8"/>
      <c r="G61" s="8"/>
      <c r="H61" s="8"/>
      <c r="I61" s="8"/>
      <c r="J61" s="8"/>
      <c r="K61" s="8"/>
      <c r="L61" s="8"/>
      <c r="M61" s="8"/>
      <c r="N61" s="8"/>
      <c r="O61" s="8"/>
      <c r="P61" s="8"/>
      <c r="Q61" s="8"/>
      <c r="R61" s="8"/>
      <c r="S61" s="8"/>
      <c r="T61" s="8"/>
      <c r="U61" s="8"/>
      <c r="V61" s="8"/>
    </row>
    <row r="62" spans="1:22" x14ac:dyDescent="0.2">
      <c r="A62" s="8"/>
      <c r="B62" s="8"/>
      <c r="C62" s="8"/>
      <c r="D62" s="8"/>
      <c r="E62" s="8"/>
      <c r="F62" s="8"/>
      <c r="G62" s="8"/>
      <c r="H62" s="8"/>
      <c r="I62" s="8"/>
      <c r="J62" s="8"/>
      <c r="K62" s="8"/>
      <c r="L62" s="8"/>
      <c r="M62" s="8"/>
      <c r="N62" s="8"/>
      <c r="O62" s="8"/>
      <c r="P62" s="8"/>
      <c r="Q62" s="8"/>
      <c r="R62" s="8"/>
      <c r="S62" s="8"/>
      <c r="T62" s="8"/>
      <c r="U62" s="8"/>
      <c r="V62" s="8"/>
    </row>
    <row r="63" spans="1:22" x14ac:dyDescent="0.2">
      <c r="A63" s="8"/>
      <c r="B63" s="8"/>
      <c r="C63" s="8"/>
      <c r="D63" s="8"/>
      <c r="E63" s="8"/>
      <c r="F63" s="8"/>
      <c r="G63" s="8"/>
      <c r="H63" s="8"/>
      <c r="I63" s="8"/>
      <c r="J63" s="8"/>
      <c r="K63" s="8"/>
      <c r="L63" s="8"/>
      <c r="M63" s="8"/>
      <c r="N63" s="8"/>
      <c r="O63" s="8"/>
      <c r="P63" s="8"/>
      <c r="Q63" s="8"/>
      <c r="R63" s="8"/>
      <c r="S63" s="8"/>
      <c r="T63" s="8"/>
      <c r="U63" s="8"/>
      <c r="V63" s="8"/>
    </row>
    <row r="64" spans="1:22" x14ac:dyDescent="0.2">
      <c r="A64" s="8"/>
      <c r="B64" s="8"/>
      <c r="C64" s="8"/>
      <c r="D64" s="8"/>
      <c r="E64" s="8"/>
      <c r="F64" s="8"/>
      <c r="G64" s="8"/>
      <c r="H64" s="8"/>
      <c r="I64" s="8"/>
      <c r="J64" s="8"/>
      <c r="K64" s="8"/>
      <c r="L64" s="8"/>
      <c r="M64" s="8"/>
      <c r="N64" s="8"/>
      <c r="O64" s="8"/>
      <c r="P64" s="8"/>
      <c r="Q64" s="8"/>
      <c r="R64" s="8"/>
      <c r="S64" s="8"/>
      <c r="T64" s="8"/>
      <c r="U64" s="8"/>
      <c r="V64" s="8"/>
    </row>
    <row r="65" spans="1:22" x14ac:dyDescent="0.2">
      <c r="A65" s="8"/>
      <c r="B65" s="8"/>
      <c r="C65" s="8"/>
      <c r="D65" s="8"/>
      <c r="E65" s="8"/>
      <c r="F65" s="8"/>
      <c r="G65" s="8"/>
      <c r="H65" s="8"/>
      <c r="I65" s="8"/>
      <c r="J65" s="8"/>
      <c r="K65" s="8"/>
      <c r="L65" s="8"/>
      <c r="M65" s="8"/>
      <c r="N65" s="8"/>
      <c r="O65" s="8"/>
      <c r="P65" s="8"/>
      <c r="Q65" s="8"/>
      <c r="R65" s="8"/>
      <c r="S65" s="8"/>
      <c r="T65" s="8"/>
      <c r="U65" s="8"/>
      <c r="V65" s="8"/>
    </row>
    <row r="66" spans="1:22" x14ac:dyDescent="0.2">
      <c r="A66" s="8"/>
      <c r="B66" s="8"/>
      <c r="C66" s="8"/>
      <c r="D66" s="8"/>
      <c r="E66" s="8"/>
      <c r="F66" s="8"/>
      <c r="G66" s="8"/>
      <c r="H66" s="8"/>
      <c r="I66" s="8"/>
      <c r="J66" s="8"/>
      <c r="K66" s="8"/>
      <c r="L66" s="8"/>
      <c r="M66" s="8"/>
      <c r="N66" s="8"/>
      <c r="O66" s="8"/>
      <c r="P66" s="8"/>
      <c r="Q66" s="8"/>
      <c r="R66" s="8"/>
      <c r="S66" s="8"/>
      <c r="T66" s="8"/>
      <c r="U66" s="8"/>
      <c r="V66" s="8"/>
    </row>
    <row r="67" spans="1:22" x14ac:dyDescent="0.2">
      <c r="A67" s="8"/>
      <c r="B67" s="8"/>
      <c r="C67" s="8"/>
      <c r="D67" s="8"/>
      <c r="E67" s="8"/>
      <c r="F67" s="8"/>
      <c r="G67" s="8"/>
      <c r="H67" s="8"/>
      <c r="I67" s="8"/>
      <c r="J67" s="8"/>
      <c r="K67" s="8"/>
      <c r="L67" s="8"/>
      <c r="M67" s="8"/>
      <c r="N67" s="8"/>
      <c r="O67" s="8"/>
      <c r="P67" s="8"/>
      <c r="Q67" s="8"/>
      <c r="R67" s="8"/>
      <c r="S67" s="8"/>
      <c r="T67" s="8"/>
      <c r="U67" s="8"/>
      <c r="V67" s="8"/>
    </row>
    <row r="68" spans="1:22" x14ac:dyDescent="0.2">
      <c r="A68" s="8"/>
      <c r="B68" s="8"/>
      <c r="C68" s="8"/>
      <c r="D68" s="8"/>
      <c r="E68" s="8"/>
      <c r="F68" s="8"/>
      <c r="G68" s="8"/>
      <c r="H68" s="8"/>
      <c r="I68" s="8"/>
      <c r="J68" s="8"/>
      <c r="K68" s="8"/>
      <c r="L68" s="8"/>
      <c r="M68" s="8"/>
      <c r="N68" s="8"/>
      <c r="O68" s="8"/>
      <c r="P68" s="8"/>
      <c r="Q68" s="8"/>
      <c r="R68" s="8"/>
      <c r="S68" s="8"/>
      <c r="T68" s="8"/>
      <c r="U68" s="8"/>
      <c r="V68" s="8"/>
    </row>
    <row r="69" spans="1:22" x14ac:dyDescent="0.2">
      <c r="A69" s="8"/>
      <c r="B69" s="8"/>
      <c r="C69" s="8"/>
      <c r="D69" s="8"/>
      <c r="E69" s="8"/>
      <c r="F69" s="8"/>
      <c r="G69" s="8"/>
      <c r="H69" s="8"/>
      <c r="I69" s="8"/>
      <c r="J69" s="8"/>
      <c r="K69" s="8"/>
      <c r="L69" s="8"/>
      <c r="M69" s="8"/>
      <c r="N69" s="8"/>
      <c r="O69" s="8"/>
      <c r="P69" s="8"/>
      <c r="Q69" s="8"/>
      <c r="R69" s="8"/>
      <c r="S69" s="8"/>
      <c r="T69" s="8"/>
      <c r="U69" s="8"/>
      <c r="V69" s="8"/>
    </row>
    <row r="70" spans="1:22" x14ac:dyDescent="0.2">
      <c r="A70" s="8"/>
      <c r="B70" s="8"/>
      <c r="C70" s="8"/>
      <c r="D70" s="8"/>
      <c r="E70" s="8"/>
      <c r="F70" s="8"/>
      <c r="G70" s="8"/>
      <c r="H70" s="8"/>
      <c r="I70" s="8"/>
      <c r="J70" s="8"/>
      <c r="K70" s="8"/>
      <c r="L70" s="8"/>
      <c r="M70" s="8"/>
      <c r="N70" s="8"/>
      <c r="O70" s="8"/>
      <c r="P70" s="8"/>
      <c r="Q70" s="8"/>
      <c r="R70" s="8"/>
      <c r="S70" s="8"/>
      <c r="T70" s="8"/>
      <c r="U70" s="8"/>
      <c r="V70" s="8"/>
    </row>
    <row r="71" spans="1:22" x14ac:dyDescent="0.2">
      <c r="A71" s="8"/>
      <c r="B71" s="8"/>
      <c r="C71" s="8"/>
      <c r="D71" s="8"/>
      <c r="E71" s="8"/>
      <c r="F71" s="8"/>
      <c r="G71" s="8"/>
      <c r="H71" s="8"/>
      <c r="I71" s="8"/>
      <c r="J71" s="8"/>
      <c r="K71" s="8"/>
      <c r="L71" s="8"/>
      <c r="M71" s="8"/>
      <c r="N71" s="8"/>
      <c r="O71" s="8"/>
      <c r="P71" s="8"/>
      <c r="Q71" s="8"/>
      <c r="R71" s="8"/>
      <c r="S71" s="8"/>
      <c r="T71" s="8"/>
      <c r="U71" s="8"/>
      <c r="V71" s="8"/>
    </row>
    <row r="72" spans="1:22" x14ac:dyDescent="0.2">
      <c r="A72" s="8"/>
      <c r="B72" s="8"/>
      <c r="C72" s="8"/>
      <c r="D72" s="8"/>
      <c r="E72" s="8"/>
      <c r="F72" s="8"/>
      <c r="G72" s="8"/>
      <c r="H72" s="8"/>
      <c r="I72" s="8"/>
      <c r="J72" s="8"/>
      <c r="K72" s="8"/>
      <c r="L72" s="8"/>
      <c r="M72" s="8"/>
      <c r="N72" s="8"/>
      <c r="O72" s="8"/>
      <c r="P72" s="8"/>
      <c r="Q72" s="8"/>
      <c r="R72" s="8"/>
      <c r="S72" s="8"/>
      <c r="T72" s="8"/>
      <c r="U72" s="8"/>
      <c r="V72" s="8"/>
    </row>
    <row r="73" spans="1:22" x14ac:dyDescent="0.2">
      <c r="A73" s="8"/>
      <c r="B73" s="8"/>
      <c r="C73" s="8"/>
      <c r="D73" s="8"/>
      <c r="E73" s="8"/>
      <c r="F73" s="8"/>
      <c r="G73" s="8"/>
      <c r="H73" s="8"/>
      <c r="I73" s="8"/>
      <c r="J73" s="8"/>
      <c r="K73" s="8"/>
      <c r="L73" s="8"/>
      <c r="M73" s="8"/>
      <c r="N73" s="8"/>
      <c r="O73" s="8"/>
      <c r="P73" s="8"/>
      <c r="Q73" s="8"/>
      <c r="R73" s="8"/>
      <c r="S73" s="8"/>
      <c r="T73" s="8"/>
      <c r="U73" s="8"/>
      <c r="V73" s="8"/>
    </row>
    <row r="74" spans="1:22" x14ac:dyDescent="0.2">
      <c r="A74" s="8"/>
      <c r="B74" s="8"/>
      <c r="C74" s="8"/>
      <c r="D74" s="8"/>
      <c r="E74" s="8"/>
      <c r="F74" s="8"/>
      <c r="G74" s="8"/>
      <c r="H74" s="8"/>
      <c r="I74" s="8"/>
      <c r="J74" s="8"/>
      <c r="K74" s="8"/>
      <c r="L74" s="8"/>
      <c r="M74" s="8"/>
      <c r="N74" s="8"/>
      <c r="O74" s="8"/>
      <c r="P74" s="8"/>
      <c r="Q74" s="8"/>
      <c r="R74" s="8"/>
      <c r="S74" s="8"/>
      <c r="T74" s="8"/>
      <c r="U74" s="8"/>
      <c r="V74" s="8"/>
    </row>
    <row r="75" spans="1:22" x14ac:dyDescent="0.2">
      <c r="A75" s="8"/>
      <c r="B75" s="8"/>
      <c r="C75" s="8"/>
      <c r="D75" s="8"/>
      <c r="E75" s="8"/>
      <c r="F75" s="8"/>
      <c r="G75" s="8"/>
      <c r="H75" s="8"/>
      <c r="I75" s="8"/>
      <c r="J75" s="8"/>
      <c r="K75" s="8"/>
      <c r="L75" s="8"/>
      <c r="M75" s="8"/>
      <c r="N75" s="8"/>
      <c r="O75" s="8"/>
      <c r="P75" s="8"/>
      <c r="Q75" s="8"/>
      <c r="R75" s="8"/>
      <c r="S75" s="8"/>
      <c r="T75" s="8"/>
      <c r="U75" s="8"/>
      <c r="V75" s="8"/>
    </row>
    <row r="76" spans="1:22" x14ac:dyDescent="0.2">
      <c r="A76" s="8"/>
      <c r="B76" s="8"/>
      <c r="C76" s="8"/>
      <c r="D76" s="8"/>
      <c r="E76" s="8"/>
      <c r="F76" s="8"/>
      <c r="G76" s="8"/>
      <c r="H76" s="8"/>
      <c r="I76" s="8"/>
      <c r="J76" s="8"/>
      <c r="K76" s="8"/>
      <c r="L76" s="8"/>
      <c r="M76" s="8"/>
      <c r="N76" s="8"/>
      <c r="O76" s="8"/>
      <c r="P76" s="8"/>
      <c r="Q76" s="8"/>
      <c r="R76" s="8"/>
      <c r="S76" s="8"/>
      <c r="T76" s="8"/>
      <c r="U76" s="8"/>
      <c r="V76" s="8"/>
    </row>
    <row r="77" spans="1:22" x14ac:dyDescent="0.2">
      <c r="A77" s="8"/>
      <c r="B77" s="8"/>
      <c r="C77" s="8"/>
      <c r="D77" s="8"/>
      <c r="E77" s="8"/>
      <c r="F77" s="8"/>
      <c r="G77" s="8"/>
      <c r="H77" s="8"/>
      <c r="I77" s="8"/>
      <c r="J77" s="8"/>
      <c r="K77" s="8"/>
      <c r="L77" s="8"/>
      <c r="M77" s="8"/>
      <c r="N77" s="8"/>
      <c r="O77" s="8"/>
      <c r="P77" s="8"/>
      <c r="Q77" s="8"/>
      <c r="R77" s="8"/>
      <c r="S77" s="8"/>
      <c r="T77" s="8"/>
      <c r="U77" s="8"/>
      <c r="V77" s="8"/>
    </row>
    <row r="78" spans="1:22" x14ac:dyDescent="0.2">
      <c r="A78" s="8"/>
      <c r="B78" s="8"/>
      <c r="C78" s="8"/>
      <c r="D78" s="8"/>
      <c r="E78" s="8"/>
      <c r="F78" s="8"/>
      <c r="G78" s="8"/>
      <c r="H78" s="8"/>
      <c r="I78" s="8"/>
      <c r="J78" s="8"/>
      <c r="K78" s="8"/>
      <c r="L78" s="8"/>
      <c r="M78" s="8"/>
      <c r="N78" s="8"/>
      <c r="O78" s="8"/>
      <c r="P78" s="8"/>
      <c r="Q78" s="8"/>
      <c r="R78" s="8"/>
      <c r="S78" s="8"/>
      <c r="T78" s="8"/>
      <c r="U78" s="8"/>
      <c r="V78" s="8"/>
    </row>
    <row r="79" spans="1:22" x14ac:dyDescent="0.2">
      <c r="A79" s="8"/>
      <c r="B79" s="8"/>
      <c r="C79" s="8"/>
      <c r="D79" s="8"/>
      <c r="E79" s="8"/>
      <c r="F79" s="8"/>
      <c r="G79" s="8"/>
      <c r="H79" s="8"/>
      <c r="I79" s="8"/>
      <c r="J79" s="8"/>
      <c r="K79" s="8"/>
      <c r="L79" s="8"/>
      <c r="M79" s="8"/>
      <c r="N79" s="8"/>
      <c r="O79" s="8"/>
      <c r="P79" s="8"/>
      <c r="Q79" s="8"/>
      <c r="R79" s="8"/>
      <c r="S79" s="8"/>
      <c r="T79" s="8"/>
      <c r="U79" s="8"/>
      <c r="V79" s="8"/>
    </row>
    <row r="80" spans="1:22" x14ac:dyDescent="0.2">
      <c r="A80" s="8"/>
      <c r="B80" s="8"/>
      <c r="C80" s="8"/>
      <c r="D80" s="8"/>
      <c r="E80" s="8"/>
      <c r="F80" s="8"/>
      <c r="G80" s="8"/>
      <c r="H80" s="8"/>
      <c r="I80" s="8"/>
      <c r="J80" s="8"/>
      <c r="K80" s="8"/>
      <c r="L80" s="8"/>
      <c r="M80" s="8"/>
      <c r="N80" s="8"/>
      <c r="O80" s="8"/>
      <c r="P80" s="8"/>
      <c r="Q80" s="8"/>
      <c r="R80" s="8"/>
      <c r="S80" s="8"/>
      <c r="T80" s="8"/>
      <c r="U80" s="8"/>
      <c r="V80" s="8"/>
    </row>
    <row r="81" spans="1:22" x14ac:dyDescent="0.2">
      <c r="A81" s="8"/>
      <c r="B81" s="8"/>
      <c r="C81" s="8"/>
      <c r="D81" s="8"/>
      <c r="E81" s="8"/>
      <c r="F81" s="8"/>
      <c r="G81" s="8"/>
      <c r="H81" s="8"/>
      <c r="I81" s="8"/>
      <c r="J81" s="8"/>
      <c r="K81" s="8"/>
      <c r="L81" s="8"/>
      <c r="M81" s="8"/>
      <c r="N81" s="8"/>
      <c r="O81" s="8"/>
      <c r="P81" s="8"/>
      <c r="Q81" s="8"/>
      <c r="R81" s="8"/>
      <c r="S81" s="8"/>
      <c r="T81" s="8"/>
      <c r="U81" s="8"/>
      <c r="V81" s="8"/>
    </row>
    <row r="82" spans="1:22" x14ac:dyDescent="0.2">
      <c r="A82" s="8"/>
      <c r="B82" s="8"/>
      <c r="C82" s="8"/>
      <c r="D82" s="8"/>
      <c r="E82" s="8"/>
      <c r="F82" s="8"/>
      <c r="G82" s="8"/>
      <c r="H82" s="8"/>
      <c r="I82" s="8"/>
      <c r="J82" s="8"/>
      <c r="K82" s="8"/>
      <c r="L82" s="8"/>
      <c r="M82" s="8"/>
      <c r="N82" s="8"/>
      <c r="O82" s="8"/>
      <c r="P82" s="8"/>
      <c r="Q82" s="8"/>
      <c r="R82" s="8"/>
      <c r="S82" s="8"/>
      <c r="T82" s="8"/>
      <c r="U82" s="8"/>
      <c r="V82" s="8"/>
    </row>
    <row r="83" spans="1:22" x14ac:dyDescent="0.2">
      <c r="A83" s="8"/>
      <c r="B83" s="8"/>
      <c r="C83" s="8"/>
      <c r="D83" s="8"/>
      <c r="E83" s="8"/>
      <c r="F83" s="8"/>
      <c r="G83" s="8"/>
      <c r="H83" s="8"/>
      <c r="I83" s="8"/>
      <c r="J83" s="8"/>
      <c r="K83" s="8"/>
      <c r="L83" s="8"/>
      <c r="M83" s="8"/>
      <c r="N83" s="8"/>
      <c r="O83" s="8"/>
      <c r="P83" s="8"/>
      <c r="Q83" s="8"/>
      <c r="R83" s="8"/>
      <c r="S83" s="8"/>
      <c r="T83" s="8"/>
      <c r="U83" s="8"/>
      <c r="V83" s="8"/>
    </row>
    <row r="84" spans="1:22" x14ac:dyDescent="0.2">
      <c r="A84" s="8"/>
      <c r="B84" s="8"/>
      <c r="C84" s="8"/>
      <c r="D84" s="8"/>
      <c r="E84" s="8"/>
      <c r="F84" s="8"/>
      <c r="G84" s="8"/>
      <c r="H84" s="8"/>
      <c r="I84" s="8"/>
      <c r="J84" s="8"/>
      <c r="K84" s="8"/>
      <c r="L84" s="8"/>
      <c r="M84" s="8"/>
      <c r="N84" s="8"/>
      <c r="O84" s="8"/>
      <c r="P84" s="8"/>
      <c r="Q84" s="8"/>
      <c r="R84" s="8"/>
      <c r="S84" s="8"/>
      <c r="T84" s="8"/>
      <c r="U84" s="8"/>
      <c r="V84" s="8"/>
    </row>
    <row r="85" spans="1:22" x14ac:dyDescent="0.2">
      <c r="A85" s="8"/>
      <c r="B85" s="8"/>
      <c r="C85" s="8"/>
      <c r="D85" s="8"/>
      <c r="E85" s="8"/>
      <c r="F85" s="8"/>
      <c r="G85" s="8"/>
      <c r="H85" s="8"/>
      <c r="I85" s="8"/>
      <c r="J85" s="8"/>
      <c r="K85" s="8"/>
      <c r="L85" s="8"/>
      <c r="M85" s="8"/>
      <c r="N85" s="8"/>
      <c r="O85" s="8"/>
      <c r="P85" s="8"/>
      <c r="Q85" s="8"/>
      <c r="R85" s="8"/>
      <c r="S85" s="8"/>
      <c r="T85" s="8"/>
      <c r="U85" s="8"/>
      <c r="V85" s="8"/>
    </row>
    <row r="86" spans="1:22" x14ac:dyDescent="0.2">
      <c r="A86" s="8"/>
      <c r="B86" s="8"/>
      <c r="C86" s="8"/>
      <c r="D86" s="8"/>
      <c r="E86" s="8"/>
      <c r="F86" s="8"/>
      <c r="G86" s="8"/>
      <c r="H86" s="8"/>
      <c r="I86" s="8"/>
      <c r="J86" s="8"/>
      <c r="K86" s="8"/>
      <c r="L86" s="8"/>
      <c r="M86" s="8"/>
      <c r="N86" s="8"/>
      <c r="O86" s="8"/>
      <c r="P86" s="8"/>
      <c r="Q86" s="8"/>
      <c r="R86" s="8"/>
      <c r="S86" s="8"/>
      <c r="T86" s="8"/>
      <c r="U86" s="8"/>
      <c r="V86" s="8"/>
    </row>
    <row r="87" spans="1:22" x14ac:dyDescent="0.2">
      <c r="A87" s="8"/>
      <c r="B87" s="8"/>
      <c r="C87" s="8"/>
      <c r="D87" s="8"/>
      <c r="E87" s="8"/>
      <c r="F87" s="8"/>
      <c r="G87" s="8"/>
      <c r="H87" s="8"/>
      <c r="I87" s="8"/>
      <c r="J87" s="8"/>
      <c r="K87" s="8"/>
      <c r="L87" s="8"/>
      <c r="M87" s="8"/>
      <c r="N87" s="8"/>
      <c r="O87" s="8"/>
      <c r="P87" s="8"/>
      <c r="Q87" s="8"/>
      <c r="R87" s="8"/>
      <c r="S87" s="8"/>
      <c r="T87" s="8"/>
      <c r="U87" s="8"/>
      <c r="V87" s="8"/>
    </row>
    <row r="88" spans="1:22" x14ac:dyDescent="0.2">
      <c r="A88" s="8"/>
      <c r="B88" s="8"/>
      <c r="C88" s="8"/>
      <c r="D88" s="8"/>
      <c r="E88" s="8"/>
      <c r="F88" s="8"/>
      <c r="G88" s="8"/>
      <c r="H88" s="8"/>
      <c r="I88" s="8"/>
      <c r="J88" s="8"/>
      <c r="K88" s="8"/>
      <c r="L88" s="8"/>
      <c r="M88" s="8"/>
      <c r="N88" s="8"/>
      <c r="O88" s="8"/>
      <c r="P88" s="8"/>
      <c r="Q88" s="8"/>
      <c r="R88" s="8"/>
      <c r="S88" s="8"/>
      <c r="T88" s="8"/>
      <c r="U88" s="8"/>
      <c r="V88" s="8"/>
    </row>
    <row r="89" spans="1:22" x14ac:dyDescent="0.2">
      <c r="A89" s="8"/>
      <c r="B89" s="8"/>
      <c r="C89" s="8"/>
      <c r="D89" s="8"/>
      <c r="E89" s="8"/>
      <c r="F89" s="8"/>
      <c r="G89" s="8"/>
      <c r="H89" s="8"/>
      <c r="I89" s="8"/>
      <c r="J89" s="8"/>
      <c r="K89" s="8"/>
      <c r="L89" s="8"/>
      <c r="M89" s="8"/>
      <c r="N89" s="8"/>
      <c r="O89" s="8"/>
      <c r="P89" s="8"/>
      <c r="Q89" s="8"/>
      <c r="R89" s="8"/>
      <c r="S89" s="8"/>
      <c r="T89" s="8"/>
      <c r="U89" s="8"/>
      <c r="V89" s="8"/>
    </row>
    <row r="90" spans="1:22" x14ac:dyDescent="0.2">
      <c r="A90" s="8"/>
      <c r="B90" s="8"/>
      <c r="C90" s="8"/>
      <c r="D90" s="8"/>
      <c r="E90" s="8"/>
      <c r="F90" s="8"/>
      <c r="G90" s="8"/>
      <c r="H90" s="8"/>
      <c r="I90" s="8"/>
      <c r="J90" s="8"/>
      <c r="K90" s="8"/>
      <c r="L90" s="8"/>
      <c r="M90" s="8"/>
      <c r="N90" s="8"/>
      <c r="O90" s="8"/>
      <c r="P90" s="8"/>
      <c r="Q90" s="8"/>
      <c r="R90" s="8"/>
      <c r="S90" s="8"/>
      <c r="T90" s="8"/>
      <c r="U90" s="8"/>
      <c r="V90" s="8"/>
    </row>
    <row r="91" spans="1:22" x14ac:dyDescent="0.2">
      <c r="A91" s="8"/>
      <c r="B91" s="8"/>
      <c r="C91" s="8"/>
      <c r="D91" s="8"/>
      <c r="E91" s="8"/>
      <c r="F91" s="8"/>
      <c r="G91" s="8"/>
      <c r="H91" s="8"/>
      <c r="I91" s="8"/>
      <c r="J91" s="8"/>
      <c r="K91" s="8"/>
      <c r="L91" s="8"/>
      <c r="M91" s="8"/>
      <c r="N91" s="8"/>
      <c r="O91" s="8"/>
      <c r="P91" s="8"/>
      <c r="Q91" s="8"/>
      <c r="R91" s="8"/>
      <c r="S91" s="8"/>
      <c r="T91" s="8"/>
      <c r="U91" s="8"/>
      <c r="V91" s="8"/>
    </row>
    <row r="92" spans="1:22" x14ac:dyDescent="0.2">
      <c r="A92" s="8"/>
      <c r="B92" s="8"/>
      <c r="C92" s="8"/>
      <c r="D92" s="8"/>
      <c r="E92" s="8"/>
      <c r="F92" s="8"/>
      <c r="G92" s="8"/>
      <c r="H92" s="8"/>
      <c r="I92" s="8"/>
      <c r="J92" s="8"/>
      <c r="K92" s="8"/>
      <c r="L92" s="8"/>
      <c r="M92" s="8"/>
      <c r="N92" s="8"/>
      <c r="O92" s="8"/>
      <c r="P92" s="8"/>
      <c r="Q92" s="8"/>
      <c r="R92" s="8"/>
      <c r="S92" s="8"/>
      <c r="T92" s="8"/>
      <c r="U92" s="8"/>
      <c r="V92" s="8"/>
    </row>
    <row r="93" spans="1:22" x14ac:dyDescent="0.2">
      <c r="A93" s="8"/>
      <c r="B93" s="8"/>
      <c r="C93" s="8"/>
      <c r="D93" s="8"/>
      <c r="E93" s="8"/>
      <c r="F93" s="8"/>
      <c r="G93" s="8"/>
      <c r="H93" s="8"/>
      <c r="I93" s="8"/>
      <c r="J93" s="8"/>
      <c r="K93" s="8"/>
      <c r="L93" s="8"/>
      <c r="M93" s="8"/>
      <c r="N93" s="8"/>
      <c r="O93" s="8"/>
      <c r="P93" s="8"/>
      <c r="Q93" s="8"/>
      <c r="R93" s="8"/>
      <c r="S93" s="8"/>
      <c r="T93" s="8"/>
      <c r="U93" s="8"/>
      <c r="V93" s="8"/>
    </row>
    <row r="94" spans="1:22" x14ac:dyDescent="0.2">
      <c r="A94" s="8"/>
      <c r="B94" s="8"/>
      <c r="C94" s="8"/>
      <c r="D94" s="8"/>
      <c r="E94" s="8"/>
      <c r="F94" s="8"/>
      <c r="G94" s="8"/>
      <c r="H94" s="8"/>
      <c r="I94" s="8"/>
      <c r="J94" s="8"/>
      <c r="K94" s="8"/>
      <c r="L94" s="8"/>
      <c r="M94" s="8"/>
      <c r="N94" s="8"/>
      <c r="O94" s="8"/>
      <c r="P94" s="8"/>
      <c r="Q94" s="8"/>
      <c r="R94" s="8"/>
      <c r="S94" s="8"/>
      <c r="T94" s="8"/>
      <c r="U94" s="8"/>
      <c r="V94" s="8"/>
    </row>
    <row r="95" spans="1:22" x14ac:dyDescent="0.2">
      <c r="A95" s="8"/>
      <c r="B95" s="8"/>
      <c r="C95" s="8"/>
      <c r="D95" s="8"/>
      <c r="E95" s="8"/>
      <c r="F95" s="8"/>
      <c r="G95" s="8"/>
      <c r="H95" s="8"/>
      <c r="I95" s="8"/>
      <c r="J95" s="8"/>
      <c r="K95" s="8"/>
      <c r="L95" s="8"/>
      <c r="M95" s="8"/>
      <c r="N95" s="8"/>
      <c r="O95" s="8"/>
      <c r="P95" s="8"/>
      <c r="Q95" s="8"/>
      <c r="R95" s="8"/>
      <c r="S95" s="8"/>
      <c r="T95" s="8"/>
      <c r="U95" s="8"/>
      <c r="V95" s="8"/>
    </row>
    <row r="96" spans="1:22" x14ac:dyDescent="0.2">
      <c r="A96" s="8"/>
      <c r="B96" s="8"/>
      <c r="C96" s="8"/>
      <c r="D96" s="8"/>
      <c r="E96" s="8"/>
      <c r="F96" s="8"/>
      <c r="G96" s="8"/>
      <c r="H96" s="8"/>
      <c r="I96" s="8"/>
      <c r="J96" s="8"/>
      <c r="K96" s="8"/>
      <c r="L96" s="8"/>
      <c r="M96" s="8"/>
      <c r="N96" s="8"/>
      <c r="O96" s="8"/>
      <c r="P96" s="8"/>
      <c r="Q96" s="8"/>
      <c r="R96" s="8"/>
      <c r="S96" s="8"/>
      <c r="T96" s="8"/>
      <c r="U96" s="8"/>
      <c r="V96" s="8"/>
    </row>
    <row r="97" spans="1:22" x14ac:dyDescent="0.2">
      <c r="A97" s="8"/>
      <c r="B97" s="8"/>
      <c r="C97" s="8"/>
      <c r="D97" s="8"/>
      <c r="E97" s="8"/>
      <c r="F97" s="8"/>
      <c r="G97" s="8"/>
      <c r="H97" s="8"/>
      <c r="I97" s="8"/>
      <c r="J97" s="8"/>
      <c r="K97" s="8"/>
      <c r="L97" s="8"/>
      <c r="M97" s="8"/>
      <c r="N97" s="8"/>
      <c r="O97" s="8"/>
      <c r="P97" s="8"/>
      <c r="Q97" s="8"/>
      <c r="R97" s="8"/>
      <c r="S97" s="8"/>
      <c r="T97" s="8"/>
      <c r="U97" s="8"/>
      <c r="V97" s="8"/>
    </row>
    <row r="98" spans="1:22" x14ac:dyDescent="0.2">
      <c r="A98" s="8"/>
      <c r="B98" s="8"/>
      <c r="C98" s="8"/>
      <c r="D98" s="8"/>
      <c r="E98" s="8"/>
      <c r="F98" s="8"/>
      <c r="G98" s="8"/>
      <c r="H98" s="8"/>
      <c r="I98" s="8"/>
      <c r="J98" s="8"/>
      <c r="K98" s="8"/>
      <c r="L98" s="8"/>
      <c r="M98" s="8"/>
      <c r="N98" s="8"/>
      <c r="O98" s="8"/>
      <c r="P98" s="8"/>
      <c r="Q98" s="8"/>
      <c r="R98" s="8"/>
      <c r="S98" s="8"/>
      <c r="T98" s="8"/>
      <c r="U98" s="8"/>
      <c r="V98" s="8"/>
    </row>
    <row r="99" spans="1:22" x14ac:dyDescent="0.2">
      <c r="A99" s="8"/>
      <c r="B99" s="8"/>
      <c r="C99" s="8"/>
      <c r="D99" s="8"/>
      <c r="E99" s="8"/>
      <c r="F99" s="8"/>
      <c r="G99" s="8"/>
      <c r="H99" s="8"/>
      <c r="I99" s="8"/>
      <c r="J99" s="8"/>
      <c r="K99" s="8"/>
      <c r="L99" s="8"/>
      <c r="M99" s="8"/>
      <c r="N99" s="8"/>
      <c r="O99" s="8"/>
      <c r="P99" s="8"/>
      <c r="Q99" s="8"/>
      <c r="R99" s="8"/>
      <c r="S99" s="8"/>
      <c r="T99" s="8"/>
      <c r="U99" s="8"/>
      <c r="V99" s="8"/>
    </row>
    <row r="100" spans="1:22" x14ac:dyDescent="0.2">
      <c r="A100" s="8"/>
      <c r="B100" s="8"/>
      <c r="C100" s="8"/>
      <c r="D100" s="8"/>
      <c r="E100" s="8"/>
      <c r="F100" s="8"/>
      <c r="G100" s="8"/>
      <c r="H100" s="8"/>
      <c r="I100" s="8"/>
      <c r="J100" s="8"/>
      <c r="K100" s="8"/>
      <c r="L100" s="8"/>
      <c r="M100" s="8"/>
      <c r="N100" s="8"/>
      <c r="O100" s="8"/>
      <c r="P100" s="8"/>
      <c r="Q100" s="8"/>
      <c r="R100" s="8"/>
      <c r="S100" s="8"/>
      <c r="T100" s="8"/>
      <c r="U100" s="8"/>
      <c r="V100" s="8"/>
    </row>
    <row r="101" spans="1:22" x14ac:dyDescent="0.2">
      <c r="A101" s="8"/>
      <c r="B101" s="8"/>
      <c r="C101" s="8"/>
      <c r="D101" s="8"/>
      <c r="E101" s="8"/>
      <c r="F101" s="8"/>
      <c r="G101" s="8"/>
      <c r="H101" s="8"/>
      <c r="I101" s="8"/>
      <c r="J101" s="8"/>
      <c r="K101" s="8"/>
      <c r="L101" s="8"/>
      <c r="M101" s="8"/>
      <c r="N101" s="8"/>
      <c r="O101" s="8"/>
      <c r="P101" s="8"/>
      <c r="Q101" s="8"/>
      <c r="R101" s="8"/>
      <c r="S101" s="8"/>
      <c r="T101" s="8"/>
      <c r="U101" s="8"/>
      <c r="V101" s="8"/>
    </row>
    <row r="102" spans="1:22" x14ac:dyDescent="0.2">
      <c r="A102" s="8"/>
      <c r="B102" s="8"/>
      <c r="C102" s="8"/>
      <c r="D102" s="8"/>
      <c r="E102" s="8"/>
      <c r="F102" s="8"/>
      <c r="G102" s="8"/>
      <c r="H102" s="8"/>
      <c r="I102" s="8"/>
      <c r="J102" s="8"/>
      <c r="K102" s="8"/>
      <c r="L102" s="8"/>
      <c r="M102" s="8"/>
      <c r="N102" s="8"/>
      <c r="O102" s="8"/>
      <c r="P102" s="8"/>
      <c r="Q102" s="8"/>
      <c r="R102" s="8"/>
      <c r="S102" s="8"/>
      <c r="T102" s="8"/>
      <c r="U102" s="8"/>
      <c r="V102" s="8"/>
    </row>
    <row r="103" spans="1:22" x14ac:dyDescent="0.2">
      <c r="A103" s="8"/>
      <c r="B103" s="8"/>
      <c r="C103" s="8"/>
      <c r="D103" s="8"/>
      <c r="E103" s="8"/>
      <c r="F103" s="8"/>
      <c r="G103" s="8"/>
      <c r="H103" s="8"/>
      <c r="I103" s="8"/>
      <c r="J103" s="8"/>
      <c r="K103" s="8"/>
      <c r="L103" s="8"/>
      <c r="M103" s="8"/>
      <c r="N103" s="8"/>
      <c r="O103" s="8"/>
      <c r="P103" s="8"/>
      <c r="Q103" s="8"/>
      <c r="R103" s="8"/>
      <c r="S103" s="8"/>
      <c r="T103" s="8"/>
      <c r="U103" s="8"/>
      <c r="V103" s="8"/>
    </row>
    <row r="104" spans="1:22" x14ac:dyDescent="0.2">
      <c r="A104" s="8"/>
      <c r="B104" s="8"/>
      <c r="C104" s="8"/>
      <c r="D104" s="8"/>
      <c r="E104" s="8"/>
      <c r="F104" s="8"/>
      <c r="G104" s="8"/>
      <c r="H104" s="8"/>
      <c r="I104" s="8"/>
      <c r="J104" s="8"/>
      <c r="K104" s="8"/>
      <c r="L104" s="8"/>
      <c r="M104" s="8"/>
      <c r="N104" s="8"/>
      <c r="O104" s="8"/>
      <c r="P104" s="8"/>
      <c r="Q104" s="8"/>
      <c r="R104" s="8"/>
      <c r="S104" s="8"/>
      <c r="T104" s="8"/>
      <c r="U104" s="8"/>
      <c r="V104" s="8"/>
    </row>
    <row r="105" spans="1:22" x14ac:dyDescent="0.2">
      <c r="A105" s="8"/>
      <c r="B105" s="8"/>
      <c r="C105" s="8"/>
      <c r="D105" s="8"/>
      <c r="E105" s="8"/>
      <c r="F105" s="8"/>
      <c r="G105" s="8"/>
      <c r="H105" s="8"/>
      <c r="I105" s="8"/>
      <c r="J105" s="8"/>
      <c r="K105" s="8"/>
      <c r="L105" s="8"/>
      <c r="M105" s="8"/>
      <c r="N105" s="8"/>
      <c r="O105" s="8"/>
      <c r="P105" s="8"/>
      <c r="Q105" s="8"/>
      <c r="R105" s="8"/>
      <c r="S105" s="8"/>
      <c r="T105" s="8"/>
      <c r="U105" s="8"/>
      <c r="V105" s="8"/>
    </row>
    <row r="106" spans="1:22" x14ac:dyDescent="0.2">
      <c r="A106" s="8"/>
      <c r="B106" s="8"/>
      <c r="C106" s="8"/>
      <c r="D106" s="8"/>
      <c r="E106" s="8"/>
      <c r="F106" s="8"/>
      <c r="G106" s="8"/>
      <c r="H106" s="8"/>
      <c r="I106" s="8"/>
      <c r="J106" s="8"/>
      <c r="K106" s="8"/>
      <c r="L106" s="8"/>
      <c r="M106" s="8"/>
      <c r="N106" s="8"/>
      <c r="O106" s="8"/>
      <c r="P106" s="8"/>
      <c r="Q106" s="8"/>
      <c r="R106" s="8"/>
      <c r="S106" s="8"/>
      <c r="T106" s="8"/>
      <c r="U106" s="8"/>
      <c r="V106" s="8"/>
    </row>
    <row r="107" spans="1:22" x14ac:dyDescent="0.2">
      <c r="A107" s="8"/>
      <c r="B107" s="8"/>
      <c r="C107" s="8"/>
      <c r="D107" s="8"/>
      <c r="E107" s="8"/>
      <c r="F107" s="8"/>
      <c r="G107" s="8"/>
      <c r="H107" s="8"/>
      <c r="I107" s="8"/>
      <c r="J107" s="8"/>
      <c r="K107" s="8"/>
      <c r="L107" s="8"/>
      <c r="M107" s="8"/>
      <c r="N107" s="8"/>
      <c r="O107" s="8"/>
      <c r="P107" s="8"/>
      <c r="Q107" s="8"/>
      <c r="R107" s="8"/>
      <c r="S107" s="8"/>
      <c r="T107" s="8"/>
      <c r="U107" s="8"/>
      <c r="V107" s="8"/>
    </row>
    <row r="108" spans="1:22" x14ac:dyDescent="0.2">
      <c r="A108" s="8"/>
      <c r="B108" s="8"/>
      <c r="C108" s="8"/>
      <c r="D108" s="8"/>
      <c r="E108" s="8"/>
      <c r="F108" s="8"/>
      <c r="G108" s="8"/>
      <c r="H108" s="8"/>
      <c r="I108" s="8"/>
      <c r="J108" s="8"/>
      <c r="K108" s="8"/>
      <c r="L108" s="8"/>
      <c r="M108" s="8"/>
      <c r="N108" s="8"/>
      <c r="O108" s="8"/>
      <c r="P108" s="8"/>
      <c r="Q108" s="8"/>
      <c r="R108" s="8"/>
      <c r="S108" s="8"/>
      <c r="T108" s="8"/>
      <c r="U108" s="8"/>
      <c r="V108" s="8"/>
    </row>
    <row r="109" spans="1:22" x14ac:dyDescent="0.2">
      <c r="A109" s="8"/>
      <c r="B109" s="8"/>
      <c r="C109" s="8"/>
      <c r="D109" s="8"/>
      <c r="E109" s="8"/>
      <c r="F109" s="8"/>
      <c r="G109" s="8"/>
      <c r="H109" s="8"/>
      <c r="I109" s="8"/>
      <c r="J109" s="8"/>
      <c r="K109" s="8"/>
      <c r="L109" s="8"/>
      <c r="M109" s="8"/>
      <c r="N109" s="8"/>
      <c r="O109" s="8"/>
      <c r="P109" s="8"/>
      <c r="Q109" s="8"/>
      <c r="R109" s="8"/>
      <c r="S109" s="8"/>
      <c r="T109" s="8"/>
      <c r="U109" s="8"/>
      <c r="V109" s="8"/>
    </row>
    <row r="110" spans="1:22" x14ac:dyDescent="0.2">
      <c r="A110" s="8"/>
      <c r="B110" s="8"/>
      <c r="C110" s="8"/>
      <c r="D110" s="8"/>
      <c r="E110" s="8"/>
      <c r="F110" s="8"/>
      <c r="G110" s="8"/>
      <c r="H110" s="8"/>
      <c r="I110" s="8"/>
      <c r="J110" s="8"/>
      <c r="K110" s="8"/>
      <c r="L110" s="8"/>
      <c r="M110" s="8"/>
      <c r="N110" s="8"/>
      <c r="O110" s="8"/>
      <c r="P110" s="8"/>
      <c r="Q110" s="8"/>
      <c r="R110" s="8"/>
      <c r="S110" s="8"/>
      <c r="T110" s="8"/>
      <c r="U110" s="8"/>
      <c r="V110" s="8"/>
    </row>
    <row r="111" spans="1:22" x14ac:dyDescent="0.2">
      <c r="A111" s="8"/>
      <c r="B111" s="8"/>
      <c r="C111" s="8"/>
      <c r="D111" s="8"/>
      <c r="E111" s="8"/>
      <c r="F111" s="8"/>
      <c r="G111" s="8"/>
      <c r="H111" s="8"/>
      <c r="I111" s="8"/>
      <c r="J111" s="8"/>
      <c r="K111" s="8"/>
      <c r="L111" s="8"/>
      <c r="M111" s="8"/>
      <c r="N111" s="8"/>
      <c r="O111" s="8"/>
      <c r="P111" s="8"/>
      <c r="Q111" s="8"/>
      <c r="R111" s="8"/>
      <c r="S111" s="8"/>
      <c r="T111" s="8"/>
      <c r="U111" s="8"/>
      <c r="V111" s="8"/>
    </row>
    <row r="112" spans="1:22" x14ac:dyDescent="0.2">
      <c r="A112" s="8"/>
      <c r="B112" s="8"/>
      <c r="C112" s="8"/>
      <c r="D112" s="8"/>
      <c r="E112" s="8"/>
      <c r="F112" s="8"/>
      <c r="G112" s="8"/>
      <c r="H112" s="8"/>
      <c r="I112" s="8"/>
      <c r="J112" s="8"/>
      <c r="K112" s="8"/>
      <c r="L112" s="8"/>
      <c r="M112" s="8"/>
      <c r="N112" s="8"/>
      <c r="O112" s="8"/>
      <c r="P112" s="8"/>
      <c r="Q112" s="8"/>
      <c r="R112" s="8"/>
      <c r="S112" s="8"/>
      <c r="T112" s="8"/>
      <c r="U112" s="8"/>
      <c r="V112" s="8"/>
    </row>
    <row r="113" spans="1:22" x14ac:dyDescent="0.2">
      <c r="A113" s="8"/>
      <c r="B113" s="8"/>
      <c r="C113" s="8"/>
      <c r="D113" s="8"/>
      <c r="E113" s="8"/>
      <c r="F113" s="8"/>
      <c r="G113" s="8"/>
      <c r="H113" s="8"/>
      <c r="I113" s="8"/>
      <c r="J113" s="8"/>
      <c r="K113" s="8"/>
      <c r="L113" s="8"/>
      <c r="M113" s="8"/>
      <c r="N113" s="8"/>
      <c r="O113" s="8"/>
      <c r="P113" s="8"/>
      <c r="Q113" s="8"/>
      <c r="R113" s="8"/>
      <c r="S113" s="8"/>
      <c r="T113" s="8"/>
      <c r="U113" s="8"/>
      <c r="V113" s="8"/>
    </row>
    <row r="114" spans="1:22" x14ac:dyDescent="0.2">
      <c r="A114" s="8"/>
      <c r="B114" s="8"/>
      <c r="C114" s="8"/>
      <c r="D114" s="8"/>
      <c r="E114" s="8"/>
      <c r="F114" s="8"/>
      <c r="G114" s="8"/>
      <c r="H114" s="8"/>
      <c r="I114" s="8"/>
      <c r="J114" s="8"/>
      <c r="K114" s="8"/>
      <c r="L114" s="8"/>
      <c r="M114" s="8"/>
      <c r="N114" s="8"/>
      <c r="O114" s="8"/>
      <c r="P114" s="8"/>
      <c r="Q114" s="8"/>
      <c r="R114" s="8"/>
      <c r="S114" s="8"/>
      <c r="T114" s="8"/>
      <c r="U114" s="8"/>
      <c r="V114" s="8"/>
    </row>
    <row r="115" spans="1:22" x14ac:dyDescent="0.2">
      <c r="A115" s="8"/>
      <c r="B115" s="8"/>
      <c r="C115" s="8"/>
      <c r="D115" s="8"/>
      <c r="E115" s="8"/>
      <c r="F115" s="8"/>
      <c r="G115" s="8"/>
      <c r="H115" s="8"/>
      <c r="I115" s="8"/>
      <c r="J115" s="8"/>
      <c r="K115" s="8"/>
      <c r="L115" s="8"/>
      <c r="M115" s="8"/>
      <c r="N115" s="8"/>
      <c r="O115" s="8"/>
      <c r="P115" s="8"/>
      <c r="Q115" s="8"/>
      <c r="R115" s="8"/>
      <c r="S115" s="8"/>
      <c r="T115" s="8"/>
      <c r="U115" s="8"/>
      <c r="V115" s="8"/>
    </row>
    <row r="116" spans="1:22" x14ac:dyDescent="0.2">
      <c r="A116" s="8"/>
      <c r="B116" s="8"/>
      <c r="C116" s="8"/>
      <c r="D116" s="8"/>
      <c r="E116" s="8"/>
      <c r="F116" s="8"/>
      <c r="G116" s="8"/>
      <c r="H116" s="8"/>
      <c r="I116" s="8"/>
      <c r="J116" s="8"/>
      <c r="K116" s="8"/>
      <c r="L116" s="8"/>
      <c r="M116" s="8"/>
      <c r="N116" s="8"/>
      <c r="O116" s="8"/>
      <c r="P116" s="8"/>
      <c r="Q116" s="8"/>
      <c r="R116" s="8"/>
      <c r="S116" s="8"/>
      <c r="T116" s="8"/>
      <c r="U116" s="8"/>
      <c r="V116" s="8"/>
    </row>
    <row r="117" spans="1:22" x14ac:dyDescent="0.2">
      <c r="A117" s="8"/>
      <c r="B117" s="8"/>
      <c r="C117" s="8"/>
      <c r="D117" s="8"/>
      <c r="E117" s="8"/>
      <c r="F117" s="8"/>
      <c r="G117" s="8"/>
      <c r="H117" s="8"/>
      <c r="I117" s="8"/>
      <c r="J117" s="8"/>
      <c r="K117" s="8"/>
      <c r="L117" s="8"/>
      <c r="M117" s="8"/>
      <c r="N117" s="8"/>
      <c r="O117" s="8"/>
      <c r="P117" s="8"/>
      <c r="Q117" s="8"/>
      <c r="R117" s="8"/>
      <c r="S117" s="8"/>
      <c r="T117" s="8"/>
      <c r="U117" s="8"/>
      <c r="V117" s="8"/>
    </row>
    <row r="118" spans="1:22" x14ac:dyDescent="0.2">
      <c r="A118" s="8"/>
      <c r="B118" s="8"/>
      <c r="C118" s="8"/>
      <c r="D118" s="8"/>
      <c r="E118" s="8"/>
      <c r="F118" s="8"/>
      <c r="G118" s="8"/>
      <c r="H118" s="8"/>
      <c r="I118" s="8"/>
      <c r="J118" s="8"/>
      <c r="K118" s="8"/>
      <c r="L118" s="8"/>
      <c r="M118" s="8"/>
      <c r="N118" s="8"/>
      <c r="O118" s="8"/>
      <c r="P118" s="8"/>
      <c r="Q118" s="8"/>
      <c r="R118" s="8"/>
      <c r="S118" s="8"/>
      <c r="T118" s="8"/>
      <c r="U118" s="8"/>
      <c r="V118" s="8"/>
    </row>
    <row r="119" spans="1:22" x14ac:dyDescent="0.2">
      <c r="A119" s="8"/>
      <c r="B119" s="8"/>
      <c r="C119" s="8"/>
      <c r="D119" s="8"/>
      <c r="E119" s="8"/>
      <c r="F119" s="8"/>
      <c r="G119" s="8"/>
      <c r="H119" s="8"/>
      <c r="I119" s="8"/>
      <c r="J119" s="8"/>
      <c r="K119" s="8"/>
      <c r="L119" s="8"/>
      <c r="M119" s="8"/>
      <c r="N119" s="8"/>
      <c r="O119" s="8"/>
      <c r="P119" s="8"/>
      <c r="Q119" s="8"/>
      <c r="R119" s="8"/>
      <c r="S119" s="8"/>
      <c r="T119" s="8"/>
      <c r="U119" s="8"/>
      <c r="V119" s="8"/>
    </row>
    <row r="120" spans="1:22" x14ac:dyDescent="0.2">
      <c r="A120" s="8"/>
      <c r="B120" s="8"/>
      <c r="C120" s="8"/>
      <c r="D120" s="8"/>
      <c r="E120" s="8"/>
      <c r="F120" s="8"/>
      <c r="G120" s="8"/>
      <c r="H120" s="8"/>
      <c r="I120" s="8"/>
      <c r="J120" s="8"/>
      <c r="K120" s="8"/>
      <c r="L120" s="8"/>
      <c r="M120" s="8"/>
      <c r="N120" s="8"/>
      <c r="O120" s="8"/>
      <c r="P120" s="8"/>
      <c r="Q120" s="8"/>
      <c r="R120" s="8"/>
      <c r="S120" s="8"/>
      <c r="T120" s="8"/>
      <c r="U120" s="8"/>
      <c r="V120" s="8"/>
    </row>
    <row r="121" spans="1:22" x14ac:dyDescent="0.2">
      <c r="A121" s="8"/>
      <c r="B121" s="8"/>
      <c r="C121" s="8"/>
      <c r="D121" s="8"/>
      <c r="E121" s="8"/>
      <c r="F121" s="8"/>
      <c r="G121" s="8"/>
      <c r="H121" s="8"/>
      <c r="I121" s="8"/>
      <c r="J121" s="8"/>
      <c r="K121" s="8"/>
      <c r="L121" s="8"/>
      <c r="M121" s="8"/>
      <c r="N121" s="8"/>
      <c r="O121" s="8"/>
      <c r="P121" s="8"/>
      <c r="Q121" s="8"/>
      <c r="R121" s="8"/>
      <c r="S121" s="8"/>
      <c r="T121" s="8"/>
      <c r="U121" s="8"/>
      <c r="V121" s="8"/>
    </row>
    <row r="122" spans="1:22" x14ac:dyDescent="0.2">
      <c r="A122" s="8"/>
      <c r="B122" s="8"/>
      <c r="C122" s="8"/>
      <c r="D122" s="8"/>
      <c r="E122" s="8"/>
      <c r="F122" s="8"/>
      <c r="G122" s="8"/>
      <c r="H122" s="8"/>
      <c r="I122" s="8"/>
      <c r="J122" s="8"/>
      <c r="K122" s="8"/>
      <c r="L122" s="8"/>
      <c r="M122" s="8"/>
      <c r="N122" s="8"/>
      <c r="O122" s="8"/>
      <c r="P122" s="8"/>
      <c r="Q122" s="8"/>
      <c r="R122" s="8"/>
      <c r="S122" s="8"/>
      <c r="T122" s="8"/>
      <c r="U122" s="8"/>
      <c r="V122" s="8"/>
    </row>
    <row r="123" spans="1:22" x14ac:dyDescent="0.2">
      <c r="A123" s="8"/>
      <c r="B123" s="8"/>
      <c r="C123" s="8"/>
      <c r="D123" s="8"/>
      <c r="E123" s="8"/>
      <c r="F123" s="8"/>
      <c r="G123" s="8"/>
      <c r="H123" s="8"/>
      <c r="I123" s="8"/>
      <c r="J123" s="8"/>
      <c r="K123" s="8"/>
      <c r="L123" s="8"/>
      <c r="M123" s="8"/>
      <c r="N123" s="8"/>
      <c r="O123" s="8"/>
      <c r="P123" s="8"/>
      <c r="Q123" s="8"/>
      <c r="R123" s="8"/>
      <c r="S123" s="8"/>
      <c r="T123" s="8"/>
      <c r="U123" s="8"/>
      <c r="V123" s="8"/>
    </row>
    <row r="124" spans="1:22" x14ac:dyDescent="0.2">
      <c r="A124" s="8"/>
      <c r="B124" s="8"/>
      <c r="C124" s="8"/>
      <c r="D124" s="8"/>
      <c r="E124" s="8"/>
      <c r="F124" s="8"/>
      <c r="G124" s="8"/>
      <c r="H124" s="8"/>
      <c r="I124" s="8"/>
      <c r="J124" s="8"/>
      <c r="K124" s="8"/>
      <c r="L124" s="8"/>
      <c r="M124" s="8"/>
      <c r="N124" s="8"/>
      <c r="O124" s="8"/>
      <c r="P124" s="8"/>
      <c r="Q124" s="8"/>
      <c r="R124" s="8"/>
      <c r="S124" s="8"/>
      <c r="T124" s="8"/>
      <c r="U124" s="8"/>
      <c r="V124" s="8"/>
    </row>
    <row r="125" spans="1:22" x14ac:dyDescent="0.2">
      <c r="A125" s="8"/>
      <c r="B125" s="8"/>
      <c r="C125" s="8"/>
      <c r="D125" s="8"/>
      <c r="E125" s="8"/>
      <c r="F125" s="8"/>
      <c r="G125" s="8"/>
      <c r="H125" s="8"/>
      <c r="I125" s="8"/>
      <c r="J125" s="8"/>
      <c r="K125" s="8"/>
      <c r="L125" s="8"/>
      <c r="M125" s="8"/>
      <c r="N125" s="8"/>
      <c r="O125" s="8"/>
      <c r="P125" s="8"/>
      <c r="Q125" s="8"/>
      <c r="R125" s="8"/>
      <c r="S125" s="8"/>
      <c r="T125" s="8"/>
      <c r="U125" s="8"/>
      <c r="V125" s="8"/>
    </row>
    <row r="126" spans="1:22" x14ac:dyDescent="0.2">
      <c r="A126" s="8"/>
      <c r="B126" s="8"/>
      <c r="C126" s="8"/>
      <c r="D126" s="8"/>
      <c r="E126" s="8"/>
      <c r="F126" s="8"/>
      <c r="G126" s="8"/>
      <c r="H126" s="8"/>
      <c r="I126" s="8"/>
      <c r="J126" s="8"/>
      <c r="K126" s="8"/>
      <c r="L126" s="8"/>
      <c r="M126" s="8"/>
      <c r="N126" s="8"/>
      <c r="O126" s="8"/>
      <c r="P126" s="8"/>
      <c r="Q126" s="8"/>
      <c r="R126" s="8"/>
      <c r="S126" s="8"/>
      <c r="T126" s="8"/>
      <c r="U126" s="8"/>
      <c r="V126" s="8"/>
    </row>
    <row r="127" spans="1:22" x14ac:dyDescent="0.2">
      <c r="A127" s="8"/>
      <c r="B127" s="8"/>
      <c r="C127" s="8"/>
      <c r="D127" s="8"/>
      <c r="E127" s="8"/>
      <c r="F127" s="8"/>
      <c r="G127" s="8"/>
      <c r="H127" s="8"/>
      <c r="I127" s="8"/>
      <c r="J127" s="8"/>
      <c r="K127" s="8"/>
      <c r="L127" s="8"/>
      <c r="M127" s="8"/>
      <c r="N127" s="8"/>
      <c r="O127" s="8"/>
      <c r="P127" s="8"/>
      <c r="Q127" s="8"/>
      <c r="R127" s="8"/>
      <c r="S127" s="8"/>
      <c r="T127" s="8"/>
      <c r="U127" s="8"/>
      <c r="V127" s="8"/>
    </row>
    <row r="128" spans="1:22" x14ac:dyDescent="0.2">
      <c r="A128" s="8"/>
      <c r="B128" s="8"/>
      <c r="C128" s="8"/>
      <c r="D128" s="8"/>
      <c r="E128" s="8"/>
      <c r="F128" s="8"/>
      <c r="G128" s="8"/>
      <c r="H128" s="8"/>
      <c r="I128" s="8"/>
      <c r="J128" s="8"/>
      <c r="K128" s="8"/>
      <c r="L128" s="8"/>
      <c r="M128" s="8"/>
      <c r="N128" s="8"/>
      <c r="O128" s="8"/>
      <c r="P128" s="8"/>
      <c r="Q128" s="8"/>
      <c r="R128" s="8"/>
      <c r="S128" s="8"/>
      <c r="T128" s="8"/>
      <c r="U128" s="8"/>
      <c r="V128" s="8"/>
    </row>
    <row r="129" spans="1:22" x14ac:dyDescent="0.2">
      <c r="A129" s="8"/>
      <c r="B129" s="8"/>
      <c r="C129" s="8"/>
      <c r="D129" s="8"/>
      <c r="E129" s="8"/>
      <c r="F129" s="8"/>
      <c r="G129" s="8"/>
      <c r="H129" s="8"/>
      <c r="I129" s="8"/>
      <c r="J129" s="8"/>
      <c r="K129" s="8"/>
      <c r="L129" s="8"/>
      <c r="M129" s="8"/>
      <c r="N129" s="8"/>
      <c r="O129" s="8"/>
      <c r="P129" s="8"/>
      <c r="Q129" s="8"/>
      <c r="R129" s="8"/>
      <c r="S129" s="8"/>
      <c r="T129" s="8"/>
      <c r="U129" s="8"/>
      <c r="V129" s="8"/>
    </row>
    <row r="130" spans="1:22" x14ac:dyDescent="0.2">
      <c r="A130" s="8"/>
      <c r="B130" s="8"/>
      <c r="C130" s="8"/>
      <c r="D130" s="8"/>
      <c r="E130" s="8"/>
      <c r="F130" s="8"/>
      <c r="G130" s="8"/>
      <c r="H130" s="8"/>
      <c r="I130" s="8"/>
      <c r="J130" s="8"/>
      <c r="K130" s="8"/>
      <c r="L130" s="8"/>
      <c r="M130" s="8"/>
      <c r="N130" s="8"/>
      <c r="O130" s="8"/>
      <c r="P130" s="8"/>
      <c r="Q130" s="8"/>
      <c r="R130" s="8"/>
      <c r="S130" s="8"/>
      <c r="T130" s="8"/>
      <c r="U130" s="8"/>
      <c r="V130" s="8"/>
    </row>
    <row r="131" spans="1:22" x14ac:dyDescent="0.2">
      <c r="A131" s="8"/>
      <c r="B131" s="8"/>
      <c r="C131" s="8"/>
      <c r="D131" s="8"/>
      <c r="E131" s="8"/>
      <c r="F131" s="8"/>
      <c r="G131" s="8"/>
      <c r="H131" s="8"/>
      <c r="I131" s="8"/>
      <c r="J131" s="8"/>
      <c r="K131" s="8"/>
      <c r="L131" s="8"/>
      <c r="M131" s="8"/>
      <c r="N131" s="8"/>
      <c r="O131" s="8"/>
      <c r="P131" s="8"/>
      <c r="Q131" s="8"/>
      <c r="R131" s="8"/>
      <c r="S131" s="8"/>
      <c r="T131" s="8"/>
      <c r="U131" s="8"/>
      <c r="V131" s="8"/>
    </row>
    <row r="132" spans="1:22" x14ac:dyDescent="0.2">
      <c r="A132" s="8"/>
      <c r="B132" s="8"/>
      <c r="C132" s="8"/>
      <c r="D132" s="8"/>
      <c r="E132" s="8"/>
      <c r="F132" s="8"/>
      <c r="G132" s="8"/>
      <c r="H132" s="8"/>
      <c r="I132" s="8"/>
      <c r="J132" s="8"/>
      <c r="K132" s="8"/>
      <c r="L132" s="8"/>
      <c r="M132" s="8"/>
      <c r="N132" s="8"/>
      <c r="O132" s="8"/>
      <c r="P132" s="8"/>
      <c r="Q132" s="8"/>
      <c r="R132" s="8"/>
      <c r="S132" s="8"/>
      <c r="T132" s="8"/>
      <c r="U132" s="8"/>
      <c r="V132" s="8"/>
    </row>
    <row r="133" spans="1:22" x14ac:dyDescent="0.2">
      <c r="A133" s="8"/>
      <c r="B133" s="8"/>
      <c r="C133" s="8"/>
      <c r="D133" s="8"/>
      <c r="E133" s="8"/>
      <c r="F133" s="8"/>
      <c r="G133" s="8"/>
      <c r="H133" s="8"/>
      <c r="I133" s="8"/>
      <c r="J133" s="8"/>
      <c r="K133" s="8"/>
      <c r="L133" s="8"/>
      <c r="M133" s="8"/>
      <c r="N133" s="8"/>
      <c r="O133" s="8"/>
      <c r="P133" s="8"/>
      <c r="Q133" s="8"/>
      <c r="R133" s="8"/>
      <c r="S133" s="8"/>
      <c r="T133" s="8"/>
      <c r="U133" s="8"/>
      <c r="V133" s="8"/>
    </row>
    <row r="134" spans="1:22" x14ac:dyDescent="0.2">
      <c r="A134" s="8"/>
      <c r="B134" s="8"/>
      <c r="C134" s="8"/>
      <c r="D134" s="8"/>
      <c r="E134" s="8"/>
      <c r="F134" s="8"/>
      <c r="G134" s="8"/>
      <c r="H134" s="8"/>
      <c r="I134" s="8"/>
      <c r="J134" s="8"/>
      <c r="K134" s="8"/>
      <c r="L134" s="8"/>
      <c r="M134" s="8"/>
      <c r="N134" s="8"/>
      <c r="O134" s="8"/>
      <c r="P134" s="8"/>
      <c r="Q134" s="8"/>
      <c r="R134" s="8"/>
      <c r="S134" s="8"/>
      <c r="T134" s="8"/>
      <c r="U134" s="8"/>
      <c r="V134" s="8"/>
    </row>
    <row r="135" spans="1:22" x14ac:dyDescent="0.2">
      <c r="A135" s="8"/>
      <c r="B135" s="8"/>
      <c r="C135" s="8"/>
      <c r="D135" s="8"/>
      <c r="E135" s="8"/>
      <c r="F135" s="8"/>
      <c r="G135" s="8"/>
      <c r="H135" s="8"/>
      <c r="I135" s="8"/>
      <c r="J135" s="8"/>
      <c r="K135" s="8"/>
      <c r="L135" s="8"/>
      <c r="M135" s="8"/>
      <c r="N135" s="8"/>
      <c r="O135" s="8"/>
      <c r="P135" s="8"/>
      <c r="Q135" s="8"/>
      <c r="R135" s="8"/>
      <c r="S135" s="8"/>
      <c r="T135" s="8"/>
      <c r="U135" s="8"/>
      <c r="V135" s="8"/>
    </row>
    <row r="136" spans="1:22" x14ac:dyDescent="0.2">
      <c r="A136" s="8"/>
      <c r="B136" s="8"/>
      <c r="C136" s="8"/>
      <c r="D136" s="8"/>
      <c r="E136" s="8"/>
      <c r="F136" s="8"/>
      <c r="G136" s="8"/>
      <c r="H136" s="8"/>
      <c r="I136" s="8"/>
      <c r="J136" s="8"/>
      <c r="K136" s="8"/>
      <c r="L136" s="8"/>
      <c r="M136" s="8"/>
      <c r="N136" s="8"/>
      <c r="O136" s="8"/>
      <c r="P136" s="8"/>
      <c r="Q136" s="8"/>
      <c r="R136" s="8"/>
      <c r="S136" s="8"/>
      <c r="T136" s="8"/>
      <c r="U136" s="8"/>
      <c r="V136" s="8"/>
    </row>
    <row r="137" spans="1:22" x14ac:dyDescent="0.2">
      <c r="A137" s="8"/>
      <c r="B137" s="8"/>
      <c r="C137" s="8"/>
      <c r="D137" s="8"/>
      <c r="E137" s="8"/>
      <c r="F137" s="8"/>
      <c r="G137" s="8"/>
      <c r="H137" s="8"/>
      <c r="I137" s="8"/>
      <c r="J137" s="8"/>
      <c r="K137" s="8"/>
      <c r="L137" s="8"/>
      <c r="M137" s="8"/>
      <c r="N137" s="8"/>
      <c r="O137" s="8"/>
      <c r="P137" s="8"/>
      <c r="Q137" s="8"/>
      <c r="R137" s="8"/>
      <c r="S137" s="8"/>
      <c r="T137" s="8"/>
      <c r="U137" s="8"/>
      <c r="V137" s="8"/>
    </row>
    <row r="138" spans="1:22" x14ac:dyDescent="0.2">
      <c r="A138" s="8"/>
      <c r="B138" s="8"/>
      <c r="C138" s="8"/>
      <c r="D138" s="8"/>
      <c r="E138" s="8"/>
      <c r="F138" s="8"/>
      <c r="G138" s="8"/>
      <c r="H138" s="8"/>
      <c r="I138" s="8"/>
      <c r="J138" s="8"/>
      <c r="K138" s="8"/>
      <c r="L138" s="8"/>
      <c r="M138" s="8"/>
      <c r="N138" s="8"/>
      <c r="O138" s="8"/>
      <c r="P138" s="8"/>
      <c r="Q138" s="8"/>
      <c r="R138" s="8"/>
      <c r="S138" s="8"/>
      <c r="T138" s="8"/>
      <c r="U138" s="8"/>
      <c r="V138" s="8"/>
    </row>
    <row r="139" spans="1:22" x14ac:dyDescent="0.2">
      <c r="A139" s="8"/>
      <c r="B139" s="8"/>
      <c r="C139" s="8"/>
      <c r="D139" s="8"/>
      <c r="E139" s="8"/>
      <c r="F139" s="8"/>
      <c r="G139" s="8"/>
      <c r="H139" s="8"/>
      <c r="I139" s="8"/>
      <c r="J139" s="8"/>
      <c r="K139" s="8"/>
      <c r="L139" s="8"/>
      <c r="M139" s="8"/>
      <c r="N139" s="8"/>
      <c r="O139" s="8"/>
      <c r="P139" s="8"/>
      <c r="Q139" s="8"/>
      <c r="R139" s="8"/>
      <c r="S139" s="8"/>
      <c r="T139" s="8"/>
      <c r="U139" s="8"/>
      <c r="V139" s="8"/>
    </row>
    <row r="140" spans="1:22" x14ac:dyDescent="0.2">
      <c r="A140" s="8"/>
      <c r="B140" s="8"/>
      <c r="C140" s="8"/>
      <c r="D140" s="8"/>
      <c r="E140" s="8"/>
      <c r="F140" s="8"/>
      <c r="G140" s="8"/>
      <c r="H140" s="8"/>
      <c r="I140" s="8"/>
      <c r="J140" s="8"/>
      <c r="K140" s="8"/>
      <c r="L140" s="8"/>
      <c r="M140" s="8"/>
      <c r="N140" s="8"/>
      <c r="O140" s="8"/>
      <c r="P140" s="8"/>
      <c r="Q140" s="8"/>
      <c r="R140" s="8"/>
      <c r="S140" s="8"/>
      <c r="T140" s="8"/>
      <c r="U140" s="8"/>
      <c r="V140" s="8"/>
    </row>
    <row r="141" spans="1:22" x14ac:dyDescent="0.2">
      <c r="A141" s="8"/>
      <c r="B141" s="8"/>
      <c r="C141" s="8"/>
      <c r="D141" s="8"/>
      <c r="E141" s="8"/>
      <c r="F141" s="8"/>
      <c r="G141" s="8"/>
      <c r="H141" s="8"/>
      <c r="I141" s="8"/>
      <c r="J141" s="8"/>
      <c r="K141" s="8"/>
      <c r="L141" s="8"/>
      <c r="M141" s="8"/>
      <c r="N141" s="8"/>
      <c r="O141" s="8"/>
      <c r="P141" s="8"/>
      <c r="Q141" s="8"/>
      <c r="R141" s="8"/>
      <c r="S141" s="8"/>
      <c r="T141" s="8"/>
      <c r="U141" s="8"/>
      <c r="V141" s="8"/>
    </row>
    <row r="142" spans="1:22" x14ac:dyDescent="0.2">
      <c r="A142" s="8"/>
      <c r="B142" s="8"/>
      <c r="C142" s="8"/>
      <c r="D142" s="8"/>
      <c r="E142" s="8"/>
      <c r="F142" s="8"/>
      <c r="G142" s="8"/>
      <c r="H142" s="8"/>
      <c r="I142" s="8"/>
      <c r="J142" s="8"/>
      <c r="K142" s="8"/>
      <c r="L142" s="8"/>
      <c r="M142" s="8"/>
      <c r="N142" s="8"/>
      <c r="O142" s="8"/>
      <c r="P142" s="8"/>
      <c r="Q142" s="8"/>
      <c r="R142" s="8"/>
      <c r="S142" s="8"/>
      <c r="T142" s="8"/>
      <c r="U142" s="8"/>
      <c r="V142" s="8"/>
    </row>
    <row r="143" spans="1:22" x14ac:dyDescent="0.2">
      <c r="A143" s="8"/>
      <c r="B143" s="8"/>
      <c r="C143" s="8"/>
      <c r="D143" s="8"/>
      <c r="E143" s="8"/>
      <c r="F143" s="8"/>
      <c r="G143" s="8"/>
      <c r="H143" s="8"/>
      <c r="I143" s="8"/>
      <c r="J143" s="8"/>
      <c r="K143" s="8"/>
      <c r="L143" s="8"/>
      <c r="M143" s="8"/>
      <c r="N143" s="8"/>
      <c r="O143" s="8"/>
      <c r="P143" s="8"/>
      <c r="Q143" s="8"/>
      <c r="R143" s="8"/>
      <c r="S143" s="8"/>
      <c r="T143" s="8"/>
      <c r="U143" s="8"/>
      <c r="V143" s="8"/>
    </row>
    <row r="144" spans="1:22" x14ac:dyDescent="0.2">
      <c r="A144" s="8"/>
      <c r="B144" s="8"/>
      <c r="C144" s="8"/>
      <c r="D144" s="8"/>
      <c r="E144" s="8"/>
      <c r="F144" s="8"/>
      <c r="G144" s="8"/>
      <c r="H144" s="8"/>
      <c r="I144" s="8"/>
      <c r="J144" s="8"/>
      <c r="K144" s="8"/>
      <c r="L144" s="8"/>
      <c r="M144" s="8"/>
      <c r="N144" s="8"/>
      <c r="O144" s="8"/>
      <c r="P144" s="8"/>
      <c r="Q144" s="8"/>
      <c r="R144" s="8"/>
      <c r="S144" s="8"/>
      <c r="T144" s="8"/>
      <c r="U144" s="8"/>
      <c r="V144" s="8"/>
    </row>
    <row r="145" spans="1:22" x14ac:dyDescent="0.2">
      <c r="A145" s="8"/>
      <c r="B145" s="8"/>
      <c r="C145" s="8"/>
      <c r="D145" s="8"/>
      <c r="E145" s="8"/>
      <c r="F145" s="8"/>
      <c r="G145" s="8"/>
      <c r="H145" s="8"/>
      <c r="I145" s="8"/>
      <c r="J145" s="8"/>
      <c r="K145" s="8"/>
      <c r="L145" s="8"/>
      <c r="M145" s="8"/>
      <c r="N145" s="8"/>
      <c r="O145" s="8"/>
      <c r="P145" s="8"/>
      <c r="Q145" s="8"/>
      <c r="R145" s="8"/>
      <c r="S145" s="8"/>
      <c r="T145" s="8"/>
      <c r="U145" s="8"/>
      <c r="V145" s="8"/>
    </row>
    <row r="146" spans="1:22" x14ac:dyDescent="0.2">
      <c r="A146" s="8"/>
      <c r="B146" s="8"/>
      <c r="C146" s="8"/>
      <c r="D146" s="8"/>
      <c r="E146" s="8"/>
      <c r="F146" s="8"/>
      <c r="G146" s="8"/>
      <c r="H146" s="8"/>
      <c r="I146" s="8"/>
      <c r="J146" s="8"/>
      <c r="K146" s="8"/>
      <c r="L146" s="8"/>
      <c r="M146" s="8"/>
      <c r="N146" s="8"/>
      <c r="O146" s="8"/>
      <c r="P146" s="8"/>
      <c r="Q146" s="8"/>
      <c r="R146" s="8"/>
      <c r="S146" s="8"/>
      <c r="T146" s="8"/>
      <c r="U146" s="8"/>
      <c r="V146" s="8"/>
    </row>
    <row r="147" spans="1:22" x14ac:dyDescent="0.2">
      <c r="A147" s="8"/>
      <c r="B147" s="8"/>
      <c r="C147" s="8"/>
      <c r="D147" s="8"/>
      <c r="E147" s="8"/>
      <c r="F147" s="8"/>
      <c r="G147" s="8"/>
      <c r="H147" s="8"/>
      <c r="I147" s="8"/>
      <c r="J147" s="8"/>
      <c r="K147" s="8"/>
      <c r="L147" s="8"/>
      <c r="M147" s="8"/>
      <c r="N147" s="8"/>
      <c r="O147" s="8"/>
      <c r="P147" s="8"/>
      <c r="Q147" s="8"/>
      <c r="R147" s="8"/>
      <c r="S147" s="8"/>
      <c r="T147" s="8"/>
      <c r="U147" s="8"/>
      <c r="V147" s="8"/>
    </row>
    <row r="148" spans="1:22" x14ac:dyDescent="0.2">
      <c r="A148" s="8"/>
      <c r="B148" s="8"/>
      <c r="C148" s="8"/>
      <c r="D148" s="8"/>
      <c r="E148" s="8"/>
      <c r="F148" s="8"/>
      <c r="G148" s="8"/>
      <c r="H148" s="8"/>
      <c r="I148" s="8"/>
      <c r="J148" s="8"/>
      <c r="K148" s="8"/>
      <c r="L148" s="8"/>
      <c r="M148" s="8"/>
      <c r="N148" s="8"/>
      <c r="O148" s="8"/>
      <c r="P148" s="8"/>
      <c r="Q148" s="8"/>
      <c r="R148" s="8"/>
      <c r="S148" s="8"/>
      <c r="T148" s="8"/>
      <c r="U148" s="8"/>
      <c r="V148" s="8"/>
    </row>
    <row r="149" spans="1:22" x14ac:dyDescent="0.2">
      <c r="A149" s="8"/>
      <c r="B149" s="8"/>
      <c r="C149" s="8"/>
      <c r="D149" s="8"/>
      <c r="E149" s="8"/>
      <c r="F149" s="8"/>
      <c r="G149" s="8"/>
      <c r="H149" s="8"/>
      <c r="I149" s="8"/>
      <c r="J149" s="8"/>
      <c r="K149" s="8"/>
      <c r="L149" s="8"/>
      <c r="M149" s="8"/>
      <c r="N149" s="8"/>
      <c r="O149" s="8"/>
      <c r="P149" s="8"/>
      <c r="Q149" s="8"/>
      <c r="R149" s="8"/>
      <c r="S149" s="8"/>
      <c r="T149" s="8"/>
      <c r="U149" s="8"/>
      <c r="V149" s="8"/>
    </row>
    <row r="150" spans="1:22" x14ac:dyDescent="0.2">
      <c r="A150" s="8"/>
      <c r="B150" s="8"/>
      <c r="C150" s="8"/>
      <c r="D150" s="8"/>
      <c r="E150" s="8"/>
      <c r="F150" s="8"/>
      <c r="G150" s="8"/>
      <c r="H150" s="8"/>
      <c r="I150" s="8"/>
      <c r="J150" s="8"/>
      <c r="K150" s="8"/>
      <c r="L150" s="8"/>
      <c r="M150" s="8"/>
      <c r="N150" s="8"/>
      <c r="O150" s="8"/>
      <c r="P150" s="8"/>
      <c r="Q150" s="8"/>
      <c r="R150" s="8"/>
      <c r="S150" s="8"/>
      <c r="T150" s="8"/>
      <c r="U150" s="8"/>
      <c r="V150" s="8"/>
    </row>
    <row r="151" spans="1:22" x14ac:dyDescent="0.2">
      <c r="A151" s="8"/>
      <c r="B151" s="8"/>
      <c r="C151" s="8"/>
      <c r="D151" s="8"/>
      <c r="E151" s="8"/>
      <c r="F151" s="8"/>
      <c r="G151" s="8"/>
      <c r="H151" s="8"/>
      <c r="I151" s="8"/>
      <c r="J151" s="8"/>
      <c r="K151" s="8"/>
      <c r="L151" s="8"/>
      <c r="M151" s="8"/>
      <c r="N151" s="8"/>
      <c r="O151" s="8"/>
      <c r="P151" s="8"/>
      <c r="Q151" s="8"/>
      <c r="R151" s="8"/>
      <c r="S151" s="8"/>
      <c r="T151" s="8"/>
      <c r="U151" s="8"/>
      <c r="V151" s="8"/>
    </row>
    <row r="152" spans="1:22" x14ac:dyDescent="0.2">
      <c r="A152" s="8"/>
      <c r="B152" s="8"/>
      <c r="C152" s="8"/>
      <c r="D152" s="8"/>
      <c r="E152" s="8"/>
      <c r="F152" s="8"/>
      <c r="G152" s="8"/>
      <c r="H152" s="8"/>
      <c r="I152" s="8"/>
      <c r="J152" s="8"/>
      <c r="K152" s="8"/>
      <c r="L152" s="8"/>
      <c r="M152" s="8"/>
      <c r="N152" s="8"/>
      <c r="O152" s="8"/>
      <c r="P152" s="8"/>
      <c r="Q152" s="8"/>
      <c r="R152" s="8"/>
      <c r="S152" s="8"/>
      <c r="T152" s="8"/>
      <c r="U152" s="8"/>
      <c r="V152" s="8"/>
    </row>
    <row r="153" spans="1:22" x14ac:dyDescent="0.2">
      <c r="A153" s="8"/>
      <c r="B153" s="8"/>
      <c r="C153" s="8"/>
      <c r="D153" s="8"/>
      <c r="E153" s="8"/>
      <c r="F153" s="8"/>
      <c r="G153" s="8"/>
      <c r="H153" s="8"/>
      <c r="I153" s="8"/>
      <c r="J153" s="8"/>
      <c r="K153" s="8"/>
      <c r="L153" s="8"/>
      <c r="M153" s="8"/>
      <c r="N153" s="8"/>
      <c r="O153" s="8"/>
      <c r="P153" s="8"/>
      <c r="Q153" s="8"/>
      <c r="R153" s="8"/>
      <c r="S153" s="8"/>
      <c r="T153" s="8"/>
      <c r="U153" s="8"/>
      <c r="V153" s="8"/>
    </row>
    <row r="154" spans="1:22" x14ac:dyDescent="0.2">
      <c r="A154" s="8"/>
      <c r="B154" s="8"/>
      <c r="C154" s="8"/>
      <c r="D154" s="8"/>
      <c r="E154" s="8"/>
      <c r="F154" s="8"/>
      <c r="G154" s="8"/>
      <c r="H154" s="8"/>
      <c r="I154" s="8"/>
      <c r="J154" s="8"/>
      <c r="K154" s="8"/>
      <c r="L154" s="8"/>
      <c r="M154" s="8"/>
      <c r="N154" s="8"/>
      <c r="O154" s="8"/>
      <c r="P154" s="8"/>
      <c r="Q154" s="8"/>
      <c r="R154" s="8"/>
      <c r="S154" s="8"/>
      <c r="T154" s="8"/>
      <c r="U154" s="8"/>
      <c r="V154" s="8"/>
    </row>
    <row r="155" spans="1:22" x14ac:dyDescent="0.2">
      <c r="A155" s="8"/>
      <c r="B155" s="8"/>
      <c r="C155" s="8"/>
      <c r="D155" s="8"/>
      <c r="E155" s="8"/>
      <c r="F155" s="8"/>
      <c r="G155" s="8"/>
      <c r="H155" s="8"/>
      <c r="I155" s="8"/>
      <c r="J155" s="8"/>
      <c r="K155" s="8"/>
      <c r="L155" s="8"/>
      <c r="M155" s="8"/>
      <c r="N155" s="8"/>
      <c r="O155" s="8"/>
      <c r="P155" s="8"/>
      <c r="Q155" s="8"/>
      <c r="R155" s="8"/>
      <c r="S155" s="8"/>
      <c r="T155" s="8"/>
      <c r="U155" s="8"/>
      <c r="V155" s="8"/>
    </row>
    <row r="156" spans="1:22" x14ac:dyDescent="0.2">
      <c r="A156" s="8"/>
      <c r="B156" s="8"/>
      <c r="C156" s="8"/>
      <c r="D156" s="8"/>
      <c r="E156" s="8"/>
      <c r="F156" s="8"/>
      <c r="G156" s="8"/>
      <c r="H156" s="8"/>
      <c r="I156" s="8"/>
      <c r="J156" s="8"/>
      <c r="K156" s="8"/>
      <c r="L156" s="8"/>
      <c r="M156" s="8"/>
      <c r="N156" s="8"/>
      <c r="O156" s="8"/>
      <c r="P156" s="8"/>
      <c r="Q156" s="8"/>
      <c r="R156" s="8"/>
      <c r="S156" s="8"/>
      <c r="T156" s="8"/>
      <c r="U156" s="8"/>
      <c r="V156" s="8"/>
    </row>
    <row r="157" spans="1:22" x14ac:dyDescent="0.2">
      <c r="A157" s="8"/>
      <c r="B157" s="8"/>
      <c r="C157" s="8"/>
      <c r="D157" s="8"/>
      <c r="E157" s="8"/>
      <c r="F157" s="8"/>
      <c r="G157" s="8"/>
      <c r="H157" s="8"/>
      <c r="I157" s="8"/>
      <c r="J157" s="8"/>
      <c r="K157" s="8"/>
      <c r="L157" s="8"/>
      <c r="M157" s="8"/>
      <c r="N157" s="8"/>
      <c r="O157" s="8"/>
      <c r="P157" s="8"/>
      <c r="Q157" s="8"/>
      <c r="R157" s="8"/>
      <c r="S157" s="8"/>
      <c r="T157" s="8"/>
      <c r="U157" s="8"/>
      <c r="V157" s="8"/>
    </row>
    <row r="158" spans="1:22" x14ac:dyDescent="0.2">
      <c r="A158" s="8"/>
      <c r="B158" s="8"/>
      <c r="C158" s="8"/>
      <c r="D158" s="8"/>
      <c r="E158" s="8"/>
      <c r="F158" s="8"/>
      <c r="G158" s="8"/>
      <c r="H158" s="8"/>
      <c r="I158" s="8"/>
      <c r="J158" s="8"/>
      <c r="K158" s="8"/>
      <c r="L158" s="8"/>
      <c r="M158" s="8"/>
      <c r="N158" s="8"/>
      <c r="O158" s="8"/>
      <c r="P158" s="8"/>
      <c r="Q158" s="8"/>
      <c r="R158" s="8"/>
      <c r="S158" s="8"/>
      <c r="T158" s="8"/>
      <c r="U158" s="8"/>
      <c r="V158" s="8"/>
    </row>
    <row r="159" spans="1:22" x14ac:dyDescent="0.2">
      <c r="A159" s="8"/>
      <c r="B159" s="8"/>
      <c r="C159" s="8"/>
      <c r="D159" s="8"/>
      <c r="E159" s="8"/>
      <c r="F159" s="8"/>
      <c r="G159" s="8"/>
      <c r="H159" s="8"/>
      <c r="I159" s="8"/>
      <c r="J159" s="8"/>
      <c r="K159" s="8"/>
      <c r="L159" s="8"/>
      <c r="M159" s="8"/>
      <c r="N159" s="8"/>
      <c r="O159" s="8"/>
      <c r="P159" s="8"/>
      <c r="Q159" s="8"/>
      <c r="R159" s="8"/>
      <c r="S159" s="8"/>
      <c r="T159" s="8"/>
      <c r="U159" s="8"/>
      <c r="V159" s="8"/>
    </row>
    <row r="160" spans="1:22" x14ac:dyDescent="0.2">
      <c r="A160" s="8"/>
      <c r="B160" s="8"/>
      <c r="C160" s="8"/>
      <c r="D160" s="8"/>
      <c r="E160" s="8"/>
      <c r="F160" s="8"/>
      <c r="G160" s="8"/>
      <c r="H160" s="8"/>
      <c r="I160" s="8"/>
      <c r="J160" s="8"/>
      <c r="K160" s="8"/>
      <c r="L160" s="8"/>
      <c r="M160" s="8"/>
      <c r="N160" s="8"/>
      <c r="O160" s="8"/>
      <c r="P160" s="8"/>
      <c r="Q160" s="8"/>
      <c r="R160" s="8"/>
      <c r="S160" s="8"/>
      <c r="T160" s="8"/>
      <c r="U160" s="8"/>
      <c r="V160" s="8"/>
    </row>
    <row r="161" spans="1:22" x14ac:dyDescent="0.2">
      <c r="A161" s="8"/>
      <c r="B161" s="8"/>
      <c r="C161" s="8"/>
      <c r="D161" s="8"/>
      <c r="E161" s="8"/>
      <c r="F161" s="8"/>
      <c r="G161" s="8"/>
      <c r="H161" s="8"/>
      <c r="I161" s="8"/>
      <c r="J161" s="8"/>
      <c r="K161" s="8"/>
      <c r="L161" s="8"/>
      <c r="M161" s="8"/>
      <c r="N161" s="8"/>
      <c r="O161" s="8"/>
      <c r="P161" s="8"/>
      <c r="Q161" s="8"/>
      <c r="R161" s="8"/>
      <c r="S161" s="8"/>
      <c r="T161" s="8"/>
      <c r="U161" s="8"/>
      <c r="V161" s="8"/>
    </row>
    <row r="162" spans="1:22" x14ac:dyDescent="0.2">
      <c r="A162" s="8"/>
      <c r="B162" s="8"/>
      <c r="C162" s="8"/>
      <c r="D162" s="8"/>
      <c r="E162" s="8"/>
      <c r="F162" s="8"/>
      <c r="G162" s="8"/>
      <c r="H162" s="8"/>
      <c r="I162" s="8"/>
      <c r="J162" s="8"/>
      <c r="K162" s="8"/>
      <c r="L162" s="8"/>
      <c r="M162" s="8"/>
      <c r="N162" s="8"/>
      <c r="O162" s="8"/>
      <c r="P162" s="8"/>
      <c r="Q162" s="8"/>
      <c r="R162" s="8"/>
      <c r="S162" s="8"/>
      <c r="T162" s="8"/>
      <c r="U162" s="8"/>
      <c r="V162" s="8"/>
    </row>
    <row r="163" spans="1:22" x14ac:dyDescent="0.2">
      <c r="A163" s="8"/>
      <c r="B163" s="8"/>
      <c r="C163" s="8"/>
      <c r="D163" s="8"/>
      <c r="E163" s="8"/>
      <c r="F163" s="8"/>
      <c r="G163" s="8"/>
      <c r="H163" s="8"/>
      <c r="I163" s="8"/>
      <c r="J163" s="8"/>
      <c r="K163" s="8"/>
      <c r="L163" s="8"/>
      <c r="M163" s="8"/>
      <c r="N163" s="8"/>
      <c r="O163" s="8"/>
      <c r="P163" s="8"/>
      <c r="Q163" s="8"/>
      <c r="R163" s="8"/>
      <c r="S163" s="8"/>
      <c r="T163" s="8"/>
      <c r="U163" s="8"/>
      <c r="V163" s="8"/>
    </row>
    <row r="164" spans="1:22" x14ac:dyDescent="0.2">
      <c r="A164" s="8"/>
      <c r="B164" s="8"/>
      <c r="C164" s="8"/>
      <c r="D164" s="8"/>
      <c r="E164" s="8"/>
      <c r="F164" s="8"/>
      <c r="G164" s="8"/>
      <c r="H164" s="8"/>
      <c r="I164" s="8"/>
      <c r="J164" s="8"/>
      <c r="K164" s="8"/>
      <c r="L164" s="8"/>
      <c r="M164" s="8"/>
      <c r="N164" s="8"/>
      <c r="O164" s="8"/>
      <c r="P164" s="8"/>
      <c r="Q164" s="8"/>
      <c r="R164" s="8"/>
      <c r="S164" s="8"/>
      <c r="T164" s="8"/>
      <c r="U164" s="8"/>
      <c r="V164" s="8"/>
    </row>
    <row r="165" spans="1:22" x14ac:dyDescent="0.2">
      <c r="A165" s="8"/>
      <c r="B165" s="8"/>
      <c r="C165" s="8"/>
      <c r="D165" s="8"/>
      <c r="E165" s="8"/>
      <c r="F165" s="8"/>
      <c r="G165" s="8"/>
      <c r="H165" s="8"/>
      <c r="I165" s="8"/>
      <c r="J165" s="8"/>
      <c r="K165" s="8"/>
      <c r="L165" s="8"/>
      <c r="M165" s="8"/>
      <c r="N165" s="8"/>
      <c r="O165" s="8"/>
      <c r="P165" s="8"/>
      <c r="Q165" s="8"/>
      <c r="R165" s="8"/>
      <c r="S165" s="8"/>
      <c r="T165" s="8"/>
      <c r="U165" s="8"/>
      <c r="V165" s="8"/>
    </row>
    <row r="166" spans="1:22" x14ac:dyDescent="0.2">
      <c r="A166" s="8"/>
      <c r="B166" s="8"/>
      <c r="C166" s="8"/>
      <c r="D166" s="8"/>
      <c r="E166" s="8"/>
      <c r="F166" s="8"/>
      <c r="G166" s="8"/>
      <c r="H166" s="8"/>
      <c r="I166" s="8"/>
      <c r="J166" s="8"/>
      <c r="K166" s="8"/>
      <c r="L166" s="8"/>
      <c r="M166" s="8"/>
      <c r="N166" s="8"/>
      <c r="O166" s="8"/>
      <c r="P166" s="8"/>
      <c r="Q166" s="8"/>
      <c r="R166" s="8"/>
      <c r="S166" s="8"/>
      <c r="T166" s="8"/>
      <c r="U166" s="8"/>
      <c r="V166" s="8"/>
    </row>
    <row r="167" spans="1:22" x14ac:dyDescent="0.2">
      <c r="A167" s="8"/>
      <c r="B167" s="8"/>
      <c r="C167" s="8"/>
      <c r="D167" s="8"/>
      <c r="E167" s="8"/>
      <c r="F167" s="8"/>
      <c r="G167" s="8"/>
      <c r="H167" s="8"/>
      <c r="I167" s="8"/>
      <c r="J167" s="8"/>
      <c r="K167" s="8"/>
      <c r="L167" s="8"/>
      <c r="M167" s="8"/>
      <c r="N167" s="8"/>
      <c r="O167" s="8"/>
      <c r="P167" s="8"/>
      <c r="Q167" s="8"/>
      <c r="R167" s="8"/>
      <c r="S167" s="8"/>
      <c r="T167" s="8"/>
      <c r="U167" s="8"/>
      <c r="V167" s="8"/>
    </row>
    <row r="168" spans="1:22" x14ac:dyDescent="0.2">
      <c r="A168" s="8"/>
      <c r="B168" s="8"/>
      <c r="C168" s="8"/>
      <c r="D168" s="8"/>
      <c r="E168" s="8"/>
      <c r="F168" s="8"/>
      <c r="G168" s="8"/>
      <c r="H168" s="8"/>
      <c r="I168" s="8"/>
      <c r="J168" s="8"/>
      <c r="K168" s="8"/>
      <c r="L168" s="8"/>
      <c r="M168" s="8"/>
      <c r="N168" s="8"/>
      <c r="O168" s="8"/>
      <c r="P168" s="8"/>
      <c r="Q168" s="8"/>
      <c r="R168" s="8"/>
      <c r="S168" s="8"/>
      <c r="T168" s="8"/>
      <c r="U168" s="8"/>
      <c r="V168" s="8"/>
    </row>
    <row r="169" spans="1:22" x14ac:dyDescent="0.2">
      <c r="A169" s="8"/>
      <c r="B169" s="8"/>
      <c r="C169" s="8"/>
      <c r="D169" s="8"/>
      <c r="E169" s="8"/>
      <c r="F169" s="8"/>
      <c r="G169" s="8"/>
      <c r="H169" s="8"/>
      <c r="I169" s="8"/>
      <c r="J169" s="8"/>
      <c r="K169" s="8"/>
      <c r="L169" s="8"/>
      <c r="M169" s="8"/>
      <c r="N169" s="8"/>
      <c r="O169" s="8"/>
      <c r="P169" s="8"/>
      <c r="Q169" s="8"/>
      <c r="R169" s="8"/>
      <c r="S169" s="8"/>
      <c r="T169" s="8"/>
      <c r="U169" s="8"/>
      <c r="V169" s="8"/>
    </row>
    <row r="170" spans="1:22" x14ac:dyDescent="0.2">
      <c r="A170" s="8"/>
      <c r="B170" s="8"/>
      <c r="C170" s="8"/>
      <c r="D170" s="8"/>
      <c r="E170" s="8"/>
      <c r="F170" s="8"/>
      <c r="G170" s="8"/>
      <c r="H170" s="8"/>
      <c r="I170" s="8"/>
      <c r="J170" s="8"/>
      <c r="K170" s="8"/>
      <c r="L170" s="8"/>
      <c r="M170" s="8"/>
      <c r="N170" s="8"/>
      <c r="O170" s="8"/>
      <c r="P170" s="8"/>
      <c r="Q170" s="8"/>
      <c r="R170" s="8"/>
      <c r="S170" s="8"/>
      <c r="T170" s="8"/>
      <c r="U170" s="8"/>
      <c r="V170" s="8"/>
    </row>
    <row r="171" spans="1:22" x14ac:dyDescent="0.2">
      <c r="A171" s="8"/>
      <c r="B171" s="8"/>
      <c r="C171" s="8"/>
      <c r="D171" s="8"/>
      <c r="E171" s="8"/>
      <c r="F171" s="8"/>
      <c r="G171" s="8"/>
      <c r="H171" s="8"/>
      <c r="I171" s="8"/>
      <c r="J171" s="8"/>
      <c r="K171" s="8"/>
      <c r="L171" s="8"/>
      <c r="M171" s="8"/>
      <c r="N171" s="8"/>
      <c r="O171" s="8"/>
      <c r="P171" s="8"/>
      <c r="Q171" s="8"/>
      <c r="R171" s="8"/>
      <c r="S171" s="8"/>
      <c r="T171" s="8"/>
      <c r="U171" s="8"/>
      <c r="V171" s="8"/>
    </row>
    <row r="172" spans="1:22" x14ac:dyDescent="0.2">
      <c r="A172" s="8"/>
      <c r="B172" s="8"/>
      <c r="C172" s="8"/>
      <c r="D172" s="8"/>
      <c r="E172" s="8"/>
      <c r="F172" s="8"/>
      <c r="G172" s="8"/>
      <c r="H172" s="8"/>
      <c r="I172" s="8"/>
      <c r="J172" s="8"/>
      <c r="K172" s="8"/>
      <c r="L172" s="8"/>
      <c r="M172" s="8"/>
      <c r="N172" s="8"/>
      <c r="O172" s="8"/>
      <c r="P172" s="8"/>
      <c r="Q172" s="8"/>
      <c r="R172" s="8"/>
      <c r="S172" s="8"/>
      <c r="T172" s="8"/>
      <c r="U172" s="8"/>
      <c r="V172" s="8"/>
    </row>
    <row r="173" spans="1:22" x14ac:dyDescent="0.2">
      <c r="A173" s="8"/>
      <c r="B173" s="8"/>
      <c r="C173" s="8"/>
      <c r="D173" s="8"/>
      <c r="E173" s="8"/>
      <c r="F173" s="8"/>
      <c r="G173" s="8"/>
      <c r="H173" s="8"/>
      <c r="I173" s="8"/>
      <c r="J173" s="8"/>
      <c r="K173" s="8"/>
      <c r="L173" s="8"/>
      <c r="M173" s="8"/>
      <c r="N173" s="8"/>
      <c r="O173" s="8"/>
      <c r="P173" s="8"/>
      <c r="Q173" s="8"/>
      <c r="R173" s="8"/>
      <c r="S173" s="8"/>
      <c r="T173" s="8"/>
      <c r="U173" s="8"/>
      <c r="V173" s="8"/>
    </row>
    <row r="174" spans="1:22" x14ac:dyDescent="0.2">
      <c r="A174" s="8"/>
      <c r="B174" s="8"/>
      <c r="C174" s="8"/>
      <c r="D174" s="8"/>
      <c r="E174" s="8"/>
      <c r="F174" s="8"/>
      <c r="G174" s="8"/>
      <c r="H174" s="8"/>
      <c r="I174" s="8"/>
      <c r="J174" s="8"/>
      <c r="K174" s="8"/>
      <c r="L174" s="8"/>
      <c r="M174" s="8"/>
      <c r="N174" s="8"/>
      <c r="O174" s="8"/>
      <c r="P174" s="8"/>
      <c r="Q174" s="8"/>
      <c r="R174" s="8"/>
      <c r="S174" s="8"/>
      <c r="T174" s="8"/>
      <c r="U174" s="8"/>
      <c r="V174" s="8"/>
    </row>
    <row r="175" spans="1:22" x14ac:dyDescent="0.2">
      <c r="A175" s="8"/>
      <c r="B175" s="8"/>
      <c r="C175" s="8"/>
      <c r="D175" s="8"/>
      <c r="E175" s="8"/>
      <c r="F175" s="8"/>
      <c r="G175" s="8"/>
      <c r="H175" s="8"/>
      <c r="I175" s="8"/>
      <c r="J175" s="8"/>
      <c r="K175" s="8"/>
      <c r="L175" s="8"/>
      <c r="M175" s="8"/>
      <c r="N175" s="8"/>
      <c r="O175" s="8"/>
      <c r="P175" s="8"/>
      <c r="Q175" s="8"/>
      <c r="R175" s="8"/>
      <c r="S175" s="8"/>
      <c r="T175" s="8"/>
      <c r="U175" s="8"/>
      <c r="V175" s="8"/>
    </row>
    <row r="176" spans="1:22" x14ac:dyDescent="0.2">
      <c r="A176" s="8"/>
      <c r="B176" s="8"/>
      <c r="C176" s="8"/>
      <c r="D176" s="8"/>
      <c r="E176" s="8"/>
      <c r="F176" s="8"/>
      <c r="G176" s="8"/>
      <c r="H176" s="8"/>
      <c r="I176" s="8"/>
      <c r="J176" s="8"/>
      <c r="K176" s="8"/>
      <c r="L176" s="8"/>
      <c r="M176" s="8"/>
      <c r="N176" s="8"/>
      <c r="O176" s="8"/>
      <c r="P176" s="8"/>
      <c r="Q176" s="8"/>
      <c r="R176" s="8"/>
      <c r="S176" s="8"/>
      <c r="T176" s="8"/>
      <c r="U176" s="8"/>
      <c r="V176" s="8"/>
    </row>
    <row r="177" spans="1:22" x14ac:dyDescent="0.2">
      <c r="A177" s="8"/>
      <c r="B177" s="8"/>
      <c r="C177" s="8"/>
      <c r="D177" s="8"/>
      <c r="E177" s="8"/>
      <c r="F177" s="8"/>
      <c r="G177" s="8"/>
      <c r="H177" s="8"/>
      <c r="I177" s="8"/>
      <c r="J177" s="8"/>
      <c r="K177" s="8"/>
      <c r="L177" s="8"/>
      <c r="M177" s="8"/>
      <c r="N177" s="8"/>
      <c r="O177" s="8"/>
      <c r="P177" s="8"/>
      <c r="Q177" s="8"/>
      <c r="R177" s="8"/>
      <c r="S177" s="8"/>
      <c r="T177" s="8"/>
      <c r="U177" s="8"/>
      <c r="V177" s="8"/>
    </row>
    <row r="178" spans="1:22" x14ac:dyDescent="0.2">
      <c r="A178" s="8"/>
      <c r="B178" s="8"/>
      <c r="C178" s="8"/>
      <c r="D178" s="8"/>
      <c r="E178" s="8"/>
      <c r="F178" s="8"/>
      <c r="G178" s="8"/>
      <c r="H178" s="8"/>
      <c r="I178" s="8"/>
      <c r="J178" s="8"/>
      <c r="K178" s="8"/>
      <c r="L178" s="8"/>
      <c r="M178" s="8"/>
      <c r="N178" s="8"/>
      <c r="O178" s="8"/>
      <c r="P178" s="8"/>
      <c r="Q178" s="8"/>
      <c r="R178" s="8"/>
      <c r="S178" s="8"/>
      <c r="T178" s="8"/>
      <c r="U178" s="8"/>
      <c r="V178" s="8"/>
    </row>
    <row r="179" spans="1:22" x14ac:dyDescent="0.2">
      <c r="A179" s="8"/>
      <c r="B179" s="8"/>
      <c r="C179" s="8"/>
      <c r="D179" s="8"/>
      <c r="E179" s="8"/>
      <c r="F179" s="8"/>
      <c r="G179" s="8"/>
      <c r="H179" s="8"/>
      <c r="I179" s="8"/>
      <c r="J179" s="8"/>
      <c r="K179" s="8"/>
      <c r="L179" s="8"/>
      <c r="M179" s="8"/>
      <c r="N179" s="8"/>
      <c r="O179" s="8"/>
      <c r="P179" s="8"/>
      <c r="Q179" s="8"/>
      <c r="R179" s="8"/>
      <c r="S179" s="8"/>
      <c r="T179" s="8"/>
      <c r="U179" s="8"/>
      <c r="V179" s="8"/>
    </row>
    <row r="180" spans="1:22" x14ac:dyDescent="0.2">
      <c r="A180" s="8"/>
      <c r="B180" s="8"/>
      <c r="C180" s="8"/>
      <c r="D180" s="8"/>
      <c r="E180" s="8"/>
      <c r="F180" s="8"/>
      <c r="G180" s="8"/>
      <c r="H180" s="8"/>
      <c r="I180" s="8"/>
      <c r="J180" s="8"/>
      <c r="K180" s="8"/>
      <c r="L180" s="8"/>
      <c r="M180" s="8"/>
      <c r="N180" s="8"/>
      <c r="O180" s="8"/>
      <c r="P180" s="8"/>
      <c r="Q180" s="8"/>
      <c r="R180" s="8"/>
      <c r="S180" s="8"/>
      <c r="T180" s="8"/>
      <c r="U180" s="8"/>
      <c r="V180" s="8"/>
    </row>
    <row r="181" spans="1:22" x14ac:dyDescent="0.2">
      <c r="A181" s="8"/>
      <c r="B181" s="8"/>
      <c r="C181" s="8"/>
      <c r="D181" s="8"/>
      <c r="E181" s="8"/>
      <c r="F181" s="8"/>
      <c r="G181" s="8"/>
      <c r="H181" s="8"/>
      <c r="I181" s="8"/>
      <c r="J181" s="8"/>
      <c r="K181" s="8"/>
      <c r="L181" s="8"/>
      <c r="M181" s="8"/>
      <c r="N181" s="8"/>
      <c r="O181" s="8"/>
      <c r="P181" s="8"/>
      <c r="Q181" s="8"/>
      <c r="R181" s="8"/>
      <c r="S181" s="8"/>
      <c r="T181" s="8"/>
      <c r="U181" s="8"/>
      <c r="V181" s="8"/>
    </row>
    <row r="182" spans="1:22" x14ac:dyDescent="0.2">
      <c r="A182" s="8"/>
      <c r="B182" s="8"/>
      <c r="C182" s="8"/>
      <c r="D182" s="8"/>
      <c r="E182" s="8"/>
      <c r="F182" s="8"/>
      <c r="G182" s="8"/>
      <c r="H182" s="8"/>
      <c r="I182" s="8"/>
      <c r="J182" s="8"/>
      <c r="K182" s="8"/>
      <c r="L182" s="8"/>
      <c r="M182" s="8"/>
      <c r="N182" s="8"/>
      <c r="O182" s="8"/>
      <c r="P182" s="8"/>
      <c r="Q182" s="8"/>
      <c r="R182" s="8"/>
      <c r="S182" s="8"/>
      <c r="T182" s="8"/>
      <c r="U182" s="8"/>
      <c r="V182" s="8"/>
    </row>
    <row r="183" spans="1:22" x14ac:dyDescent="0.2">
      <c r="A183" s="8"/>
      <c r="B183" s="8"/>
      <c r="C183" s="8"/>
      <c r="D183" s="8"/>
      <c r="E183" s="8"/>
      <c r="F183" s="8"/>
      <c r="G183" s="8"/>
      <c r="H183" s="8"/>
      <c r="I183" s="8"/>
      <c r="J183" s="8"/>
      <c r="K183" s="8"/>
      <c r="L183" s="8"/>
      <c r="M183" s="8"/>
      <c r="N183" s="8"/>
      <c r="O183" s="8"/>
      <c r="P183" s="8"/>
      <c r="Q183" s="8"/>
      <c r="R183" s="8"/>
      <c r="S183" s="8"/>
      <c r="T183" s="8"/>
      <c r="U183" s="8"/>
      <c r="V183" s="8"/>
    </row>
    <row r="184" spans="1:22" x14ac:dyDescent="0.2">
      <c r="A184" s="8"/>
      <c r="B184" s="8"/>
      <c r="C184" s="8"/>
      <c r="D184" s="8"/>
      <c r="E184" s="8"/>
      <c r="F184" s="8"/>
      <c r="G184" s="8"/>
      <c r="H184" s="8"/>
      <c r="I184" s="8"/>
      <c r="J184" s="8"/>
      <c r="K184" s="8"/>
      <c r="L184" s="8"/>
      <c r="M184" s="8"/>
      <c r="N184" s="8"/>
      <c r="O184" s="8"/>
      <c r="P184" s="8"/>
      <c r="Q184" s="8"/>
      <c r="R184" s="8"/>
      <c r="S184" s="8"/>
      <c r="T184" s="8"/>
      <c r="U184" s="8"/>
      <c r="V184" s="8"/>
    </row>
    <row r="185" spans="1:22" x14ac:dyDescent="0.2">
      <c r="A185" s="8"/>
      <c r="B185" s="8"/>
      <c r="C185" s="8"/>
      <c r="D185" s="8"/>
      <c r="E185" s="8"/>
      <c r="F185" s="8"/>
      <c r="G185" s="8"/>
      <c r="H185" s="8"/>
      <c r="I185" s="8"/>
      <c r="J185" s="8"/>
      <c r="K185" s="8"/>
      <c r="L185" s="8"/>
      <c r="M185" s="8"/>
      <c r="N185" s="8"/>
      <c r="O185" s="8"/>
      <c r="P185" s="8"/>
      <c r="Q185" s="8"/>
      <c r="R185" s="8"/>
      <c r="S185" s="8"/>
      <c r="T185" s="8"/>
      <c r="U185" s="8"/>
      <c r="V185" s="8"/>
    </row>
    <row r="186" spans="1:22" x14ac:dyDescent="0.2">
      <c r="A186" s="8"/>
      <c r="B186" s="8"/>
      <c r="C186" s="8"/>
      <c r="D186" s="8"/>
      <c r="E186" s="8"/>
      <c r="F186" s="8"/>
      <c r="G186" s="8"/>
      <c r="H186" s="8"/>
      <c r="I186" s="8"/>
      <c r="J186" s="8"/>
      <c r="K186" s="8"/>
      <c r="L186" s="8"/>
      <c r="M186" s="8"/>
      <c r="N186" s="8"/>
      <c r="O186" s="8"/>
      <c r="P186" s="8"/>
      <c r="Q186" s="8"/>
      <c r="R186" s="8"/>
      <c r="S186" s="8"/>
      <c r="T186" s="8"/>
      <c r="U186" s="8"/>
      <c r="V186" s="8"/>
    </row>
    <row r="187" spans="1:22" x14ac:dyDescent="0.2">
      <c r="A187" s="8"/>
      <c r="B187" s="8"/>
      <c r="C187" s="8"/>
      <c r="D187" s="8"/>
      <c r="E187" s="8"/>
      <c r="F187" s="8"/>
      <c r="G187" s="8"/>
      <c r="H187" s="8"/>
      <c r="I187" s="8"/>
      <c r="J187" s="8"/>
      <c r="K187" s="8"/>
      <c r="L187" s="8"/>
      <c r="M187" s="8"/>
      <c r="N187" s="8"/>
      <c r="O187" s="8"/>
      <c r="P187" s="8"/>
      <c r="Q187" s="8"/>
      <c r="R187" s="8"/>
      <c r="S187" s="8"/>
      <c r="T187" s="8"/>
      <c r="U187" s="8"/>
      <c r="V187" s="8"/>
    </row>
    <row r="188" spans="1:22" x14ac:dyDescent="0.2">
      <c r="A188" s="8"/>
      <c r="B188" s="8"/>
      <c r="C188" s="8"/>
      <c r="D188" s="8"/>
      <c r="E188" s="8"/>
      <c r="F188" s="8"/>
      <c r="G188" s="8"/>
      <c r="H188" s="8"/>
      <c r="I188" s="8"/>
      <c r="J188" s="8"/>
      <c r="K188" s="8"/>
      <c r="L188" s="8"/>
      <c r="M188" s="8"/>
      <c r="N188" s="8"/>
      <c r="O188" s="8"/>
      <c r="P188" s="8"/>
      <c r="Q188" s="8"/>
      <c r="R188" s="8"/>
      <c r="S188" s="8"/>
      <c r="T188" s="8"/>
      <c r="U188" s="8"/>
      <c r="V188" s="8"/>
    </row>
    <row r="189" spans="1:22" x14ac:dyDescent="0.2">
      <c r="A189" s="8"/>
      <c r="B189" s="8"/>
      <c r="C189" s="8"/>
      <c r="D189" s="8"/>
      <c r="E189" s="8"/>
      <c r="F189" s="8"/>
      <c r="G189" s="8"/>
      <c r="H189" s="8"/>
      <c r="I189" s="8"/>
      <c r="J189" s="8"/>
      <c r="K189" s="8"/>
      <c r="L189" s="8"/>
      <c r="M189" s="8"/>
      <c r="N189" s="8"/>
      <c r="O189" s="8"/>
      <c r="P189" s="8"/>
      <c r="Q189" s="8"/>
      <c r="R189" s="8"/>
      <c r="S189" s="8"/>
      <c r="T189" s="8"/>
      <c r="U189" s="8"/>
      <c r="V189" s="8"/>
    </row>
    <row r="190" spans="1:22" x14ac:dyDescent="0.2">
      <c r="A190" s="8"/>
      <c r="B190" s="8"/>
      <c r="C190" s="8"/>
      <c r="D190" s="8"/>
      <c r="E190" s="8"/>
      <c r="F190" s="8"/>
      <c r="G190" s="8"/>
      <c r="H190" s="8"/>
      <c r="I190" s="8"/>
      <c r="J190" s="8"/>
      <c r="K190" s="8"/>
      <c r="L190" s="8"/>
      <c r="M190" s="8"/>
      <c r="N190" s="8"/>
      <c r="O190" s="8"/>
      <c r="P190" s="8"/>
      <c r="Q190" s="8"/>
      <c r="R190" s="8"/>
      <c r="S190" s="8"/>
      <c r="T190" s="8"/>
      <c r="U190" s="8"/>
      <c r="V190" s="8"/>
    </row>
    <row r="191" spans="1:22" x14ac:dyDescent="0.2">
      <c r="A191" s="8"/>
      <c r="B191" s="8"/>
      <c r="C191" s="8"/>
      <c r="D191" s="8"/>
      <c r="E191" s="8"/>
      <c r="F191" s="8"/>
      <c r="G191" s="8"/>
      <c r="H191" s="8"/>
      <c r="I191" s="8"/>
      <c r="J191" s="8"/>
      <c r="K191" s="8"/>
      <c r="L191" s="8"/>
      <c r="M191" s="8"/>
      <c r="N191" s="8"/>
      <c r="O191" s="8"/>
      <c r="P191" s="8"/>
      <c r="Q191" s="8"/>
      <c r="R191" s="8"/>
      <c r="S191" s="8"/>
      <c r="T191" s="8"/>
      <c r="U191" s="8"/>
      <c r="V191" s="8"/>
    </row>
    <row r="192" spans="1:22" x14ac:dyDescent="0.2">
      <c r="A192" s="8"/>
      <c r="B192" s="8"/>
      <c r="C192" s="8"/>
      <c r="D192" s="8"/>
      <c r="E192" s="8"/>
      <c r="F192" s="8"/>
      <c r="G192" s="8"/>
      <c r="H192" s="8"/>
      <c r="I192" s="8"/>
      <c r="J192" s="8"/>
      <c r="K192" s="8"/>
      <c r="L192" s="8"/>
      <c r="M192" s="8"/>
      <c r="N192" s="8"/>
      <c r="O192" s="8"/>
      <c r="P192" s="8"/>
      <c r="Q192" s="8"/>
      <c r="R192" s="8"/>
      <c r="S192" s="8"/>
      <c r="T192" s="8"/>
      <c r="U192" s="8"/>
      <c r="V192" s="8"/>
    </row>
    <row r="193" spans="1:22" x14ac:dyDescent="0.2">
      <c r="A193" s="8"/>
      <c r="B193" s="8"/>
      <c r="C193" s="8"/>
      <c r="D193" s="8"/>
      <c r="E193" s="8"/>
      <c r="F193" s="8"/>
      <c r="G193" s="8"/>
      <c r="H193" s="8"/>
      <c r="I193" s="8"/>
      <c r="J193" s="8"/>
      <c r="K193" s="8"/>
      <c r="L193" s="8"/>
      <c r="M193" s="8"/>
      <c r="N193" s="8"/>
      <c r="O193" s="8"/>
      <c r="P193" s="8"/>
      <c r="Q193" s="8"/>
      <c r="R193" s="8"/>
      <c r="S193" s="8"/>
      <c r="T193" s="8"/>
      <c r="U193" s="8"/>
      <c r="V193" s="8"/>
    </row>
    <row r="194" spans="1:22" x14ac:dyDescent="0.2">
      <c r="A194" s="8"/>
      <c r="B194" s="8"/>
      <c r="C194" s="8"/>
      <c r="D194" s="8"/>
      <c r="E194" s="8"/>
      <c r="F194" s="8"/>
      <c r="G194" s="8"/>
      <c r="H194" s="8"/>
      <c r="I194" s="8"/>
      <c r="J194" s="8"/>
      <c r="K194" s="8"/>
      <c r="L194" s="8"/>
      <c r="M194" s="8"/>
      <c r="N194" s="8"/>
      <c r="O194" s="8"/>
      <c r="P194" s="8"/>
      <c r="Q194" s="8"/>
      <c r="R194" s="8"/>
      <c r="S194" s="8"/>
      <c r="T194" s="8"/>
      <c r="U194" s="8"/>
      <c r="V194" s="8"/>
    </row>
    <row r="195" spans="1:22" x14ac:dyDescent="0.2">
      <c r="A195" s="8"/>
      <c r="B195" s="8"/>
      <c r="C195" s="8"/>
      <c r="D195" s="8"/>
      <c r="E195" s="8"/>
      <c r="F195" s="8"/>
      <c r="G195" s="8"/>
      <c r="H195" s="8"/>
      <c r="I195" s="8"/>
      <c r="J195" s="8"/>
      <c r="K195" s="8"/>
      <c r="L195" s="8"/>
      <c r="M195" s="8"/>
      <c r="N195" s="8"/>
      <c r="O195" s="8"/>
      <c r="P195" s="8"/>
      <c r="Q195" s="8"/>
      <c r="R195" s="8"/>
      <c r="S195" s="8"/>
      <c r="T195" s="8"/>
      <c r="U195" s="8"/>
      <c r="V195" s="8"/>
    </row>
    <row r="196" spans="1:22" x14ac:dyDescent="0.2">
      <c r="A196" s="8"/>
      <c r="B196" s="8"/>
      <c r="C196" s="8"/>
      <c r="D196" s="8"/>
      <c r="E196" s="8"/>
      <c r="F196" s="8"/>
      <c r="G196" s="8"/>
      <c r="H196" s="8"/>
      <c r="I196" s="8"/>
      <c r="J196" s="8"/>
      <c r="K196" s="8"/>
      <c r="L196" s="8"/>
      <c r="M196" s="8"/>
      <c r="N196" s="8"/>
      <c r="O196" s="8"/>
      <c r="P196" s="8"/>
      <c r="Q196" s="8"/>
      <c r="R196" s="8"/>
      <c r="S196" s="8"/>
      <c r="T196" s="8"/>
      <c r="U196" s="8"/>
      <c r="V196" s="8"/>
    </row>
    <row r="197" spans="1:22" x14ac:dyDescent="0.2">
      <c r="A197" s="8"/>
      <c r="B197" s="8"/>
      <c r="C197" s="8"/>
      <c r="D197" s="8"/>
      <c r="E197" s="8"/>
      <c r="F197" s="8"/>
      <c r="G197" s="8"/>
      <c r="H197" s="8"/>
      <c r="I197" s="8"/>
      <c r="J197" s="8"/>
      <c r="K197" s="8"/>
      <c r="L197" s="8"/>
      <c r="M197" s="8"/>
      <c r="N197" s="8"/>
      <c r="O197" s="8"/>
      <c r="P197" s="8"/>
      <c r="Q197" s="8"/>
      <c r="R197" s="8"/>
      <c r="S197" s="8"/>
      <c r="T197" s="8"/>
      <c r="U197" s="8"/>
      <c r="V197" s="8"/>
    </row>
    <row r="198" spans="1:22" x14ac:dyDescent="0.2">
      <c r="A198" s="8"/>
      <c r="B198" s="8"/>
      <c r="C198" s="8"/>
      <c r="D198" s="8"/>
      <c r="E198" s="8"/>
      <c r="F198" s="8"/>
      <c r="G198" s="8"/>
      <c r="H198" s="8"/>
      <c r="I198" s="8"/>
      <c r="J198" s="8"/>
      <c r="K198" s="8"/>
      <c r="L198" s="8"/>
      <c r="M198" s="8"/>
      <c r="N198" s="8"/>
      <c r="O198" s="8"/>
      <c r="P198" s="8"/>
      <c r="Q198" s="8"/>
      <c r="R198" s="8"/>
      <c r="S198" s="8"/>
      <c r="T198" s="8"/>
      <c r="U198" s="8"/>
      <c r="V198" s="8"/>
    </row>
    <row r="199" spans="1:22" x14ac:dyDescent="0.2">
      <c r="A199" s="8"/>
      <c r="B199" s="8"/>
      <c r="C199" s="8"/>
      <c r="D199" s="8"/>
      <c r="E199" s="8"/>
      <c r="F199" s="8"/>
      <c r="G199" s="8"/>
      <c r="H199" s="8"/>
      <c r="I199" s="8"/>
      <c r="J199" s="8"/>
      <c r="K199" s="8"/>
      <c r="L199" s="8"/>
      <c r="M199" s="8"/>
      <c r="N199" s="8"/>
      <c r="O199" s="8"/>
      <c r="P199" s="8"/>
      <c r="Q199" s="8"/>
      <c r="R199" s="8"/>
      <c r="S199" s="8"/>
      <c r="T199" s="8"/>
      <c r="U199" s="8"/>
      <c r="V199" s="8"/>
    </row>
    <row r="200" spans="1:22" x14ac:dyDescent="0.2">
      <c r="A200" s="8"/>
      <c r="B200" s="8"/>
      <c r="C200" s="8"/>
      <c r="D200" s="8"/>
      <c r="E200" s="8"/>
      <c r="F200" s="8"/>
      <c r="G200" s="8"/>
      <c r="H200" s="8"/>
      <c r="I200" s="8"/>
      <c r="J200" s="8"/>
      <c r="K200" s="8"/>
      <c r="L200" s="8"/>
      <c r="M200" s="8"/>
      <c r="N200" s="8"/>
      <c r="O200" s="8"/>
      <c r="P200" s="8"/>
      <c r="Q200" s="8"/>
      <c r="R200" s="8"/>
      <c r="S200" s="8"/>
      <c r="T200" s="8"/>
      <c r="U200" s="8"/>
      <c r="V200" s="8"/>
    </row>
  </sheetData>
  <dataValidations count="1">
    <dataValidation type="list" allowBlank="1" showErrorMessage="1" sqref="E2:E7" xr:uid="{00000000-0002-0000-0100-000000000000}">
      <formula1>"Chưa thực hiện,Đang thực hiện,Xử lý xong,Hủy"</formula1>
    </dataValidation>
  </dataValidations>
  <hyperlinks>
    <hyperlink ref="C7" r:id="rId1" display="https://htpldn-dev.ospgroup.vn/api/v1/public/oauth/token"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Phần mềm</vt:lpstr>
      <vt:lpstr>API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HLC_2021</cp:lastModifiedBy>
  <dcterms:modified xsi:type="dcterms:W3CDTF">2026-05-26T10:40:44Z</dcterms:modified>
</cp:coreProperties>
</file>