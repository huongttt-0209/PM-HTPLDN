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Huong_dan" sheetId="1" state="visible" r:id="rId1"/>
    <sheet xmlns:r="http://schemas.openxmlformats.org/officeDocument/2006/relationships" name="01_Tong_hop" sheetId="2" state="visible" r:id="rId2"/>
    <sheet xmlns:r="http://schemas.openxmlformats.org/officeDocument/2006/relationships" name="02_Tai_khoan" sheetId="3" state="visible" r:id="rId3"/>
    <sheet xmlns:r="http://schemas.openxmlformats.org/officeDocument/2006/relationships" name="03_Doanh_nghiep" sheetId="4" state="visible" r:id="rId4"/>
    <sheet xmlns:r="http://schemas.openxmlformats.org/officeDocument/2006/relationships" name="04_Notification" sheetId="5" state="visible" r:id="rId5"/>
    <sheet xmlns:r="http://schemas.openxmlformats.org/officeDocument/2006/relationships" name="05_SMTP_Sec_NFR" sheetId="6" state="visible" r:id="rId6"/>
    <sheet xmlns:r="http://schemas.openxmlformats.org/officeDocument/2006/relationships" name="06_Test_Data" sheetId="7" state="visible" r:id="rId7"/>
    <sheet xmlns:r="http://schemas.openxmlformats.org/officeDocument/2006/relationships" name="07_Dev_Setup" sheetId="8" state="visible" r:id="rId8"/>
    <sheet xmlns:r="http://schemas.openxmlformats.org/officeDocument/2006/relationships" name="08_Traceability" sheetId="9" state="visible" r:id="rId9"/>
    <sheet xmlns:r="http://schemas.openxmlformats.org/officeDocument/2006/relationships" name="09_SRS_Gaps" sheetId="10" state="visible" r:id="rId10"/>
  </sheets>
  <definedNames>
    <definedName name="_xlnm._FilterDatabase" localSheetId="1" hidden="1">'01_Tong_hop'!$A$1:$I$6</definedName>
    <definedName name="_xlnm._FilterDatabase" localSheetId="2" hidden="1">'02_Tai_khoan'!$A$1:$X$50</definedName>
    <definedName name="_xlnm._FilterDatabase" localSheetId="3" hidden="1">'03_Doanh_nghiep'!$A$1:$X$30</definedName>
    <definedName name="_xlnm._FilterDatabase" localSheetId="4" hidden="1">'04_Notification'!$A$1:$X$75</definedName>
    <definedName name="_xlnm._FilterDatabase" localSheetId="5" hidden="1">'05_SMTP_Sec_NFR'!$A$1:$X$19</definedName>
    <definedName name="_xlnm._FilterDatabase" localSheetId="6" hidden="1">'06_Test_Data'!$A$1:$E$38</definedName>
    <definedName name="_xlnm._FilterDatabase" localSheetId="7" hidden="1">'07_Dev_Setup'!$A$1:$L$28</definedName>
    <definedName name="_xlnm._FilterDatabase" localSheetId="8" hidden="1">'08_Traceability'!$A$1:$C$181</definedName>
    <definedName name="_xlnm._FilterDatabase" localSheetId="9" hidden="1">'09_SRS_Gaps'!$A$1:$G$8</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6"/>
    </font>
    <font>
      <name val="Arial"/>
      <b val="1"/>
    </font>
    <font>
      <name val="Arial"/>
    </font>
    <font>
      <name val="Arial"/>
      <b val="1"/>
      <color rgb="00FFFFFF"/>
      <sz val="10"/>
    </font>
    <font>
      <name val="Arial"/>
      <sz val="9"/>
    </font>
    <font>
      <name val="Arial"/>
      <sz val="10"/>
    </font>
  </fonts>
  <fills count="9">
    <fill>
      <patternFill/>
    </fill>
    <fill>
      <patternFill patternType="gray125"/>
    </fill>
    <fill>
      <patternFill patternType="solid">
        <fgColor rgb="0017365D"/>
      </patternFill>
    </fill>
    <fill>
      <patternFill patternType="solid">
        <fgColor rgb="00D9EAF7"/>
      </patternFill>
    </fill>
    <fill>
      <patternFill patternType="solid">
        <fgColor rgb="00F4CCCC"/>
      </patternFill>
    </fill>
    <fill>
      <patternFill patternType="solid">
        <fgColor rgb="00FFFFFF"/>
      </patternFill>
    </fill>
    <fill>
      <patternFill patternType="solid">
        <fgColor rgb="00E7E6E6"/>
      </patternFill>
    </fill>
    <fill>
      <patternFill patternType="solid">
        <fgColor rgb="00FFF2CC"/>
      </patternFill>
    </fill>
    <fill>
      <patternFill patternType="solid">
        <fgColor rgb="00E2F0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xf>
    <xf numFmtId="0" fontId="2" fillId="3"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164" fontId="3" fillId="0" borderId="1" applyAlignment="1" pivotButton="0" quotePrefix="0" xfId="0">
      <alignment horizontal="center"/>
    </xf>
    <xf numFmtId="0" fontId="2" fillId="0" borderId="1" applyAlignment="1" pivotButton="0" quotePrefix="0" xfId="0">
      <alignment horizontal="center"/>
    </xf>
    <xf numFmtId="164" fontId="2" fillId="0" borderId="1" applyAlignment="1" pivotButton="0" quotePrefix="0" xfId="0">
      <alignment horizontal="center"/>
    </xf>
    <xf numFmtId="0" fontId="5"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8" borderId="1" applyAlignment="1" pivotButton="0" quotePrefix="0" xfId="0">
      <alignment vertical="top" wrapText="1"/>
    </xf>
    <xf numFmtId="0" fontId="6" fillId="0" borderId="1" applyAlignment="1" pivotButton="0" quotePrefix="0" xfId="0">
      <alignment vertical="top" wrapText="1"/>
    </xf>
    <xf numFmtId="0" fontId="6" fillId="7"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4" customWidth="1" min="1" max="1"/>
    <col width="120" customWidth="1" min="2" max="2"/>
  </cols>
  <sheetData>
    <row r="1">
      <c r="A1" s="1" t="inlineStr">
        <is>
          <t>UAT EMAIL REVERIFY — HƯỚNG DẪN CHẠY</t>
        </is>
      </c>
    </row>
    <row r="2">
      <c r="A2" s="2" t="inlineStr">
        <is>
          <t>Nguồn</t>
        </is>
      </c>
      <c r="B2" s="3" t="inlineStr">
        <is>
          <t>LOCAL SRS v3.5: Docs-PM-HTPLDN/_bmad-output/planning-artifacts/srs-v3.5</t>
        </is>
      </c>
    </row>
    <row r="3">
      <c r="A3" s="2" t="inlineStr">
        <is>
          <t>Ngày tạo</t>
        </is>
      </c>
      <c r="B3" s="3" t="inlineStr">
        <is>
          <t>2026-08-12</t>
        </is>
      </c>
    </row>
    <row r="4">
      <c r="A4" s="2" t="inlineStr">
        <is>
          <t>Nguyên tắc Pass</t>
        </is>
      </c>
      <c r="B4" s="3" t="inlineStr">
        <is>
          <t>Chỉ Pass khi mọi Expected theo bước đạt qua UI/API/Gmail + đúng To/CC + mailbox âm không nhận + chuông đúng nếu SRS yêu cầu in-app; queue/SMTP/audit chỉ kiểm khi có quyền.</t>
        </is>
      </c>
    </row>
    <row r="5">
      <c r="A5" s="2" t="inlineStr">
        <is>
          <t>Fail</t>
        </is>
      </c>
      <c r="B5" s="3" t="inlineStr">
        <is>
          <t>Một expected theo SRS không đạt, kể cả email tới inbox nhưng state/count/recipient/content/audit/SLA sai.</t>
        </is>
      </c>
    </row>
    <row r="6">
      <c r="A6" s="2" t="inlineStr">
        <is>
          <t>Blocked</t>
        </is>
      </c>
      <c r="B6" s="3" t="inlineStr">
        <is>
          <t>Thiếu BA decision hoặc oracle môi trường; tuyệt đối không đổi thành Pass.</t>
        </is>
      </c>
    </row>
    <row r="7">
      <c r="A7" s="2" t="inlineStr">
        <is>
          <t>Trình tự</t>
        </is>
      </c>
      <c r="B7" s="3" t="inlineStr">
        <is>
          <t>1) 00 Hướng dẫn → 2) Test Data → 3) Dev Setup → 4) Tài khoản → 5) Doanh nghiệp → 6) Notification → 7) SMTP/Security/NFR → 8) Traceability/Summary.</t>
        </is>
      </c>
    </row>
    <row r="8">
      <c r="A8" s="2" t="inlineStr">
        <is>
          <t>Mailbox DEV</t>
        </is>
      </c>
      <c r="B8" s="3" t="inlineStr">
        <is>
          <t>Dùng duy nhất Gmail thật diupt01@gmail.com để lấy OTP và kiểm thông báo. Tìm đúng alias bằng query to:&lt;alias&gt; + mốc thời gian/subject trong sheet 06_Test_Data.</t>
        </is>
      </c>
    </row>
    <row r="9">
      <c r="A9" s="2" t="inlineStr">
        <is>
          <t>Dev setup</t>
        </is>
      </c>
      <c r="B9" s="3" t="inlineStr">
        <is>
          <t>Sheet 07_Dev_Setup ghi mapping đã áp dụng/read-back và đúng mục còn cần dev xử lý. Không seed lại các record đã tồn tại.</t>
        </is>
      </c>
    </row>
    <row r="10">
      <c r="A10" s="2" t="inlineStr">
        <is>
          <t>Đăng nhập fixture</t>
        </is>
      </c>
      <c r="B10" s="3" t="inlineStr">
        <is>
          <t>Dev cung cấp mật khẩu/cách đăng nhập và trạng thái 2FA qua kênh bảo mật; không ghi mật khẩu thật vào workbook/evidence.</t>
        </is>
      </c>
    </row>
    <row r="11">
      <c r="A11" s="2" t="inlineStr">
        <is>
          <t>Kiểm tra alias</t>
        </is>
      </c>
      <c r="B11" s="3" t="inlineStr">
        <is>
          <t>Trong Gmail query to:&lt;alias&gt;, mở Show details/Show original và đối chiếu To/CC + timestamp/message-id. Không Pass chỉ vì thấy thư trong inbox chung.</t>
        </is>
      </c>
    </row>
    <row r="12">
      <c r="A12" s="2" t="inlineStr">
        <is>
          <t>Evidence tối thiểu</t>
        </is>
      </c>
      <c r="B12" s="3" t="inlineStr">
        <is>
          <t>Ảnh UI/chuông + raw email/MIME hoặc message-id + API response; timestamp event/SMTP khi test SLA nếu có quyền.</t>
        </is>
      </c>
    </row>
    <row r="13">
      <c r="A13" s="2" t="inlineStr">
        <is>
          <t>Bảo mật</t>
        </is>
      </c>
      <c r="B13" s="3" t="inlineStr">
        <is>
          <t>Không đưa mật khẩu thật hoặc token đầy đủ vào evidence/workbook.</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6"/>
  <sheetViews>
    <sheetView showGridLines="0" workbookViewId="0">
      <pane ySplit="1" topLeftCell="A2" activePane="bottomLeft" state="frozen"/>
      <selection pane="bottomLeft" activeCell="A1" sqref="A1"/>
    </sheetView>
  </sheetViews>
  <sheetFormatPr baseColWidth="8" defaultRowHeight="15"/>
  <cols>
    <col width="26" customWidth="1" min="1" max="1"/>
    <col width="12" customWidth="1" min="2" max="2"/>
    <col width="10" customWidth="1" min="3" max="3"/>
    <col width="10" customWidth="1" min="4" max="4"/>
    <col width="12" customWidth="1" min="5" max="5"/>
    <col width="10" customWidth="1" min="6" max="6"/>
    <col width="10" customWidth="1" min="7" max="7"/>
    <col width="12" customWidth="1" min="8" max="8"/>
    <col width="20" customWidth="1" min="9" max="9"/>
  </cols>
  <sheetData>
    <row r="1" ht="48" customHeight="1">
      <c r="A1" s="4" t="inlineStr">
        <is>
          <t>Nhóm</t>
        </is>
      </c>
      <c r="B1" s="4" t="inlineStr">
        <is>
          <t>Tổng TC</t>
        </is>
      </c>
      <c r="C1" s="4" t="inlineStr">
        <is>
          <t>P0</t>
        </is>
      </c>
      <c r="D1" s="4" t="inlineStr">
        <is>
          <t>P1</t>
        </is>
      </c>
      <c r="E1" s="4" t="inlineStr">
        <is>
          <t>Not Run</t>
        </is>
      </c>
      <c r="F1" s="4" t="inlineStr">
        <is>
          <t>Pass</t>
        </is>
      </c>
      <c r="G1" s="4" t="inlineStr">
        <is>
          <t>Fail</t>
        </is>
      </c>
      <c r="H1" s="4" t="inlineStr">
        <is>
          <t>Blocked</t>
        </is>
      </c>
      <c r="I1" s="4" t="inlineStr">
        <is>
          <t>Pass rate (đã run)</t>
        </is>
      </c>
    </row>
    <row r="2">
      <c r="A2" s="5" t="inlineStr">
        <is>
          <t>Tài khoản</t>
        </is>
      </c>
      <c r="B2" s="5">
        <f>COUNTA('02_Tai_khoan'!B2:B50)</f>
        <v/>
      </c>
      <c r="C2" s="5">
        <f>COUNTIF('02_Tai_khoan'!E2:E50,"P0")</f>
        <v/>
      </c>
      <c r="D2" s="5">
        <f>COUNTIF('02_Tai_khoan'!E2:E50,"P1")</f>
        <v/>
      </c>
      <c r="E2" s="5">
        <f>COUNTIF('02_Tai_khoan'!U2:U50,"Not Run")</f>
        <v/>
      </c>
      <c r="F2" s="5">
        <f>COUNTIF('02_Tai_khoan'!U2:U50,"Pass")</f>
        <v/>
      </c>
      <c r="G2" s="5">
        <f>COUNTIF('02_Tai_khoan'!U2:U50,"Fail")</f>
        <v/>
      </c>
      <c r="H2" s="5">
        <f>COUNTIF('02_Tai_khoan'!U2:U50,"Blocked")</f>
        <v/>
      </c>
      <c r="I2" s="6">
        <f>IFERROR(F2/(F2+G2),0)</f>
        <v/>
      </c>
    </row>
    <row r="3">
      <c r="A3" s="5" t="inlineStr">
        <is>
          <t>Doanh nghiệp</t>
        </is>
      </c>
      <c r="B3" s="5">
        <f>COUNTA('03_Doanh_nghiep'!B2:B30)</f>
        <v/>
      </c>
      <c r="C3" s="5">
        <f>COUNTIF('03_Doanh_nghiep'!E2:E30,"P0")</f>
        <v/>
      </c>
      <c r="D3" s="5">
        <f>COUNTIF('03_Doanh_nghiep'!E2:E30,"P1")</f>
        <v/>
      </c>
      <c r="E3" s="5">
        <f>COUNTIF('03_Doanh_nghiep'!U2:U30,"Not Run")</f>
        <v/>
      </c>
      <c r="F3" s="5">
        <f>COUNTIF('03_Doanh_nghiep'!U2:U30,"Pass")</f>
        <v/>
      </c>
      <c r="G3" s="5">
        <f>COUNTIF('03_Doanh_nghiep'!U2:U30,"Fail")</f>
        <v/>
      </c>
      <c r="H3" s="5">
        <f>COUNTIF('03_Doanh_nghiep'!U2:U30,"Blocked")</f>
        <v/>
      </c>
      <c r="I3" s="6">
        <f>IFERROR(F3/(F3+G3),0)</f>
        <v/>
      </c>
    </row>
    <row r="4">
      <c r="A4" s="5" t="inlineStr">
        <is>
          <t>Notification</t>
        </is>
      </c>
      <c r="B4" s="5">
        <f>COUNTA('04_Notification'!B2:B75)</f>
        <v/>
      </c>
      <c r="C4" s="5">
        <f>COUNTIF('04_Notification'!E2:E75,"P0")</f>
        <v/>
      </c>
      <c r="D4" s="5">
        <f>COUNTIF('04_Notification'!E2:E75,"P1")</f>
        <v/>
      </c>
      <c r="E4" s="5">
        <f>COUNTIF('04_Notification'!U2:U75,"Not Run")</f>
        <v/>
      </c>
      <c r="F4" s="5">
        <f>COUNTIF('04_Notification'!U2:U75,"Pass")</f>
        <v/>
      </c>
      <c r="G4" s="5">
        <f>COUNTIF('04_Notification'!U2:U75,"Fail")</f>
        <v/>
      </c>
      <c r="H4" s="5">
        <f>COUNTIF('04_Notification'!U2:U75,"Blocked")</f>
        <v/>
      </c>
      <c r="I4" s="6">
        <f>IFERROR(F4/(F4+G4),0)</f>
        <v/>
      </c>
    </row>
    <row r="5">
      <c r="A5" s="5" t="inlineStr">
        <is>
          <t>SMTP/Security/NFR</t>
        </is>
      </c>
      <c r="B5" s="5">
        <f>COUNTA('05_SMTP_Sec_NFR'!B2:B19)</f>
        <v/>
      </c>
      <c r="C5" s="5">
        <f>COUNTIF('05_SMTP_Sec_NFR'!E2:E19,"P0")</f>
        <v/>
      </c>
      <c r="D5" s="5">
        <f>COUNTIF('05_SMTP_Sec_NFR'!E2:E19,"P1")</f>
        <v/>
      </c>
      <c r="E5" s="5">
        <f>COUNTIF('05_SMTP_Sec_NFR'!U2:U19,"Not Run")</f>
        <v/>
      </c>
      <c r="F5" s="5">
        <f>COUNTIF('05_SMTP_Sec_NFR'!U2:U19,"Pass")</f>
        <v/>
      </c>
      <c r="G5" s="5">
        <f>COUNTIF('05_SMTP_Sec_NFR'!U2:U19,"Fail")</f>
        <v/>
      </c>
      <c r="H5" s="5">
        <f>COUNTIF('05_SMTP_Sec_NFR'!U2:U19,"Blocked")</f>
        <v/>
      </c>
      <c r="I5" s="6">
        <f>IFERROR(F5/(F5+G5),0)</f>
        <v/>
      </c>
    </row>
    <row r="6">
      <c r="A6" s="7" t="inlineStr">
        <is>
          <t>TỔNG</t>
        </is>
      </c>
      <c r="B6" s="7">
        <f>SUM(B2:B5)</f>
        <v/>
      </c>
      <c r="C6" s="7">
        <f>SUM(C2:C5)</f>
        <v/>
      </c>
      <c r="D6" s="7">
        <f>SUM(D2:D5)</f>
        <v/>
      </c>
      <c r="E6" s="7">
        <f>SUM(E2:E5)</f>
        <v/>
      </c>
      <c r="F6" s="7">
        <f>SUM(F2:F5)</f>
        <v/>
      </c>
      <c r="G6" s="7">
        <f>SUM(G2:G5)</f>
        <v/>
      </c>
      <c r="H6" s="7">
        <f>SUM(H2:H5)</f>
        <v/>
      </c>
      <c r="I6" s="8">
        <f>IFERROR(F6/(F6+G6),0)</f>
        <v/>
      </c>
    </row>
  </sheetData>
  <autoFilter ref="A1:I6"/>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X50"/>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34" customWidth="1" min="3" max="3"/>
    <col width="20" customWidth="1" min="4" max="4"/>
    <col width="9" customWidth="1" min="5" max="5"/>
    <col width="17" customWidth="1" min="6" max="6"/>
    <col width="38" customWidth="1" min="7" max="7"/>
    <col width="22" customWidth="1" min="8" max="8"/>
    <col width="30" customWidth="1" min="9" max="9"/>
    <col width="38" customWidth="1" min="10" max="10"/>
    <col width="34" customWidth="1" min="11" max="11"/>
    <col width="60" customWidth="1" min="12" max="12"/>
    <col width="65" customWidth="1" min="13" max="13"/>
    <col width="28" customWidth="1" min="14" max="14"/>
    <col width="30" customWidth="1" min="15" max="15"/>
    <col width="34" customWidth="1" min="16" max="16"/>
    <col width="48" customWidth="1" min="17" max="17"/>
    <col width="32" customWidth="1" min="18" max="18"/>
    <col width="36" customWidth="1" min="19" max="19"/>
    <col width="25" customWidth="1" min="20" max="20"/>
    <col width="13" customWidth="1" min="21" max="21"/>
    <col width="16" customWidth="1" min="22" max="22"/>
    <col width="20" customWidth="1" min="23" max="23"/>
    <col width="30" customWidth="1" min="24" max="24"/>
  </cols>
  <sheetData>
    <row r="1" ht="48" customHeight="1">
      <c r="A1" s="4" t="inlineStr">
        <is>
          <t>STT</t>
        </is>
      </c>
      <c r="B1" s="4" t="inlineStr">
        <is>
          <t>Test Case ID</t>
        </is>
      </c>
      <c r="C1" s="4" t="inlineStr">
        <is>
          <t>TraceID (Mã SRS)</t>
        </is>
      </c>
      <c r="D1" s="4" t="inlineStr">
        <is>
          <t>Nhóm/Feature</t>
        </is>
      </c>
      <c r="E1" s="4" t="inlineStr">
        <is>
          <t>Priority</t>
        </is>
      </c>
      <c r="F1" s="4" t="inlineStr">
        <is>
          <t>Type</t>
        </is>
      </c>
      <c r="G1" s="4" t="inlineStr">
        <is>
          <t>Tên Test Case / Mục tiêu</t>
        </is>
      </c>
      <c r="H1" s="4" t="inlineStr">
        <is>
          <t>Tác nhân</t>
        </is>
      </c>
      <c r="I1" s="4" t="inlineStr">
        <is>
          <t>Điểm bắt đầu luồng</t>
        </is>
      </c>
      <c r="J1" s="4" t="inlineStr">
        <is>
          <t>Pre-conditions (Tiền đề)</t>
        </is>
      </c>
      <c r="K1" s="4" t="inlineStr">
        <is>
          <t>Test Data (Dữ liệu)</t>
        </is>
      </c>
      <c r="L1" s="4" t="inlineStr">
        <is>
          <t>Các bước thực hiện</t>
        </is>
      </c>
      <c r="M1" s="4" t="inlineStr">
        <is>
          <t>Kết quả mong đợi theo bước</t>
        </is>
      </c>
      <c r="N1" s="4" t="inlineStr">
        <is>
          <t>Nguồn địa chỉ nhận</t>
        </is>
      </c>
      <c r="O1" s="4" t="inlineStr">
        <is>
          <t>Expected To / CC</t>
        </is>
      </c>
      <c r="P1" s="4" t="inlineStr">
        <is>
          <t>Mailbox KHÔNG được nhận</t>
        </is>
      </c>
      <c r="Q1" s="4" t="inlineStr">
        <is>
          <t>UI / API / Queue / SMTP / Audit cần kiểm tra</t>
        </is>
      </c>
      <c r="R1" s="4" t="inlineStr">
        <is>
          <t>Post-condition / Cleanup</t>
        </is>
      </c>
      <c r="S1" s="4" t="inlineStr">
        <is>
          <t>Kết quả thực tế</t>
        </is>
      </c>
      <c r="T1" s="4" t="inlineStr">
        <is>
          <t>Evidence</t>
        </is>
      </c>
      <c r="U1" s="4" t="inlineStr">
        <is>
          <t>Trạng thái</t>
        </is>
      </c>
      <c r="V1" s="4" t="inlineStr">
        <is>
          <t>Bug ID</t>
        </is>
      </c>
      <c r="W1" s="4" t="inlineStr">
        <is>
          <t>Tester / Ngày</t>
        </is>
      </c>
      <c r="X1" s="4" t="inlineStr">
        <is>
          <t>Ghi chú</t>
        </is>
      </c>
    </row>
    <row r="2">
      <c r="A2" s="9" t="n">
        <v>1</v>
      </c>
      <c r="B2" s="9" t="inlineStr">
        <is>
          <t>EM-TK-UI-01</t>
        </is>
      </c>
      <c r="C2" s="9" t="inlineStr">
        <is>
          <t>FR-VIII-15 / SCR-VIII-03 / srs-fr-10:676-751,1707-1743</t>
        </is>
      </c>
      <c r="D2" s="9" t="inlineStr">
        <is>
          <t>UI field verification</t>
        </is>
      </c>
      <c r="E2" s="10" t="inlineStr">
        <is>
          <t>P0</t>
        </is>
      </c>
      <c r="F2" s="9" t="inlineStr">
        <is>
          <t>UI</t>
        </is>
      </c>
      <c r="G2" s="9" t="inlineStr">
        <is>
          <t>Kiểm tra màn Quản lý tài khoản và form tạo/sửa</t>
        </is>
      </c>
      <c r="H2" s="9" t="inlineStr">
        <is>
          <t>QTHT</t>
        </is>
      </c>
      <c r="I2" s="9" t="inlineStr">
        <is>
          <t>Quản trị hệ thống &gt; Tài khoản</t>
        </is>
      </c>
      <c r="J2" s="9" t="inlineStr">
        <is>
          <t>Có tài khoản đúng quyền; dữ liệu danh mục cần thiết đã seed.</t>
        </is>
      </c>
      <c r="K2" s="9" t="inlineStr">
        <is>
          <t>Không có.</t>
        </is>
      </c>
      <c r="L2" s="9" t="inlineStr">
        <is>
          <t>1. Đăng nhập bằng đúng vai trò.
2. Mở màn hình theo điểm bắt đầu.
3. Đối chiếu từng trường, kiểu input, required/readonly và nút với SRS.
4. Kiểm tra điều kiện hiển thị/ẩn.
5. Kiểm tra tab order, label và thông báo validation khi bỏ trống.</t>
        </is>
      </c>
      <c r="M2" s="9" t="inlineStr">
        <is>
          <t>1. Đăng nhập và phân quyền đúng.
2. Màn hình mở đúng.
3. Có đủ: danh sách đối chiếu theo SCR-VIII-03; form UI có username*, email*, họ tên*, vai trò*, đơn vị*, loại TK*, CCCD; input nghiệp vụ FR-VIII-15 còn có điện thoại; tạo mới KHÔNG có mật khẩu.
4. Nút/field chỉ hiện đúng điều kiện.
5. Required, readonly và validation đúng SRS.
NEGATIVE: Không được có nút admin đặt/đổi mật khẩu; mật khẩu trên form tạo.</t>
        </is>
      </c>
      <c r="N2" s="9" t="inlineStr">
        <is>
          <t>—</t>
        </is>
      </c>
      <c r="O2" s="9" t="inlineStr">
        <is>
          <t>—</t>
        </is>
      </c>
      <c r="P2" s="9" t="inlineStr">
        <is>
          <t>—</t>
        </is>
      </c>
      <c r="Q2" s="9" t="inlineStr">
        <is>
          <t>Kiểm tra màn hình không thay đổi dữ liệu và không phát sinh email; queue/audit chỉ khi có quyền.</t>
        </is>
      </c>
      <c r="R2" s="9" t="inlineStr">
        <is>
          <t>—</t>
        </is>
      </c>
      <c r="S2" s="9" t="inlineStr">
        <is>
          <t>BUG-EM-TK-002: form sửa TK doanh nghiệp thiếu Vai trò. BA-CLAR-EM-TK-001 chờ BA chốt do FR Outputs và SCR mâu thuẫn. Evidence: bug-report/bug-report-em-tk.md</t>
        </is>
      </c>
      <c r="T2" s="9" t="inlineStr"/>
      <c r="U2" s="11" t="inlineStr">
        <is>
          <t>Fail</t>
        </is>
      </c>
      <c r="V2" s="9" t="inlineStr">
        <is>
          <t>BUG-EM-TK-002</t>
        </is>
      </c>
      <c r="W2" s="9" t="inlineStr">
        <is>
          <t>QA Automation / 2026-08-12</t>
        </is>
      </c>
      <c r="X2" s="9" t="inlineStr">
        <is>
          <t>BUG-EM-TK-002: form sửa TK doanh nghiệp thiếu Vai trò. BA-CLAR-EM-TK-001 chờ BA chốt do FR Outputs và SCR mâu thuẫn. Evidence: bug-report/bug-report-em-tk.md</t>
        </is>
      </c>
    </row>
    <row r="3">
      <c r="A3" s="9" t="n">
        <v>2</v>
      </c>
      <c r="B3" s="9" t="inlineStr">
        <is>
          <t>EM-TK-UI-02</t>
        </is>
      </c>
      <c r="C3" s="9" t="inlineStr">
        <is>
          <t>FR-VIII-22 / SCR-VIII-08 / srs-fr-10:1024-1128,1900-1943</t>
        </is>
      </c>
      <c r="D3" s="9" t="inlineStr">
        <is>
          <t>UI field verification</t>
        </is>
      </c>
      <c r="E3" s="10" t="inlineStr">
        <is>
          <t>P0</t>
        </is>
      </c>
      <c r="F3" s="9" t="inlineStr">
        <is>
          <t>UI</t>
        </is>
      </c>
      <c r="G3" s="9" t="inlineStr">
        <is>
          <t>Kiểm tra email trên form DN tự đăng ký</t>
        </is>
      </c>
      <c r="H3" s="9" t="inlineStr">
        <is>
          <t>DN chưa có TK</t>
        </is>
      </c>
      <c r="I3" s="9" t="inlineStr">
        <is>
          <t>Đăng nhập &gt; Đăng ký dành cho doanh nghiệp</t>
        </is>
      </c>
      <c r="J3" s="9" t="inlineStr">
        <is>
          <t>Có tài khoản đúng quyền; dữ liệu danh mục cần thiết đã seed.</t>
        </is>
      </c>
      <c r="K3" s="9" t="inlineStr">
        <is>
          <t>Không có.</t>
        </is>
      </c>
      <c r="L3" s="9" t="inlineStr">
        <is>
          <t>1. Đăng nhập bằng đúng vai trò.
2. Mở màn hình theo điểm bắt đầu.
3. Đối chiếu từng trường, kiểu input, required/readonly và nút với SRS.
4. Kiểm tra điều kiện hiển thị/ẩn.
5. Kiểm tra tab order, label và thông báo validation khi bỏ trống.</t>
        </is>
      </c>
      <c r="M3" s="9" t="inlineStr">
        <is>
          <t>1. Đăng nhập và phân quyền đúng.
2. Màn hình mở đúng.
3. Có đủ: một ô Email bắt buộc, tooltip nêu dùng cho login/kích hoạt/reset/notification và đồng thời là email liên hệ; username readonly tự lấy MST; mật khẩu + xác nhận + cam kết.
4. Nút/field chỉ hiện đúng điều kiện.
5. Required, readonly và validation đúng SRS.</t>
        </is>
      </c>
      <c r="N3" s="9" t="inlineStr">
        <is>
          <t>—</t>
        </is>
      </c>
      <c r="O3" s="9" t="inlineStr">
        <is>
          <t>—</t>
        </is>
      </c>
      <c r="P3" s="9" t="inlineStr">
        <is>
          <t>—</t>
        </is>
      </c>
      <c r="Q3" s="9" t="inlineStr">
        <is>
          <t>Kiểm tra màn hình không thay đổi dữ liệu và không phát sinh email; queue/audit chỉ khi có quyền.</t>
        </is>
      </c>
      <c r="R3" s="9" t="inlineStr">
        <is>
          <t>—</t>
        </is>
      </c>
      <c r="S3" s="9" t="inlineStr">
        <is>
          <t>BUG-EM-TK-003: tooltip Email doanh nghiệp thiếu mục đích login/reset mật khẩu/thông báo. Evidence: bug-report/bug-report-em-tk.md</t>
        </is>
      </c>
      <c r="T3" s="9" t="inlineStr"/>
      <c r="U3" s="11" t="inlineStr">
        <is>
          <t>Fail</t>
        </is>
      </c>
      <c r="V3" s="9" t="inlineStr">
        <is>
          <t>BUG-EM-TK-003</t>
        </is>
      </c>
      <c r="W3" s="9" t="inlineStr">
        <is>
          <t>QA Automation / 2026-08-12</t>
        </is>
      </c>
      <c r="X3" s="9" t="inlineStr">
        <is>
          <t>BUG-EM-TK-003: tooltip Email doanh nghiệp thiếu mục đích login/reset mật khẩu/thông báo. Evidence: bug-report/bug-report-em-tk.md</t>
        </is>
      </c>
    </row>
    <row r="4">
      <c r="A4" s="9" t="n">
        <v>3</v>
      </c>
      <c r="B4" s="9" t="inlineStr">
        <is>
          <t>EM-TK-UI-03</t>
        </is>
      </c>
      <c r="C4" s="9" t="inlineStr">
        <is>
          <t>FR-VIII-26 / srs-fr-10:1278-1369</t>
        </is>
      </c>
      <c r="D4" s="9" t="inlineStr">
        <is>
          <t>UI field verification</t>
        </is>
      </c>
      <c r="E4" s="10" t="inlineStr">
        <is>
          <t>P0</t>
        </is>
      </c>
      <c r="F4" s="9" t="inlineStr">
        <is>
          <t>UI</t>
        </is>
      </c>
      <c r="G4" s="9" t="inlineStr">
        <is>
          <t>Kiểm tra form Quên mật khẩu</t>
        </is>
      </c>
      <c r="H4" s="9" t="inlineStr">
        <is>
          <t>User bất kỳ</t>
        </is>
      </c>
      <c r="I4" s="9" t="inlineStr">
        <is>
          <t>Đăng nhập &gt; Quên mật khẩu</t>
        </is>
      </c>
      <c r="J4" s="9" t="inlineStr">
        <is>
          <t>Có tài khoản đúng quyền; dữ liệu danh mục cần thiết đã seed.</t>
        </is>
      </c>
      <c r="K4" s="9" t="inlineStr">
        <is>
          <t>Không có.</t>
        </is>
      </c>
      <c r="L4" s="9" t="inlineStr">
        <is>
          <t>1. Đăng nhập bằng đúng vai trò.
2. Mở màn hình theo điểm bắt đầu.
3. Đối chiếu từng trường, kiểu input, required/readonly và nút với SRS.
4. Kiểm tra điều kiện hiển thị/ẩn.
5. Kiểm tra tab order, label và thông báo validation khi bỏ trống.</t>
        </is>
      </c>
      <c r="M4" s="9" t="inlineStr">
        <is>
          <t>1. Đăng nhập và phân quyền đúng.
2. Màn hình mở đúng.
3. Có đủ: một ô Tên đăng nhập nhận email hoặc MST; nút gửi link; form qua link có mật khẩu mới + xác nhận.
4. Nút/field chỉ hiện đúng điều kiện.
5. Required, readonly và validation đúng SRS.
NEGATIVE: Không được có hai ô riêng Email và MST; ô yêu cầu email khớp DOANH_NGHIEP.email.</t>
        </is>
      </c>
      <c r="N4" s="9" t="inlineStr">
        <is>
          <t>—</t>
        </is>
      </c>
      <c r="O4" s="9" t="inlineStr">
        <is>
          <t>—</t>
        </is>
      </c>
      <c r="P4" s="9" t="inlineStr">
        <is>
          <t>—</t>
        </is>
      </c>
      <c r="Q4" s="9" t="inlineStr">
        <is>
          <t>Kiểm tra màn hình không thay đổi dữ liệu và không phát sinh email; queue/audit chỉ khi có quyền.</t>
        </is>
      </c>
      <c r="R4" s="9" t="inlineStr">
        <is>
          <t>—</t>
        </is>
      </c>
      <c r="S4" s="9" t="inlineStr">
        <is>
          <t>Form yêu cầu có đúng một ô “Email hoặc Mã số thuế”, required; Gmail thật nhận thư reset tới diupt01+cb-nv-a@gmail.com, link hiệu lực 30 phút mở form có đúng “Mật khẩu mới” và “Xác nhận mật khẩu mới”. Không submit đổi mật khẩu.</t>
        </is>
      </c>
      <c r="T4" s="9" t="inlineStr"/>
      <c r="U4" s="11" t="inlineStr">
        <is>
          <t>Pass</t>
        </is>
      </c>
      <c r="V4" s="9" t="inlineStr"/>
      <c r="W4" s="9" t="inlineStr">
        <is>
          <t>QA Automation / 2026-08-12</t>
        </is>
      </c>
      <c r="X4" s="9" t="inlineStr">
        <is>
          <t>Form yêu cầu có đúng một ô “Email hoặc Mã số thuế”, required; Gmail thật nhận thư reset tới diupt01+cb-nv-a@gmail.com, link hiệu lực 30 phút mở form có đúng “Mật khẩu mới” và “Xác nhận mật khẩu mới”. Không submit đổi mật khẩu.</t>
        </is>
      </c>
    </row>
    <row r="5">
      <c r="A5" s="9" t="n">
        <v>4</v>
      </c>
      <c r="B5" s="9" t="inlineStr">
        <is>
          <t>EM-TK-UI-04</t>
        </is>
      </c>
      <c r="C5" s="9" t="inlineStr">
        <is>
          <t>FR-VIII-15 / SCR-VIII-03 / srs-fr-10:1726</t>
        </is>
      </c>
      <c r="D5" s="9" t="inlineStr">
        <is>
          <t>UI field verification</t>
        </is>
      </c>
      <c r="E5" s="10" t="inlineStr">
        <is>
          <t>P0</t>
        </is>
      </c>
      <c r="F5" s="9" t="inlineStr">
        <is>
          <t>UI</t>
        </is>
      </c>
      <c r="G5" s="9" t="inlineStr">
        <is>
          <t>Kiểm tra điều kiện hiển thị Gửi lại email kích hoạt</t>
        </is>
      </c>
      <c r="H5" s="9" t="inlineStr">
        <is>
          <t>QTHT</t>
        </is>
      </c>
      <c r="I5" s="9" t="inlineStr">
        <is>
          <t>Quản trị hệ thống &gt; Tài khoản</t>
        </is>
      </c>
      <c r="J5" s="9" t="inlineStr">
        <is>
          <t>Có tài khoản đúng quyền; dữ liệu danh mục cần thiết đã seed.</t>
        </is>
      </c>
      <c r="K5" s="9" t="inlineStr">
        <is>
          <t>Không có.</t>
        </is>
      </c>
      <c r="L5" s="9" t="inlineStr">
        <is>
          <t>1. Đăng nhập bằng đúng vai trò.
2. Mở màn hình theo điểm bắt đầu.
3. Đối chiếu từng trường, kiểu input, required/readonly và nút với SRS.
4. Kiểm tra điều kiện hiển thị/ẩn.
5. Kiểm tra tab order, label và thông báo validation khi bỏ trống.</t>
        </is>
      </c>
      <c r="M5" s="9" t="inlineStr">
        <is>
          <t>1. Đăng nhập và phân quyền đúng.
2. Màn hình mở đúng.
3. Có đủ: hành động Gửi lại email kích hoạt chỉ ở trạng thái phù hợp; không có Đổi MK.
4. Nút/field chỉ hiện đúng điều kiện.
5. Required, readonly và validation đúng SRS.</t>
        </is>
      </c>
      <c r="N5" s="9" t="inlineStr">
        <is>
          <t>—</t>
        </is>
      </c>
      <c r="O5" s="9" t="inlineStr">
        <is>
          <t>—</t>
        </is>
      </c>
      <c r="P5" s="9" t="inlineStr">
        <is>
          <t>—</t>
        </is>
      </c>
      <c r="Q5" s="9" t="inlineStr">
        <is>
          <t>Kiểm tra màn hình không thay đổi dữ liệu và không phát sinh email; queue/audit chỉ khi có quyền.</t>
        </is>
      </c>
      <c r="R5" s="9" t="inlineStr">
        <is>
          <t>—</t>
        </is>
      </c>
      <c r="S5" s="9" t="inlineStr"/>
      <c r="T5" s="9" t="inlineStr"/>
      <c r="U5" s="11" t="inlineStr">
        <is>
          <t>Pass</t>
        </is>
      </c>
      <c r="V5" s="9" t="inlineStr"/>
      <c r="W5" s="9" t="inlineStr">
        <is>
          <t>QA Automation / 2026-08-12</t>
        </is>
      </c>
      <c r="X5" s="9" t="inlineStr"/>
    </row>
    <row r="6">
      <c r="A6" s="9" t="n">
        <v>5</v>
      </c>
      <c r="B6" s="9" t="inlineStr">
        <is>
          <t>EM-TK-VAL-01</t>
        </is>
      </c>
      <c r="C6" s="9" t="inlineStr">
        <is>
          <t>FR-VIII-15 Inputs#2</t>
        </is>
      </c>
      <c r="D6" s="9" t="inlineStr">
        <is>
          <t>Email validation</t>
        </is>
      </c>
      <c r="E6" s="10" t="inlineStr">
        <is>
          <t>P0</t>
        </is>
      </c>
      <c r="F6" s="9" t="inlineStr">
        <is>
          <t>Negative/Edge</t>
        </is>
      </c>
      <c r="G6" s="9" t="inlineStr">
        <is>
          <t>Bỏ trống email tài khoản</t>
        </is>
      </c>
      <c r="H6" s="9" t="inlineStr">
        <is>
          <t>QTHT/CB NV/DN</t>
        </is>
      </c>
      <c r="I6" s="9" t="inlineStr">
        <is>
          <t>Quản trị &gt; Tài khoản &gt; Thêm mới</t>
        </is>
      </c>
      <c r="J6" s="9" t="inlineStr">
        <is>
          <t>Đang ở form có trường email; ghi nhận số bản ghi hiển thị và inbox trước test.</t>
        </is>
      </c>
      <c r="K6" s="9" t="inlineStr">
        <is>
          <t>email = rỗng</t>
        </is>
      </c>
      <c r="L6" s="9" t="inlineStr">
        <is>
          <t>1. Mở form.
2. Nhập đầy đủ các trường khác hợp lệ.
3. Nhập email theo Test Data.
4. Bấm Lưu/Đăng ký.
5. Reload màn hình, kiểm tra UI/API response và inbox.</t>
        </is>
      </c>
      <c r="M6" s="9" t="inlineStr">
        <is>
          <t>1-3. Form nhận đúng dữ liệu.
4. Không cho submit; field Email báo bắt buộc.
5. Reload: số bản ghi hiển thị không đổi, form không đóng/reset, không tạo token/job/email.</t>
        </is>
      </c>
      <c r="N6" s="9" t="inlineStr">
        <is>
          <t>Field email đang kiểm tra</t>
        </is>
      </c>
      <c r="O6" s="9" t="inlineStr">
        <is>
          <t>Không gửi mail nếu validation thất bại</t>
        </is>
      </c>
      <c r="P6" s="9" t="inlineStr">
        <is>
          <t>Tất cả mailbox test khi validation thất bại</t>
        </is>
      </c>
      <c r="Q6" s="9" t="inlineStr">
        <is>
          <t>Kiểm tra UI/API response, số bản ghi hiển thị và Gmail; queue/audit chỉ khi có quyền.</t>
        </is>
      </c>
      <c r="R6" s="9" t="inlineStr">
        <is>
          <t>—</t>
        </is>
      </c>
      <c r="S6" s="9" t="inlineStr">
        <is>
          <t>UI từ chối đúng, báo “Vui lòng nhập email”, giữ nguyên form và không phát sinh request submit.</t>
        </is>
      </c>
      <c r="T6" s="9" t="inlineStr"/>
      <c r="U6" s="11" t="inlineStr">
        <is>
          <t>Pass</t>
        </is>
      </c>
      <c r="V6" s="9" t="inlineStr"/>
      <c r="W6" s="9" t="inlineStr">
        <is>
          <t>QA Automation / 2026-08-12</t>
        </is>
      </c>
      <c r="X6" s="9" t="inlineStr">
        <is>
          <t>UI từ chối đúng, báo “Vui lòng nhập email”, giữ nguyên form và không phát sinh request submit.</t>
        </is>
      </c>
    </row>
    <row r="7">
      <c r="A7" s="9" t="n">
        <v>6</v>
      </c>
      <c r="B7" s="9" t="inlineStr">
        <is>
          <t>EM-TK-VAL-02</t>
        </is>
      </c>
      <c r="C7" s="9" t="inlineStr">
        <is>
          <t>FR-VIII-15 Inputs#2; FR-VIII-22 Inputs#14</t>
        </is>
      </c>
      <c r="D7" s="9" t="inlineStr">
        <is>
          <t>Email validation</t>
        </is>
      </c>
      <c r="E7" s="10" t="inlineStr">
        <is>
          <t>P0</t>
        </is>
      </c>
      <c r="F7" s="9" t="inlineStr">
        <is>
          <t>Negative/Edge</t>
        </is>
      </c>
      <c r="G7" s="9" t="inlineStr">
        <is>
          <t>Chấp nhận email hợp lệ cơ bản</t>
        </is>
      </c>
      <c r="H7" s="9" t="inlineStr">
        <is>
          <t>QTHT/CB NV/DN</t>
        </is>
      </c>
      <c r="I7" s="9" t="inlineStr">
        <is>
          <t>Form tạo tài khoản</t>
        </is>
      </c>
      <c r="J7" s="9" t="inlineStr">
        <is>
          <t>Đang ở form có trường email; ghi nhận số bản ghi hiển thị và inbox trước test.</t>
        </is>
      </c>
      <c r="K7" s="9" t="inlineStr">
        <is>
          <t>diupt01+uat-em-tk-val-02@gmail.com</t>
        </is>
      </c>
      <c r="L7" s="9" t="inlineStr">
        <is>
          <t>1. Mở form.
2. Nhập đầy đủ các trường khác hợp lệ.
3. Nhập email theo Test Data.
4. Bấm Lưu/Đăng ký.
5. Reload màn hình, kiểm tra UI/API response và inbox.</t>
        </is>
      </c>
      <c r="M7" s="9" t="inlineStr">
        <is>
          <t>1-3. Form nhận đúng dữ liệu.
4. Cho lưu nếu các field khác hợp lệ.
5. Reload: email được lưu đúng; UI/API hiển thị đúng giá trị và chỉ phát sinh email nếu workflow của thao tác yêu cầu.</t>
        </is>
      </c>
      <c r="N7" s="9" t="inlineStr">
        <is>
          <t>Field email đang kiểm tra</t>
        </is>
      </c>
      <c r="O7" s="9" t="inlineStr">
        <is>
          <t>Không gửi mail nếu validation thất bại</t>
        </is>
      </c>
      <c r="P7" s="9" t="inlineStr">
        <is>
          <t>Tất cả mailbox test khi validation thất bại</t>
        </is>
      </c>
      <c r="Q7" s="9" t="inlineStr">
        <is>
          <t>Kiểm tra UI/API response, số bản ghi hiển thị và Gmail; queue/audit chỉ khi có quyền.</t>
        </is>
      </c>
      <c r="R7" s="9" t="inlineStr">
        <is>
          <t>—</t>
        </is>
      </c>
      <c r="S7" s="9" t="inlineStr">
        <is>
          <t>UI lưu thành công: POST 201, tổng tài khoản 83→84, email hiển thị đúng; Gmail thật nhận thư kích hoạt, To = diupt01+uat-em-tk-val-02@gmail.com.</t>
        </is>
      </c>
      <c r="T7" s="9" t="inlineStr"/>
      <c r="U7" s="11" t="inlineStr">
        <is>
          <t>Pass</t>
        </is>
      </c>
      <c r="V7" s="9" t="inlineStr"/>
      <c r="W7" s="9" t="inlineStr">
        <is>
          <t>QA Automation / 2026-08-12</t>
        </is>
      </c>
      <c r="X7" s="9" t="inlineStr">
        <is>
          <t>UI lưu thành công: POST 201, tổng tài khoản 83→84, email hiển thị đúng; Gmail thật nhận thư kích hoạt, To = diupt01+uat-em-tk-val-02@gmail.com.</t>
        </is>
      </c>
    </row>
    <row r="8">
      <c r="A8" s="9" t="n">
        <v>7</v>
      </c>
      <c r="B8" s="9" t="inlineStr">
        <is>
          <t>EM-TK-VAL-03</t>
        </is>
      </c>
      <c r="C8" s="9" t="inlineStr">
        <is>
          <t>FR-VIII-15 Inputs#2; SCR-VIII-03 Email RFC 5322</t>
        </is>
      </c>
      <c r="D8" s="9" t="inlineStr">
        <is>
          <t>Email validation</t>
        </is>
      </c>
      <c r="E8" s="10" t="inlineStr">
        <is>
          <t>P0</t>
        </is>
      </c>
      <c r="F8" s="9" t="inlineStr">
        <is>
          <t>Negative/Edge</t>
        </is>
      </c>
      <c r="G8" s="9" t="inlineStr">
        <is>
          <t>Chấp nhận Gmail plus alias</t>
        </is>
      </c>
      <c r="H8" s="9" t="inlineStr">
        <is>
          <t>QTHT/CB NV/DN</t>
        </is>
      </c>
      <c r="I8" s="9" t="inlineStr">
        <is>
          <t>Form tạo tài khoản</t>
        </is>
      </c>
      <c r="J8" s="9" t="inlineStr">
        <is>
          <t>Đang ở form có trường email; ghi nhận số bản ghi hiển thị và inbox trước test.</t>
        </is>
      </c>
      <c r="K8" s="9" t="inlineStr">
        <is>
          <t>diupt01+uat-em-tk-val-03@gmail.com</t>
        </is>
      </c>
      <c r="L8" s="9" t="inlineStr">
        <is>
          <t>1. Mở form.
2. Nhập đầy đủ các trường khác hợp lệ.
3. Nhập email theo Test Data.
4. Bấm Lưu/Đăng ký.
5. Reload màn hình, kiểm tra UI/API response và inbox.</t>
        </is>
      </c>
      <c r="M8" s="9" t="inlineStr">
        <is>
          <t>1-3. Form nhận đúng dữ liệu.
4. Cho lưu khi các field khác hợp lệ; nếu phát sinh thư thì Gmail thật phải nhận và trường To đúng alias.
5. Reload: email được lưu đúng; UI/API hiển thị đúng giá trị và chỉ phát sinh email nếu workflow của thao tác yêu cầu.</t>
        </is>
      </c>
      <c r="N8" s="9" t="inlineStr">
        <is>
          <t>Field email đang kiểm tra</t>
        </is>
      </c>
      <c r="O8" s="9" t="inlineStr">
        <is>
          <t>Không gửi mail nếu validation thất bại</t>
        </is>
      </c>
      <c r="P8" s="9" t="inlineStr">
        <is>
          <t>Tất cả mailbox test khi validation thất bại</t>
        </is>
      </c>
      <c r="Q8" s="9" t="inlineStr">
        <is>
          <t>Kiểm tra UI/API response, số bản ghi hiển thị và Gmail; queue/audit chỉ khi có quyền.</t>
        </is>
      </c>
      <c r="R8" s="9" t="inlineStr">
        <is>
          <t>—</t>
        </is>
      </c>
      <c r="S8" s="9" t="inlineStr">
        <is>
          <t>Dấu + được chấp nhận: POST 201, tổng tài khoản 84→85; Gmail thật nhận thư kích hoạt và chi tiết To = diupt01+uat-em-tk-val-03@gmail.com.</t>
        </is>
      </c>
      <c r="T8" s="9" t="inlineStr"/>
      <c r="U8" s="11" t="inlineStr">
        <is>
          <t>Pass</t>
        </is>
      </c>
      <c r="V8" s="9" t="inlineStr"/>
      <c r="W8" s="9" t="inlineStr">
        <is>
          <t>QA Automation / 2026-08-12</t>
        </is>
      </c>
      <c r="X8" s="9" t="inlineStr">
        <is>
          <t>Dấu + được chấp nhận: POST 201, tổng tài khoản 84→85; Gmail thật nhận thư kích hoạt và chi tiết To = diupt01+uat-em-tk-val-03@gmail.com.</t>
        </is>
      </c>
    </row>
    <row r="9">
      <c r="A9" s="9" t="n">
        <v>8</v>
      </c>
      <c r="B9" s="9" t="inlineStr">
        <is>
          <t>EM-TK-VAL-04</t>
        </is>
      </c>
      <c r="C9" s="9" t="inlineStr">
        <is>
          <t>FR-VIII-15 E2/format; FR-VIII-22 Inputs#14</t>
        </is>
      </c>
      <c r="D9" s="9" t="inlineStr">
        <is>
          <t>Email validation</t>
        </is>
      </c>
      <c r="E9" s="10" t="inlineStr">
        <is>
          <t>P0</t>
        </is>
      </c>
      <c r="F9" s="9" t="inlineStr">
        <is>
          <t>Negative/Edge</t>
        </is>
      </c>
      <c r="G9" s="9" t="inlineStr">
        <is>
          <t>Thiếu ký tự @</t>
        </is>
      </c>
      <c r="H9" s="9" t="inlineStr">
        <is>
          <t>QTHT/CB NV/DN</t>
        </is>
      </c>
      <c r="I9" s="9" t="inlineStr">
        <is>
          <t>Form tạo tài khoản</t>
        </is>
      </c>
      <c r="J9" s="9" t="inlineStr">
        <is>
          <t>Đang ở form có trường email; ghi nhận số bản ghi hiển thị và inbox trước test.</t>
        </is>
      </c>
      <c r="K9" s="9" t="inlineStr">
        <is>
          <t>email = qa.example.test</t>
        </is>
      </c>
      <c r="L9" s="9" t="inlineStr">
        <is>
          <t>1. Mở form.
2. Nhập đầy đủ các trường khác hợp lệ.
3. Nhập email theo Test Data.
4. Bấm Lưu/Đăng ký.
5. Reload màn hình, kiểm tra UI/API response và inbox.</t>
        </is>
      </c>
      <c r="M9" s="9" t="inlineStr">
        <is>
          <t>1-3. Form nhận đúng dữ liệu.
4. Từ chối, hiển thị lỗi định dạng email; không lưu.
5. Reload: số bản ghi hiển thị không đổi, form không đóng/reset, không tạo token/job/email.</t>
        </is>
      </c>
      <c r="N9" s="9" t="inlineStr">
        <is>
          <t>Field email đang kiểm tra</t>
        </is>
      </c>
      <c r="O9" s="9" t="inlineStr">
        <is>
          <t>Không gửi mail nếu validation thất bại</t>
        </is>
      </c>
      <c r="P9" s="9" t="inlineStr">
        <is>
          <t>Tất cả mailbox test khi validation thất bại</t>
        </is>
      </c>
      <c r="Q9" s="9" t="inlineStr">
        <is>
          <t>Kiểm tra UI/API response, số bản ghi hiển thị và Gmail; queue/audit chỉ khi có quyền.</t>
        </is>
      </c>
      <c r="R9" s="9" t="inlineStr">
        <is>
          <t>—</t>
        </is>
      </c>
      <c r="S9" s="9" t="inlineStr">
        <is>
          <t>UI từ chối đúng, báo “Email không hợp lệ”, giữ form và tổng tài khoản vẫn 85; không phát sinh request submit.</t>
        </is>
      </c>
      <c r="T9" s="9" t="inlineStr"/>
      <c r="U9" s="11" t="inlineStr">
        <is>
          <t>Pass</t>
        </is>
      </c>
      <c r="V9" s="9" t="inlineStr"/>
      <c r="W9" s="9" t="inlineStr">
        <is>
          <t>QA Automation / 2026-08-12</t>
        </is>
      </c>
      <c r="X9" s="9" t="inlineStr">
        <is>
          <t>UI từ chối đúng, báo “Email không hợp lệ”, giữ form và tổng tài khoản vẫn 85; không phát sinh request submit.</t>
        </is>
      </c>
    </row>
    <row r="10">
      <c r="A10" s="9" t="n">
        <v>9</v>
      </c>
      <c r="B10" s="9" t="inlineStr">
        <is>
          <t>EM-TK-VAL-05</t>
        </is>
      </c>
      <c r="C10" s="9" t="inlineStr">
        <is>
          <t>FR-VIII-15 E2/format; FR-VIII-22 Inputs#14</t>
        </is>
      </c>
      <c r="D10" s="9" t="inlineStr">
        <is>
          <t>Email validation</t>
        </is>
      </c>
      <c r="E10" s="10" t="inlineStr">
        <is>
          <t>P0</t>
        </is>
      </c>
      <c r="F10" s="9" t="inlineStr">
        <is>
          <t>Negative/Edge</t>
        </is>
      </c>
      <c r="G10" s="9" t="inlineStr">
        <is>
          <t>Thiếu local-part</t>
        </is>
      </c>
      <c r="H10" s="9" t="inlineStr">
        <is>
          <t>QTHT/CB NV/DN</t>
        </is>
      </c>
      <c r="I10" s="9" t="inlineStr">
        <is>
          <t>Form tạo tài khoản</t>
        </is>
      </c>
      <c r="J10" s="9" t="inlineStr">
        <is>
          <t>Đang ở form có trường email; ghi nhận số bản ghi hiển thị và inbox trước test.</t>
        </is>
      </c>
      <c r="K10" s="9" t="inlineStr">
        <is>
          <t>email = @example.test</t>
        </is>
      </c>
      <c r="L10" s="9" t="inlineStr">
        <is>
          <t>1. Mở form.
2. Nhập đầy đủ các trường khác hợp lệ.
3. Nhập email theo Test Data.
4. Bấm Lưu/Đăng ký.
5. Reload màn hình, kiểm tra UI/API response và inbox.</t>
        </is>
      </c>
      <c r="M10" s="9" t="inlineStr">
        <is>
          <t>1-3. Form nhận đúng dữ liệu.
4. Từ chối, hiển thị lỗi định dạng email; không lưu.
5. Reload: số bản ghi hiển thị không đổi, form không đóng/reset, không tạo token/job/email.</t>
        </is>
      </c>
      <c r="N10" s="9" t="inlineStr">
        <is>
          <t>Field email đang kiểm tra</t>
        </is>
      </c>
      <c r="O10" s="9" t="inlineStr">
        <is>
          <t>Không gửi mail nếu validation thất bại</t>
        </is>
      </c>
      <c r="P10" s="9" t="inlineStr">
        <is>
          <t>Tất cả mailbox test khi validation thất bại</t>
        </is>
      </c>
      <c r="Q10" s="9" t="inlineStr">
        <is>
          <t>Kiểm tra UI/API response, số bản ghi hiển thị và Gmail; queue/audit chỉ khi có quyền.</t>
        </is>
      </c>
      <c r="R10" s="9" t="inlineStr">
        <is>
          <t>—</t>
        </is>
      </c>
      <c r="S10" s="9" t="inlineStr">
        <is>
          <t>UI từ chối đúng chuỗi @example.test, báo “Email không hợp lệ”, giữ nguyên form; tổng tài khoản không đổi ở 86 và không phát sinh request submit.</t>
        </is>
      </c>
      <c r="T10" s="9" t="inlineStr"/>
      <c r="U10" s="11" t="inlineStr">
        <is>
          <t>Pass</t>
        </is>
      </c>
      <c r="V10" s="9" t="inlineStr"/>
      <c r="W10" s="9" t="inlineStr">
        <is>
          <t>QA Automation / 2026-08-12</t>
        </is>
      </c>
      <c r="X10" s="9" t="inlineStr">
        <is>
          <t>UI từ chối đúng chuỗi @example.test, báo “Email không hợp lệ”, giữ nguyên form; tổng tài khoản không đổi ở 86 và không phát sinh request submit.</t>
        </is>
      </c>
    </row>
    <row r="11">
      <c r="A11" s="9" t="n">
        <v>10</v>
      </c>
      <c r="B11" s="9" t="inlineStr">
        <is>
          <t>EM-TK-VAL-06</t>
        </is>
      </c>
      <c r="C11" s="9" t="inlineStr">
        <is>
          <t>FR-VIII-15 E2/format; FR-VIII-22 Inputs#14</t>
        </is>
      </c>
      <c r="D11" s="9" t="inlineStr">
        <is>
          <t>Email validation</t>
        </is>
      </c>
      <c r="E11" s="10" t="inlineStr">
        <is>
          <t>P0</t>
        </is>
      </c>
      <c r="F11" s="9" t="inlineStr">
        <is>
          <t>Negative/Edge</t>
        </is>
      </c>
      <c r="G11" s="9" t="inlineStr">
        <is>
          <t>Thiếu domain</t>
        </is>
      </c>
      <c r="H11" s="9" t="inlineStr">
        <is>
          <t>QTHT/CB NV/DN</t>
        </is>
      </c>
      <c r="I11" s="9" t="inlineStr">
        <is>
          <t>Form tạo tài khoản</t>
        </is>
      </c>
      <c r="J11" s="9" t="inlineStr">
        <is>
          <t>Đang ở form có trường email; ghi nhận số bản ghi hiển thị và inbox trước test.</t>
        </is>
      </c>
      <c r="K11" s="9" t="inlineStr">
        <is>
          <t>email = qa@</t>
        </is>
      </c>
      <c r="L11" s="9" t="inlineStr">
        <is>
          <t>1. Mở form.
2. Nhập đầy đủ các trường khác hợp lệ.
3. Nhập email theo Test Data.
4. Bấm Lưu/Đăng ký.
5. Reload màn hình, kiểm tra UI/API response và inbox.</t>
        </is>
      </c>
      <c r="M11" s="9" t="inlineStr">
        <is>
          <t>1-3. Form nhận đúng dữ liệu.
4. Từ chối, hiển thị lỗi định dạng email; không lưu.
5. Reload: số bản ghi hiển thị không đổi, form không đóng/reset, không tạo token/job/email.</t>
        </is>
      </c>
      <c r="N11" s="9" t="inlineStr">
        <is>
          <t>Field email đang kiểm tra</t>
        </is>
      </c>
      <c r="O11" s="9" t="inlineStr">
        <is>
          <t>Không gửi mail nếu validation thất bại</t>
        </is>
      </c>
      <c r="P11" s="9" t="inlineStr">
        <is>
          <t>Tất cả mailbox test khi validation thất bại</t>
        </is>
      </c>
      <c r="Q11" s="9" t="inlineStr">
        <is>
          <t>Kiểm tra UI/API response, số bản ghi hiển thị và Gmail; queue/audit chỉ khi có quyền.</t>
        </is>
      </c>
      <c r="R11" s="9" t="inlineStr">
        <is>
          <t>—</t>
        </is>
      </c>
      <c r="S11" s="9" t="inlineStr">
        <is>
          <t>UI từ chối đúng chuỗi qa@, báo “Email không hợp lệ”, giữ nguyên form; tổng tài khoản không đổi ở 86 và không phát sinh request submit.</t>
        </is>
      </c>
      <c r="T11" s="9" t="inlineStr"/>
      <c r="U11" s="11" t="inlineStr">
        <is>
          <t>Pass</t>
        </is>
      </c>
      <c r="V11" s="9" t="inlineStr"/>
      <c r="W11" s="9" t="inlineStr">
        <is>
          <t>QA Automation / 2026-08-12</t>
        </is>
      </c>
      <c r="X11" s="9" t="inlineStr">
        <is>
          <t>UI từ chối đúng chuỗi qa@, báo “Email không hợp lệ”, giữ nguyên form; tổng tài khoản không đổi ở 86 và không phát sinh request submit.</t>
        </is>
      </c>
    </row>
    <row r="12">
      <c r="A12" s="9" t="n">
        <v>11</v>
      </c>
      <c r="B12" s="9" t="inlineStr">
        <is>
          <t>EM-TK-VAL-07</t>
        </is>
      </c>
      <c r="C12" s="9" t="inlineStr">
        <is>
          <t>FR-VIII-15 E2/format; FR-VIII-22 Inputs#14</t>
        </is>
      </c>
      <c r="D12" s="9" t="inlineStr">
        <is>
          <t>Email validation</t>
        </is>
      </c>
      <c r="E12" s="10" t="inlineStr">
        <is>
          <t>P0</t>
        </is>
      </c>
      <c r="F12" s="9" t="inlineStr">
        <is>
          <t>Negative/Edge</t>
        </is>
      </c>
      <c r="G12" s="9" t="inlineStr">
        <is>
          <t>Có khoảng trắng giữa</t>
        </is>
      </c>
      <c r="H12" s="9" t="inlineStr">
        <is>
          <t>QTHT/CB NV/DN</t>
        </is>
      </c>
      <c r="I12" s="9" t="inlineStr">
        <is>
          <t>Form tạo tài khoản</t>
        </is>
      </c>
      <c r="J12" s="9" t="inlineStr">
        <is>
          <t>Đang ở form có trường email; ghi nhận số bản ghi hiển thị và inbox trước test.</t>
        </is>
      </c>
      <c r="K12" s="9" t="inlineStr">
        <is>
          <t>email = qa user@example.test</t>
        </is>
      </c>
      <c r="L12" s="9" t="inlineStr">
        <is>
          <t>1. Mở form.
2. Nhập đầy đủ các trường khác hợp lệ.
3. Nhập email theo Test Data.
4. Bấm Lưu/Đăng ký.
5. Reload màn hình, kiểm tra UI/API response và inbox.</t>
        </is>
      </c>
      <c r="M12" s="9" t="inlineStr">
        <is>
          <t>1-3. Form nhận đúng dữ liệu.
4. Từ chối, hiển thị lỗi định dạng email; không lưu.
5. Reload: số bản ghi hiển thị không đổi, form không đóng/reset, không tạo token/job/email.</t>
        </is>
      </c>
      <c r="N12" s="9" t="inlineStr">
        <is>
          <t>Field email đang kiểm tra</t>
        </is>
      </c>
      <c r="O12" s="9" t="inlineStr">
        <is>
          <t>Không gửi mail nếu validation thất bại</t>
        </is>
      </c>
      <c r="P12" s="9" t="inlineStr">
        <is>
          <t>Tất cả mailbox test khi validation thất bại</t>
        </is>
      </c>
      <c r="Q12" s="9" t="inlineStr">
        <is>
          <t>Kiểm tra UI/API response, số bản ghi hiển thị và Gmail; queue/audit chỉ khi có quyền.</t>
        </is>
      </c>
      <c r="R12" s="9" t="inlineStr">
        <is>
          <t>—</t>
        </is>
      </c>
      <c r="S12" s="9" t="inlineStr">
        <is>
          <t>UI giữ nguyên đúng chuỗi có khoảng trắng, báo “Email không hợp lệ”, giữ form; tổng tài khoản không đổi ở 86 và không phát sinh request submit.</t>
        </is>
      </c>
      <c r="T12" s="9" t="inlineStr"/>
      <c r="U12" s="11" t="inlineStr">
        <is>
          <t>Pass</t>
        </is>
      </c>
      <c r="V12" s="9" t="inlineStr"/>
      <c r="W12" s="9" t="inlineStr">
        <is>
          <t>QA Automation / 2026-08-12</t>
        </is>
      </c>
      <c r="X12" s="9" t="inlineStr">
        <is>
          <t>UI giữ nguyên đúng chuỗi có khoảng trắng, báo “Email không hợp lệ”, giữ form; tổng tài khoản không đổi ở 86 và không phát sinh request submit.</t>
        </is>
      </c>
    </row>
    <row r="13">
      <c r="A13" s="9" t="n">
        <v>12</v>
      </c>
      <c r="B13" s="9" t="inlineStr">
        <is>
          <t>EM-TK-VAL-08</t>
        </is>
      </c>
      <c r="C13" s="9" t="inlineStr">
        <is>
          <t>FR-VIII-15 E2/format; FR-VIII-22 Inputs#14</t>
        </is>
      </c>
      <c r="D13" s="9" t="inlineStr">
        <is>
          <t>Email validation</t>
        </is>
      </c>
      <c r="E13" s="10" t="inlineStr">
        <is>
          <t>P0</t>
        </is>
      </c>
      <c r="F13" s="9" t="inlineStr">
        <is>
          <t>Negative/Edge</t>
        </is>
      </c>
      <c r="G13" s="9" t="inlineStr">
        <is>
          <t>Domain có hai dấu chấm liên tiếp</t>
        </is>
      </c>
      <c r="H13" s="9" t="inlineStr">
        <is>
          <t>QTHT/CB NV/DN</t>
        </is>
      </c>
      <c r="I13" s="9" t="inlineStr">
        <is>
          <t>Form tạo tài khoản</t>
        </is>
      </c>
      <c r="J13" s="9" t="inlineStr">
        <is>
          <t>Đang ở form có trường email; ghi nhận số bản ghi hiển thị và inbox trước test.</t>
        </is>
      </c>
      <c r="K13" s="9" t="inlineStr">
        <is>
          <t>email = qa@example..test</t>
        </is>
      </c>
      <c r="L13" s="9" t="inlineStr">
        <is>
          <t>1. Mở form.
2. Nhập đầy đủ các trường khác hợp lệ.
3. Nhập email theo Test Data.
4. Bấm Lưu/Đăng ký.
5. Reload màn hình, kiểm tra UI/API response và inbox.</t>
        </is>
      </c>
      <c r="M13" s="9" t="inlineStr">
        <is>
          <t>1-3. Form nhận đúng dữ liệu.
4. Từ chối, hiển thị lỗi định dạng email; không lưu.
5. Reload: số bản ghi hiển thị không đổi, form không đóng/reset, không tạo token/job/email.</t>
        </is>
      </c>
      <c r="N13" s="9" t="inlineStr">
        <is>
          <t>Field email đang kiểm tra</t>
        </is>
      </c>
      <c r="O13" s="9" t="inlineStr">
        <is>
          <t>Không gửi mail nếu validation thất bại</t>
        </is>
      </c>
      <c r="P13" s="9" t="inlineStr">
        <is>
          <t>Tất cả mailbox test khi validation thất bại</t>
        </is>
      </c>
      <c r="Q13" s="9" t="inlineStr">
        <is>
          <t>Kiểm tra UI/API response, số bản ghi hiển thị và Gmail; queue/audit chỉ khi có quyền.</t>
        </is>
      </c>
      <c r="R13" s="9" t="inlineStr">
        <is>
          <t>—</t>
        </is>
      </c>
      <c r="S13" s="9" t="inlineStr">
        <is>
          <t>UI giữ nguyên chuỗi qa@example..test, báo “Email không hợp lệ”, giữ form; tổng tài khoản không đổi ở 86 và không phát sinh request submit.</t>
        </is>
      </c>
      <c r="T13" s="9" t="inlineStr"/>
      <c r="U13" s="11" t="inlineStr">
        <is>
          <t>Pass</t>
        </is>
      </c>
      <c r="V13" s="9" t="inlineStr"/>
      <c r="W13" s="9" t="inlineStr">
        <is>
          <t>QA Automation / 2026-08-12</t>
        </is>
      </c>
      <c r="X13" s="9" t="inlineStr">
        <is>
          <t>UI giữ nguyên chuỗi qa@example..test, báo “Email không hợp lệ”, giữ form; tổng tài khoản không đổi ở 86 và không phát sinh request submit.</t>
        </is>
      </c>
    </row>
    <row r="14">
      <c r="A14" s="9" t="n">
        <v>13</v>
      </c>
      <c r="B14" s="9" t="inlineStr">
        <is>
          <t>EM-TK-VAL-09</t>
        </is>
      </c>
      <c r="C14" s="9" t="inlineStr">
        <is>
          <t>TAI_KHOAN.email UNIQUE; FR-VIII-15 E2 ERR-TK-02 / srs-fr-10:737</t>
        </is>
      </c>
      <c r="D14" s="9" t="inlineStr">
        <is>
          <t>Email validation</t>
        </is>
      </c>
      <c r="E14" s="10" t="inlineStr">
        <is>
          <t>P0</t>
        </is>
      </c>
      <c r="F14" s="9" t="inlineStr">
        <is>
          <t>Negative/Edge</t>
        </is>
      </c>
      <c r="G14" s="9" t="inlineStr">
        <is>
          <t>Email trùng tài khoản cùng vai trò</t>
        </is>
      </c>
      <c r="H14" s="9" t="inlineStr">
        <is>
          <t>QTHT/CB NV/DN</t>
        </is>
      </c>
      <c r="I14" s="9" t="inlineStr">
        <is>
          <t>Quản trị &gt; Tài khoản &gt; Thêm mới</t>
        </is>
      </c>
      <c r="J14" s="9" t="inlineStr">
        <is>
          <t>Đang ở form có trường email; ghi nhận số bản ghi hiển thị và inbox trước test.</t>
        </is>
      </c>
      <c r="K14" s="9" t="inlineStr">
        <is>
          <t>Email đã thuộc CB_A</t>
        </is>
      </c>
      <c r="L14" s="9" t="inlineStr">
        <is>
          <t>1. Mở form.
2. Nhập đầy đủ các trường khác hợp lệ.
3. Nhập email theo Test Data.
4. Bấm Lưu/Đăng ký.
5. Reload màn hình, kiểm tra UI/API response và inbox.</t>
        </is>
      </c>
      <c r="M14" s="9" t="inlineStr">
        <is>
          <t>1-3. Form nhận đúng dữ liệu.
4. Từ chối với ERR-TK-02: "Email '{email}' đã được sử dụng".
5. Reload: số bản ghi hiển thị không đổi, form không đóng/reset, không tạo token/job/email.</t>
        </is>
      </c>
      <c r="N14" s="9" t="inlineStr">
        <is>
          <t>Field email đang kiểm tra</t>
        </is>
      </c>
      <c r="O14" s="9" t="inlineStr">
        <is>
          <t>Không gửi mail nếu validation thất bại</t>
        </is>
      </c>
      <c r="P14" s="9" t="inlineStr">
        <is>
          <t>Tất cả mailbox test khi validation thất bại</t>
        </is>
      </c>
      <c r="Q14" s="9" t="inlineStr">
        <is>
          <t>Kiểm tra UI/API response, số bản ghi hiển thị và Gmail; queue/audit chỉ khi có quyền.</t>
        </is>
      </c>
      <c r="R14" s="9" t="inlineStr">
        <is>
          <t>—</t>
        </is>
      </c>
      <c r="S14" s="9" t="inlineStr">
        <is>
          <t>BUG-EM-TK-004: POST 409 trả ERR-VAL-VIII-113-02/“Email đã tồn tại trong hệ thống” thay vì ERR-TK-02/“Email '{email}' đã được sử dụng”; UI không hiển thị lỗi. Evidence: bug-report/bug-report-em-tk.md</t>
        </is>
      </c>
      <c r="T14" s="9" t="inlineStr"/>
      <c r="U14" s="11" t="inlineStr">
        <is>
          <t>Fail</t>
        </is>
      </c>
      <c r="V14" s="9" t="inlineStr">
        <is>
          <t>BUG-EM-TK-004</t>
        </is>
      </c>
      <c r="W14" s="9" t="inlineStr">
        <is>
          <t>QA Automation / 2026-08-12</t>
        </is>
      </c>
      <c r="X14" s="9" t="inlineStr">
        <is>
          <t>BUG-EM-TK-004: POST 409 trả ERR-VAL-VIII-113-02/“Email đã tồn tại trong hệ thống” thay vì ERR-TK-02/“Email '{email}' đã được sử dụng”; UI không hiển thị lỗi. Evidence: bug-report/bug-report-em-tk.md</t>
        </is>
      </c>
    </row>
    <row r="15">
      <c r="A15" s="9" t="n">
        <v>14</v>
      </c>
      <c r="B15" s="9" t="inlineStr">
        <is>
          <t>EM-TK-VAL-10</t>
        </is>
      </c>
      <c r="C15" s="9" t="inlineStr">
        <is>
          <t>TAI_KHOAN.email UNIQUE; FR-VIII-22 E3 ERR-REG-02</t>
        </is>
      </c>
      <c r="D15" s="9" t="inlineStr">
        <is>
          <t>Email validation</t>
        </is>
      </c>
      <c r="E15" s="10" t="inlineStr">
        <is>
          <t>P0</t>
        </is>
      </c>
      <c r="F15" s="9" t="inlineStr">
        <is>
          <t>Negative/Edge</t>
        </is>
      </c>
      <c r="G15" s="9" t="inlineStr">
        <is>
          <t>Email trùng tài khoản khác vai trò</t>
        </is>
      </c>
      <c r="H15" s="9" t="inlineStr">
        <is>
          <t>QTHT/CB NV/DN</t>
        </is>
      </c>
      <c r="I15" s="9" t="inlineStr">
        <is>
          <t>Đăng ký DN</t>
        </is>
      </c>
      <c r="J15" s="9" t="inlineStr">
        <is>
          <t>Đang ở form có trường email; ghi nhận số bản ghi hiển thị và inbox trước test.</t>
        </is>
      </c>
      <c r="K15" s="9" t="inlineStr">
        <is>
          <t>Email đã thuộc TVV nhưng MST DN mới</t>
        </is>
      </c>
      <c r="L15" s="9" t="inlineStr">
        <is>
          <t>1. Mở form.
2. Nhập đầy đủ các trường khác hợp lệ.
3. Nhập email theo Test Data.
4. Bấm Lưu/Đăng ký.
5. Reload màn hình, kiểm tra UI/API response và inbox.</t>
        </is>
      </c>
      <c r="M15" s="9" t="inlineStr">
        <is>
          <t>1-3. Form nhận đúng dữ liệu.
4. Từ chối với ERR-REG-02: "Email đã được sử dụng".
5. Reload: số bản ghi hiển thị không đổi, form không đóng/reset, không tạo token/job/email.</t>
        </is>
      </c>
      <c r="N15" s="9" t="inlineStr">
        <is>
          <t>Field email đang kiểm tra</t>
        </is>
      </c>
      <c r="O15" s="9" t="inlineStr">
        <is>
          <t>Không gửi mail nếu validation thất bại</t>
        </is>
      </c>
      <c r="P15" s="9" t="inlineStr">
        <is>
          <t>Tất cả mailbox test khi validation thất bại</t>
        </is>
      </c>
      <c r="Q15" s="9" t="inlineStr">
        <is>
          <t>Kiểm tra UI/API response, số bản ghi hiển thị và Gmail; queue/audit chỉ khi có quyền.</t>
        </is>
      </c>
      <c r="R15" s="9" t="inlineStr">
        <is>
          <t>—</t>
        </is>
      </c>
      <c r="S15" s="9" t="inlineStr">
        <is>
          <t>DN dùng MST mới 0312082697 và email của TVV: POST trả 409 ERR-REG-02, UI hiển thị đúng “Email đã được sử dụng”, form giữ nguyên; Gmail thật không có thư mới tới alias trong 1 giờ gần nhất.</t>
        </is>
      </c>
      <c r="T15" s="9" t="inlineStr"/>
      <c r="U15" s="11" t="inlineStr">
        <is>
          <t>Pass</t>
        </is>
      </c>
      <c r="V15" s="9" t="inlineStr"/>
      <c r="W15" s="9" t="inlineStr">
        <is>
          <t>QA Automation / 2026-08-12</t>
        </is>
      </c>
      <c r="X15" s="9" t="inlineStr">
        <is>
          <t>DN dùng MST mới 0312082697 và email của TVV: POST trả 409 ERR-REG-02, UI hiển thị đúng “Email đã được sử dụng”, form giữ nguyên; Gmail thật không có thư mới tới alias trong 1 giờ gần nhất.</t>
        </is>
      </c>
    </row>
    <row r="16">
      <c r="A16" s="9" t="n">
        <v>15</v>
      </c>
      <c r="B16" s="9" t="inlineStr">
        <is>
          <t>EM-TK-VAL-13</t>
        </is>
      </c>
      <c r="C16" s="9" t="inlineStr">
        <is>
          <t>[NGOÀI SRS] §3.5 Security; email header injection</t>
        </is>
      </c>
      <c r="D16" s="9" t="inlineStr">
        <is>
          <t>Email validation</t>
        </is>
      </c>
      <c r="E16" s="10" t="inlineStr">
        <is>
          <t>P0</t>
        </is>
      </c>
      <c r="F16" s="9" t="inlineStr">
        <is>
          <t>Negative/Edge</t>
        </is>
      </c>
      <c r="G16" s="9" t="inlineStr">
        <is>
          <t>Chống chèn header email</t>
        </is>
      </c>
      <c r="H16" s="9" t="inlineStr">
        <is>
          <t>QTHT/CB NV/DN</t>
        </is>
      </c>
      <c r="I16" s="9" t="inlineStr">
        <is>
          <t>Form tạo tài khoản</t>
        </is>
      </c>
      <c r="J16" s="9" t="inlineStr">
        <is>
          <t>Đang ở form có trường email; ghi nhận số bản ghi hiển thị và inbox trước test.</t>
        </is>
      </c>
      <c r="K16" s="9" t="inlineStr">
        <is>
          <t>diupt01+uat-em-tk-val-13@gmail.com\r\nBcc:diupt01+attacker@gmail.com</t>
        </is>
      </c>
      <c r="L16" s="9" t="inlineStr">
        <is>
          <t>1. Mở form.
2. Nhập đầy đủ các trường khác hợp lệ.
3. Nhập email theo Test Data.
4. Bấm Lưu/Đăng ký.
5. Reload màn hình, kiểm tra UI/API response và inbox.</t>
        </is>
      </c>
      <c r="M16" s="9" t="inlineStr">
        <is>
          <t>1-3. Form nhận đúng dữ liệu.
4. Từ chối dữ liệu; tuyệt đối không sinh thư tới MB_ATTACKER.
5. Reload: số bản ghi hiển thị không đổi, form không đóng/reset, không tạo token/job/email.</t>
        </is>
      </c>
      <c r="N16" s="9" t="inlineStr">
        <is>
          <t>Field email đang kiểm tra</t>
        </is>
      </c>
      <c r="O16" s="9" t="inlineStr">
        <is>
          <t>Không gửi mail nếu validation thất bại</t>
        </is>
      </c>
      <c r="P16" s="9" t="inlineStr">
        <is>
          <t>Tất cả mailbox test khi validation thất bại</t>
        </is>
      </c>
      <c r="Q16" s="9" t="inlineStr">
        <is>
          <t>Kiểm tra UI/API response, số bản ghi hiển thị và Gmail; queue/audit chỉ khi có quyền.</t>
        </is>
      </c>
      <c r="R16" s="9" t="inlineStr">
        <is>
          <t>—</t>
        </is>
      </c>
      <c r="S16" s="9" t="inlineStr">
        <is>
          <t>[Ngoài SRS] Chrome loại CR/LF khỏi input; chuỗi còn lại bị từ chối với “Email không hợp lệ”, form và tổng 86 giữ nguyên, không phát sinh request submit. Gmail thật không có thư mới tới diupt01+uat-em-tk-val-13@gmail.com hoặc diupt01+attacker@gmail.com trong 1 giờ gần nhất.</t>
        </is>
      </c>
      <c r="T16" s="9" t="inlineStr"/>
      <c r="U16" s="11" t="inlineStr">
        <is>
          <t>Pass</t>
        </is>
      </c>
      <c r="V16" s="9" t="inlineStr"/>
      <c r="W16" s="9" t="inlineStr">
        <is>
          <t>QA Automation / 2026-08-12</t>
        </is>
      </c>
      <c r="X16" s="9" t="inlineStr">
        <is>
          <t>[Ngoài SRS] Chrome loại CR/LF khỏi input; chuỗi còn lại bị từ chối với “Email không hợp lệ”, form và tổng 86 giữ nguyên, không phát sinh request submit. Gmail thật không có thư mới tới diupt01+uat-em-tk-val-13@gmail.com hoặc diupt01+attacker@gmail.com trong 1 giờ gần nhất.</t>
        </is>
      </c>
    </row>
    <row r="17">
      <c r="A17" s="9" t="n">
        <v>16</v>
      </c>
      <c r="B17" s="9" t="inlineStr">
        <is>
          <t>EM-TK-ACT-01</t>
        </is>
      </c>
      <c r="C17" s="9" t="inlineStr">
        <is>
          <t>FR-VIII-15 / SM-TAIKHOAN</t>
        </is>
      </c>
      <c r="D17" s="9" t="inlineStr">
        <is>
          <t>Cấp/kích hoạt tài khoản</t>
        </is>
      </c>
      <c r="E17" s="10" t="inlineStr">
        <is>
          <t>P0</t>
        </is>
      </c>
      <c r="F17" s="9" t="inlineStr">
        <is>
          <t>Workflow</t>
        </is>
      </c>
      <c r="G17" s="9" t="inlineStr">
        <is>
          <t>QTHT tạo tài khoản cán bộ và gửi mail kích hoạt</t>
        </is>
      </c>
      <c r="H17" s="9" t="inlineStr">
        <is>
          <t>QTHT</t>
        </is>
      </c>
      <c r="I17" s="9" t="inlineStr">
        <is>
          <t>Quản trị &gt; Tài khoản &gt; Thêm mới</t>
        </is>
      </c>
      <c r="J17" s="9" t="inlineStr">
        <is>
          <t>Username/email mới; đơn vị và vai trò tồn tại.</t>
        </is>
      </c>
      <c r="K17" s="9" t="inlineStr">
        <is>
          <t>cb_email_01 / diupt01+uat-em-tk-act-01@gmail.com</t>
        </is>
      </c>
      <c r="L17" s="9" t="inlineStr">
        <is>
          <t>1. Dọn inbox; ghi count TAI_KHOAN/queue.
2. Điền form, không có field mật khẩu.
3. Bấm Lưu một lần.
4. Mở inbox email mới.
5. Kiểm tra UI/API/role/audit.</t>
        </is>
      </c>
      <c r="M17" s="9" t="inlineStr">
        <is>
          <t>1. Baseline sạch.
2. Form hợp lệ, admin không biết/đặt mật khẩu.
3. Tạo 1 TAI_KHOAN trạng thái CHO_KICH_HOAT và gán sẵn role/đơn vị.
4. Nhận đúng 1 email có link đặt mật khẩu lần đầu.
5. Có token/audit; chưa đăng nhập được trước kích hoạt.</t>
        </is>
      </c>
      <c r="N17" s="9" t="inlineStr">
        <is>
          <t>TAI_KHOAN.email</t>
        </is>
      </c>
      <c r="O17" s="9" t="inlineStr">
        <is>
          <t>To: diupt01+uat-em-tk-act-01@gmail.com</t>
        </is>
      </c>
      <c r="P17" s="9" t="inlineStr">
        <is>
          <t>Mailbox khác vai trò; email cũ</t>
        </is>
      </c>
      <c r="Q17" s="9" t="inlineStr">
        <is>
          <t>Kiểm tra TAI_KHOAN.trang_thai, role/link entity, token, email queue/SMTP message-id, AUDIT_LOG; chỉ một thư.</t>
        </is>
      </c>
      <c r="R17" s="9" t="inlineStr">
        <is>
          <t>Dùng fixture riêng; sau test khóa/vô hiệu hóa account nếu cần.</t>
        </is>
      </c>
      <c r="S17" s="9" t="inlineStr"/>
      <c r="T17" s="9" t="inlineStr"/>
      <c r="U17" s="12" t="inlineStr">
        <is>
          <t>Not Run</t>
        </is>
      </c>
      <c r="V17" s="9" t="inlineStr"/>
      <c r="W17" s="9" t="inlineStr"/>
      <c r="X17" s="9" t="inlineStr"/>
    </row>
    <row r="18">
      <c r="A18" s="9" t="n">
        <v>17</v>
      </c>
      <c r="B18" s="9" t="inlineStr">
        <is>
          <t>EM-TK-ACT-02</t>
        </is>
      </c>
      <c r="C18" s="9" t="inlineStr">
        <is>
          <t>FR-IV-07 / FR-VIII-15 / srs-fr-04:598-636</t>
        </is>
      </c>
      <c r="D18" s="9" t="inlineStr">
        <is>
          <t>Cấp/kích hoạt tài khoản</t>
        </is>
      </c>
      <c r="E18" s="10" t="inlineStr">
        <is>
          <t>P0</t>
        </is>
      </c>
      <c r="F18" s="9" t="inlineStr">
        <is>
          <t>Workflow</t>
        </is>
      </c>
      <c r="G18" s="9" t="inlineStr">
        <is>
          <t>Duyệt TVV tự cấp TK và gửi mail kích hoạt</t>
        </is>
      </c>
      <c r="H18" s="9" t="inlineStr">
        <is>
          <t>CB Phê duyệt cùng đơn vị</t>
        </is>
      </c>
      <c r="I18" s="9" t="inlineStr">
        <is>
          <t>Hồ sơ TVV &gt; Phê duyệt</t>
        </is>
      </c>
      <c r="J18" s="9" t="inlineStr">
        <is>
          <t>TVV ở CHO_PHE_DUYET, email mới, hồ sơ hợp lệ.</t>
        </is>
      </c>
      <c r="K18" s="9" t="inlineStr">
        <is>
          <t>diupt01+uat-em-tk-act-02@gmail.com; số quyết định hợp lệ</t>
        </is>
      </c>
      <c r="L18" s="9" t="inlineStr">
        <is>
          <t>1. Dọn inbox/ghi baseline.
2. Mở hồ sơ TVV chờ duyệt.
3. Nhập số quyết định và phê duyệt.
4. Kiểm tra inbox TVV.
5. Kiểm tra TVV, TK, role, link và audit.</t>
        </is>
      </c>
      <c r="M18" s="9" t="inlineStr">
        <is>
          <t>1. Baseline sạch.
2. Đúng hồ sơ/quyền.
3. TVV và TK chuyển CHO_KICH_HOAT; tạo username từ local-part, role TVV/CG và đơn vị.
4. Đúng 1 mail kích hoạt có mã số TVV/link.
5. Liên kết 1:1 và audit đúng.</t>
        </is>
      </c>
      <c r="N18" s="9" t="inlineStr">
        <is>
          <t>TU_VAN_VIEN.email được copy sang TAI_KHOAN.email</t>
        </is>
      </c>
      <c r="O18" s="9" t="inlineStr">
        <is>
          <t>To: diupt01+uat-em-tk-act-02@gmail.com</t>
        </is>
      </c>
      <c r="P18" s="9" t="inlineStr">
        <is>
          <t>Mailbox khác vai trò; email cũ</t>
        </is>
      </c>
      <c r="Q18" s="9" t="inlineStr">
        <is>
          <t>Kiểm tra TAI_KHOAN.trang_thai, role/link entity, token, email queue/SMTP message-id, AUDIT_LOG; chỉ một thư.</t>
        </is>
      </c>
      <c r="R18" s="9" t="inlineStr">
        <is>
          <t>Dùng fixture riêng; sau test khóa/vô hiệu hóa account nếu cần.</t>
        </is>
      </c>
      <c r="S18" s="9" t="inlineStr"/>
      <c r="T18" s="9" t="inlineStr"/>
      <c r="U18" s="12" t="inlineStr">
        <is>
          <t>Not Run</t>
        </is>
      </c>
      <c r="V18" s="9" t="inlineStr"/>
      <c r="W18" s="9" t="inlineStr"/>
      <c r="X18" s="9" t="inlineStr"/>
    </row>
    <row r="19">
      <c r="A19" s="9" t="n">
        <v>18</v>
      </c>
      <c r="B19" s="9" t="inlineStr">
        <is>
          <t>EM-TK-ACT-03</t>
        </is>
      </c>
      <c r="C19" s="9" t="inlineStr">
        <is>
          <t>FR-IV-NHT-01 / srs-fr-04:1214-1266</t>
        </is>
      </c>
      <c r="D19" s="9" t="inlineStr">
        <is>
          <t>Cấp/kích hoạt tài khoản</t>
        </is>
      </c>
      <c r="E19" s="10" t="inlineStr">
        <is>
          <t>P0</t>
        </is>
      </c>
      <c r="F19" s="9" t="inlineStr">
        <is>
          <t>Workflow</t>
        </is>
      </c>
      <c r="G19" s="9" t="inlineStr">
        <is>
          <t>Tạo NHT gửi mail kích hoạt</t>
        </is>
      </c>
      <c r="H19" s="9" t="inlineStr">
        <is>
          <t>QTHT/CB NV đúng đơn vị</t>
        </is>
      </c>
      <c r="I19" s="9" t="inlineStr">
        <is>
          <t>Quản lý Người hỗ trợ &gt; Thêm mới</t>
        </is>
      </c>
      <c r="J19" s="9" t="inlineStr">
        <is>
          <t>Email/username mới; đơn vị và ≥1 lĩnh vực hợp lệ.</t>
        </is>
      </c>
      <c r="K19" s="9" t="inlineStr">
        <is>
          <t>diupt01+uat-em-tk-act-03@gmail.com</t>
        </is>
      </c>
      <c r="L19" s="9" t="inlineStr">
        <is>
          <t>1. Dọn inbox/ghi baseline.
2. Điền đủ form NHT.
3. Lưu.
4. Kiểm tra inbox.
5. Kiểm tra NGUOI_HO_TRO, TAI_KHOAN, role và audit.</t>
        </is>
      </c>
      <c r="M19" s="9" t="inlineStr">
        <is>
          <t>1-2. Dữ liệu hợp lệ.
3. Tạo đúng 1 NHT + 1 TK ở CHO_KICH_HOAT, gán role NHT.
4. Nhận đúng 1 mail link đặt mật khẩu lần đầu.
5. Entity liên kết, đơn vị/lĩnh vực đúng.</t>
        </is>
      </c>
      <c r="N19" s="9" t="inlineStr">
        <is>
          <t>NGUOI_HO_TRO/TAI_KHOAN.email</t>
        </is>
      </c>
      <c r="O19" s="9" t="inlineStr">
        <is>
          <t>To: diupt01+uat-em-tk-act-03@gmail.com</t>
        </is>
      </c>
      <c r="P19" s="9" t="inlineStr">
        <is>
          <t>Mailbox khác vai trò; email cũ</t>
        </is>
      </c>
      <c r="Q19" s="9" t="inlineStr">
        <is>
          <t>Kiểm tra TAI_KHOAN.trang_thai, role/link entity, token, email queue/SMTP message-id, AUDIT_LOG; chỉ một thư.</t>
        </is>
      </c>
      <c r="R19" s="9" t="inlineStr">
        <is>
          <t>Dùng fixture riêng; sau test khóa/vô hiệu hóa account nếu cần.</t>
        </is>
      </c>
      <c r="S19" s="9" t="inlineStr"/>
      <c r="T19" s="9" t="inlineStr"/>
      <c r="U19" s="12" t="inlineStr">
        <is>
          <t>Not Run</t>
        </is>
      </c>
      <c r="V19" s="9" t="inlineStr"/>
      <c r="W19" s="9" t="inlineStr"/>
      <c r="X19" s="9" t="inlineStr"/>
    </row>
    <row r="20">
      <c r="A20" s="9" t="n">
        <v>19</v>
      </c>
      <c r="B20" s="9" t="inlineStr">
        <is>
          <t>EM-TK-ACT-04</t>
        </is>
      </c>
      <c r="C20" s="9" t="inlineStr">
        <is>
          <t>FR-VIII-22 Processing#10,#12</t>
        </is>
      </c>
      <c r="D20" s="9" t="inlineStr">
        <is>
          <t>Cấp/kích hoạt tài khoản</t>
        </is>
      </c>
      <c r="E20" s="10" t="inlineStr">
        <is>
          <t>P0</t>
        </is>
      </c>
      <c r="F20" s="9" t="inlineStr">
        <is>
          <t>Workflow</t>
        </is>
      </c>
      <c r="G20" s="9" t="inlineStr">
        <is>
          <t>DN tự đăng ký nhận link chỉ kích hoạt</t>
        </is>
      </c>
      <c r="H20" s="9" t="inlineStr">
        <is>
          <t>DN chưa có TK</t>
        </is>
      </c>
      <c r="I20" s="9" t="inlineStr">
        <is>
          <t>Đăng nhập &gt; Đăng ký DN</t>
        </is>
      </c>
      <c r="J20" s="9" t="inlineStr">
        <is>
          <t>MST/email mới; toàn bộ field bắt buộc hợp lệ.</t>
        </is>
      </c>
      <c r="K20" s="9" t="inlineStr">
        <is>
          <t>MST 0100000001; diupt01+uat-em-tk-act-04@gmail.com; mật khẩu Test@12345</t>
        </is>
      </c>
      <c r="L20" s="9" t="inlineStr">
        <is>
          <t>1. Dọn inbox/ghi baseline.
2. Điền form và mật khẩu.
3. Đăng ký.
4. Mở email và bấm link.
5. Quan sát trang sau link; đăng nhập bằng MST và mật khẩu đã đăng ký.</t>
        </is>
      </c>
      <c r="M20" s="9" t="inlineStr">
        <is>
          <t>1. Baseline sạch.
2. Form hợp lệ.
3. TK CHO_KICH_HOAT + DN được tạo, role DN gán sẵn.
4. Link hợp lệ chuyển TK HOAT_DONG và bị hủy.
5. Link KHÔNG hỏi đặt lại mật khẩu; đăng nhập bằng mật khẩu ban đầu thành công.</t>
        </is>
      </c>
      <c r="N20" s="9" t="inlineStr">
        <is>
          <t>TAI_KHOAN.email</t>
        </is>
      </c>
      <c r="O20" s="9" t="inlineStr">
        <is>
          <t>To: diupt01+uat-em-tk-act-04@gmail.com</t>
        </is>
      </c>
      <c r="P20" s="9" t="inlineStr">
        <is>
          <t>Mailbox khác vai trò; email cũ</t>
        </is>
      </c>
      <c r="Q20" s="9" t="inlineStr">
        <is>
          <t>Kiểm tra TAI_KHOAN.trang_thai, role/link entity, token, email queue/SMTP message-id, AUDIT_LOG; chỉ một thư.</t>
        </is>
      </c>
      <c r="R20" s="9" t="inlineStr">
        <is>
          <t>Dùng fixture riêng; sau test khóa/vô hiệu hóa account nếu cần.</t>
        </is>
      </c>
      <c r="S20" s="9" t="inlineStr"/>
      <c r="T20" s="9" t="inlineStr"/>
      <c r="U20" s="12" t="inlineStr">
        <is>
          <t>Not Run</t>
        </is>
      </c>
      <c r="V20" s="9" t="inlineStr"/>
      <c r="W20" s="9" t="inlineStr"/>
      <c r="X20" s="9" t="inlineStr"/>
    </row>
    <row r="21">
      <c r="A21" s="9" t="n">
        <v>20</v>
      </c>
      <c r="B21" s="9" t="inlineStr">
        <is>
          <t>EM-TK-ACT-05</t>
        </is>
      </c>
      <c r="C21" s="9" t="inlineStr">
        <is>
          <t>FR-VIII-26 Processing#7-14</t>
        </is>
      </c>
      <c r="D21" s="9" t="inlineStr">
        <is>
          <t>Cấp/kích hoạt tài khoản</t>
        </is>
      </c>
      <c r="E21" s="10" t="inlineStr">
        <is>
          <t>P0</t>
        </is>
      </c>
      <c r="F21" s="9" t="inlineStr">
        <is>
          <t>Workflow</t>
        </is>
      </c>
      <c r="G21" s="9" t="inlineStr">
        <is>
          <t>TVV/NHT/CB kích hoạt lần đầu kèm đặt mật khẩu</t>
        </is>
      </c>
      <c r="H21" s="9" t="inlineStr">
        <is>
          <t>TVV/NHT/CB</t>
        </is>
      </c>
      <c r="I21" s="9" t="inlineStr">
        <is>
          <t>Link kích hoạt trong email</t>
        </is>
      </c>
      <c r="J21" s="9" t="inlineStr">
        <is>
          <t>TK CHO_KICH_HOAT chưa có mật khẩu; token hợp lệ chưa dùng.</t>
        </is>
      </c>
      <c r="K21" s="9" t="inlineStr">
        <is>
          <t>Mật khẩu mới Test@12345</t>
        </is>
      </c>
      <c r="L21" s="9" t="inlineStr">
        <is>
          <t>1. Bấm link trong mail.
2. Kiểm tra form đặt mật khẩu.
3. Nhập mật khẩu + xác nhận.
4. Submit.
5. Đăng nhập và kiểm tra entity liên quan.</t>
        </is>
      </c>
      <c r="M21" s="9" t="inlineStr">
        <is>
          <t>1. Link mở được.
2. Có 2 field mật khẩu, không yêu cầu lại email.
3-4. Mật khẩu đủ mạnh được hash; token bị hủy; TK HOAT_DONG.
5. Đăng nhập được; TVV/NHT liên quan đồng thời HOAT_DONG.</t>
        </is>
      </c>
      <c r="N21" s="9" t="inlineStr">
        <is>
          <t>Link đã gửi tới TAI_KHOAN.email</t>
        </is>
      </c>
      <c r="O21" s="9" t="inlineStr">
        <is>
          <t>Không phát sinh email mới</t>
        </is>
      </c>
      <c r="P21" s="9" t="inlineStr">
        <is>
          <t>Mailbox khác vai trò; email cũ</t>
        </is>
      </c>
      <c r="Q21" s="9" t="inlineStr">
        <is>
          <t>Kiểm tra TAI_KHOAN.trang_thai, role/link entity, token, email queue/SMTP message-id, AUDIT_LOG; chỉ một thư.</t>
        </is>
      </c>
      <c r="R21" s="9" t="inlineStr">
        <is>
          <t>Dùng fixture riêng; sau test khóa/vô hiệu hóa account nếu cần.</t>
        </is>
      </c>
      <c r="S21" s="9" t="inlineStr"/>
      <c r="T21" s="9" t="inlineStr"/>
      <c r="U21" s="12" t="inlineStr">
        <is>
          <t>Not Run</t>
        </is>
      </c>
      <c r="V21" s="9" t="inlineStr"/>
      <c r="W21" s="9" t="inlineStr"/>
      <c r="X21" s="9" t="inlineStr"/>
    </row>
    <row r="22">
      <c r="A22" s="9" t="n">
        <v>21</v>
      </c>
      <c r="B22" s="9" t="inlineStr">
        <is>
          <t>EM-TK-ACT-06</t>
        </is>
      </c>
      <c r="C22" s="9" t="inlineStr">
        <is>
          <t>FR-VIII-22 E8 ERR-REG-ACT-01</t>
        </is>
      </c>
      <c r="D22" s="9" t="inlineStr">
        <is>
          <t>Cấp/kích hoạt tài khoản</t>
        </is>
      </c>
      <c r="E22" s="10" t="inlineStr">
        <is>
          <t>P0</t>
        </is>
      </c>
      <c r="F22" s="9" t="inlineStr">
        <is>
          <t>Workflow</t>
        </is>
      </c>
      <c r="G22" s="9" t="inlineStr">
        <is>
          <t>Link kích hoạt DN sai/không tồn tại</t>
        </is>
      </c>
      <c r="H22" s="9" t="inlineStr">
        <is>
          <t>User nhận mail</t>
        </is>
      </c>
      <c r="I22" s="9" t="inlineStr">
        <is>
          <t>URL token</t>
        </is>
      </c>
      <c r="J22" s="9" t="inlineStr">
        <is>
          <t>Có fixture đúng loại token.</t>
        </is>
      </c>
      <c r="K22" s="9" t="inlineStr">
        <is>
          <t>token sửa 1 ký tự</t>
        </is>
      </c>
      <c r="L22" s="9" t="inlineStr">
        <is>
          <t>1. Ghi trạng thái/mật khẩu hash hiện tại.
2. Mở URL chứa token theo Test Data.
3. Thử submit nếu form xuất hiện.
4. Kiểm tra UI và UI/API.</t>
        </is>
      </c>
      <c r="M22" s="9" t="inlineStr">
        <is>
          <t>1. Có baseline.
2-3. Hiển thị nguyên văn: 'Liên kết kích hoạt không hợp lệ. Vui lòng kiểm tra lại thư điện tử hoặc liên hệ hỗ trợ.'; không đổi trạng thái.
4. Không tạo session/token mới, không có audit kích hoạt thành công giả.</t>
        </is>
      </c>
      <c r="N22" s="9" t="inlineStr">
        <is>
          <t>Không áp dụng</t>
        </is>
      </c>
      <c r="O22" s="9" t="inlineStr">
        <is>
          <t>Không phát sinh mail</t>
        </is>
      </c>
      <c r="P22" s="9" t="inlineStr">
        <is>
          <t>Mailbox khác vai trò; email cũ</t>
        </is>
      </c>
      <c r="Q22" s="9" t="inlineStr">
        <is>
          <t>Kiểm tra TAI_KHOAN.trang_thai, role/link entity, token, email queue/SMTP message-id, AUDIT_LOG; chỉ một thư.</t>
        </is>
      </c>
      <c r="R22" s="9" t="inlineStr">
        <is>
          <t>Dùng fixture riêng; sau test khóa/vô hiệu hóa account nếu cần.</t>
        </is>
      </c>
      <c r="S22" s="9" t="inlineStr"/>
      <c r="T22" s="9" t="inlineStr"/>
      <c r="U22" s="12" t="inlineStr">
        <is>
          <t>Not Run</t>
        </is>
      </c>
      <c r="V22" s="9" t="inlineStr"/>
      <c r="W22" s="9" t="inlineStr"/>
      <c r="X22" s="9" t="inlineStr"/>
    </row>
    <row r="23">
      <c r="A23" s="9" t="n">
        <v>22</v>
      </c>
      <c r="B23" s="9" t="inlineStr">
        <is>
          <t>EM-TK-ACT-07</t>
        </is>
      </c>
      <c r="C23" s="9" t="inlineStr">
        <is>
          <t>FR-VIII-22 E9 ERR-REG-ACT-02</t>
        </is>
      </c>
      <c r="D23" s="9" t="inlineStr">
        <is>
          <t>Cấp/kích hoạt tài khoản</t>
        </is>
      </c>
      <c r="E23" s="10" t="inlineStr">
        <is>
          <t>P0</t>
        </is>
      </c>
      <c r="F23" s="9" t="inlineStr">
        <is>
          <t>Workflow</t>
        </is>
      </c>
      <c r="G23" s="9" t="inlineStr">
        <is>
          <t>Dùng lại link kích hoạt DN</t>
        </is>
      </c>
      <c r="H23" s="9" t="inlineStr">
        <is>
          <t>User nhận mail</t>
        </is>
      </c>
      <c r="I23" s="9" t="inlineStr">
        <is>
          <t>URL token</t>
        </is>
      </c>
      <c r="J23" s="9" t="inlineStr">
        <is>
          <t>Có fixture đúng loại token.</t>
        </is>
      </c>
      <c r="K23" s="9" t="inlineStr">
        <is>
          <t>token đã dùng</t>
        </is>
      </c>
      <c r="L23" s="9" t="inlineStr">
        <is>
          <t>1. Ghi trạng thái/mật khẩu hash hiện tại.
2. Mở URL chứa token theo Test Data.
3. Thử submit nếu form xuất hiện.
4. Kiểm tra UI và UI/API.</t>
        </is>
      </c>
      <c r="M23" s="9" t="inlineStr">
        <is>
          <t>1. Có baseline.
2-3. Hiển thị nguyên văn: 'Liên kết kích hoạt đã được sử dụng. Tài khoản của bạn có thể đã kích hoạt — vui lòng đăng nhập.'; không thực hiện lần hai.
4. Không tạo session/token mới, không có audit kích hoạt thành công giả.</t>
        </is>
      </c>
      <c r="N23" s="9" t="inlineStr">
        <is>
          <t>Không áp dụng</t>
        </is>
      </c>
      <c r="O23" s="9" t="inlineStr">
        <is>
          <t>Không phát sinh mail</t>
        </is>
      </c>
      <c r="P23" s="9" t="inlineStr">
        <is>
          <t>Mailbox khác vai trò; email cũ</t>
        </is>
      </c>
      <c r="Q23" s="9" t="inlineStr">
        <is>
          <t>Kiểm tra TAI_KHOAN.trang_thai, role/link entity, token, email queue/SMTP message-id, AUDIT_LOG; chỉ một thư.</t>
        </is>
      </c>
      <c r="R23" s="9" t="inlineStr">
        <is>
          <t>Dùng fixture riêng; sau test khóa/vô hiệu hóa account nếu cần.</t>
        </is>
      </c>
      <c r="S23" s="9" t="inlineStr"/>
      <c r="T23" s="9" t="inlineStr"/>
      <c r="U23" s="12" t="inlineStr">
        <is>
          <t>Not Run</t>
        </is>
      </c>
      <c r="V23" s="9" t="inlineStr"/>
      <c r="W23" s="9" t="inlineStr"/>
      <c r="X23" s="9" t="inlineStr"/>
    </row>
    <row r="24">
      <c r="A24" s="9" t="n">
        <v>23</v>
      </c>
      <c r="B24" s="9" t="inlineStr">
        <is>
          <t>EM-TK-ACT-08</t>
        </is>
      </c>
      <c r="C24" s="9" t="inlineStr">
        <is>
          <t>FR-VIII-26 E4 ERR-PWD-04</t>
        </is>
      </c>
      <c r="D24" s="9" t="inlineStr">
        <is>
          <t>Cấp/kích hoạt tài khoản</t>
        </is>
      </c>
      <c r="E24" s="10" t="inlineStr">
        <is>
          <t>P0</t>
        </is>
      </c>
      <c r="F24" s="9" t="inlineStr">
        <is>
          <t>Workflow</t>
        </is>
      </c>
      <c r="G24" s="9" t="inlineStr">
        <is>
          <t>Dùng lại link đặt mật khẩu lần đầu</t>
        </is>
      </c>
      <c r="H24" s="9" t="inlineStr">
        <is>
          <t>User nhận mail</t>
        </is>
      </c>
      <c r="I24" s="9" t="inlineStr">
        <is>
          <t>URL token</t>
        </is>
      </c>
      <c r="J24" s="9" t="inlineStr">
        <is>
          <t>Có fixture đúng loại token.</t>
        </is>
      </c>
      <c r="K24" s="9" t="inlineStr">
        <is>
          <t>reset token đã dùng</t>
        </is>
      </c>
      <c r="L24" s="9" t="inlineStr">
        <is>
          <t>1. Ghi trạng thái/mật khẩu hash hiện tại.
2. Mở URL chứa token theo Test Data.
3. Thử submit nếu form xuất hiện.
4. Kiểm tra UI và UI/API.</t>
        </is>
      </c>
      <c r="M24" s="9" t="inlineStr">
        <is>
          <t>1. Có baseline.
2-3. Hiển thị 'Link đặt mật khẩu đã được sử dụng. Vui lòng yêu cầu link mới'; mật khẩu/trạng thái không đổi.
4. Không tạo session/token mới, không có audit kích hoạt thành công giả.</t>
        </is>
      </c>
      <c r="N24" s="9" t="inlineStr">
        <is>
          <t>Không áp dụng</t>
        </is>
      </c>
      <c r="O24" s="9" t="inlineStr">
        <is>
          <t>Không phát sinh mail</t>
        </is>
      </c>
      <c r="P24" s="9" t="inlineStr">
        <is>
          <t>Mailbox khác vai trò; email cũ</t>
        </is>
      </c>
      <c r="Q24" s="9" t="inlineStr">
        <is>
          <t>Kiểm tra TAI_KHOAN.trang_thai, role/link entity, token, email queue/SMTP message-id, AUDIT_LOG; chỉ một thư.</t>
        </is>
      </c>
      <c r="R24" s="9" t="inlineStr">
        <is>
          <t>Dùng fixture riêng; sau test khóa/vô hiệu hóa account nếu cần.</t>
        </is>
      </c>
      <c r="S24" s="9" t="inlineStr"/>
      <c r="T24" s="9" t="inlineStr"/>
      <c r="U24" s="12" t="inlineStr">
        <is>
          <t>Not Run</t>
        </is>
      </c>
      <c r="V24" s="9" t="inlineStr"/>
      <c r="W24" s="9" t="inlineStr"/>
      <c r="X24" s="9" t="inlineStr"/>
    </row>
    <row r="25">
      <c r="A25" s="9" t="n">
        <v>24</v>
      </c>
      <c r="B25" s="9" t="inlineStr">
        <is>
          <t>EM-TK-ACT-09</t>
        </is>
      </c>
      <c r="C25" s="9" t="inlineStr">
        <is>
          <t>SCR-VIII-03 srs-fr-10:1726 / FR-VIII-26 Processing#5 srs-fr-10:1322 / FR-VIII-22 token 1 lần srs-fr-10:1088 / TAI_KHOAN.token_reset_mk srs-v3.5:2121,2127 / BR-DATA-05</t>
        </is>
      </c>
      <c r="D25" s="9" t="inlineStr">
        <is>
          <t>Cấp/kích hoạt tài khoản</t>
        </is>
      </c>
      <c r="E25" s="10" t="inlineStr">
        <is>
          <t>P0</t>
        </is>
      </c>
      <c r="F25" s="9" t="inlineStr">
        <is>
          <t>Workflow</t>
        </is>
      </c>
      <c r="G25" s="9" t="inlineStr">
        <is>
          <t>Gửi lại email kích hoạt và kiểm link một lần dùng</t>
        </is>
      </c>
      <c r="H25" s="9" t="inlineStr">
        <is>
          <t>QTHT</t>
        </is>
      </c>
      <c r="I25" s="9" t="inlineStr">
        <is>
          <t>Quản trị &gt; Tài khoản &gt; CHO_KICH_HOAT</t>
        </is>
      </c>
      <c r="J25" s="9" t="inlineStr">
        <is>
          <t>TK CHO_KICH_HOAT đã có token/link cũ.</t>
        </is>
      </c>
      <c r="K25" s="9" t="inlineStr">
        <is>
          <t>Mailbox account; lưu URL cũ</t>
        </is>
      </c>
      <c r="L25" s="9" t="inlineStr">
        <is>
          <t>1. Lưu token/link cũ.
2. Bấm Gửi lại email kích hoạt một lần.
3. Nhận email mới và so sánh URL với link cũ.
4. Mở link trong email mới để kích hoạt/đặt mật khẩu.
5. Dùng lại chính link vừa dùng và kiểm tra UI/API.</t>
        </is>
      </c>
      <c r="M25" s="9" t="inlineStr">
        <is>
          <t>1. Có baseline.
2-3. Nhận được thư kích hoạt. URL trong thư gửi lại trùng với link cũ là hành vi hợp lệ theo SRS hiện tại — ghi Actual link trùng hay khác, không Fail. [NGOÀI SRS] Số lượng thư, UI message, rate-limit và việc reuse hay thay token cũ chỉ ghi observation/BA clarification.
4. Link trong thư thực hiện đúng luồng kích hoạt.
5. Dùng lại cùng link bị từ chối vì token chỉ dùng một lần; hệ thống ghi nhật ký thao tác theo BR-DATA-05.</t>
        </is>
      </c>
      <c r="N25" s="9" t="inlineStr">
        <is>
          <t>TAI_KHOAN.email</t>
        </is>
      </c>
      <c r="O25" s="9" t="inlineStr">
        <is>
          <t>To: email TK</t>
        </is>
      </c>
      <c r="P25" s="9" t="inlineStr">
        <is>
          <t>Mailbox khác vai trò; email cũ</t>
        </is>
      </c>
      <c r="Q25" s="9" t="inlineStr">
        <is>
          <t>UI/API và Gmail; link trong thư hoạt động đúng luồng và bị từ chối khi dùng lại; audit thao tác nếu có quyền. Không bắt token mới khác token cũ, mã audit cụ thể hoặc số lượng thư vì SRS không đặc tả.</t>
        </is>
      </c>
      <c r="R25" s="9" t="inlineStr">
        <is>
          <t>Dùng fixture riêng; sau test khóa/vô hiệu hóa account nếu cần.</t>
        </is>
      </c>
      <c r="S25" s="9" t="inlineStr"/>
      <c r="T25" s="9" t="inlineStr"/>
      <c r="U25" s="12" t="inlineStr">
        <is>
          <t>Not Run</t>
        </is>
      </c>
      <c r="V25" s="9" t="inlineStr"/>
      <c r="W25" s="9" t="inlineStr"/>
      <c r="X25" s="9" t="inlineStr"/>
    </row>
    <row r="26">
      <c r="A26" s="9" t="n">
        <v>25</v>
      </c>
      <c r="B26" s="9" t="inlineStr">
        <is>
          <t>EM-TK-ACT-10</t>
        </is>
      </c>
      <c r="C26" s="9" t="inlineStr">
        <is>
          <t>BR-DATA/Concurrency; FR-VIII-15</t>
        </is>
      </c>
      <c r="D26" s="9" t="inlineStr">
        <is>
          <t>Cấp/kích hoạt tài khoản</t>
        </is>
      </c>
      <c r="E26" s="10" t="inlineStr">
        <is>
          <t>P0</t>
        </is>
      </c>
      <c r="F26" s="9" t="inlineStr">
        <is>
          <t>Workflow</t>
        </is>
      </c>
      <c r="G26" s="9" t="inlineStr">
        <is>
          <t>Double-click tạo tài khoản không tạo trùng/email trùng</t>
        </is>
      </c>
      <c r="H26" s="9" t="inlineStr">
        <is>
          <t>QTHT</t>
        </is>
      </c>
      <c r="I26" s="9" t="inlineStr">
        <is>
          <t>Form Thêm tài khoản</t>
        </is>
      </c>
      <c r="J26" s="9" t="inlineStr">
        <is>
          <t>Email/username mới; có thể gửi hai request gần đồng thời.</t>
        </is>
      </c>
      <c r="K26" s="9" t="inlineStr">
        <is>
          <t>diupt01+uat-em-tk-act-10@gmail.com</t>
        </is>
      </c>
      <c r="L26" s="9" t="inlineStr">
        <is>
          <t>1. Dọn inbox/ghi baseline.
2. Điền form hợp lệ.
3. Double-click Lưu hoặc gửi 2 request đồng thời.
4. Chờ queue.
5. Kiểm tra UI/API/inbox/audit.</t>
        </is>
      </c>
      <c r="M26" s="9" t="inlineStr">
        <is>
          <t>1-2. Baseline/dữ liệu đúng.
3. Hệ thống xử lý idempotent/unique.
4-5. Chỉ 1 TK, 1 token hiệu lực, 1 email kích hoạt; request còn lại bị chặn, không 500/duplicate.</t>
        </is>
      </c>
      <c r="N26" s="9" t="inlineStr">
        <is>
          <t>TAI_KHOAN.email</t>
        </is>
      </c>
      <c r="O26" s="9" t="inlineStr">
        <is>
          <t>To: diupt01+uat-em-tk-act-10@gmail.com</t>
        </is>
      </c>
      <c r="P26" s="9" t="inlineStr">
        <is>
          <t>Mailbox khác vai trò; email cũ</t>
        </is>
      </c>
      <c r="Q26" s="9" t="inlineStr">
        <is>
          <t>Kiểm tra TAI_KHOAN.trang_thai, role/link entity, token, email queue/SMTP message-id, AUDIT_LOG; chỉ một thư.</t>
        </is>
      </c>
      <c r="R26" s="9" t="inlineStr">
        <is>
          <t>Dùng fixture riêng; sau test khóa/vô hiệu hóa account nếu cần.</t>
        </is>
      </c>
      <c r="S26" s="9" t="inlineStr"/>
      <c r="T26" s="9" t="inlineStr"/>
      <c r="U26" s="12" t="inlineStr">
        <is>
          <t>Not Run</t>
        </is>
      </c>
      <c r="V26" s="9" t="inlineStr"/>
      <c r="W26" s="9" t="inlineStr"/>
      <c r="X26" s="9" t="inlineStr"/>
    </row>
    <row r="27">
      <c r="A27" s="9" t="n">
        <v>26</v>
      </c>
      <c r="B27" s="9" t="inlineStr">
        <is>
          <t>EM-TK-ACT-11</t>
        </is>
      </c>
      <c r="C27" s="9" t="inlineStr">
        <is>
          <t>FR-IV-07 W1 WRN-PD-01 / srs-fr-04:622-634</t>
        </is>
      </c>
      <c r="D27" s="9" t="inlineStr">
        <is>
          <t>Cấp/kích hoạt tài khoản</t>
        </is>
      </c>
      <c r="E27" s="10" t="inlineStr">
        <is>
          <t>P0</t>
        </is>
      </c>
      <c r="F27" s="9" t="inlineStr">
        <is>
          <t>Workflow</t>
        </is>
      </c>
      <c r="G27" s="9" t="inlineStr">
        <is>
          <t>SMTP lỗi khi duyệt TVV không rollback phê duyệt</t>
        </is>
      </c>
      <c r="H27" s="9" t="inlineStr">
        <is>
          <t>CB Phê duyệt</t>
        </is>
      </c>
      <c r="I27" s="9" t="inlineStr">
        <is>
          <t>Hồ sơ TVV &gt; Phê duyệt</t>
        </is>
      </c>
      <c r="J27" s="9" t="inlineStr">
        <is>
          <t>SMTP giả lập lỗi; TVV CHO_PHE_DUYET hợp lệ.</t>
        </is>
      </c>
      <c r="K27" s="9" t="inlineStr">
        <is>
          <t>tvv.smtp.fail@example.invalid</t>
        </is>
      </c>
      <c r="L27" s="9" t="inlineStr">
        <is>
          <t>1. Cấu hình SMTP stub trả lỗi.
2. Phê duyệt TVV.
3. Quan sát UI.
4. Kiểm tra TVV/TK.
5. Kiểm tra queue/log/audit.</t>
        </is>
      </c>
      <c r="M27" s="9" t="inlineStr">
        <is>
          <t>1. Fault injection hoạt động.
2. Quyết định duyệt vẫn commit.
3. Hiển thị WRN-PD-01 nguyên văn theo SRS.
4. TVV và TK vẫn CHO_KICH_HOAT.
5. Mail ghi thất bại/retry; không tạo rollback hoặc TK thứ hai.</t>
        </is>
      </c>
      <c r="N27" s="9" t="inlineStr">
        <is>
          <t>TAI_KHOAN.email</t>
        </is>
      </c>
      <c r="O27" s="9" t="inlineStr">
        <is>
          <t>Không có SMTP accepted</t>
        </is>
      </c>
      <c r="P27" s="9" t="inlineStr">
        <is>
          <t>Mọi mailbox</t>
        </is>
      </c>
      <c r="Q27" s="9" t="inlineStr">
        <is>
          <t>TVV/TK CHO_KICH_HOAT; warning WRN-PD-01; failure log; retry; audit APPROVE vẫn tồn tại.</t>
        </is>
      </c>
      <c r="R27" s="9" t="inlineStr">
        <is>
          <t>Dùng fixture riêng; sau test khóa/vô hiệu hóa account nếu cần.</t>
        </is>
      </c>
      <c r="S27" s="9" t="inlineStr"/>
      <c r="T27" s="9" t="inlineStr"/>
      <c r="U27" s="12" t="inlineStr">
        <is>
          <t>Not Run</t>
        </is>
      </c>
      <c r="V27" s="9" t="inlineStr"/>
      <c r="W27" s="9" t="inlineStr"/>
      <c r="X27" s="9" t="inlineStr"/>
    </row>
    <row r="28">
      <c r="A28" s="9" t="n">
        <v>27</v>
      </c>
      <c r="B28" s="9" t="inlineStr">
        <is>
          <t>EM-TK-ACT-12</t>
        </is>
      </c>
      <c r="C28" s="9" t="inlineStr">
        <is>
          <t>SM-TVV CHO_KICH_HOAT→VO_HIEU_HOA / srs-fr-04:1597</t>
        </is>
      </c>
      <c r="D28" s="9" t="inlineStr">
        <is>
          <t>Cấp/kích hoạt tài khoản</t>
        </is>
      </c>
      <c r="E28" s="10" t="inlineStr">
        <is>
          <t>P0</t>
        </is>
      </c>
      <c r="F28" s="9" t="inlineStr">
        <is>
          <t>Workflow</t>
        </is>
      </c>
      <c r="G28" s="9" t="inlineStr">
        <is>
          <t>Vô hiệu hóa TVV làm link kích hoạt cũ vô tác dụng</t>
        </is>
      </c>
      <c r="H28" s="9" t="inlineStr">
        <is>
          <t>CB NV</t>
        </is>
      </c>
      <c r="I28" s="9" t="inlineStr">
        <is>
          <t>Chi tiết TVV CHO_KICH_HOAT &gt; Cập nhật trạng thái</t>
        </is>
      </c>
      <c r="J28" s="9" t="inlineStr">
        <is>
          <t>TVV/TK CHO_KICH_HOAT; đã có link kích hoạt; lý do ≥10 ký tự.</t>
        </is>
      </c>
      <c r="K28" s="9" t="inlineStr">
        <is>
          <t>Lý do: Email nhập sai, không liên lạc được TVV</t>
        </is>
      </c>
      <c r="L28" s="9" t="inlineStr">
        <is>
          <t>1. Lưu link kích hoạt.
2. Vô hiệu hóa khẩn cấp với lý do hợp lệ.
3. Mở lại link cũ.
4. Kiểm tra TVV/TK/audit.</t>
        </is>
      </c>
      <c r="M28" s="9" t="inlineStr">
        <is>
          <t>1. Có token cũ.
2. TVV/TK bị vô hiệu hóa, token invalidated.
3. Link cũ không thể kích hoạt/đặt mật khẩu.
4. Audit đủ người, thời gian, lý do; thông báo CB PD theo SRS.</t>
        </is>
      </c>
      <c r="N28" s="9" t="inlineStr">
        <is>
          <t>Không áp dụng</t>
        </is>
      </c>
      <c r="O28" s="9" t="inlineStr">
        <is>
          <t>Thông báo CB PD nếu email channel áp dụng</t>
        </is>
      </c>
      <c r="P28" s="9" t="inlineStr">
        <is>
          <t>Mailbox khác vai trò; email cũ</t>
        </is>
      </c>
      <c r="Q28" s="9" t="inlineStr">
        <is>
          <t>Kiểm tra TAI_KHOAN.trang_thai, role/link entity, token, email queue/SMTP message-id, AUDIT_LOG; chỉ một thư.</t>
        </is>
      </c>
      <c r="R28" s="9" t="inlineStr">
        <is>
          <t>Dùng fixture riêng; sau test khóa/vô hiệu hóa account nếu cần.</t>
        </is>
      </c>
      <c r="S28" s="9" t="inlineStr"/>
      <c r="T28" s="9" t="inlineStr"/>
      <c r="U28" s="12" t="inlineStr">
        <is>
          <t>Not Run</t>
        </is>
      </c>
      <c r="V28" s="9" t="inlineStr"/>
      <c r="W28" s="9" t="inlineStr"/>
      <c r="X28" s="9" t="inlineStr"/>
    </row>
    <row r="29">
      <c r="A29" s="9" t="n">
        <v>28</v>
      </c>
      <c r="B29" s="9" t="inlineStr">
        <is>
          <t>EM-TK-PWD-01</t>
        </is>
      </c>
      <c r="C29" s="9" t="inlineStr">
        <is>
          <t>FR-VIII-26 3b,4a,5-16</t>
        </is>
      </c>
      <c r="D29" s="9" t="inlineStr">
        <is>
          <t>Quên mật khẩu / Claim</t>
        </is>
      </c>
      <c r="E29" s="10" t="inlineStr">
        <is>
          <t>P0</t>
        </is>
      </c>
      <c r="F29" s="9" t="inlineStr">
        <is>
          <t>Workflow/Negative</t>
        </is>
      </c>
      <c r="G29" s="9" t="inlineStr">
        <is>
          <t>Reset bằng email cho TK HOAT_DONG</t>
        </is>
      </c>
      <c r="H29" s="9" t="inlineStr">
        <is>
          <t>User bất kỳ</t>
        </is>
      </c>
      <c r="I29" s="9" t="inlineStr">
        <is>
          <t>Đăng nhập &gt; Quên mật khẩu</t>
        </is>
      </c>
      <c r="J29" s="9" t="inlineStr">
        <is>
          <t>TK HOAT_DONG có email hợp lệ.</t>
        </is>
      </c>
      <c r="K29" s="9" t="inlineStr">
        <is>
          <t>diupt01+uat-em-tk-pwd-01@gmail.com; mật khẩu mới New@Test123</t>
        </is>
      </c>
      <c r="L29"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29" s="9" t="inlineStr">
        <is>
          <t>1-3. UI trả thông báo gửi link.
4. Đúng 1 mail tới TAI_KHOAN.email.
5. Link trong 30 phút mở form; mật khẩu mạnh submit thành công.
6. Token bị hủy, TK vẫn HOAT_DONG, mật khẩu cũ thất bại và mật khẩu mới đăng nhập được.</t>
        </is>
      </c>
      <c r="N29" s="9" t="inlineStr">
        <is>
          <t>TAI_KHOAN.email</t>
        </is>
      </c>
      <c r="O29" s="9" t="inlineStr">
        <is>
          <t>To: email theo nguồn đã nêu nếu hợp lệ</t>
        </is>
      </c>
      <c r="P29" s="9" t="inlineStr">
        <is>
          <t>Email cũ/email DN khác/user khác</t>
        </is>
      </c>
      <c r="Q29" s="9" t="inlineStr">
        <is>
          <t>Kiểm tra lookup đúng nhánh; token_reset_mk/token_het_han; queue/SMTP; password hash; trạng thái; AUDIT_LOG PASSWORD_RESET/ACCOUNT_ACTIVATE/DN_CLAIM.</t>
        </is>
      </c>
      <c r="R29" s="9" t="inlineStr">
        <is>
          <t>Thu hồi token còn sống; reset fixture về mật khẩu chuẩn.</t>
        </is>
      </c>
      <c r="S29" s="9" t="inlineStr"/>
      <c r="T29" s="9" t="inlineStr"/>
      <c r="U29" s="12" t="inlineStr">
        <is>
          <t>Not Run</t>
        </is>
      </c>
      <c r="V29" s="9" t="inlineStr"/>
      <c r="W29" s="9" t="inlineStr"/>
      <c r="X29" s="9" t="inlineStr"/>
    </row>
    <row r="30">
      <c r="A30" s="9" t="n">
        <v>29</v>
      </c>
      <c r="B30" s="9" t="inlineStr">
        <is>
          <t>EM-TK-PWD-02</t>
        </is>
      </c>
      <c r="C30" s="9" t="inlineStr">
        <is>
          <t>FR-VIII-26 3a,4a; AC MST đã có TK</t>
        </is>
      </c>
      <c r="D30" s="9" t="inlineStr">
        <is>
          <t>Quên mật khẩu / Claim</t>
        </is>
      </c>
      <c r="E30" s="10" t="inlineStr">
        <is>
          <t>P0</t>
        </is>
      </c>
      <c r="F30" s="9" t="inlineStr">
        <is>
          <t>Workflow/Negative</t>
        </is>
      </c>
      <c r="G30" s="9" t="inlineStr">
        <is>
          <t>Reset DN bằng MST đã có tài khoản</t>
        </is>
      </c>
      <c r="H30" s="9" t="inlineStr">
        <is>
          <t>User bất kỳ</t>
        </is>
      </c>
      <c r="I30" s="9" t="inlineStr">
        <is>
          <t>Đăng nhập &gt; Quên mật khẩu</t>
        </is>
      </c>
      <c r="J30" s="9" t="inlineStr">
        <is>
          <t>DN có TK liên kết; TAI_KHOAN.email khác DOANH_NGHIEP.email.</t>
        </is>
      </c>
      <c r="K30" s="9" t="inlineStr">
        <is>
          <t>MST 0100000010; TK=diupt01+uat-em-tk-pwd-02-tk@gmail.com; DN=diupt01+uat-em-tk-pwd-02-dn@gmail.com</t>
        </is>
      </c>
      <c r="L30"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0" s="9" t="inlineStr">
        <is>
          <t>1-3. Lookup theo username=MST.
4. Mail chỉ tới diupt01+uat-em-tk-pwd-02-tk@gmail.com, không tới diupt01+uat-em-tk-pwd-02-dn@gmail.com.
5-6. Token 30 phút; reset thành công, không tạo TK/DN mới.</t>
        </is>
      </c>
      <c r="N30" s="9" t="inlineStr">
        <is>
          <t>TAI_KHOAN.email</t>
        </is>
      </c>
      <c r="O30" s="9" t="inlineStr">
        <is>
          <t>To: email theo nguồn đã nêu nếu hợp lệ</t>
        </is>
      </c>
      <c r="P30" s="9" t="inlineStr">
        <is>
          <t>Email cũ/email DN khác/user khác</t>
        </is>
      </c>
      <c r="Q30" s="9" t="inlineStr">
        <is>
          <t>Kiểm tra lookup đúng nhánh; token_reset_mk/token_het_han; queue/SMTP; password hash; trạng thái; AUDIT_LOG PASSWORD_RESET/ACCOUNT_ACTIVATE/DN_CLAIM.</t>
        </is>
      </c>
      <c r="R30" s="9" t="inlineStr">
        <is>
          <t>Thu hồi token còn sống; reset fixture về mật khẩu chuẩn.</t>
        </is>
      </c>
      <c r="S30" s="9" t="inlineStr"/>
      <c r="T30" s="9" t="inlineStr"/>
      <c r="U30" s="12" t="inlineStr">
        <is>
          <t>Not Run</t>
        </is>
      </c>
      <c r="V30" s="9" t="inlineStr"/>
      <c r="W30" s="9" t="inlineStr"/>
      <c r="X30" s="9" t="inlineStr"/>
    </row>
    <row r="31">
      <c r="A31" s="9" t="n">
        <v>30</v>
      </c>
      <c r="B31" s="9" t="inlineStr">
        <is>
          <t>EM-TK-PWD-03</t>
        </is>
      </c>
      <c r="C31" s="9" t="inlineStr">
        <is>
          <t>FR-VIII-26 E1 ERR-PWD-01</t>
        </is>
      </c>
      <c r="D31" s="9" t="inlineStr">
        <is>
          <t>Quên mật khẩu / Claim</t>
        </is>
      </c>
      <c r="E31" s="10" t="inlineStr">
        <is>
          <t>P0</t>
        </is>
      </c>
      <c r="F31" s="9" t="inlineStr">
        <is>
          <t>Workflow/Negative</t>
        </is>
      </c>
      <c r="G31" s="9" t="inlineStr">
        <is>
          <t>Email không tồn tại chống enumeration</t>
        </is>
      </c>
      <c r="H31" s="9" t="inlineStr">
        <is>
          <t>User bất kỳ</t>
        </is>
      </c>
      <c r="I31" s="9" t="inlineStr">
        <is>
          <t>Đăng nhập &gt; Quên mật khẩu</t>
        </is>
      </c>
      <c r="J31" s="9" t="inlineStr">
        <is>
          <t>Email không có trong TAI_KHOAN.</t>
        </is>
      </c>
      <c r="K31" s="9" t="inlineStr">
        <is>
          <t>unknown.email@example.test</t>
        </is>
      </c>
      <c r="L31"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1" s="9" t="inlineStr">
        <is>
          <t>1-3. Hiển thị đúng câu trung tính: 'Nếu tên đăng nhập đã đăng ký, link đặt mật khẩu sẽ được gửi đến hộp thư của bạn'.
4. Không có email.
5-6. Không tạo token/TK/queue/audit reset thành công.</t>
        </is>
      </c>
      <c r="N31" s="9" t="inlineStr">
        <is>
          <t>TAI_KHOAN.email</t>
        </is>
      </c>
      <c r="O31" s="9" t="inlineStr">
        <is>
          <t>To: email theo nguồn đã nêu nếu hợp lệ</t>
        </is>
      </c>
      <c r="P31" s="9" t="inlineStr">
        <is>
          <t>Email cũ/email DN khác/user khác</t>
        </is>
      </c>
      <c r="Q31" s="9" t="inlineStr">
        <is>
          <t>Kiểm tra lookup đúng nhánh; token_reset_mk/token_het_han; queue/SMTP; password hash; trạng thái; AUDIT_LOG PASSWORD_RESET/ACCOUNT_ACTIVATE/DN_CLAIM.</t>
        </is>
      </c>
      <c r="R31" s="9" t="inlineStr">
        <is>
          <t>Thu hồi token còn sống; reset fixture về mật khẩu chuẩn.</t>
        </is>
      </c>
      <c r="S31" s="9" t="inlineStr"/>
      <c r="T31" s="9" t="inlineStr"/>
      <c r="U31" s="12" t="inlineStr">
        <is>
          <t>Not Run</t>
        </is>
      </c>
      <c r="V31" s="9" t="inlineStr"/>
      <c r="W31" s="9" t="inlineStr"/>
      <c r="X31" s="9" t="inlineStr"/>
    </row>
    <row r="32">
      <c r="A32" s="9" t="n">
        <v>31</v>
      </c>
      <c r="B32" s="9" t="inlineStr">
        <is>
          <t>EM-TK-PWD-04</t>
        </is>
      </c>
      <c r="C32" s="9" t="inlineStr">
        <is>
          <t>FR-VIII-26 E1 ERR-PWD-01</t>
        </is>
      </c>
      <c r="D32" s="9" t="inlineStr">
        <is>
          <t>Quên mật khẩu / Claim</t>
        </is>
      </c>
      <c r="E32" s="10" t="inlineStr">
        <is>
          <t>P0</t>
        </is>
      </c>
      <c r="F32" s="9" t="inlineStr">
        <is>
          <t>Workflow/Negative</t>
        </is>
      </c>
      <c r="G32" s="9" t="inlineStr">
        <is>
          <t>MST không tồn tại chống enumeration</t>
        </is>
      </c>
      <c r="H32" s="9" t="inlineStr">
        <is>
          <t>User bất kỳ</t>
        </is>
      </c>
      <c r="I32" s="9" t="inlineStr">
        <is>
          <t>Đăng nhập &gt; Quên mật khẩu</t>
        </is>
      </c>
      <c r="J32" s="9" t="inlineStr">
        <is>
          <t>MST không có cả TAI_KHOAN và DOANH_NGHIEP.</t>
        </is>
      </c>
      <c r="K32" s="9" t="inlineStr">
        <is>
          <t>MST 0199999999</t>
        </is>
      </c>
      <c r="L32"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2" s="9" t="inlineStr">
        <is>
          <t>Kết quả UI phải giống case email không tồn tại; không tạo TK/token/email; không tiết lộ MST tồn tại hay không.</t>
        </is>
      </c>
      <c r="N32" s="9" t="inlineStr">
        <is>
          <t>TAI_KHOAN.email</t>
        </is>
      </c>
      <c r="O32" s="9" t="inlineStr">
        <is>
          <t>To: email theo nguồn đã nêu nếu hợp lệ</t>
        </is>
      </c>
      <c r="P32" s="9" t="inlineStr">
        <is>
          <t>Email cũ/email DN khác/user khác</t>
        </is>
      </c>
      <c r="Q32" s="9" t="inlineStr">
        <is>
          <t>Kiểm tra lookup đúng nhánh; token_reset_mk/token_het_han; queue/SMTP; password hash; trạng thái; AUDIT_LOG PASSWORD_RESET/ACCOUNT_ACTIVATE/DN_CLAIM.</t>
        </is>
      </c>
      <c r="R32" s="9" t="inlineStr">
        <is>
          <t>Thu hồi token còn sống; reset fixture về mật khẩu chuẩn.</t>
        </is>
      </c>
      <c r="S32" s="9" t="inlineStr"/>
      <c r="T32" s="9" t="inlineStr"/>
      <c r="U32" s="12" t="inlineStr">
        <is>
          <t>Not Run</t>
        </is>
      </c>
      <c r="V32" s="9" t="inlineStr"/>
      <c r="W32" s="9" t="inlineStr"/>
      <c r="X32" s="9" t="inlineStr"/>
    </row>
    <row r="33">
      <c r="A33" s="9" t="n">
        <v>32</v>
      </c>
      <c r="B33" s="9" t="inlineStr">
        <is>
          <t>EM-TK-PWD-05</t>
        </is>
      </c>
      <c r="C33" s="9" t="inlineStr">
        <is>
          <t>FR-VIII-26 E1a ERR-PWD-FORMAT</t>
        </is>
      </c>
      <c r="D33" s="9" t="inlineStr">
        <is>
          <t>Quên mật khẩu / Claim</t>
        </is>
      </c>
      <c r="E33" s="10" t="inlineStr">
        <is>
          <t>P0</t>
        </is>
      </c>
      <c r="F33" s="9" t="inlineStr">
        <is>
          <t>Workflow/Negative</t>
        </is>
      </c>
      <c r="G33" s="9" t="inlineStr">
        <is>
          <t>Tên đăng nhập sai định dạng</t>
        </is>
      </c>
      <c r="H33" s="9" t="inlineStr">
        <is>
          <t>User bất kỳ</t>
        </is>
      </c>
      <c r="I33" s="9" t="inlineStr">
        <is>
          <t>Đăng nhập &gt; Quên mật khẩu</t>
        </is>
      </c>
      <c r="J33" s="9" t="inlineStr">
        <is>
          <t>Không có.</t>
        </is>
      </c>
      <c r="K33" s="9" t="inlineStr">
        <is>
          <t>abc-123</t>
        </is>
      </c>
      <c r="L33"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3" s="9" t="inlineStr">
        <is>
          <t>UI hiển thị nguyên văn 'Tên đăng nhập phải là email hợp lệ hoặc Mã số thuế 10 chữ số'; không lookup/queue/email.</t>
        </is>
      </c>
      <c r="N33" s="9" t="inlineStr">
        <is>
          <t>TAI_KHOAN.email</t>
        </is>
      </c>
      <c r="O33" s="9" t="inlineStr">
        <is>
          <t>To: email theo nguồn đã nêu nếu hợp lệ</t>
        </is>
      </c>
      <c r="P33" s="9" t="inlineStr">
        <is>
          <t>Email cũ/email DN khác/user khác</t>
        </is>
      </c>
      <c r="Q33" s="9" t="inlineStr">
        <is>
          <t>Kiểm tra lookup đúng nhánh; token_reset_mk/token_het_han; queue/SMTP; password hash; trạng thái; AUDIT_LOG PASSWORD_RESET/ACCOUNT_ACTIVATE/DN_CLAIM.</t>
        </is>
      </c>
      <c r="R33" s="9" t="inlineStr">
        <is>
          <t>Thu hồi token còn sống; reset fixture về mật khẩu chuẩn.</t>
        </is>
      </c>
      <c r="S33" s="9" t="inlineStr"/>
      <c r="T33" s="9" t="inlineStr"/>
      <c r="U33" s="12" t="inlineStr">
        <is>
          <t>Not Run</t>
        </is>
      </c>
      <c r="V33" s="9" t="inlineStr"/>
      <c r="W33" s="9" t="inlineStr"/>
      <c r="X33" s="9" t="inlineStr"/>
    </row>
    <row r="34">
      <c r="A34" s="9" t="n">
        <v>33</v>
      </c>
      <c r="B34" s="9" t="inlineStr">
        <is>
          <t>EM-TK-PWD-06</t>
        </is>
      </c>
      <c r="C34" s="9" t="inlineStr">
        <is>
          <t>FR-VIII-26 E2 ERR-PWD-02</t>
        </is>
      </c>
      <c r="D34" s="9" t="inlineStr">
        <is>
          <t>Quên mật khẩu / Claim</t>
        </is>
      </c>
      <c r="E34" s="10" t="inlineStr">
        <is>
          <t>P0</t>
        </is>
      </c>
      <c r="F34" s="9" t="inlineStr">
        <is>
          <t>Workflow/Negative</t>
        </is>
      </c>
      <c r="G34" s="9" t="inlineStr">
        <is>
          <t>Tài khoản TAM_KHOA không được reset</t>
        </is>
      </c>
      <c r="H34" s="9" t="inlineStr">
        <is>
          <t>User bất kỳ</t>
        </is>
      </c>
      <c r="I34" s="9" t="inlineStr">
        <is>
          <t>Đăng nhập &gt; Quên mật khẩu</t>
        </is>
      </c>
      <c r="J34" s="9" t="inlineStr">
        <is>
          <t>TK TAM_KHOA.</t>
        </is>
      </c>
      <c r="K34" s="9" t="inlineStr">
        <is>
          <t>locked.user@example.test</t>
        </is>
      </c>
      <c r="L34"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4" s="9" t="inlineStr">
        <is>
          <t>Hiển thị 'Tài khoản đã bị khóa hoặc vô hiệu hóa. Liên hệ quản trị viên để được hỗ trợ'; không sinh token/mail.</t>
        </is>
      </c>
      <c r="N34" s="9" t="inlineStr">
        <is>
          <t>TAI_KHOAN.email</t>
        </is>
      </c>
      <c r="O34" s="9" t="inlineStr">
        <is>
          <t>To: email theo nguồn đã nêu nếu hợp lệ</t>
        </is>
      </c>
      <c r="P34" s="9" t="inlineStr">
        <is>
          <t>Email cũ/email DN khác/user khác</t>
        </is>
      </c>
      <c r="Q34" s="9" t="inlineStr">
        <is>
          <t>Kiểm tra lookup đúng nhánh; token_reset_mk/token_het_han; queue/SMTP; password hash; trạng thái; AUDIT_LOG PASSWORD_RESET/ACCOUNT_ACTIVATE/DN_CLAIM.</t>
        </is>
      </c>
      <c r="R34" s="9" t="inlineStr">
        <is>
          <t>Thu hồi token còn sống; reset fixture về mật khẩu chuẩn.</t>
        </is>
      </c>
      <c r="S34" s="9" t="inlineStr"/>
      <c r="T34" s="9" t="inlineStr"/>
      <c r="U34" s="12" t="inlineStr">
        <is>
          <t>Not Run</t>
        </is>
      </c>
      <c r="V34" s="9" t="inlineStr"/>
      <c r="W34" s="9" t="inlineStr"/>
      <c r="X34" s="9" t="inlineStr"/>
    </row>
    <row r="35">
      <c r="A35" s="9" t="n">
        <v>34</v>
      </c>
      <c r="B35" s="9" t="inlineStr">
        <is>
          <t>EM-TK-PWD-07</t>
        </is>
      </c>
      <c r="C35" s="9" t="inlineStr">
        <is>
          <t>FR-VIII-26 E2 ERR-PWD-02</t>
        </is>
      </c>
      <c r="D35" s="9" t="inlineStr">
        <is>
          <t>Quên mật khẩu / Claim</t>
        </is>
      </c>
      <c r="E35" s="10" t="inlineStr">
        <is>
          <t>P0</t>
        </is>
      </c>
      <c r="F35" s="9" t="inlineStr">
        <is>
          <t>Workflow/Negative</t>
        </is>
      </c>
      <c r="G35" s="9" t="inlineStr">
        <is>
          <t>Tài khoản VO_HIEU_HOA không được reset</t>
        </is>
      </c>
      <c r="H35" s="9" t="inlineStr">
        <is>
          <t>User bất kỳ</t>
        </is>
      </c>
      <c r="I35" s="9" t="inlineStr">
        <is>
          <t>Đăng nhập &gt; Quên mật khẩu</t>
        </is>
      </c>
      <c r="J35" s="9" t="inlineStr">
        <is>
          <t>TK VO_HIEU_HOA.</t>
        </is>
      </c>
      <c r="K35" s="9" t="inlineStr">
        <is>
          <t>disabled.user@example.test</t>
        </is>
      </c>
      <c r="L35"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5" s="9" t="inlineStr">
        <is>
          <t>Cùng ERR-PWD-02; không sinh token/mail và không đổi trạng thái.</t>
        </is>
      </c>
      <c r="N35" s="9" t="inlineStr">
        <is>
          <t>TAI_KHOAN.email</t>
        </is>
      </c>
      <c r="O35" s="9" t="inlineStr">
        <is>
          <t>To: email theo nguồn đã nêu nếu hợp lệ</t>
        </is>
      </c>
      <c r="P35" s="9" t="inlineStr">
        <is>
          <t>Email cũ/email DN khác/user khác</t>
        </is>
      </c>
      <c r="Q35" s="9" t="inlineStr">
        <is>
          <t>Kiểm tra lookup đúng nhánh; token_reset_mk/token_het_han; queue/SMTP; password hash; trạng thái; AUDIT_LOG PASSWORD_RESET/ACCOUNT_ACTIVATE/DN_CLAIM.</t>
        </is>
      </c>
      <c r="R35" s="9" t="inlineStr">
        <is>
          <t>Thu hồi token còn sống; reset fixture về mật khẩu chuẩn.</t>
        </is>
      </c>
      <c r="S35" s="9" t="inlineStr"/>
      <c r="T35" s="9" t="inlineStr"/>
      <c r="U35" s="12" t="inlineStr">
        <is>
          <t>Not Run</t>
        </is>
      </c>
      <c r="V35" s="9" t="inlineStr"/>
      <c r="W35" s="9" t="inlineStr"/>
      <c r="X35" s="9" t="inlineStr"/>
    </row>
    <row r="36">
      <c r="A36" s="9" t="n">
        <v>35</v>
      </c>
      <c r="B36" s="9" t="inlineStr">
        <is>
          <t>EM-TK-PWD-08</t>
        </is>
      </c>
      <c r="C36" s="9" t="inlineStr">
        <is>
          <t>FR-VIII-26 E3 ERR-PWD-03</t>
        </is>
      </c>
      <c r="D36" s="9" t="inlineStr">
        <is>
          <t>Quên mật khẩu / Claim</t>
        </is>
      </c>
      <c r="E36" s="10" t="inlineStr">
        <is>
          <t>P0</t>
        </is>
      </c>
      <c r="F36" s="9" t="inlineStr">
        <is>
          <t>Workflow/Negative</t>
        </is>
      </c>
      <c r="G36" s="9" t="inlineStr">
        <is>
          <t>Token reset HOAT_DONG quá 30 phút</t>
        </is>
      </c>
      <c r="H36" s="9" t="inlineStr">
        <is>
          <t>User bất kỳ</t>
        </is>
      </c>
      <c r="I36" s="9" t="inlineStr">
        <is>
          <t>Đăng nhập &gt; Quên mật khẩu</t>
        </is>
      </c>
      <c r="J36" s="9" t="inlineStr">
        <is>
          <t>Có token reset tạo &gt;30 phút.</t>
        </is>
      </c>
      <c r="K36" s="9" t="inlineStr">
        <is>
          <t>URL token hết hạn; mật khẩu New@Test123</t>
        </is>
      </c>
      <c r="L36"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6" s="9" t="inlineStr">
        <is>
          <t>Mở/submit link hiển thị 'Link đặt mật khẩu đã hết hạn. Vui lòng yêu cầu link mới'; hash và trạng thái không đổi; token không dùng được.</t>
        </is>
      </c>
      <c r="N36" s="9" t="inlineStr">
        <is>
          <t>TAI_KHOAN.email</t>
        </is>
      </c>
      <c r="O36" s="9" t="inlineStr">
        <is>
          <t>To: email theo nguồn đã nêu nếu hợp lệ</t>
        </is>
      </c>
      <c r="P36" s="9" t="inlineStr">
        <is>
          <t>Email cũ/email DN khác/user khác</t>
        </is>
      </c>
      <c r="Q36" s="9" t="inlineStr">
        <is>
          <t>Kiểm tra lookup đúng nhánh; token_reset_mk/token_het_han; queue/SMTP; password hash; trạng thái; AUDIT_LOG PASSWORD_RESET/ACCOUNT_ACTIVATE/DN_CLAIM.</t>
        </is>
      </c>
      <c r="R36" s="9" t="inlineStr">
        <is>
          <t>Thu hồi token còn sống; reset fixture về mật khẩu chuẩn.</t>
        </is>
      </c>
      <c r="S36" s="9" t="inlineStr"/>
      <c r="T36" s="9" t="inlineStr"/>
      <c r="U36" s="12" t="inlineStr">
        <is>
          <t>Not Run</t>
        </is>
      </c>
      <c r="V36" s="9" t="inlineStr"/>
      <c r="W36" s="9" t="inlineStr"/>
      <c r="X36" s="9" t="inlineStr"/>
    </row>
    <row r="37">
      <c r="A37" s="9" t="n">
        <v>36</v>
      </c>
      <c r="B37" s="9" t="inlineStr">
        <is>
          <t>EM-TK-PWD-09</t>
        </is>
      </c>
      <c r="C37" s="9" t="inlineStr">
        <is>
          <t>FR-VIII-26 E4 ERR-PWD-04</t>
        </is>
      </c>
      <c r="D37" s="9" t="inlineStr">
        <is>
          <t>Quên mật khẩu / Claim</t>
        </is>
      </c>
      <c r="E37" s="10" t="inlineStr">
        <is>
          <t>P0</t>
        </is>
      </c>
      <c r="F37" s="9" t="inlineStr">
        <is>
          <t>Workflow/Negative</t>
        </is>
      </c>
      <c r="G37" s="9" t="inlineStr">
        <is>
          <t>Token reset đã sử dụng</t>
        </is>
      </c>
      <c r="H37" s="9" t="inlineStr">
        <is>
          <t>User bất kỳ</t>
        </is>
      </c>
      <c r="I37" s="9" t="inlineStr">
        <is>
          <t>Đăng nhập &gt; Quên mật khẩu</t>
        </is>
      </c>
      <c r="J37" s="9" t="inlineStr">
        <is>
          <t>Token đã dùng thành công một lần.</t>
        </is>
      </c>
      <c r="K37" s="9" t="inlineStr">
        <is>
          <t>URL token đã dùng</t>
        </is>
      </c>
      <c r="L37"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7" s="9" t="inlineStr">
        <is>
          <t>Hiển thị 'Link đặt mật khẩu đã được sử dụng. Vui lòng yêu cầu link mới'; không đổi lại mật khẩu.</t>
        </is>
      </c>
      <c r="N37" s="9" t="inlineStr">
        <is>
          <t>TAI_KHOAN.email</t>
        </is>
      </c>
      <c r="O37" s="9" t="inlineStr">
        <is>
          <t>To: email theo nguồn đã nêu nếu hợp lệ</t>
        </is>
      </c>
      <c r="P37" s="9" t="inlineStr">
        <is>
          <t>Email cũ/email DN khác/user khác</t>
        </is>
      </c>
      <c r="Q37" s="9" t="inlineStr">
        <is>
          <t>Kiểm tra lookup đúng nhánh; token_reset_mk/token_het_han; queue/SMTP; password hash; trạng thái; AUDIT_LOG PASSWORD_RESET/ACCOUNT_ACTIVATE/DN_CLAIM.</t>
        </is>
      </c>
      <c r="R37" s="9" t="inlineStr">
        <is>
          <t>Thu hồi token còn sống; reset fixture về mật khẩu chuẩn.</t>
        </is>
      </c>
      <c r="S37" s="9" t="inlineStr"/>
      <c r="T37" s="9" t="inlineStr"/>
      <c r="U37" s="12" t="inlineStr">
        <is>
          <t>Not Run</t>
        </is>
      </c>
      <c r="V37" s="9" t="inlineStr"/>
      <c r="W37" s="9" t="inlineStr"/>
      <c r="X37" s="9" t="inlineStr"/>
    </row>
    <row r="38">
      <c r="A38" s="9" t="n">
        <v>37</v>
      </c>
      <c r="B38" s="9" t="inlineStr">
        <is>
          <t>EM-TK-PWD-10</t>
        </is>
      </c>
      <c r="C38" s="9" t="inlineStr">
        <is>
          <t>FR-VIII-26 E5 ERR-PWD-05</t>
        </is>
      </c>
      <c r="D38" s="9" t="inlineStr">
        <is>
          <t>Quên mật khẩu / Claim</t>
        </is>
      </c>
      <c r="E38" s="10" t="inlineStr">
        <is>
          <t>P0</t>
        </is>
      </c>
      <c r="F38" s="9" t="inlineStr">
        <is>
          <t>Workflow/Negative</t>
        </is>
      </c>
      <c r="G38" s="9" t="inlineStr">
        <is>
          <t>Mật khẩu mới yếu</t>
        </is>
      </c>
      <c r="H38" s="9" t="inlineStr">
        <is>
          <t>User bất kỳ</t>
        </is>
      </c>
      <c r="I38" s="9" t="inlineStr">
        <is>
          <t>Đăng nhập &gt; Quên mật khẩu</t>
        </is>
      </c>
      <c r="J38" s="9" t="inlineStr">
        <is>
          <t>Token còn hiệu lực.</t>
        </is>
      </c>
      <c r="K38" s="9" t="inlineStr">
        <is>
          <t>password = 12345678</t>
        </is>
      </c>
      <c r="L38"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8" s="9" t="inlineStr">
        <is>
          <t>Hiển thị 'Mật khẩu chưa đủ mạnh'; hash/trạng thái không đổi. Token không được tiêu thụ để user có thể sửa và submit lại.</t>
        </is>
      </c>
      <c r="N38" s="9" t="inlineStr">
        <is>
          <t>TAI_KHOAN.email</t>
        </is>
      </c>
      <c r="O38" s="9" t="inlineStr">
        <is>
          <t>To: email theo nguồn đã nêu nếu hợp lệ</t>
        </is>
      </c>
      <c r="P38" s="9" t="inlineStr">
        <is>
          <t>Email cũ/email DN khác/user khác</t>
        </is>
      </c>
      <c r="Q38" s="9" t="inlineStr">
        <is>
          <t>Kiểm tra lookup đúng nhánh; token_reset_mk/token_het_han; queue/SMTP; password hash; trạng thái; AUDIT_LOG PASSWORD_RESET/ACCOUNT_ACTIVATE/DN_CLAIM.</t>
        </is>
      </c>
      <c r="R38" s="9" t="inlineStr">
        <is>
          <t>Thu hồi token còn sống; reset fixture về mật khẩu chuẩn.</t>
        </is>
      </c>
      <c r="S38" s="9" t="inlineStr"/>
      <c r="T38" s="9" t="inlineStr"/>
      <c r="U38" s="12" t="inlineStr">
        <is>
          <t>Not Run</t>
        </is>
      </c>
      <c r="V38" s="9" t="inlineStr"/>
      <c r="W38" s="9" t="inlineStr"/>
      <c r="X38" s="9" t="inlineStr"/>
    </row>
    <row r="39">
      <c r="A39" s="9" t="n">
        <v>38</v>
      </c>
      <c r="B39" s="9" t="inlineStr">
        <is>
          <t>EM-TK-PWD-11</t>
        </is>
      </c>
      <c r="C39" s="9" t="inlineStr">
        <is>
          <t>FR-VIII-26 E6 ERR-PWD-06</t>
        </is>
      </c>
      <c r="D39" s="9" t="inlineStr">
        <is>
          <t>Quên mật khẩu / Claim</t>
        </is>
      </c>
      <c r="E39" s="10" t="inlineStr">
        <is>
          <t>P0</t>
        </is>
      </c>
      <c r="F39" s="9" t="inlineStr">
        <is>
          <t>Workflow/Negative</t>
        </is>
      </c>
      <c r="G39" s="9" t="inlineStr">
        <is>
          <t>Xác nhận mật khẩu không khớp</t>
        </is>
      </c>
      <c r="H39" s="9" t="inlineStr">
        <is>
          <t>User bất kỳ</t>
        </is>
      </c>
      <c r="I39" s="9" t="inlineStr">
        <is>
          <t>Đăng nhập &gt; Quên mật khẩu</t>
        </is>
      </c>
      <c r="J39" s="9" t="inlineStr">
        <is>
          <t>Token còn hiệu lực.</t>
        </is>
      </c>
      <c r="K39" s="9" t="inlineStr">
        <is>
          <t>New@Test123 / Different@Test123</t>
        </is>
      </c>
      <c r="L39" s="9" t="inlineStr">
        <is>
          <t>1. Dọn inbox và ghi baseline TK/token/queue.
2. Mở Quên mật khẩu.
3. Nhập Tên đăng nhập theo Test Data, bấm gửi.
4. Kiểm tra UI và inbox.
5. Nếu có link: mở link, thao tác theo case.
6. Kiểm tra UI/API/token/audit và thử đăng nhập khi cần.</t>
        </is>
      </c>
      <c r="M39" s="9" t="inlineStr">
        <is>
          <t>Hiển thị 'Mật khẩu xác nhận không khớp'; không đổi hash/trạng thái; token chưa dùng.</t>
        </is>
      </c>
      <c r="N39" s="9" t="inlineStr">
        <is>
          <t>TAI_KHOAN.email</t>
        </is>
      </c>
      <c r="O39" s="9" t="inlineStr">
        <is>
          <t>To: email theo nguồn đã nêu nếu hợp lệ</t>
        </is>
      </c>
      <c r="P39" s="9" t="inlineStr">
        <is>
          <t>Email cũ/email DN khác/user khác</t>
        </is>
      </c>
      <c r="Q39" s="9" t="inlineStr">
        <is>
          <t>Kiểm tra lookup đúng nhánh; token_reset_mk/token_het_han; queue/SMTP; password hash; trạng thái; AUDIT_LOG PASSWORD_RESET/ACCOUNT_ACTIVATE/DN_CLAIM.</t>
        </is>
      </c>
      <c r="R39" s="9" t="inlineStr">
        <is>
          <t>Thu hồi token còn sống; reset fixture về mật khẩu chuẩn.</t>
        </is>
      </c>
      <c r="S39" s="9" t="inlineStr"/>
      <c r="T39" s="9" t="inlineStr"/>
      <c r="U39" s="12" t="inlineStr">
        <is>
          <t>Not Run</t>
        </is>
      </c>
      <c r="V39" s="9" t="inlineStr"/>
      <c r="W39" s="9" t="inlineStr"/>
      <c r="X39" s="9" t="inlineStr"/>
    </row>
    <row r="40">
      <c r="A40" s="9" t="n">
        <v>39</v>
      </c>
      <c r="B40" s="9" t="inlineStr">
        <is>
          <t>EM-TK-CHG-01</t>
        </is>
      </c>
      <c r="C40" s="9" t="inlineStr">
        <is>
          <t>FR-VIII-15 / SCR-VIII-03 / BR-AUTH-EMAIL-01</t>
        </is>
      </c>
      <c r="D40" s="9" t="inlineStr">
        <is>
          <t>Đổi email tài khoản</t>
        </is>
      </c>
      <c r="E40" s="13" t="inlineStr">
        <is>
          <t>P1</t>
        </is>
      </c>
      <c r="F40" s="9" t="inlineStr">
        <is>
          <t>Workflow/Negative</t>
        </is>
      </c>
      <c r="G40" s="9" t="inlineStr">
        <is>
          <t>Đổi email tài khoản độc lập email DN</t>
        </is>
      </c>
      <c r="H40" s="9" t="inlineStr">
        <is>
          <t>QTHT</t>
        </is>
      </c>
      <c r="I40" s="9" t="inlineStr">
        <is>
          <t>Quản trị hệ thống &gt; Tài khoản &gt; Sửa</t>
        </is>
      </c>
      <c r="J40" s="9" t="inlineStr">
        <is>
          <t>Có TK và dữ liệu theo Test Data.</t>
        </is>
      </c>
      <c r="K40" s="9" t="inlineStr">
        <is>
          <t>TK old=MB_TK_OLD; DN=MB_DN_CONTACT; new=MB_TK_NEW</t>
        </is>
      </c>
      <c r="L40" s="9" t="inlineStr">
        <is>
          <t>1. QTHT mở form Sửa tài khoản.
2. Ghi email TK và DN trước test.
3. Sửa Email theo Test Data và lưu.
4. Reload và phát sinh notification/reset nếu case yêu cầu.
5. Kiểm tra UI/API/inbox; với CHG-06 mở Nhật ký hệ thống, lọc thao tác Sửa của đúng QTHT/entity rồi expand Chi tiết thay đổi.</t>
        </is>
      </c>
      <c r="M40" s="9" t="inlineStr">
        <is>
          <t>1. Form Sửa có trường Email theo SCR-VIII-03.
2-5. TAI_KHOAN.email=new; DOANH_NGHIEP.email giữ nguyên; không OTP/duyệt.</t>
        </is>
      </c>
      <c r="N40" s="9" t="inlineStr">
        <is>
          <t>TAI_KHOAN.email</t>
        </is>
      </c>
      <c r="O40" s="9" t="inlineStr">
        <is>
          <t>Email mới khi action thành công</t>
        </is>
      </c>
      <c r="P40" s="9" t="inlineStr">
        <is>
          <t>Email cũ và DOANH_NGHIEP.email trừ khi trùng giá trị</t>
        </is>
      </c>
      <c r="Q40" s="9" t="inlineStr">
        <is>
          <t>UI/API; TAI_KHOAN.email; DOANH_NGHIEP.email; Gmail; CHG-06 kiểm trên màn Nhật ký hệ thống.</t>
        </is>
      </c>
      <c r="R40" s="9" t="inlineStr">
        <is>
          <t>—</t>
        </is>
      </c>
      <c r="S40" s="9" t="inlineStr"/>
      <c r="T40" s="9" t="inlineStr"/>
      <c r="U40" s="12" t="inlineStr">
        <is>
          <t>Not Run</t>
        </is>
      </c>
      <c r="V40" s="9" t="inlineStr"/>
      <c r="W40" s="9" t="inlineStr"/>
      <c r="X40" s="9" t="inlineStr"/>
    </row>
    <row r="41">
      <c r="A41" s="9" t="n">
        <v>40</v>
      </c>
      <c r="B41" s="9" t="inlineStr">
        <is>
          <t>EM-TK-CHG-02</t>
        </is>
      </c>
      <c r="C41" s="9" t="inlineStr">
        <is>
          <t>FR-VIII-15 / SCR-VIII-03 / BR-AUTH-EMAIL-01</t>
        </is>
      </c>
      <c r="D41" s="9" t="inlineStr">
        <is>
          <t>Đổi email tài khoản</t>
        </is>
      </c>
      <c r="E41" s="13" t="inlineStr">
        <is>
          <t>P1</t>
        </is>
      </c>
      <c r="F41" s="9" t="inlineStr">
        <is>
          <t>Workflow/Negative</t>
        </is>
      </c>
      <c r="G41" s="9" t="inlineStr">
        <is>
          <t>Đổi sang email tài khoản đã tồn tại</t>
        </is>
      </c>
      <c r="H41" s="9" t="inlineStr">
        <is>
          <t>QTHT</t>
        </is>
      </c>
      <c r="I41" s="9" t="inlineStr">
        <is>
          <t>Quản trị hệ thống &gt; Tài khoản &gt; Sửa</t>
        </is>
      </c>
      <c r="J41" s="9" t="inlineStr">
        <is>
          <t>Có TK và dữ liệu theo Test Data.</t>
        </is>
      </c>
      <c r="K41" s="9" t="inlineStr">
        <is>
          <t>new=MB_TK_CURRENT đã thuộc TK khác</t>
        </is>
      </c>
      <c r="L41" s="9" t="inlineStr">
        <is>
          <t>1. QTHT mở form Sửa tài khoản.
2. Ghi email TK và DN trước test.
3. Sửa Email theo Test Data và lưu.
4. Reload và phát sinh notification/reset nếu case yêu cầu.
5. Kiểm tra UI/API/inbox; với CHG-06 mở Nhật ký hệ thống, lọc thao tác Sửa của đúng QTHT/entity rồi expand Chi tiết thay đổi.</t>
        </is>
      </c>
      <c r="M41" s="9" t="inlineStr">
        <is>
          <t>1. Form Sửa có trường Email theo SCR-VIII-03.
2-5. Từ chối unique; cả hai email cũ giữ nguyên.</t>
        </is>
      </c>
      <c r="N41" s="9" t="inlineStr">
        <is>
          <t>TAI_KHOAN.email</t>
        </is>
      </c>
      <c r="O41" s="9" t="inlineStr">
        <is>
          <t>Email mới khi action thành công</t>
        </is>
      </c>
      <c r="P41" s="9" t="inlineStr">
        <is>
          <t>Email cũ và DOANH_NGHIEP.email trừ khi trùng giá trị</t>
        </is>
      </c>
      <c r="Q41" s="9" t="inlineStr">
        <is>
          <t>UI/API; TAI_KHOAN.email; DOANH_NGHIEP.email; Gmail; CHG-06 kiểm trên màn Nhật ký hệ thống.</t>
        </is>
      </c>
      <c r="R41" s="9" t="inlineStr">
        <is>
          <t>—</t>
        </is>
      </c>
      <c r="S41" s="9" t="inlineStr"/>
      <c r="T41" s="9" t="inlineStr"/>
      <c r="U41" s="12" t="inlineStr">
        <is>
          <t>Not Run</t>
        </is>
      </c>
      <c r="V41" s="9" t="inlineStr"/>
      <c r="W41" s="9" t="inlineStr"/>
      <c r="X41" s="9" t="inlineStr"/>
    </row>
    <row r="42">
      <c r="A42" s="9" t="n">
        <v>41</v>
      </c>
      <c r="B42" s="9" t="inlineStr">
        <is>
          <t>EM-TK-CHG-03</t>
        </is>
      </c>
      <c r="C42" s="9" t="inlineStr">
        <is>
          <t>FR-VIII-15 / SCR-VIII-03 / BR-AUTH-EMAIL-01</t>
        </is>
      </c>
      <c r="D42" s="9" t="inlineStr">
        <is>
          <t>Đổi email tài khoản</t>
        </is>
      </c>
      <c r="E42" s="13" t="inlineStr">
        <is>
          <t>P1</t>
        </is>
      </c>
      <c r="F42" s="9" t="inlineStr">
        <is>
          <t>Workflow/Negative</t>
        </is>
      </c>
      <c r="G42" s="9" t="inlineStr">
        <is>
          <t>Đổi sang email sai format</t>
        </is>
      </c>
      <c r="H42" s="9" t="inlineStr">
        <is>
          <t>QTHT</t>
        </is>
      </c>
      <c r="I42" s="9" t="inlineStr">
        <is>
          <t>Quản trị hệ thống &gt; Tài khoản &gt; Sửa</t>
        </is>
      </c>
      <c r="J42" s="9" t="inlineStr">
        <is>
          <t>Có TK và dữ liệu theo Test Data.</t>
        </is>
      </c>
      <c r="K42" s="9" t="inlineStr">
        <is>
          <t>new=invalid-email</t>
        </is>
      </c>
      <c r="L42" s="9" t="inlineStr">
        <is>
          <t>1. QTHT mở form Sửa tài khoản.
2. Ghi email TK và DN trước test.
3. Sửa Email theo Test Data và lưu.
4. Reload và phát sinh notification/reset nếu case yêu cầu.
5. Kiểm tra UI/API/inbox; với CHG-06 mở Nhật ký hệ thống, lọc thao tác Sửa của đúng QTHT/entity rồi expand Chi tiết thay đổi.</t>
        </is>
      </c>
      <c r="M42" s="9" t="inlineStr">
        <is>
          <t>1. Form Sửa có trường Email theo SCR-VIII-03.
2-5. Từ chối format; UI/API không đổi.</t>
        </is>
      </c>
      <c r="N42" s="9" t="inlineStr">
        <is>
          <t>TAI_KHOAN.email</t>
        </is>
      </c>
      <c r="O42" s="9" t="inlineStr">
        <is>
          <t>Email mới khi action thành công</t>
        </is>
      </c>
      <c r="P42" s="9" t="inlineStr">
        <is>
          <t>Email cũ và DOANH_NGHIEP.email trừ khi trùng giá trị</t>
        </is>
      </c>
      <c r="Q42" s="9" t="inlineStr">
        <is>
          <t>UI/API; TAI_KHOAN.email; DOANH_NGHIEP.email; Gmail; CHG-06 kiểm trên màn Nhật ký hệ thống.</t>
        </is>
      </c>
      <c r="R42" s="9" t="inlineStr">
        <is>
          <t>—</t>
        </is>
      </c>
      <c r="S42" s="9" t="inlineStr"/>
      <c r="T42" s="9" t="inlineStr"/>
      <c r="U42" s="12" t="inlineStr">
        <is>
          <t>Not Run</t>
        </is>
      </c>
      <c r="V42" s="9" t="inlineStr"/>
      <c r="W42" s="9" t="inlineStr"/>
      <c r="X42" s="9" t="inlineStr"/>
    </row>
    <row r="43">
      <c r="A43" s="9" t="n">
        <v>42</v>
      </c>
      <c r="B43" s="9" t="inlineStr">
        <is>
          <t>EM-TK-CHG-04</t>
        </is>
      </c>
      <c r="C43" s="9" t="inlineStr">
        <is>
          <t>FR-VIII-15 / SCR-VIII-03 / BR-AUTH-EMAIL-01</t>
        </is>
      </c>
      <c r="D43" s="9" t="inlineStr">
        <is>
          <t>Đổi email tài khoản</t>
        </is>
      </c>
      <c r="E43" s="13" t="inlineStr">
        <is>
          <t>P1</t>
        </is>
      </c>
      <c r="F43" s="9" t="inlineStr">
        <is>
          <t>Workflow/Negative</t>
        </is>
      </c>
      <c r="G43" s="9" t="inlineStr">
        <is>
          <t>Notification sau đổi gửi email tài khoản mới</t>
        </is>
      </c>
      <c r="H43" s="9" t="inlineStr">
        <is>
          <t>QTHT</t>
        </is>
      </c>
      <c r="I43" s="9" t="inlineStr">
        <is>
          <t>Quản trị hệ thống &gt; Tài khoản &gt; Sửa</t>
        </is>
      </c>
      <c r="J43" s="9" t="inlineStr">
        <is>
          <t>Có TK và dữ liệu theo Test Data.</t>
        </is>
      </c>
      <c r="K43" s="9" t="inlineStr">
        <is>
          <t>old/new + trigger workflow</t>
        </is>
      </c>
      <c r="L43" s="9" t="inlineStr">
        <is>
          <t>1. QTHT mở form Sửa tài khoản.
2. Ghi email TK và DN trước test.
3. Sửa Email theo Test Data và lưu.
4. Reload và phát sinh notification/reset nếu case yêu cầu.
5. Kiểm tra UI/API/inbox; với CHG-06 mở Nhật ký hệ thống, lọc thao tác Sửa của đúng QTHT/entity rồi expand Chi tiết thay đổi.</t>
        </is>
      </c>
      <c r="M43" s="9" t="inlineStr">
        <is>
          <t>1. Form Sửa có trường Email theo SCR-VIII-03.
2-5. Chỉ email mới nhận notification; email DN và email cũ không nhận.</t>
        </is>
      </c>
      <c r="N43" s="9" t="inlineStr">
        <is>
          <t>TAI_KHOAN.email</t>
        </is>
      </c>
      <c r="O43" s="9" t="inlineStr">
        <is>
          <t>Email mới khi action thành công</t>
        </is>
      </c>
      <c r="P43" s="9" t="inlineStr">
        <is>
          <t>Email cũ và DOANH_NGHIEP.email trừ khi trùng giá trị</t>
        </is>
      </c>
      <c r="Q43" s="9" t="inlineStr">
        <is>
          <t>UI/API; TAI_KHOAN.email; DOANH_NGHIEP.email; Gmail; CHG-06 kiểm trên màn Nhật ký hệ thống.</t>
        </is>
      </c>
      <c r="R43" s="9" t="inlineStr">
        <is>
          <t>—</t>
        </is>
      </c>
      <c r="S43" s="9" t="inlineStr"/>
      <c r="T43" s="9" t="inlineStr"/>
      <c r="U43" s="12" t="inlineStr">
        <is>
          <t>Not Run</t>
        </is>
      </c>
      <c r="V43" s="9" t="inlineStr"/>
      <c r="W43" s="9" t="inlineStr"/>
      <c r="X43" s="9" t="inlineStr"/>
    </row>
    <row r="44">
      <c r="A44" s="9" t="n">
        <v>43</v>
      </c>
      <c r="B44" s="9" t="inlineStr">
        <is>
          <t>EM-TK-CHG-05</t>
        </is>
      </c>
      <c r="C44" s="9" t="inlineStr">
        <is>
          <t>FR-VIII-15 / SCR-VIII-03 / BR-AUTH-EMAIL-01 / FR-VIII-26 srs-fr-10:1313-1323,1339</t>
        </is>
      </c>
      <c r="D44" s="9" t="inlineStr">
        <is>
          <t>Đổi email tài khoản</t>
        </is>
      </c>
      <c r="E44" s="13" t="inlineStr">
        <is>
          <t>P1</t>
        </is>
      </c>
      <c r="F44" s="9" t="inlineStr">
        <is>
          <t>Workflow/Negative</t>
        </is>
      </c>
      <c r="G44" s="9" t="inlineStr">
        <is>
          <t>Reset sau đổi gửi email tài khoản mới</t>
        </is>
      </c>
      <c r="H44" s="9" t="inlineStr">
        <is>
          <t>QTHT</t>
        </is>
      </c>
      <c r="I44" s="9" t="inlineStr">
        <is>
          <t>Quản trị hệ thống &gt; Tài khoản &gt; Sửa</t>
        </is>
      </c>
      <c r="J44" s="9" t="inlineStr">
        <is>
          <t>Có TK và dữ liệu theo Test Data.</t>
        </is>
      </c>
      <c r="K44" s="9" t="inlineStr">
        <is>
          <t>old/new + Quên mật khẩu</t>
        </is>
      </c>
      <c r="L44" s="9" t="inlineStr">
        <is>
          <t>1. QTHT mở form Sửa tài khoản; ghi email cũ và email DN.
2. Đổi sang email mới và lưu; reload xác nhận.
3. Mở Quên mật khẩu, nhập email mới và gửi yêu cầu; ghi mốc thời gian.
4. Kiểm Gmail: email mới nhận đúng một link reset, email cũ không nhận.
5. Gửi lại yêu cầu bằng email cũ; kiểm thông báo trung tính ERR-PWD-01 và không mailbox nào nhận thêm thư.</t>
        </is>
      </c>
      <c r="M44" s="9" t="inlineStr">
        <is>
          <t>1. Form Sửa có trường Email theo SCR-VIII-03.
2-5. Chỉ email mới nhận link reset.</t>
        </is>
      </c>
      <c r="N44" s="9" t="inlineStr">
        <is>
          <t>TAI_KHOAN.email</t>
        </is>
      </c>
      <c r="O44" s="9" t="inlineStr">
        <is>
          <t>Email mới khi action thành công</t>
        </is>
      </c>
      <c r="P44" s="9" t="inlineStr">
        <is>
          <t>Email cũ và DOANH_NGHIEP.email trừ khi trùng giá trị</t>
        </is>
      </c>
      <c r="Q44" s="9" t="inlineStr">
        <is>
          <t>UI/API; TAI_KHOAN.email; DOANH_NGHIEP.email; Gmail; CHG-06 kiểm trên màn Nhật ký hệ thống.</t>
        </is>
      </c>
      <c r="R44" s="9" t="inlineStr">
        <is>
          <t>—</t>
        </is>
      </c>
      <c r="S44" s="9" t="inlineStr"/>
      <c r="T44" s="9" t="inlineStr"/>
      <c r="U44" s="12" t="inlineStr">
        <is>
          <t>Not Run</t>
        </is>
      </c>
      <c r="V44" s="9" t="inlineStr"/>
      <c r="W44" s="9" t="inlineStr"/>
      <c r="X44" s="9" t="inlineStr"/>
    </row>
    <row r="45">
      <c r="A45" s="9" t="n">
        <v>44</v>
      </c>
      <c r="B45" s="9" t="inlineStr">
        <is>
          <t>EM-TK-CHG-06</t>
        </is>
      </c>
      <c r="C45" s="9" t="inlineStr">
        <is>
          <t>FR-VIII-15 / SCR-VIII-03 / BR-AUTH-EMAIL-01 / FR-VIII-28 / SCR-VIII-10 srs-fr-10:1370-1428,1969-1990</t>
        </is>
      </c>
      <c r="D45" s="9" t="inlineStr">
        <is>
          <t>Đổi email tài khoản</t>
        </is>
      </c>
      <c r="E45" s="13" t="inlineStr">
        <is>
          <t>P1</t>
        </is>
      </c>
      <c r="F45" s="9" t="inlineStr">
        <is>
          <t>Workflow/Negative</t>
        </is>
      </c>
      <c r="G45" s="9" t="inlineStr">
        <is>
          <t>Audit thay đổi email tài khoản</t>
        </is>
      </c>
      <c r="H45" s="9" t="inlineStr">
        <is>
          <t>QTHT</t>
        </is>
      </c>
      <c r="I45" s="9" t="inlineStr">
        <is>
          <t>Quản trị hệ thống &gt; Tài khoản &gt; Sửa</t>
        </is>
      </c>
      <c r="J45" s="9" t="inlineStr">
        <is>
          <t>Có TK và dữ liệu theo Test Data.</t>
        </is>
      </c>
      <c r="K45" s="9" t="inlineStr">
        <is>
          <t>old/new</t>
        </is>
      </c>
      <c r="L45" s="9" t="inlineStr">
        <is>
          <t>1. QTHT mở form Sửa tài khoản.
2. Ghi email TK và DN trước test.
3. Sửa Email theo Test Data và lưu.
4. Reload và phát sinh notification/reset nếu case yêu cầu.
5. Kiểm tra UI/API/inbox; với CHG-06 mở Nhật ký hệ thống, lọc thao tác Sửa của đúng QTHT/entity rồi expand Chi tiết thay đổi.</t>
        </is>
      </c>
      <c r="M45" s="9" t="inlineStr">
        <is>
          <t>1. Form Sửa có trường Email theo SCR-VIII-03.
2-5. Nhật ký hiển thị đúng actor, thời gian, entity/mã bản ghi, loại Sửa và JSON diff email old→new; read-only.</t>
        </is>
      </c>
      <c r="N45" s="9" t="inlineStr">
        <is>
          <t>TAI_KHOAN.email</t>
        </is>
      </c>
      <c r="O45" s="9" t="inlineStr">
        <is>
          <t>Email mới khi action thành công</t>
        </is>
      </c>
      <c r="P45" s="9" t="inlineStr">
        <is>
          <t>Email cũ và DOANH_NGHIEP.email trừ khi trùng giá trị</t>
        </is>
      </c>
      <c r="Q45" s="9" t="inlineStr">
        <is>
          <t>UI/API; TAI_KHOAN.email; DOANH_NGHIEP.email; Gmail; CHG-06 kiểm trên màn Nhật ký hệ thống.</t>
        </is>
      </c>
      <c r="R45" s="9" t="inlineStr">
        <is>
          <t>—</t>
        </is>
      </c>
      <c r="S45" s="9" t="inlineStr"/>
      <c r="T45" s="9" t="inlineStr"/>
      <c r="U45" s="12" t="inlineStr">
        <is>
          <t>Not Run</t>
        </is>
      </c>
      <c r="V45" s="9" t="inlineStr"/>
      <c r="W45" s="9" t="inlineStr"/>
      <c r="X45" s="9" t="inlineStr"/>
    </row>
    <row r="46">
      <c r="A46" s="9" t="n">
        <v>45</v>
      </c>
      <c r="B46" s="9" t="inlineStr">
        <is>
          <t>EM-TK-2FA-01</t>
        </is>
      </c>
      <c r="C46" s="9" t="inlineStr">
        <is>
          <t>BR-AUTH-01 canonical srs-v3.5:5582,5596 vs FR-VIII-20 srs-fr-10:901-974</t>
        </is>
      </c>
      <c r="D46" s="9" t="inlineStr">
        <is>
          <t>Đăng nhập 2FA</t>
        </is>
      </c>
      <c r="E46" s="10" t="inlineStr">
        <is>
          <t>P0</t>
        </is>
      </c>
      <c r="F46" s="9" t="inlineStr">
        <is>
          <t>Security</t>
        </is>
      </c>
      <c r="G46" s="9" t="inlineStr">
        <is>
          <t>Bắt buộc yếu tố thứ hai sau username/password đúng</t>
        </is>
      </c>
      <c r="H46" s="9" t="inlineStr">
        <is>
          <t>Cán bộ nội bộ</t>
        </is>
      </c>
      <c r="I46" s="9" t="inlineStr">
        <is>
          <t>Màn đăng nhập Tier 1</t>
        </is>
      </c>
      <c r="J46" s="9" t="inlineStr">
        <is>
          <t>Tài khoản nội bộ HOAT_DONG; username/password đúng.</t>
        </is>
      </c>
      <c r="K46" s="9" t="inlineStr">
        <is>
          <t>CB nội bộ HOAT_DONG</t>
        </is>
      </c>
      <c r="L46" s="9" t="inlineStr">
        <is>
          <t>1. Dọn mailbox/chuẩn bị authenticator.
2. Nhập username/password đúng.
3. Quan sát nguồn nhận mã.
4. Nhập mã theo Test Data.
5. Kiểm tra session, login audit và mailbox.</t>
        </is>
      </c>
      <c r="M46" s="9" t="inlineStr">
        <is>
          <t>1-2. Qua bước mật khẩu.
3. Hệ thống PHẢI yêu cầu yếu tố thứ hai trước khi cấp session/JWT; đăng nhập thẳng sau bước mật khẩu là Fail. Ghi kênh nhận mã thực tế làm bằng chứng nhưng không chấm đúng/sai kênh — chờ BA tại GAP-EMAIL-01.
4-5. Ghi Actual, kênh triển khai và bằng chứng session/mailbox theo phạm vi case.</t>
        </is>
      </c>
      <c r="N46" s="9" t="inlineStr">
        <is>
          <t>Kênh triển khai thực tế; chờ BA chốt email hay authenticator</t>
        </is>
      </c>
      <c r="O46" s="9" t="inlineStr">
        <is>
          <t>Ghi Actual</t>
        </is>
      </c>
      <c r="P46" s="9" t="inlineStr">
        <is>
          <t>User khác</t>
        </is>
      </c>
      <c r="Q46" s="9" t="inlineStr">
        <is>
          <t>Session/JWT chỉ sinh sau 2FA; LOGIN audit; OTP/token không lộ log.</t>
        </is>
      </c>
      <c r="R46" s="9" t="inlineStr">
        <is>
          <t>—</t>
        </is>
      </c>
      <c r="S46" s="9" t="inlineStr"/>
      <c r="T46" s="9" t="inlineStr"/>
      <c r="U46" s="12" t="inlineStr">
        <is>
          <t>Not Run</t>
        </is>
      </c>
      <c r="V46" s="9" t="inlineStr"/>
      <c r="W46" s="9" t="inlineStr"/>
      <c r="X46" s="9" t="inlineStr">
        <is>
          <t>BR-AUTH-01 canonical yêu cầu email nhưng FR-VIII-20 vẫn ghi ứng dụng xác thực; build thiếu hoàn toàn yếu tố thứ hai là Fail nếu chưa có BA de-scope bằng văn bản.</t>
        </is>
      </c>
    </row>
    <row r="47">
      <c r="A47" s="9" t="n">
        <v>46</v>
      </c>
      <c r="B47" s="9" t="inlineStr">
        <is>
          <t>EM-TK-2FA-02</t>
        </is>
      </c>
      <c r="C47" s="9" t="inlineStr">
        <is>
          <t>BR-AUTH-01 canonical srs-v3.5:5582,5596 vs FR-VIII-20 srs-fr-10:901-974</t>
        </is>
      </c>
      <c r="D47" s="9" t="inlineStr">
        <is>
          <t>Đăng nhập 2FA</t>
        </is>
      </c>
      <c r="E47" s="10" t="inlineStr">
        <is>
          <t>P0</t>
        </is>
      </c>
      <c r="F47" s="9" t="inlineStr">
        <is>
          <t>Security</t>
        </is>
      </c>
      <c r="G47" s="9" t="inlineStr">
        <is>
          <t>Mã 2FA đúng</t>
        </is>
      </c>
      <c r="H47" s="9" t="inlineStr">
        <is>
          <t>Cán bộ nội bộ</t>
        </is>
      </c>
      <c r="I47" s="9" t="inlineStr">
        <is>
          <t>Màn đăng nhập Tier 1</t>
        </is>
      </c>
      <c r="J47" s="9" t="inlineStr">
        <is>
          <t>Tài khoản nội bộ HOAT_DONG; username/password đúng.</t>
        </is>
      </c>
      <c r="K47" s="9" t="inlineStr">
        <is>
          <t>Mã 6 số hợp lệ</t>
        </is>
      </c>
      <c r="L47" s="9" t="inlineStr">
        <is>
          <t>1. Dọn mailbox/chuẩn bị authenticator.
2. Nhập username/password đúng.
3. Quan sát nguồn nhận mã.
4. Nhập mã theo Test Data.
5. Kiểm tra session, login audit và mailbox.</t>
        </is>
      </c>
      <c r="M47" s="9" t="inlineStr">
        <is>
          <t>1-2. Qua bước mật khẩu.
3. Chỉ tạo session khi mã đúng và còn hạn.
4-5. Với case 02-04 chỉ chấm hành vi mã/session, không chấm kênh nhận mã; ghi bằng chứng kênh triển khai thực tế.</t>
        </is>
      </c>
      <c r="N47" s="9" t="inlineStr">
        <is>
          <t>Kênh triển khai thực tế; chờ BA chốt email hay authenticator</t>
        </is>
      </c>
      <c r="O47" s="9" t="inlineStr">
        <is>
          <t>Ghi Actual</t>
        </is>
      </c>
      <c r="P47" s="9" t="inlineStr">
        <is>
          <t>User khác</t>
        </is>
      </c>
      <c r="Q47" s="9" t="inlineStr">
        <is>
          <t>Session/JWT chỉ sinh sau 2FA; LOGIN audit; OTP/token không lộ log.</t>
        </is>
      </c>
      <c r="R47" s="9" t="inlineStr">
        <is>
          <t>—</t>
        </is>
      </c>
      <c r="S47" s="9" t="inlineStr"/>
      <c r="T47" s="9" t="inlineStr"/>
      <c r="U47" s="12" t="inlineStr">
        <is>
          <t>Not Run</t>
        </is>
      </c>
      <c r="V47" s="9" t="inlineStr"/>
      <c r="W47" s="9" t="inlineStr"/>
      <c r="X47" s="9" t="inlineStr">
        <is>
          <t>BR-AUTH-01 canonical yêu cầu email nhưng FR-VIII-20 vẫn ghi ứng dụng xác thực; build thiếu hoàn toàn yếu tố thứ hai là Fail nếu chưa có BA de-scope bằng văn bản.</t>
        </is>
      </c>
    </row>
    <row r="48">
      <c r="A48" s="9" t="n">
        <v>47</v>
      </c>
      <c r="B48" s="9" t="inlineStr">
        <is>
          <t>EM-TK-2FA-03</t>
        </is>
      </c>
      <c r="C48" s="9" t="inlineStr">
        <is>
          <t>BR-AUTH-01 canonical srs-v3.5:5582,5596 vs FR-VIII-20 srs-fr-10:901-974</t>
        </is>
      </c>
      <c r="D48" s="9" t="inlineStr">
        <is>
          <t>Đăng nhập 2FA</t>
        </is>
      </c>
      <c r="E48" s="10" t="inlineStr">
        <is>
          <t>P0</t>
        </is>
      </c>
      <c r="F48" s="9" t="inlineStr">
        <is>
          <t>Security</t>
        </is>
      </c>
      <c r="G48" s="9" t="inlineStr">
        <is>
          <t>Mã 2FA sai</t>
        </is>
      </c>
      <c r="H48" s="9" t="inlineStr">
        <is>
          <t>Cán bộ nội bộ</t>
        </is>
      </c>
      <c r="I48" s="9" t="inlineStr">
        <is>
          <t>Màn đăng nhập Tier 1</t>
        </is>
      </c>
      <c r="J48" s="9" t="inlineStr">
        <is>
          <t>Tài khoản nội bộ HOAT_DONG; username/password đúng.</t>
        </is>
      </c>
      <c r="K48" s="9" t="inlineStr">
        <is>
          <t>000000</t>
        </is>
      </c>
      <c r="L48" s="9" t="inlineStr">
        <is>
          <t>1. Dọn mailbox/chuẩn bị authenticator.
2. Nhập username/password đúng.
3. Quan sát nguồn nhận mã.
4. Nhập mã theo Test Data.
5. Kiểm tra session, login audit và mailbox.</t>
        </is>
      </c>
      <c r="M48" s="9" t="inlineStr">
        <is>
          <t>1-2. Qua bước mật khẩu.
3. ERR-DN-08; không tạo session.
4-5. Với case 02-04 chỉ chấm hành vi mã/session, không chấm kênh nhận mã; ghi bằng chứng kênh triển khai thực tế.</t>
        </is>
      </c>
      <c r="N48" s="9" t="inlineStr">
        <is>
          <t>Kênh triển khai thực tế; chờ BA chốt email hay authenticator</t>
        </is>
      </c>
      <c r="O48" s="9" t="inlineStr">
        <is>
          <t>Ghi Actual</t>
        </is>
      </c>
      <c r="P48" s="9" t="inlineStr">
        <is>
          <t>User khác</t>
        </is>
      </c>
      <c r="Q48" s="9" t="inlineStr">
        <is>
          <t>Session/JWT chỉ sinh sau 2FA; LOGIN audit; OTP/token không lộ log.</t>
        </is>
      </c>
      <c r="R48" s="9" t="inlineStr">
        <is>
          <t>—</t>
        </is>
      </c>
      <c r="S48" s="9" t="inlineStr"/>
      <c r="T48" s="9" t="inlineStr"/>
      <c r="U48" s="12" t="inlineStr">
        <is>
          <t>Not Run</t>
        </is>
      </c>
      <c r="V48" s="9" t="inlineStr"/>
      <c r="W48" s="9" t="inlineStr"/>
      <c r="X48" s="9" t="inlineStr">
        <is>
          <t>BR-AUTH-01 canonical yêu cầu email nhưng FR-VIII-20 vẫn ghi ứng dụng xác thực; build thiếu hoàn toàn yếu tố thứ hai là Fail nếu chưa có BA de-scope bằng văn bản.</t>
        </is>
      </c>
    </row>
    <row r="49">
      <c r="A49" s="9" t="n">
        <v>48</v>
      </c>
      <c r="B49" s="9" t="inlineStr">
        <is>
          <t>EM-TK-2FA-04</t>
        </is>
      </c>
      <c r="C49" s="9" t="inlineStr">
        <is>
          <t>BR-AUTH-01 canonical srs-v3.5:5582,5596 vs FR-VIII-20 srs-fr-10:901-974</t>
        </is>
      </c>
      <c r="D49" s="9" t="inlineStr">
        <is>
          <t>Đăng nhập 2FA</t>
        </is>
      </c>
      <c r="E49" s="10" t="inlineStr">
        <is>
          <t>P0</t>
        </is>
      </c>
      <c r="F49" s="9" t="inlineStr">
        <is>
          <t>Security</t>
        </is>
      </c>
      <c r="G49" s="9" t="inlineStr">
        <is>
          <t>Mã 2FA hết hạn</t>
        </is>
      </c>
      <c r="H49" s="9" t="inlineStr">
        <is>
          <t>Cán bộ nội bộ</t>
        </is>
      </c>
      <c r="I49" s="9" t="inlineStr">
        <is>
          <t>Màn đăng nhập Tier 1</t>
        </is>
      </c>
      <c r="J49" s="9" t="inlineStr">
        <is>
          <t>Tài khoản nội bộ HOAT_DONG; username/password đúng.</t>
        </is>
      </c>
      <c r="K49" s="9" t="inlineStr">
        <is>
          <t>mã cũ</t>
        </is>
      </c>
      <c r="L49" s="9" t="inlineStr">
        <is>
          <t>1. Dọn mailbox/chuẩn bị authenticator.
2. Nhập username/password đúng.
3. Quan sát nguồn nhận mã.
4. Nhập mã theo Test Data.
5. Kiểm tra session, login audit và mailbox.</t>
        </is>
      </c>
      <c r="M49" s="9" t="inlineStr">
        <is>
          <t>1-2. Qua bước mật khẩu.
3. ERR-DN-08; không tạo session.
4-5. Với case 02-04 chỉ chấm hành vi mã/session, không chấm kênh nhận mã; ghi bằng chứng kênh triển khai thực tế.</t>
        </is>
      </c>
      <c r="N49" s="9" t="inlineStr">
        <is>
          <t>Kênh triển khai thực tế; chờ BA chốt email hay authenticator</t>
        </is>
      </c>
      <c r="O49" s="9" t="inlineStr">
        <is>
          <t>Ghi Actual</t>
        </is>
      </c>
      <c r="P49" s="9" t="inlineStr">
        <is>
          <t>User khác</t>
        </is>
      </c>
      <c r="Q49" s="9" t="inlineStr">
        <is>
          <t>Session/JWT chỉ sinh sau 2FA; LOGIN audit; OTP/token không lộ log.</t>
        </is>
      </c>
      <c r="R49" s="9" t="inlineStr">
        <is>
          <t>—</t>
        </is>
      </c>
      <c r="S49" s="9" t="inlineStr"/>
      <c r="T49" s="9" t="inlineStr"/>
      <c r="U49" s="12" t="inlineStr">
        <is>
          <t>Not Run</t>
        </is>
      </c>
      <c r="V49" s="9" t="inlineStr"/>
      <c r="W49" s="9" t="inlineStr"/>
      <c r="X49" s="9" t="inlineStr">
        <is>
          <t>BR-AUTH-01 canonical yêu cầu email nhưng FR-VIII-20 vẫn ghi ứng dụng xác thực; build thiếu hoàn toàn yếu tố thứ hai là Fail nếu chưa có BA de-scope bằng văn bản.</t>
        </is>
      </c>
    </row>
    <row r="50">
      <c r="A50" s="9" t="n">
        <v>49</v>
      </c>
      <c r="B50" s="9" t="inlineStr">
        <is>
          <t>EM-TK-2FA-05</t>
        </is>
      </c>
      <c r="C50" s="9" t="inlineStr">
        <is>
          <t>[NGOÀI SRS] BR-AUTH-01 canonical srs-v3.5:5582,5596 vs FR-VIII-20 srs-fr-10:901-974; resend/rate-limit/TTL chưa đặc tả</t>
        </is>
      </c>
      <c r="D50" s="9" t="inlineStr">
        <is>
          <t>Đăng nhập 2FA</t>
        </is>
      </c>
      <c r="E50" s="10" t="inlineStr">
        <is>
          <t>P0</t>
        </is>
      </c>
      <c r="F50" s="9" t="inlineStr">
        <is>
          <t>Security</t>
        </is>
      </c>
      <c r="G50" s="9" t="inlineStr">
        <is>
          <t>Gửi lại/rate-limit mã email 2FA</t>
        </is>
      </c>
      <c r="H50" s="9" t="inlineStr">
        <is>
          <t>Cán bộ nội bộ</t>
        </is>
      </c>
      <c r="I50" s="9" t="inlineStr">
        <is>
          <t>Màn đăng nhập Tier 1</t>
        </is>
      </c>
      <c r="J50" s="9" t="inlineStr">
        <is>
          <t>Tài khoản nội bộ HOAT_DONG; username/password đúng.</t>
        </is>
      </c>
      <c r="K50" s="9" t="inlineStr">
        <is>
          <t>bấm gửi lại liên tục</t>
        </is>
      </c>
      <c r="L50" s="9" t="inlineStr">
        <is>
          <t>1. Dọn mailbox/chuẩn bị authenticator.
2. Nhập username/password đúng.
3. Quan sát nguồn nhận mã.
4. Nhập mã theo Test Data.
5. Kiểm tra session, login audit và mailbox.</t>
        </is>
      </c>
      <c r="M50" s="9" t="inlineStr">
        <is>
          <t>1-2. Qua bước mật khẩu.
3. [NGOÀI SRS] SRS không đặc tả gửi lại, rate-limit hoặc TTL cụ thể của mã 2FA. Ghi observation và escalate chủ sở hữu bảo mật; không log bug sai spec, không tự chấm N/A.
4-5. Ghi Actual, kênh triển khai và bằng chứng session/mailbox theo phạm vi case.</t>
        </is>
      </c>
      <c r="N50" s="9" t="inlineStr">
        <is>
          <t>Kênh triển khai thực tế; chờ BA chốt email hay authenticator</t>
        </is>
      </c>
      <c r="O50" s="9" t="inlineStr">
        <is>
          <t>Ghi Actual</t>
        </is>
      </c>
      <c r="P50" s="9" t="inlineStr">
        <is>
          <t>User khác</t>
        </is>
      </c>
      <c r="Q50" s="9" t="inlineStr">
        <is>
          <t>Session/JWT chỉ sinh sau 2FA; LOGIN audit; OTP/token không lộ log.</t>
        </is>
      </c>
      <c r="R50" s="9" t="inlineStr">
        <is>
          <t>—</t>
        </is>
      </c>
      <c r="S50" s="9" t="inlineStr"/>
      <c r="T50" s="9" t="inlineStr"/>
      <c r="U50" s="12" t="inlineStr">
        <is>
          <t>Not Run</t>
        </is>
      </c>
      <c r="V50" s="9" t="inlineStr"/>
      <c r="W50" s="9" t="inlineStr"/>
      <c r="X50" s="9" t="inlineStr">
        <is>
          <t>BR-AUTH-01 canonical yêu cầu email nhưng FR-VIII-20 vẫn ghi ứng dụng xác thực; build thiếu hoàn toàn yếu tố thứ hai là Fail nếu chưa có BA de-scope bằng văn bản.</t>
        </is>
      </c>
    </row>
  </sheetData>
  <autoFilter ref="A1:X50"/>
  <dataValidations count="1">
    <dataValidation sqref="U2:U50" showDropDown="0" showInputMessage="0" showErrorMessage="0" allowBlank="0" type="list">
      <formula1>"Not Run,Pass,Fail,Blocked"</formula1>
    </dataValidation>
  </dataValidation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34" customWidth="1" min="3" max="3"/>
    <col width="20" customWidth="1" min="4" max="4"/>
    <col width="9" customWidth="1" min="5" max="5"/>
    <col width="17" customWidth="1" min="6" max="6"/>
    <col width="38" customWidth="1" min="7" max="7"/>
    <col width="22" customWidth="1" min="8" max="8"/>
    <col width="30" customWidth="1" min="9" max="9"/>
    <col width="38" customWidth="1" min="10" max="10"/>
    <col width="34" customWidth="1" min="11" max="11"/>
    <col width="60" customWidth="1" min="12" max="12"/>
    <col width="65" customWidth="1" min="13" max="13"/>
    <col width="28" customWidth="1" min="14" max="14"/>
    <col width="30" customWidth="1" min="15" max="15"/>
    <col width="34" customWidth="1" min="16" max="16"/>
    <col width="48" customWidth="1" min="17" max="17"/>
    <col width="32" customWidth="1" min="18" max="18"/>
    <col width="36" customWidth="1" min="19" max="19"/>
    <col width="25" customWidth="1" min="20" max="20"/>
    <col width="13" customWidth="1" min="21" max="21"/>
    <col width="16" customWidth="1" min="22" max="22"/>
    <col width="20" customWidth="1" min="23" max="23"/>
    <col width="30" customWidth="1" min="24" max="24"/>
  </cols>
  <sheetData>
    <row r="1" ht="48" customHeight="1">
      <c r="A1" s="4" t="inlineStr">
        <is>
          <t>STT</t>
        </is>
      </c>
      <c r="B1" s="4" t="inlineStr">
        <is>
          <t>Test Case ID</t>
        </is>
      </c>
      <c r="C1" s="4" t="inlineStr">
        <is>
          <t>TraceID (Mã SRS)</t>
        </is>
      </c>
      <c r="D1" s="4" t="inlineStr">
        <is>
          <t>Nhóm/Feature</t>
        </is>
      </c>
      <c r="E1" s="4" t="inlineStr">
        <is>
          <t>Priority</t>
        </is>
      </c>
      <c r="F1" s="4" t="inlineStr">
        <is>
          <t>Type</t>
        </is>
      </c>
      <c r="G1" s="4" t="inlineStr">
        <is>
          <t>Tên Test Case / Mục tiêu</t>
        </is>
      </c>
      <c r="H1" s="4" t="inlineStr">
        <is>
          <t>Tác nhân</t>
        </is>
      </c>
      <c r="I1" s="4" t="inlineStr">
        <is>
          <t>Điểm bắt đầu luồng</t>
        </is>
      </c>
      <c r="J1" s="4" t="inlineStr">
        <is>
          <t>Pre-conditions (Tiền đề)</t>
        </is>
      </c>
      <c r="K1" s="4" t="inlineStr">
        <is>
          <t>Test Data (Dữ liệu)</t>
        </is>
      </c>
      <c r="L1" s="4" t="inlineStr">
        <is>
          <t>Các bước thực hiện</t>
        </is>
      </c>
      <c r="M1" s="4" t="inlineStr">
        <is>
          <t>Kết quả mong đợi theo bước</t>
        </is>
      </c>
      <c r="N1" s="4" t="inlineStr">
        <is>
          <t>Nguồn địa chỉ nhận</t>
        </is>
      </c>
      <c r="O1" s="4" t="inlineStr">
        <is>
          <t>Expected To / CC</t>
        </is>
      </c>
      <c r="P1" s="4" t="inlineStr">
        <is>
          <t>Mailbox KHÔNG được nhận</t>
        </is>
      </c>
      <c r="Q1" s="4" t="inlineStr">
        <is>
          <t>UI / API / Queue / SMTP / Audit cần kiểm tra</t>
        </is>
      </c>
      <c r="R1" s="4" t="inlineStr">
        <is>
          <t>Post-condition / Cleanup</t>
        </is>
      </c>
      <c r="S1" s="4" t="inlineStr">
        <is>
          <t>Kết quả thực tế</t>
        </is>
      </c>
      <c r="T1" s="4" t="inlineStr">
        <is>
          <t>Evidence</t>
        </is>
      </c>
      <c r="U1" s="4" t="inlineStr">
        <is>
          <t>Trạng thái</t>
        </is>
      </c>
      <c r="V1" s="4" t="inlineStr">
        <is>
          <t>Bug ID</t>
        </is>
      </c>
      <c r="W1" s="4" t="inlineStr">
        <is>
          <t>Tester / Ngày</t>
        </is>
      </c>
      <c r="X1" s="4" t="inlineStr">
        <is>
          <t>Ghi chú</t>
        </is>
      </c>
    </row>
    <row r="2">
      <c r="A2" s="9" t="n">
        <v>1</v>
      </c>
      <c r="B2" s="9" t="inlineStr">
        <is>
          <t>EM-DN-UI-01</t>
        </is>
      </c>
      <c r="C2" s="9" t="inlineStr">
        <is>
          <t>FR-V.III-NEW-03 / SCR-V.III-03 / srs-fr-07:274-327,544-601</t>
        </is>
      </c>
      <c r="D2" s="9" t="inlineStr">
        <is>
          <t>UI field verification</t>
        </is>
      </c>
      <c r="E2" s="10" t="inlineStr">
        <is>
          <t>P0</t>
        </is>
      </c>
      <c r="F2" s="9" t="inlineStr">
        <is>
          <t>UI</t>
        </is>
      </c>
      <c r="G2" s="9" t="inlineStr">
        <is>
          <t>Kiểm tra email trên form CB tạo DN</t>
        </is>
      </c>
      <c r="H2" s="9" t="inlineStr">
        <is>
          <t>CB NV</t>
        </is>
      </c>
      <c r="I2" s="9" t="inlineStr">
        <is>
          <t>Doanh nghiệp &gt; Thêm mới</t>
        </is>
      </c>
      <c r="J2" s="9" t="inlineStr">
        <is>
          <t>Có tài khoản đúng quyền; dữ liệu danh mục cần thiết đã seed.</t>
        </is>
      </c>
      <c r="K2" s="9" t="inlineStr">
        <is>
          <t>Không có.</t>
        </is>
      </c>
      <c r="L2" s="9" t="inlineStr">
        <is>
          <t>1. Đăng nhập bằng đúng vai trò.
2. Mở màn hình theo điểm bắt đầu.
3. Đối chiếu từng trường, kiểu input, required/readonly và nút với SRS.
4. Kiểm tra điều kiện hiển thị/ẩn.
5. Kiểm tra tab order, label và thông báo validation khi bỏ trống.</t>
        </is>
      </c>
      <c r="M2" s="9" t="inlineStr">
        <is>
          <t>1. Đăng nhập và phân quyền đúng.
2. Màn hình mở đúng.
3. Có đủ: Email doanh nghiệp là tùy chọn, input type email; chỉ MST + tên DN bắt buộc; không có password/username.
4. Nút/field chỉ hiện đúng điều kiện.
5. Required, readonly và validation đúng SRS.
NEGATIVE: Không được có nút gửi mail kích hoạt; field trạng thái tài khoản.</t>
        </is>
      </c>
      <c r="N2" s="9" t="inlineStr">
        <is>
          <t>—</t>
        </is>
      </c>
      <c r="O2" s="9" t="inlineStr">
        <is>
          <t>—</t>
        </is>
      </c>
      <c r="P2" s="9" t="inlineStr">
        <is>
          <t>—</t>
        </is>
      </c>
      <c r="Q2" s="9" t="inlineStr">
        <is>
          <t>Kiểm tra màn hình không thay đổi dữ liệu và không phát sinh email; queue/audit chỉ khi có quyền.</t>
        </is>
      </c>
      <c r="R2" s="9" t="inlineStr">
        <is>
          <t>—</t>
        </is>
      </c>
      <c r="S2" s="9" t="inlineStr"/>
      <c r="T2" s="9" t="inlineStr"/>
      <c r="U2" s="12" t="inlineStr">
        <is>
          <t>Not Run</t>
        </is>
      </c>
      <c r="V2" s="9" t="inlineStr"/>
      <c r="W2" s="9" t="inlineStr"/>
      <c r="X2" s="9" t="inlineStr"/>
    </row>
    <row r="3">
      <c r="A3" s="9" t="n">
        <v>2</v>
      </c>
      <c r="B3" s="9" t="inlineStr">
        <is>
          <t>EM-DN-UI-02</t>
        </is>
      </c>
      <c r="C3" s="9" t="inlineStr">
        <is>
          <t>FR-V.III-02 / SCR-V.III-02 / srs-fr-07:344-404,529</t>
        </is>
      </c>
      <c r="D3" s="9" t="inlineStr">
        <is>
          <t>UI field verification</t>
        </is>
      </c>
      <c r="E3" s="10" t="inlineStr">
        <is>
          <t>P0</t>
        </is>
      </c>
      <c r="F3" s="9" t="inlineStr">
        <is>
          <t>UI</t>
        </is>
      </c>
      <c r="G3" s="9" t="inlineStr">
        <is>
          <t>Kiểm tra email trên form DN cập nhật hồ sơ</t>
        </is>
      </c>
      <c r="H3" s="9" t="inlineStr">
        <is>
          <t>DN đăng nhập</t>
        </is>
      </c>
      <c r="I3" s="9" t="inlineStr">
        <is>
          <t>Hồ sơ doanh nghiệp &gt; Cập nhật</t>
        </is>
      </c>
      <c r="J3" s="9" t="inlineStr">
        <is>
          <t>Có tài khoản đúng quyền; dữ liệu danh mục cần thiết đã seed.</t>
        </is>
      </c>
      <c r="K3" s="9" t="inlineStr">
        <is>
          <t>Không có.</t>
        </is>
      </c>
      <c r="L3" s="9" t="inlineStr">
        <is>
          <t>1. Đăng nhập bằng đúng vai trò.
2. Mở màn hình theo điểm bắt đầu.
3. Đối chiếu từng trường, kiểu input, required/readonly và nút với SRS.
4. Kiểm tra điều kiện hiển thị/ẩn.
5. Kiểm tra tab order, label và thông báo validation khi bỏ trống.</t>
        </is>
      </c>
      <c r="M3" s="9" t="inlineStr">
        <is>
          <t>1. Đăng nhập và phân quyền đúng.
2. Màn hình mở đúng.
3. Có đủ: Email liên hệ là field tự cập nhật, tùy chọn, validate format; không OTP.
4. Nút/field chỉ hiện đúng điều kiện.
5. Required, readonly và validation đúng SRS.</t>
        </is>
      </c>
      <c r="N3" s="9" t="inlineStr">
        <is>
          <t>—</t>
        </is>
      </c>
      <c r="O3" s="9" t="inlineStr">
        <is>
          <t>—</t>
        </is>
      </c>
      <c r="P3" s="9" t="inlineStr">
        <is>
          <t>—</t>
        </is>
      </c>
      <c r="Q3" s="9" t="inlineStr">
        <is>
          <t>Kiểm tra màn hình không thay đổi dữ liệu và không phát sinh email; queue/audit chỉ khi có quyền.</t>
        </is>
      </c>
      <c r="R3" s="9" t="inlineStr">
        <is>
          <t>—</t>
        </is>
      </c>
      <c r="S3" s="9" t="inlineStr"/>
      <c r="T3" s="9" t="inlineStr"/>
      <c r="U3" s="12" t="inlineStr">
        <is>
          <t>Not Run</t>
        </is>
      </c>
      <c r="V3" s="9" t="inlineStr"/>
      <c r="W3" s="9" t="inlineStr"/>
      <c r="X3" s="9" t="inlineStr"/>
    </row>
    <row r="4">
      <c r="A4" s="9" t="n">
        <v>3</v>
      </c>
      <c r="B4" s="9" t="inlineStr">
        <is>
          <t>EM-DN-UI-03</t>
        </is>
      </c>
      <c r="C4" s="9" t="inlineStr">
        <is>
          <t>FR-VIII-22 / SCR-VIII-08</t>
        </is>
      </c>
      <c r="D4" s="9" t="inlineStr">
        <is>
          <t>UI field verification</t>
        </is>
      </c>
      <c r="E4" s="10" t="inlineStr">
        <is>
          <t>P0</t>
        </is>
      </c>
      <c r="F4" s="9" t="inlineStr">
        <is>
          <t>UI</t>
        </is>
      </c>
      <c r="G4" s="9" t="inlineStr">
        <is>
          <t>Phân biệt một ô email khi DN tự đăng ký</t>
        </is>
      </c>
      <c r="H4" s="9" t="inlineStr">
        <is>
          <t>DN chưa có TK</t>
        </is>
      </c>
      <c r="I4" s="9" t="inlineStr">
        <is>
          <t>Đăng nhập &gt; Đăng ký DN</t>
        </is>
      </c>
      <c r="J4" s="9" t="inlineStr">
        <is>
          <t>Có tài khoản đúng quyền; dữ liệu danh mục cần thiết đã seed.</t>
        </is>
      </c>
      <c r="K4" s="9" t="inlineStr">
        <is>
          <t>Không có.</t>
        </is>
      </c>
      <c r="L4" s="9" t="inlineStr">
        <is>
          <t>1. Đăng nhập bằng đúng vai trò.
2. Mở màn hình theo điểm bắt đầu.
3. Đối chiếu từng trường, kiểu input, required/readonly và nút với SRS.
4. Kiểm tra điều kiện hiển thị/ẩn.
5. Kiểm tra tab order, label và thông báo validation khi bỏ trống.</t>
        </is>
      </c>
      <c r="M4" s="9" t="inlineStr">
        <is>
          <t>1. Đăng nhập và phân quyền đúng.
2. Màn hình mở đúng.
3. Có đủ: một ô email bắt buộc; không có hai field 'Email tài khoản'/'Email liên hệ'; tooltip giải thích đồng bộ ban đầu.
4. Nút/field chỉ hiện đúng điều kiện.
5. Required, readonly và validation đúng SRS.</t>
        </is>
      </c>
      <c r="N4" s="9" t="inlineStr">
        <is>
          <t>—</t>
        </is>
      </c>
      <c r="O4" s="9" t="inlineStr">
        <is>
          <t>—</t>
        </is>
      </c>
      <c r="P4" s="9" t="inlineStr">
        <is>
          <t>—</t>
        </is>
      </c>
      <c r="Q4" s="9" t="inlineStr">
        <is>
          <t>Kiểm tra màn hình không thay đổi dữ liệu và không phát sinh email; queue/audit chỉ khi có quyền.</t>
        </is>
      </c>
      <c r="R4" s="9" t="inlineStr">
        <is>
          <t>—</t>
        </is>
      </c>
      <c r="S4" s="9" t="inlineStr"/>
      <c r="T4" s="9" t="inlineStr"/>
      <c r="U4" s="12" t="inlineStr">
        <is>
          <t>Not Run</t>
        </is>
      </c>
      <c r="V4" s="9" t="inlineStr"/>
      <c r="W4" s="9" t="inlineStr"/>
      <c r="X4" s="9" t="inlineStr"/>
    </row>
    <row r="5">
      <c r="A5" s="9" t="n">
        <v>4</v>
      </c>
      <c r="B5" s="9" t="inlineStr">
        <is>
          <t>EM-DN-VAL-01</t>
        </is>
      </c>
      <c r="C5" s="9" t="inlineStr">
        <is>
          <t>FR-V.III-NEW-03; DOANH_NGHIEP.email N</t>
        </is>
      </c>
      <c r="D5" s="9" t="inlineStr">
        <is>
          <t>Email validation</t>
        </is>
      </c>
      <c r="E5" s="10" t="inlineStr">
        <is>
          <t>P0</t>
        </is>
      </c>
      <c r="F5" s="9" t="inlineStr">
        <is>
          <t>Negative/Edge</t>
        </is>
      </c>
      <c r="G5" s="9" t="inlineStr">
        <is>
          <t>CB tạo DN để trống email</t>
        </is>
      </c>
      <c r="H5" s="9" t="inlineStr">
        <is>
          <t>CB NV</t>
        </is>
      </c>
      <c r="I5" s="9" t="inlineStr">
        <is>
          <t>Doanh nghiệp &gt; Thêm mới</t>
        </is>
      </c>
      <c r="J5" s="9" t="inlineStr">
        <is>
          <t>Đang ở form có trường email; ghi nhận số bản ghi hiển thị và inbox trước test.</t>
        </is>
      </c>
      <c r="K5" s="9" t="inlineStr">
        <is>
          <t>MST/tên hợp lệ; email rỗng</t>
        </is>
      </c>
      <c r="L5" s="9" t="inlineStr">
        <is>
          <t>1. Mở form.
2. Nhập đầy đủ các trường khác hợp lệ.
3. Nhập email theo Test Data.
4. Bấm Lưu/Đăng ký.
5. Reload màn hình, kiểm tra UI/API response và inbox.</t>
        </is>
      </c>
      <c r="M5" s="9" t="inlineStr">
        <is>
          <t>1-3. Form nhận đúng dữ liệu.
4. Cho tạo DOANH_NGHIEP; không tạo TK/mail.
5. Reload: email được lưu đúng; UI/API hiển thị đúng giá trị và chỉ phát sinh email nếu workflow của thao tác yêu cầu.</t>
        </is>
      </c>
      <c r="N5" s="9" t="inlineStr">
        <is>
          <t>Field email đang kiểm tra</t>
        </is>
      </c>
      <c r="O5" s="9" t="inlineStr">
        <is>
          <t>Không gửi mail nếu validation thất bại</t>
        </is>
      </c>
      <c r="P5" s="9" t="inlineStr">
        <is>
          <t>Tất cả mailbox test khi validation thất bại</t>
        </is>
      </c>
      <c r="Q5" s="9" t="inlineStr">
        <is>
          <t>Kiểm tra UI/API response, số bản ghi hiển thị và Gmail; queue/audit chỉ khi có quyền.</t>
        </is>
      </c>
      <c r="R5" s="9" t="inlineStr">
        <is>
          <t>—</t>
        </is>
      </c>
      <c r="S5" s="9" t="inlineStr"/>
      <c r="T5" s="9" t="inlineStr"/>
      <c r="U5" s="12" t="inlineStr">
        <is>
          <t>Not Run</t>
        </is>
      </c>
      <c r="V5" s="9" t="inlineStr"/>
      <c r="W5" s="9" t="inlineStr"/>
      <c r="X5" s="9" t="inlineStr"/>
    </row>
    <row r="6">
      <c r="A6" s="9" t="n">
        <v>5</v>
      </c>
      <c r="B6" s="9" t="inlineStr">
        <is>
          <t>EM-DN-VAL-02</t>
        </is>
      </c>
      <c r="C6" s="9" t="inlineStr">
        <is>
          <t>FR-V.III-NEW-03 Inputs email</t>
        </is>
      </c>
      <c r="D6" s="9" t="inlineStr">
        <is>
          <t>Email validation</t>
        </is>
      </c>
      <c r="E6" s="10" t="inlineStr">
        <is>
          <t>P0</t>
        </is>
      </c>
      <c r="F6" s="9" t="inlineStr">
        <is>
          <t>Negative/Edge</t>
        </is>
      </c>
      <c r="G6" s="9" t="inlineStr">
        <is>
          <t>CB tạo DN với email hợp lệ</t>
        </is>
      </c>
      <c r="H6" s="9" t="inlineStr">
        <is>
          <t>CB NV</t>
        </is>
      </c>
      <c r="I6" s="9" t="inlineStr">
        <is>
          <t>Doanh nghiệp &gt; Thêm mới</t>
        </is>
      </c>
      <c r="J6" s="9" t="inlineStr">
        <is>
          <t>Đang ở form có trường email; ghi nhận số bản ghi hiển thị và inbox trước test.</t>
        </is>
      </c>
      <c r="K6" s="9" t="inlineStr">
        <is>
          <t>diupt01+uat-em-dn-val-02@gmail.com</t>
        </is>
      </c>
      <c r="L6" s="9" t="inlineStr">
        <is>
          <t>1. Mở form.
2. Nhập đầy đủ các trường khác hợp lệ.
3. Nhập email theo Test Data.
4. Bấm Lưu/Đăng ký.
5. Reload màn hình, kiểm tra UI/API response và inbox.</t>
        </is>
      </c>
      <c r="M6" s="9" t="inlineStr">
        <is>
          <t>1-3. Form nhận đúng dữ liệu.
4. Lưu vào DOANH_NGHIEP.email; không gửi mail.
5. Reload: email được lưu đúng; UI/API hiển thị đúng giá trị và chỉ phát sinh email nếu workflow của thao tác yêu cầu.</t>
        </is>
      </c>
      <c r="N6" s="9" t="inlineStr">
        <is>
          <t>Field email đang kiểm tra</t>
        </is>
      </c>
      <c r="O6" s="9" t="inlineStr">
        <is>
          <t>Không gửi mail nếu validation thất bại</t>
        </is>
      </c>
      <c r="P6" s="9" t="inlineStr">
        <is>
          <t>Tất cả mailbox test khi validation thất bại</t>
        </is>
      </c>
      <c r="Q6" s="9" t="inlineStr">
        <is>
          <t>Kiểm tra UI/API response, số bản ghi hiển thị và Gmail; queue/audit chỉ khi có quyền.</t>
        </is>
      </c>
      <c r="R6" s="9" t="inlineStr">
        <is>
          <t>—</t>
        </is>
      </c>
      <c r="S6" s="9" t="inlineStr"/>
      <c r="T6" s="9" t="inlineStr"/>
      <c r="U6" s="12" t="inlineStr">
        <is>
          <t>Not Run</t>
        </is>
      </c>
      <c r="V6" s="9" t="inlineStr"/>
      <c r="W6" s="9" t="inlineStr"/>
      <c r="X6" s="9" t="inlineStr"/>
    </row>
    <row r="7">
      <c r="A7" s="9" t="n">
        <v>6</v>
      </c>
      <c r="B7" s="9" t="inlineStr">
        <is>
          <t>EM-DN-VAL-03</t>
        </is>
      </c>
      <c r="C7" s="9" t="inlineStr">
        <is>
          <t>FR-V.III-NEW-03 Inputs email</t>
        </is>
      </c>
      <c r="D7" s="9" t="inlineStr">
        <is>
          <t>Email validation</t>
        </is>
      </c>
      <c r="E7" s="10" t="inlineStr">
        <is>
          <t>P0</t>
        </is>
      </c>
      <c r="F7" s="9" t="inlineStr">
        <is>
          <t>Negative/Edge</t>
        </is>
      </c>
      <c r="G7" s="9" t="inlineStr">
        <is>
          <t>CB tạo DN với email sai format</t>
        </is>
      </c>
      <c r="H7" s="9" t="inlineStr">
        <is>
          <t>CB NV</t>
        </is>
      </c>
      <c r="I7" s="9" t="inlineStr">
        <is>
          <t>Doanh nghiệp &gt; Thêm mới</t>
        </is>
      </c>
      <c r="J7" s="9" t="inlineStr">
        <is>
          <t>Đang ở form có trường email; ghi nhận số bản ghi hiển thị và inbox trước test.</t>
        </is>
      </c>
      <c r="K7" s="9" t="inlineStr">
        <is>
          <t>dn-contact.example.test</t>
        </is>
      </c>
      <c r="L7" s="9" t="inlineStr">
        <is>
          <t>1. Mở form.
2. Nhập đầy đủ các trường khác hợp lệ.
3. Nhập email theo Test Data.
4. Bấm Lưu/Đăng ký.
5. Reload màn hình, kiểm tra UI/API response và inbox.</t>
        </is>
      </c>
      <c r="M7" s="9" t="inlineStr">
        <is>
          <t>1-3. Form nhận đúng dữ liệu.
4. Từ chối format; không tạo DN/TK/mail.
5. Reload: số bản ghi hiển thị không đổi, form không đóng/reset, không tạo token/job/email.</t>
        </is>
      </c>
      <c r="N7" s="9" t="inlineStr">
        <is>
          <t>Field email đang kiểm tra</t>
        </is>
      </c>
      <c r="O7" s="9" t="inlineStr">
        <is>
          <t>Không gửi mail nếu validation thất bại</t>
        </is>
      </c>
      <c r="P7" s="9" t="inlineStr">
        <is>
          <t>Tất cả mailbox test khi validation thất bại</t>
        </is>
      </c>
      <c r="Q7" s="9" t="inlineStr">
        <is>
          <t>Kiểm tra UI/API response, số bản ghi hiển thị và Gmail; queue/audit chỉ khi có quyền.</t>
        </is>
      </c>
      <c r="R7" s="9" t="inlineStr">
        <is>
          <t>—</t>
        </is>
      </c>
      <c r="S7" s="9" t="inlineStr"/>
      <c r="T7" s="9" t="inlineStr"/>
      <c r="U7" s="12" t="inlineStr">
        <is>
          <t>Not Run</t>
        </is>
      </c>
      <c r="V7" s="9" t="inlineStr"/>
      <c r="W7" s="9" t="inlineStr"/>
      <c r="X7" s="9" t="inlineStr"/>
    </row>
    <row r="8">
      <c r="A8" s="9" t="n">
        <v>7</v>
      </c>
      <c r="B8" s="9" t="inlineStr">
        <is>
          <t>EM-DN-VAL-04</t>
        </is>
      </c>
      <c r="C8" s="9" t="inlineStr">
        <is>
          <t>BR-AUTH-EMAIL-01</t>
        </is>
      </c>
      <c r="D8" s="9" t="inlineStr">
        <is>
          <t>Email validation</t>
        </is>
      </c>
      <c r="E8" s="10" t="inlineStr">
        <is>
          <t>P0</t>
        </is>
      </c>
      <c r="F8" s="9" t="inlineStr">
        <is>
          <t>Negative/Edge</t>
        </is>
      </c>
      <c r="G8" s="9" t="inlineStr">
        <is>
          <t>Hai DN dùng chung email liên hệ</t>
        </is>
      </c>
      <c r="H8" s="9" t="inlineStr">
        <is>
          <t>CB NV</t>
        </is>
      </c>
      <c r="I8" s="9" t="inlineStr">
        <is>
          <t>Doanh nghiệp &gt; Thêm mới</t>
        </is>
      </c>
      <c r="J8" s="9" t="inlineStr">
        <is>
          <t>Đang ở form có trường email; ghi nhận số bản ghi hiển thị và inbox trước test.</t>
        </is>
      </c>
      <c r="K8" s="9" t="inlineStr">
        <is>
          <t>Email đã ở DOANH_NGHIEP A, dùng cho DN B</t>
        </is>
      </c>
      <c r="L8" s="9" t="inlineStr">
        <is>
          <t>1. Mở form.
2. Nhập đầy đủ các trường khác hợp lệ.
3. Nhập email theo Test Data.
4. Bấm Lưu/Đăng ký.
5. Reload màn hình, kiểm tra UI/API response và inbox.</t>
        </is>
      </c>
      <c r="M8" s="9" t="inlineStr">
        <is>
          <t>1-3. Form nhận đúng dữ liệu.
4. Cho phép; DOANH_NGHIEP.email không UNIQUE.
5. Reload: email được lưu đúng; UI/API hiển thị đúng giá trị và chỉ phát sinh email nếu workflow của thao tác yêu cầu.</t>
        </is>
      </c>
      <c r="N8" s="9" t="inlineStr">
        <is>
          <t>Field email đang kiểm tra</t>
        </is>
      </c>
      <c r="O8" s="9" t="inlineStr">
        <is>
          <t>Không gửi mail nếu validation thất bại</t>
        </is>
      </c>
      <c r="P8" s="9" t="inlineStr">
        <is>
          <t>Tất cả mailbox test khi validation thất bại</t>
        </is>
      </c>
      <c r="Q8" s="9" t="inlineStr">
        <is>
          <t>Kiểm tra UI/API response, số bản ghi hiển thị và Gmail; queue/audit chỉ khi có quyền.</t>
        </is>
      </c>
      <c r="R8" s="9" t="inlineStr">
        <is>
          <t>—</t>
        </is>
      </c>
      <c r="S8" s="9" t="inlineStr"/>
      <c r="T8" s="9" t="inlineStr"/>
      <c r="U8" s="12" t="inlineStr">
        <is>
          <t>Not Run</t>
        </is>
      </c>
      <c r="V8" s="9" t="inlineStr"/>
      <c r="W8" s="9" t="inlineStr"/>
      <c r="X8" s="9" t="inlineStr"/>
    </row>
    <row r="9">
      <c r="A9" s="9" t="n">
        <v>8</v>
      </c>
      <c r="B9" s="9" t="inlineStr">
        <is>
          <t>EM-DN-VAL-05</t>
        </is>
      </c>
      <c r="C9" s="9" t="inlineStr">
        <is>
          <t>BR-AUTH-EMAIL-01</t>
        </is>
      </c>
      <c r="D9" s="9" t="inlineStr">
        <is>
          <t>Email validation</t>
        </is>
      </c>
      <c r="E9" s="10" t="inlineStr">
        <is>
          <t>P0</t>
        </is>
      </c>
      <c r="F9" s="9" t="inlineStr">
        <is>
          <t>Negative/Edge</t>
        </is>
      </c>
      <c r="G9" s="9" t="inlineStr">
        <is>
          <t>Email DN trùng email tài khoản người khác khi CB tạo</t>
        </is>
      </c>
      <c r="H9" s="9" t="inlineStr">
        <is>
          <t>CB NV</t>
        </is>
      </c>
      <c r="I9" s="9" t="inlineStr">
        <is>
          <t>Doanh nghiệp &gt; Thêm mới</t>
        </is>
      </c>
      <c r="J9" s="9" t="inlineStr">
        <is>
          <t>Đang ở form có trường email; ghi nhận số bản ghi hiển thị và inbox trước test.</t>
        </is>
      </c>
      <c r="K9" s="9" t="inlineStr">
        <is>
          <t>Email đã ở TAI_KHOAN của TVV</t>
        </is>
      </c>
      <c r="L9" s="9" t="inlineStr">
        <is>
          <t>1. Mở form.
2. Nhập đầy đủ các trường khác hợp lệ.
3. Nhập email theo Test Data.
4. Bấm Lưu/Đăng ký.
5. Reload màn hình, kiểm tra UI/API response và inbox.</t>
        </is>
      </c>
      <c r="M9" s="9" t="inlineStr">
        <is>
          <t>1-3. Form nhận đúng dữ liệu.
4. Cho phép vì đây là DOANH_NGHIEP.email và luồng không tạo TK.
5. Reload: email được lưu đúng; UI/API hiển thị đúng giá trị và chỉ phát sinh email nếu workflow của thao tác yêu cầu.</t>
        </is>
      </c>
      <c r="N9" s="9" t="inlineStr">
        <is>
          <t>Field email đang kiểm tra</t>
        </is>
      </c>
      <c r="O9" s="9" t="inlineStr">
        <is>
          <t>Không gửi mail nếu validation thất bại</t>
        </is>
      </c>
      <c r="P9" s="9" t="inlineStr">
        <is>
          <t>Tất cả mailbox test khi validation thất bại</t>
        </is>
      </c>
      <c r="Q9" s="9" t="inlineStr">
        <is>
          <t>Kiểm tra UI/API response, số bản ghi hiển thị và Gmail; queue/audit chỉ khi có quyền.</t>
        </is>
      </c>
      <c r="R9" s="9" t="inlineStr">
        <is>
          <t>—</t>
        </is>
      </c>
      <c r="S9" s="9" t="inlineStr"/>
      <c r="T9" s="9" t="inlineStr"/>
      <c r="U9" s="12" t="inlineStr">
        <is>
          <t>Not Run</t>
        </is>
      </c>
      <c r="V9" s="9" t="inlineStr"/>
      <c r="W9" s="9" t="inlineStr"/>
      <c r="X9" s="9" t="inlineStr"/>
    </row>
    <row r="10">
      <c r="A10" s="9" t="n">
        <v>9</v>
      </c>
      <c r="B10" s="9" t="inlineStr">
        <is>
          <t>EM-DN-UPD-01</t>
        </is>
      </c>
      <c r="C10" s="9" t="inlineStr">
        <is>
          <t>FR-V.III-02 / BR-AUTH-EMAIL-01</t>
        </is>
      </c>
      <c r="D10" s="9" t="inlineStr">
        <is>
          <t>Cập nhật email liên hệ DN</t>
        </is>
      </c>
      <c r="E10" s="10" t="inlineStr">
        <is>
          <t>P0</t>
        </is>
      </c>
      <c r="F10" s="9" t="inlineStr">
        <is>
          <t>Workflow/Negative</t>
        </is>
      </c>
      <c r="G10" s="9" t="inlineStr">
        <is>
          <t>Đổi email liên hệ DN không đổi email tài khoản</t>
        </is>
      </c>
      <c r="H10" s="9" t="inlineStr">
        <is>
          <t>DN hoặc CB NV đúng quyền</t>
        </is>
      </c>
      <c r="I10" s="9" t="inlineStr">
        <is>
          <t>Chi tiết DN &gt; Chỉnh sửa</t>
        </is>
      </c>
      <c r="J10" s="9" t="inlineStr">
        <is>
          <t>Có DN/TK theo Test Data; ghi giá trị trước test.</t>
        </is>
      </c>
      <c r="K10" s="9" t="inlineStr">
        <is>
          <t>TK=MB_TK_CURRENT; DN old=MB_DN_CONTACT → new=diupt01+uat-em-dn-upd-01-new@gmail.com</t>
        </is>
      </c>
      <c r="L10" s="9" t="inlineStr">
        <is>
          <t>1. Ghi email TK/DN trước test.
2. Mở form chỉnh sửa.
3. Đổi email theo Test Data.
4. Lưu và reload.
5. Kiểm tra UI/API, inbox và audit.</t>
        </is>
      </c>
      <c r="M10" s="9" t="inlineStr">
        <is>
          <t>1-4. DOANH_NGHIEP.email=new; TAI_KHOAN.email vẫn là MB_TK_CURRENT; không OTP.
5. Không sinh OTP/email kích hoạt; audit update nếu SRS/framework yêu cầu.</t>
        </is>
      </c>
      <c r="N10" s="9" t="inlineStr">
        <is>
          <t>DOANH_NGHIEP.email</t>
        </is>
      </c>
      <c r="O10" s="9" t="inlineStr">
        <is>
          <t>Không gửi mail do thao tác đổi</t>
        </is>
      </c>
      <c r="P10" s="9" t="inlineStr">
        <is>
          <t>Tất cả mailbox</t>
        </is>
      </c>
      <c r="Q10" s="9" t="inlineStr">
        <is>
          <t>DOANH_NGHIEP.email; TAI_KHOAN.email không bị side-effect; queue +0; audit diff.</t>
        </is>
      </c>
      <c r="R10" s="9" t="inlineStr">
        <is>
          <t>—</t>
        </is>
      </c>
      <c r="S10" s="9" t="inlineStr"/>
      <c r="T10" s="9" t="inlineStr"/>
      <c r="U10" s="12" t="inlineStr">
        <is>
          <t>Not Run</t>
        </is>
      </c>
      <c r="V10" s="9" t="inlineStr"/>
      <c r="W10" s="9" t="inlineStr"/>
      <c r="X10" s="9" t="inlineStr"/>
    </row>
    <row r="11">
      <c r="A11" s="9" t="n">
        <v>10</v>
      </c>
      <c r="B11" s="9" t="inlineStr">
        <is>
          <t>EM-DN-UPD-02</t>
        </is>
      </c>
      <c r="C11" s="9" t="inlineStr">
        <is>
          <t>FR-V.III-02 / BR-AUTH-EMAIL-01</t>
        </is>
      </c>
      <c r="D11" s="9" t="inlineStr">
        <is>
          <t>Cập nhật email liên hệ DN</t>
        </is>
      </c>
      <c r="E11" s="10" t="inlineStr">
        <is>
          <t>P0</t>
        </is>
      </c>
      <c r="F11" s="9" t="inlineStr">
        <is>
          <t>Workflow/Negative</t>
        </is>
      </c>
      <c r="G11" s="9" t="inlineStr">
        <is>
          <t>Đổi email DN thành giá trị đang được DN khác dùng</t>
        </is>
      </c>
      <c r="H11" s="9" t="inlineStr">
        <is>
          <t>DN hoặc CB NV đúng quyền</t>
        </is>
      </c>
      <c r="I11" s="9" t="inlineStr">
        <is>
          <t>Chi tiết DN &gt; Chỉnh sửa</t>
        </is>
      </c>
      <c r="J11" s="9" t="inlineStr">
        <is>
          <t>Có DN/TK theo Test Data; ghi giá trị trước test.</t>
        </is>
      </c>
      <c r="K11" s="9" t="inlineStr">
        <is>
          <t>new=diupt01+uat-em-dn-upd-02-shared@gmail.com</t>
        </is>
      </c>
      <c r="L11" s="9" t="inlineStr">
        <is>
          <t>1. Ghi email TK/DN trước test.
2. Mở form chỉnh sửa.
3. Đổi email theo Test Data.
4. Lưu và reload.
5. Kiểm tra UI/API, inbox và audit.</t>
        </is>
      </c>
      <c r="M11" s="9" t="inlineStr">
        <is>
          <t>1-4. Cho phép; cả hai DN dùng chung email.
5. Không sinh OTP/email kích hoạt; audit update nếu SRS/framework yêu cầu.</t>
        </is>
      </c>
      <c r="N11" s="9" t="inlineStr">
        <is>
          <t>DOANH_NGHIEP.email</t>
        </is>
      </c>
      <c r="O11" s="9" t="inlineStr">
        <is>
          <t>Không gửi mail do thao tác đổi</t>
        </is>
      </c>
      <c r="P11" s="9" t="inlineStr">
        <is>
          <t>Tất cả mailbox</t>
        </is>
      </c>
      <c r="Q11" s="9" t="inlineStr">
        <is>
          <t>DOANH_NGHIEP.email; TAI_KHOAN.email không bị side-effect; queue +0; audit diff.</t>
        </is>
      </c>
      <c r="R11" s="9" t="inlineStr">
        <is>
          <t>—</t>
        </is>
      </c>
      <c r="S11" s="9" t="inlineStr"/>
      <c r="T11" s="9" t="inlineStr"/>
      <c r="U11" s="12" t="inlineStr">
        <is>
          <t>Not Run</t>
        </is>
      </c>
      <c r="V11" s="9" t="inlineStr"/>
      <c r="W11" s="9" t="inlineStr"/>
      <c r="X11" s="9" t="inlineStr"/>
    </row>
    <row r="12">
      <c r="A12" s="9" t="n">
        <v>11</v>
      </c>
      <c r="B12" s="9" t="inlineStr">
        <is>
          <t>EM-DN-UPD-03</t>
        </is>
      </c>
      <c r="C12" s="9" t="inlineStr">
        <is>
          <t>FR-V.III-02 / BR-AUTH-EMAIL-01</t>
        </is>
      </c>
      <c r="D12" s="9" t="inlineStr">
        <is>
          <t>Cập nhật email liên hệ DN</t>
        </is>
      </c>
      <c r="E12" s="10" t="inlineStr">
        <is>
          <t>P0</t>
        </is>
      </c>
      <c r="F12" s="9" t="inlineStr">
        <is>
          <t>Workflow/Negative</t>
        </is>
      </c>
      <c r="G12" s="9" t="inlineStr">
        <is>
          <t>Xóa email liên hệ tùy chọn</t>
        </is>
      </c>
      <c r="H12" s="9" t="inlineStr">
        <is>
          <t>DN hoặc CB NV đúng quyền</t>
        </is>
      </c>
      <c r="I12" s="9" t="inlineStr">
        <is>
          <t>Chi tiết DN &gt; Chỉnh sửa</t>
        </is>
      </c>
      <c r="J12" s="9" t="inlineStr">
        <is>
          <t>Có DN/TK theo Test Data; ghi giá trị trước test.</t>
        </is>
      </c>
      <c r="K12" s="9" t="inlineStr">
        <is>
          <t>new=rỗng</t>
        </is>
      </c>
      <c r="L12" s="9" t="inlineStr">
        <is>
          <t>1. Ghi email TK/DN trước test.
2. Mở form chỉnh sửa.
3. Đổi email theo Test Data.
4. Lưu và reload.
5. Kiểm tra UI/API, inbox và audit.</t>
        </is>
      </c>
      <c r="M12" s="9" t="inlineStr">
        <is>
          <t>1-4. Cho lưu nếu các field bắt buộc khác còn hợp lệ; TK email không đổi.
5. Không sinh OTP/email kích hoạt; audit update nếu SRS/framework yêu cầu.</t>
        </is>
      </c>
      <c r="N12" s="9" t="inlineStr">
        <is>
          <t>DOANH_NGHIEP.email</t>
        </is>
      </c>
      <c r="O12" s="9" t="inlineStr">
        <is>
          <t>Không gửi mail do thao tác đổi</t>
        </is>
      </c>
      <c r="P12" s="9" t="inlineStr">
        <is>
          <t>Tất cả mailbox</t>
        </is>
      </c>
      <c r="Q12" s="9" t="inlineStr">
        <is>
          <t>DOANH_NGHIEP.email; TAI_KHOAN.email không bị side-effect; queue +0; audit diff.</t>
        </is>
      </c>
      <c r="R12" s="9" t="inlineStr">
        <is>
          <t>—</t>
        </is>
      </c>
      <c r="S12" s="9" t="inlineStr"/>
      <c r="T12" s="9" t="inlineStr"/>
      <c r="U12" s="12" t="inlineStr">
        <is>
          <t>Not Run</t>
        </is>
      </c>
      <c r="V12" s="9" t="inlineStr"/>
      <c r="W12" s="9" t="inlineStr"/>
      <c r="X12" s="9" t="inlineStr"/>
    </row>
    <row r="13">
      <c r="A13" s="9" t="n">
        <v>12</v>
      </c>
      <c r="B13" s="9" t="inlineStr">
        <is>
          <t>EM-DN-UPD-04</t>
        </is>
      </c>
      <c r="C13" s="9" t="inlineStr">
        <is>
          <t>FR-V.III-02 / BR-AUTH-EMAIL-01</t>
        </is>
      </c>
      <c r="D13" s="9" t="inlineStr">
        <is>
          <t>Cập nhật email liên hệ DN</t>
        </is>
      </c>
      <c r="E13" s="10" t="inlineStr">
        <is>
          <t>P0</t>
        </is>
      </c>
      <c r="F13" s="9" t="inlineStr">
        <is>
          <t>Workflow/Negative</t>
        </is>
      </c>
      <c r="G13" s="9" t="inlineStr">
        <is>
          <t>Email DN sai format khi cập nhật</t>
        </is>
      </c>
      <c r="H13" s="9" t="inlineStr">
        <is>
          <t>DN hoặc CB NV đúng quyền</t>
        </is>
      </c>
      <c r="I13" s="9" t="inlineStr">
        <is>
          <t>Chi tiết DN &gt; Chỉnh sửa</t>
        </is>
      </c>
      <c r="J13" s="9" t="inlineStr">
        <is>
          <t>Có DN/TK theo Test Data; ghi giá trị trước test.</t>
        </is>
      </c>
      <c r="K13" s="9" t="inlineStr">
        <is>
          <t>new=bad-email</t>
        </is>
      </c>
      <c r="L13" s="9" t="inlineStr">
        <is>
          <t>1. Ghi email TK/DN trước test.
2. Mở form chỉnh sửa.
3. Đổi email theo Test Data.
4. Lưu và reload.
5. Kiểm tra UI/API, inbox và audit.</t>
        </is>
      </c>
      <c r="M13" s="9" t="inlineStr">
        <is>
          <t>1-4. Từ chối; old email giữ nguyên; không mail/OTP.
5. Không sinh OTP/email kích hoạt; audit update nếu SRS/framework yêu cầu.</t>
        </is>
      </c>
      <c r="N13" s="9" t="inlineStr">
        <is>
          <t>DOANH_NGHIEP.email</t>
        </is>
      </c>
      <c r="O13" s="9" t="inlineStr">
        <is>
          <t>Không gửi mail do thao tác đổi</t>
        </is>
      </c>
      <c r="P13" s="9" t="inlineStr">
        <is>
          <t>Tất cả mailbox</t>
        </is>
      </c>
      <c r="Q13" s="9" t="inlineStr">
        <is>
          <t>DOANH_NGHIEP.email; TAI_KHOAN.email không bị side-effect; queue +0; audit diff.</t>
        </is>
      </c>
      <c r="R13" s="9" t="inlineStr">
        <is>
          <t>—</t>
        </is>
      </c>
      <c r="S13" s="9" t="inlineStr"/>
      <c r="T13" s="9" t="inlineStr"/>
      <c r="U13" s="12" t="inlineStr">
        <is>
          <t>Not Run</t>
        </is>
      </c>
      <c r="V13" s="9" t="inlineStr"/>
      <c r="W13" s="9" t="inlineStr"/>
      <c r="X13" s="9" t="inlineStr"/>
    </row>
    <row r="14">
      <c r="A14" s="9" t="n">
        <v>13</v>
      </c>
      <c r="B14" s="9" t="inlineStr">
        <is>
          <t>EM-DN-NOMAIL-01</t>
        </is>
      </c>
      <c r="C14" s="9" t="inlineStr">
        <is>
          <t>FR-V.III-NEW-03 / srs-fr-07:277-327</t>
        </is>
      </c>
      <c r="D14" s="9" t="inlineStr">
        <is>
          <t>Luồng chỉ tạo DOANH_NGHIEP</t>
        </is>
      </c>
      <c r="E14" s="10" t="inlineStr">
        <is>
          <t>P0</t>
        </is>
      </c>
      <c r="F14" s="9" t="inlineStr">
        <is>
          <t>Negative regression</t>
        </is>
      </c>
      <c r="G14" s="9" t="inlineStr">
        <is>
          <t>CB NV chủ động tạo DN</t>
        </is>
      </c>
      <c r="H14" s="9" t="inlineStr">
        <is>
          <t>CB NV</t>
        </is>
      </c>
      <c r="I14" s="9" t="inlineStr">
        <is>
          <t>Doanh nghiệp &gt; Thêm mới</t>
        </is>
      </c>
      <c r="J14" s="9" t="inlineStr">
        <is>
          <t>MST chưa tồn tại; mailbox email DN đang trống; đã ghi số bản ghi hiển thị.</t>
        </is>
      </c>
      <c r="K14" s="9" t="inlineStr">
        <is>
          <t>MST 0100000101; tên DN; email diupt01+uat-em-dn-nomail-01@gmail.com</t>
        </is>
      </c>
      <c r="L14" s="9" t="inlineStr">
        <is>
          <t>1. Xóa thư cũ và ghi baseline UI.
2. Thực hiện luồng tạo/tiếp nhận DN với dữ liệu hợp lệ.
3. Chờ quá 5 phút.
4. Reload hồ sơ DN.
5. Kiểm tra hồ sơ trên UI/API, chuông và Gmail.</t>
        </is>
      </c>
      <c r="M14" s="9" t="inlineStr">
        <is>
          <t>1. Baseline xác định được.
2. Tạo đúng một doanh nghiệp hiển thị trên hệ thống.
3. Không có email kích hoạt.
4. DN tồn tại với MST/tên/email liên hệ đúng.
5. Không có tài khoản đăng nhập mới, email kích hoạt hoặc thông báo kích hoạt trên chuông.</t>
        </is>
      </c>
      <c r="N14" s="9" t="inlineStr">
        <is>
          <t>Không áp dụng</t>
        </is>
      </c>
      <c r="O14" s="9" t="inlineStr">
        <is>
          <t>Không có</t>
        </is>
      </c>
      <c r="P14" s="9" t="inlineStr">
        <is>
          <t>Mailbox DN và mọi mailbox test</t>
        </is>
      </c>
      <c r="Q14" s="9" t="inlineStr">
        <is>
          <t>Kiểm tra hồ sơ DN trên UI/API, không có tài khoản mới, Gmail và chuông không có kích hoạt.</t>
        </is>
      </c>
      <c r="R14" s="9" t="inlineStr">
        <is>
          <t>Xóa/đánh dấu fixture theo quy trình môi trường test; không dùng lại MST cho case khác.</t>
        </is>
      </c>
      <c r="S14" s="9" t="inlineStr"/>
      <c r="T14" s="9" t="inlineStr"/>
      <c r="U14" s="12" t="inlineStr">
        <is>
          <t>Not Run</t>
        </is>
      </c>
      <c r="V14" s="9" t="inlineStr"/>
      <c r="W14" s="9" t="inlineStr"/>
      <c r="X14" s="9" t="inlineStr"/>
    </row>
    <row r="15">
      <c r="A15" s="9" t="n">
        <v>14</v>
      </c>
      <c r="B15" s="9" t="inlineStr">
        <is>
          <t>EM-DN-NOMAIL-02</t>
        </is>
      </c>
      <c r="C15" s="9" t="inlineStr">
        <is>
          <t>FR-V.I-04 / srs-fr-05:317-329</t>
        </is>
      </c>
      <c r="D15" s="9" t="inlineStr">
        <is>
          <t>Luồng chỉ tạo DOANH_NGHIEP</t>
        </is>
      </c>
      <c r="E15" s="10" t="inlineStr">
        <is>
          <t>P0</t>
        </is>
      </c>
      <c r="F15" s="9" t="inlineStr">
        <is>
          <t>Negative regression</t>
        </is>
      </c>
      <c r="G15" s="9" t="inlineStr">
        <is>
          <t>Tạo DN từ modal khi lập vụ việc</t>
        </is>
      </c>
      <c r="H15" s="9" t="inlineStr">
        <is>
          <t>CB NV</t>
        </is>
      </c>
      <c r="I15" s="9" t="inlineStr">
        <is>
          <t>Vụ việc &gt; Tạo mới &gt; MST chưa có &gt; Tạo DN</t>
        </is>
      </c>
      <c r="J15" s="9" t="inlineStr">
        <is>
          <t>MST chưa tồn tại; mailbox email DN đang trống; đã ghi số bản ghi hiển thị.</t>
        </is>
      </c>
      <c r="K15" s="9" t="inlineStr">
        <is>
          <t>MST 0100000102; tên DN; email diupt01+uat-em-dn-nomail-02@gmail.com</t>
        </is>
      </c>
      <c r="L15" s="9" t="inlineStr">
        <is>
          <t>1. Xóa thư cũ và ghi baseline UI.
2. Thực hiện luồng tạo/tiếp nhận DN với dữ liệu hợp lệ.
3. Chờ quá 5 phút.
4. Reload hồ sơ DN.
5. Kiểm tra hồ sơ trên UI/API, chuông và Gmail.</t>
        </is>
      </c>
      <c r="M15" s="9" t="inlineStr">
        <is>
          <t>1. Baseline xác định được.
2. Tạo đúng một doanh nghiệp hiển thị trên hệ thống.
3. Không có email kích hoạt.
4. DN tồn tại với MST/tên/email liên hệ đúng.
5. Không có tài khoản đăng nhập mới, email kích hoạt hoặc thông báo kích hoạt trên chuông.</t>
        </is>
      </c>
      <c r="N15" s="9" t="inlineStr">
        <is>
          <t>Không áp dụng</t>
        </is>
      </c>
      <c r="O15" s="9" t="inlineStr">
        <is>
          <t>Không có</t>
        </is>
      </c>
      <c r="P15" s="9" t="inlineStr">
        <is>
          <t>Mailbox DN và mọi mailbox test</t>
        </is>
      </c>
      <c r="Q15" s="9" t="inlineStr">
        <is>
          <t>Kiểm tra hồ sơ DN trên UI/API, không có tài khoản mới, Gmail và chuông không có kích hoạt.</t>
        </is>
      </c>
      <c r="R15" s="9" t="inlineStr">
        <is>
          <t>Xóa/đánh dấu fixture theo quy trình môi trường test; không dùng lại MST cho case khác.</t>
        </is>
      </c>
      <c r="S15" s="9" t="inlineStr"/>
      <c r="T15" s="9" t="inlineStr"/>
      <c r="U15" s="12" t="inlineStr">
        <is>
          <t>Not Run</t>
        </is>
      </c>
      <c r="V15" s="9" t="inlineStr"/>
      <c r="W15" s="9" t="inlineStr"/>
      <c r="X15" s="9" t="inlineStr"/>
    </row>
    <row r="16">
      <c r="A16" s="9" t="n">
        <v>15</v>
      </c>
      <c r="B16" s="9" t="inlineStr">
        <is>
          <t>EM-DN-NOMAIL-03</t>
        </is>
      </c>
      <c r="C16" s="9" t="inlineStr">
        <is>
          <t>FR-V.II-01 / srs-fr-06:115-116</t>
        </is>
      </c>
      <c r="D16" s="9" t="inlineStr">
        <is>
          <t>Luồng chỉ tạo DOANH_NGHIEP</t>
        </is>
      </c>
      <c r="E16" s="10" t="inlineStr">
        <is>
          <t>P0</t>
        </is>
      </c>
      <c r="F16" s="9" t="inlineStr">
        <is>
          <t>Negative regression</t>
        </is>
      </c>
      <c r="G16" s="9" t="inlineStr">
        <is>
          <t>Tiếp nhận DN từ DVC/LGSP trong hồ sơ chi trả</t>
        </is>
      </c>
      <c r="H16" s="9" t="inlineStr">
        <is>
          <t>Hệ thống TTHC BTP</t>
        </is>
      </c>
      <c r="I16" s="9" t="inlineStr">
        <is>
          <t>API LGSP nhận Mẫu 01</t>
        </is>
      </c>
      <c r="J16" s="9" t="inlineStr">
        <is>
          <t>MST chưa tồn tại; mailbox email DN đang trống; đã ghi số bản ghi hiển thị.</t>
        </is>
      </c>
      <c r="K16" s="9" t="inlineStr">
        <is>
          <t>Payload hợp lệ có MST/tên/email diupt01+uat-em-dn-nomail-03@gmail.com</t>
        </is>
      </c>
      <c r="L16" s="9" t="inlineStr">
        <is>
          <t>1. Xóa thư cũ và ghi baseline UI.
2. Thực hiện luồng tạo/tiếp nhận DN với dữ liệu hợp lệ.
3. Chờ quá 5 phút.
4. Reload hồ sơ DN.
5. Kiểm tra hồ sơ trên UI/API, chuông và Gmail.</t>
        </is>
      </c>
      <c r="M16" s="9" t="inlineStr">
        <is>
          <t>1. Baseline xác định được.
2. Tạo đúng một doanh nghiệp hiển thị trên hệ thống.
3. Không có email kích hoạt.
4. DN tồn tại với MST/tên/email liên hệ đúng.
5. Không có tài khoản đăng nhập mới, email kích hoạt hoặc thông báo kích hoạt trên chuông.</t>
        </is>
      </c>
      <c r="N16" s="9" t="inlineStr">
        <is>
          <t>Không áp dụng</t>
        </is>
      </c>
      <c r="O16" s="9" t="inlineStr">
        <is>
          <t>Không có</t>
        </is>
      </c>
      <c r="P16" s="9" t="inlineStr">
        <is>
          <t>Mailbox DN và mọi mailbox test</t>
        </is>
      </c>
      <c r="Q16" s="9" t="inlineStr">
        <is>
          <t>Kiểm tra hồ sơ DN trên UI/API, không có tài khoản mới, Gmail và chuông không có kích hoạt.</t>
        </is>
      </c>
      <c r="R16" s="9" t="inlineStr">
        <is>
          <t>Xóa/đánh dấu fixture theo quy trình môi trường test; không dùng lại MST cho case khác.</t>
        </is>
      </c>
      <c r="S16" s="9" t="inlineStr"/>
      <c r="T16" s="9" t="inlineStr"/>
      <c r="U16" s="12" t="inlineStr">
        <is>
          <t>Not Run</t>
        </is>
      </c>
      <c r="V16" s="9" t="inlineStr"/>
      <c r="W16" s="9" t="inlineStr"/>
      <c r="X16" s="9" t="inlineStr"/>
    </row>
    <row r="17">
      <c r="A17" s="9" t="n">
        <v>16</v>
      </c>
      <c r="B17" s="9" t="inlineStr">
        <is>
          <t>EM-DN-NOMAIL-04</t>
        </is>
      </c>
      <c r="C17" s="9" t="inlineStr">
        <is>
          <t>FR-X.1-03 / srs-fr-12:469-512</t>
        </is>
      </c>
      <c r="D17" s="9" t="inlineStr">
        <is>
          <t>Luồng chỉ tạo DOANH_NGHIEP</t>
        </is>
      </c>
      <c r="E17" s="10" t="inlineStr">
        <is>
          <t>P0</t>
        </is>
      </c>
      <c r="F17" s="9" t="inlineStr">
        <is>
          <t>Negative regression</t>
        </is>
      </c>
      <c r="G17" s="9" t="inlineStr">
        <is>
          <t>Tiếp nhận DN từ Cổng PLQG cho TVCS</t>
        </is>
      </c>
      <c r="H17" s="9" t="inlineStr">
        <is>
          <t>Cổng PLQG</t>
        </is>
      </c>
      <c r="I17" s="9" t="inlineStr">
        <is>
          <t>API inbound TVCS</t>
        </is>
      </c>
      <c r="J17" s="9" t="inlineStr">
        <is>
          <t>MST chưa tồn tại; mailbox email DN đang trống; đã ghi số bản ghi hiển thị.</t>
        </is>
      </c>
      <c r="K17" s="9" t="inlineStr">
        <is>
          <t>Payload hợp lệ có MST/tên/email diupt01+uat-em-dn-nomail-04@gmail.com</t>
        </is>
      </c>
      <c r="L17" s="9" t="inlineStr">
        <is>
          <t>1. Xóa thư cũ và ghi baseline UI.
2. Thực hiện luồng tạo/tiếp nhận DN với dữ liệu hợp lệ.
3. Chờ quá 5 phút.
4. Reload hồ sơ DN.
5. Kiểm tra hồ sơ trên UI/API, chuông và Gmail.</t>
        </is>
      </c>
      <c r="M17" s="9" t="inlineStr">
        <is>
          <t>1. Baseline xác định được.
2. Tạo đúng một doanh nghiệp hiển thị trên hệ thống.
3. Không có email kích hoạt.
4. DN tồn tại với MST/tên/email liên hệ đúng.
5. Không có tài khoản đăng nhập mới, email kích hoạt hoặc thông báo kích hoạt trên chuông.</t>
        </is>
      </c>
      <c r="N17" s="9" t="inlineStr">
        <is>
          <t>Không áp dụng</t>
        </is>
      </c>
      <c r="O17" s="9" t="inlineStr">
        <is>
          <t>Không có</t>
        </is>
      </c>
      <c r="P17" s="9" t="inlineStr">
        <is>
          <t>Mailbox DN và mọi mailbox test</t>
        </is>
      </c>
      <c r="Q17" s="9" t="inlineStr">
        <is>
          <t>Kiểm tra hồ sơ DN trên UI/API, không có tài khoản mới, Gmail và chuông không có kích hoạt.</t>
        </is>
      </c>
      <c r="R17" s="9" t="inlineStr">
        <is>
          <t>Xóa/đánh dấu fixture theo quy trình môi trường test; không dùng lại MST cho case khác.</t>
        </is>
      </c>
      <c r="S17" s="9" t="inlineStr"/>
      <c r="T17" s="9" t="inlineStr"/>
      <c r="U17" s="12" t="inlineStr">
        <is>
          <t>Not Run</t>
        </is>
      </c>
      <c r="V17" s="9" t="inlineStr"/>
      <c r="W17" s="9" t="inlineStr"/>
      <c r="X17" s="9" t="inlineStr"/>
    </row>
    <row r="18">
      <c r="A18" s="9" t="n">
        <v>17</v>
      </c>
      <c r="B18" s="9" t="inlineStr">
        <is>
          <t>EM-DN-NOMAIL-05</t>
        </is>
      </c>
      <c r="C18" s="9" t="inlineStr">
        <is>
          <t>FR-X.1-05 / srs-fr-12:748-782</t>
        </is>
      </c>
      <c r="D18" s="9" t="inlineStr">
        <is>
          <t>Luồng chỉ tạo DOANH_NGHIEP</t>
        </is>
      </c>
      <c r="E18" s="10" t="inlineStr">
        <is>
          <t>P0</t>
        </is>
      </c>
      <c r="F18" s="9" t="inlineStr">
        <is>
          <t>Negative regression</t>
        </is>
      </c>
      <c r="G18" s="9" t="inlineStr">
        <is>
          <t>Tiếp nhận DN từ Cổng PLQG cho hồ sơ pháp lý</t>
        </is>
      </c>
      <c r="H18" s="9" t="inlineStr">
        <is>
          <t>Cổng PLQG</t>
        </is>
      </c>
      <c r="I18" s="9" t="inlineStr">
        <is>
          <t>API inbound hồ sơ pháp lý</t>
        </is>
      </c>
      <c r="J18" s="9" t="inlineStr">
        <is>
          <t>MST chưa tồn tại; mailbox email DN đang trống; đã ghi số bản ghi hiển thị.</t>
        </is>
      </c>
      <c r="K18" s="9" t="inlineStr">
        <is>
          <t>Payload hợp lệ có MST/tên/email diupt01+uat-em-dn-nomail-05@gmail.com</t>
        </is>
      </c>
      <c r="L18" s="9" t="inlineStr">
        <is>
          <t>1. Xóa thư cũ và ghi baseline UI.
2. Thực hiện luồng tạo/tiếp nhận DN với dữ liệu hợp lệ.
3. Chờ quá 5 phút.
4. Reload hồ sơ DN.
5. Kiểm tra hồ sơ trên UI/API, chuông và Gmail.</t>
        </is>
      </c>
      <c r="M18" s="9" t="inlineStr">
        <is>
          <t>1. Baseline xác định được.
2. Tạo đúng một doanh nghiệp hiển thị trên hệ thống.
3. Không có email kích hoạt.
4. DN tồn tại với MST/tên/email liên hệ đúng.
5. Không có tài khoản đăng nhập mới, email kích hoạt hoặc thông báo kích hoạt trên chuông.</t>
        </is>
      </c>
      <c r="N18" s="9" t="inlineStr">
        <is>
          <t>Không áp dụng</t>
        </is>
      </c>
      <c r="O18" s="9" t="inlineStr">
        <is>
          <t>Không có</t>
        </is>
      </c>
      <c r="P18" s="9" t="inlineStr">
        <is>
          <t>Mailbox DN và mọi mailbox test</t>
        </is>
      </c>
      <c r="Q18" s="9" t="inlineStr">
        <is>
          <t>Kiểm tra hồ sơ DN trên UI/API, không có tài khoản mới, Gmail và chuông không có kích hoạt.</t>
        </is>
      </c>
      <c r="R18" s="9" t="inlineStr">
        <is>
          <t>Xóa/đánh dấu fixture theo quy trình môi trường test; không dùng lại MST cho case khác.</t>
        </is>
      </c>
      <c r="S18" s="9" t="inlineStr"/>
      <c r="T18" s="9" t="inlineStr"/>
      <c r="U18" s="12" t="inlineStr">
        <is>
          <t>Not Run</t>
        </is>
      </c>
      <c r="V18" s="9" t="inlineStr"/>
      <c r="W18" s="9" t="inlineStr"/>
      <c r="X18" s="9" t="inlineStr"/>
    </row>
    <row r="19">
      <c r="A19" s="9" t="n">
        <v>18</v>
      </c>
      <c r="B19" s="9" t="inlineStr">
        <is>
          <t>EM-DN-REG-01</t>
        </is>
      </c>
      <c r="C19" s="9" t="inlineStr">
        <is>
          <t>FR-VIII-22 Processing#7-12 / BR-AUTH-EMAIL-01</t>
        </is>
      </c>
      <c r="D19" s="9" t="inlineStr">
        <is>
          <t>DN tự đăng ký</t>
        </is>
      </c>
      <c r="E19" s="10" t="inlineStr">
        <is>
          <t>P0</t>
        </is>
      </c>
      <c r="F19" s="9" t="inlineStr">
        <is>
          <t>Workflow/Negative</t>
        </is>
      </c>
      <c r="G19" s="9" t="inlineStr">
        <is>
          <t>Đăng ký thành công đồng bộ một email vào hai bảng</t>
        </is>
      </c>
      <c r="H19" s="9" t="inlineStr">
        <is>
          <t>DN chưa có TK</t>
        </is>
      </c>
      <c r="I19" s="9" t="inlineStr">
        <is>
          <t>Đăng nhập &gt; Đăng ký DN</t>
        </is>
      </c>
      <c r="J19" s="9" t="inlineStr">
        <is>
          <t>MST/email chưa tồn tại; field bắt buộc hợp lệ.</t>
        </is>
      </c>
      <c r="K19" s="9" t="inlineStr">
        <is>
          <t>MST 0100000201; diupt01+uat-em-dn-reg-01@gmail.com (gán cùng giá trị cho TK và DN)</t>
        </is>
      </c>
      <c r="L19" s="9" t="inlineStr">
        <is>
          <t>1. Dọn inbox/ghi count UI/API, bridge, token, queue.
2. Mở form đăng ký.
3. Nhập dữ liệu theo Test Data và submit.
4. Kiểm tra UI, UI/API và inbox.
5. Nếu có link, mở và đăng nhập.
6. Kiểm tra audit và mailbox âm.</t>
        </is>
      </c>
      <c r="M19" s="9" t="inlineStr">
        <is>
          <t>1-3. Submit thành công.
4. Tạo 1 TK CHO_KICH_HOAT và 1 DN; TAI_KHOAN.email = DOANH_NGHIEP.email = input; một mail kích hoạt.
5. Link kích hoạt một lần, không hỏi lại mật khẩu; đăng nhập bằng MST.
6. Role/audit đúng.</t>
        </is>
      </c>
      <c r="N19" s="9" t="inlineStr">
        <is>
          <t>TAI_KHOAN.email</t>
        </is>
      </c>
      <c r="O19" s="9" t="inlineStr">
        <is>
          <t>To: email đăng ký nếu thành công</t>
        </is>
      </c>
      <c r="P19" s="9" t="inlineStr">
        <is>
          <t>Email của tài khoản khác; email DN fixture khác</t>
        </is>
      </c>
      <c r="Q19" s="9" t="inlineStr">
        <is>
          <t>TAI_KHOAN/DOANH_NGHIEP liên kết qua MST; 2 email; role DN; token; queue; SMTP; AUDIT_LOG SELF_REGISTER_DN.</t>
        </is>
      </c>
      <c r="R19" s="9" t="inlineStr">
        <is>
          <t>Dùng MST/email riêng mỗi case; vô hiệu hóa fixture sau test.</t>
        </is>
      </c>
      <c r="S19" s="9" t="inlineStr"/>
      <c r="T19" s="9" t="inlineStr"/>
      <c r="U19" s="12" t="inlineStr">
        <is>
          <t>Not Run</t>
        </is>
      </c>
      <c r="V19" s="9" t="inlineStr"/>
      <c r="W19" s="9" t="inlineStr"/>
      <c r="X19" s="9" t="inlineStr"/>
    </row>
    <row r="20">
      <c r="A20" s="9" t="n">
        <v>19</v>
      </c>
      <c r="B20" s="9" t="inlineStr">
        <is>
          <t>EM-DN-REG-02</t>
        </is>
      </c>
      <c r="C20" s="9" t="inlineStr">
        <is>
          <t>FR-VIII-22 E3 ERR-REG-02</t>
        </is>
      </c>
      <c r="D20" s="9" t="inlineStr">
        <is>
          <t>DN tự đăng ký</t>
        </is>
      </c>
      <c r="E20" s="10" t="inlineStr">
        <is>
          <t>P0</t>
        </is>
      </c>
      <c r="F20" s="9" t="inlineStr">
        <is>
          <t>Workflow/Negative</t>
        </is>
      </c>
      <c r="G20" s="9" t="inlineStr">
        <is>
          <t>Đăng ký với email đã tồn tại trong TAI_KHOAN</t>
        </is>
      </c>
      <c r="H20" s="9" t="inlineStr">
        <is>
          <t>DN chưa có TK</t>
        </is>
      </c>
      <c r="I20" s="9" t="inlineStr">
        <is>
          <t>Đăng nhập &gt; Đăng ký DN</t>
        </is>
      </c>
      <c r="J20" s="9" t="inlineStr">
        <is>
          <t>MST mới; email đã thuộc tài khoản khác.</t>
        </is>
      </c>
      <c r="K20" s="9" t="inlineStr">
        <is>
          <t>MST 0100000202; MB_TK_CURRENT đã thuộc tài khoản khác</t>
        </is>
      </c>
      <c r="L20" s="9" t="inlineStr">
        <is>
          <t>1. Dọn inbox/ghi count UI/API, bridge, token, queue.
2. Mở form đăng ký.
3. Nhập dữ liệu theo Test Data và submit.
4. Kiểm tra UI, UI/API và inbox.
5. Nếu có link, mở và đăng nhập.
6. Kiểm tra audit và mailbox âm.</t>
        </is>
      </c>
      <c r="M20" s="9" t="inlineStr">
        <is>
          <t>Submit bị từ chối với 'Email đã được sử dụng'; không tạo TK/DN/bridge/token/email.</t>
        </is>
      </c>
      <c r="N20" s="9" t="inlineStr">
        <is>
          <t>TAI_KHOAN.email</t>
        </is>
      </c>
      <c r="O20" s="9" t="inlineStr">
        <is>
          <t>To: email đăng ký nếu thành công</t>
        </is>
      </c>
      <c r="P20" s="9" t="inlineStr">
        <is>
          <t>Email của tài khoản khác; email DN fixture khác</t>
        </is>
      </c>
      <c r="Q20" s="9" t="inlineStr">
        <is>
          <t>TAI_KHOAN/DOANH_NGHIEP liên kết qua MST; 2 email; role DN; token; queue; SMTP; AUDIT_LOG SELF_REGISTER_DN.</t>
        </is>
      </c>
      <c r="R20" s="9" t="inlineStr">
        <is>
          <t>Dùng MST/email riêng mỗi case; vô hiệu hóa fixture sau test.</t>
        </is>
      </c>
      <c r="S20" s="9" t="inlineStr"/>
      <c r="T20" s="9" t="inlineStr"/>
      <c r="U20" s="12" t="inlineStr">
        <is>
          <t>Not Run</t>
        </is>
      </c>
      <c r="V20" s="9" t="inlineStr"/>
      <c r="W20" s="9" t="inlineStr"/>
      <c r="X20" s="9" t="inlineStr"/>
    </row>
    <row r="21">
      <c r="A21" s="9" t="n">
        <v>20</v>
      </c>
      <c r="B21" s="9" t="inlineStr">
        <is>
          <t>EM-DN-REG-03</t>
        </is>
      </c>
      <c r="C21" s="9" t="inlineStr">
        <is>
          <t>BR-AUTH-EMAIL-01</t>
        </is>
      </c>
      <c r="D21" s="9" t="inlineStr">
        <is>
          <t>DN tự đăng ký</t>
        </is>
      </c>
      <c r="E21" s="10" t="inlineStr">
        <is>
          <t>P0</t>
        </is>
      </c>
      <c r="F21" s="9" t="inlineStr">
        <is>
          <t>Workflow/Negative</t>
        </is>
      </c>
      <c r="G21" s="9" t="inlineStr">
        <is>
          <t>Email đang dùng ở DOANH_NGHIEP nhưng chưa có trong TAI_KHOAN</t>
        </is>
      </c>
      <c r="H21" s="9" t="inlineStr">
        <is>
          <t>DN chưa có TK</t>
        </is>
      </c>
      <c r="I21" s="9" t="inlineStr">
        <is>
          <t>Đăng nhập &gt; Đăng ký DN</t>
        </is>
      </c>
      <c r="J21" s="9" t="inlineStr">
        <is>
          <t>Email shared chỉ tồn tại ở DOANH_NGHIEP; MST mới.</t>
        </is>
      </c>
      <c r="K21" s="9" t="inlineStr">
        <is>
          <t>MST 0100000203; diupt01+uat-em-dn-reg-03@gmail.com đã có ở DOANH_NGHIEP nhưng chưa có ở TAI_KHOAN</t>
        </is>
      </c>
      <c r="L21" s="9" t="inlineStr">
        <is>
          <t>1. Dọn inbox/ghi count UI/API, bridge, token, queue.
2. Mở form đăng ký.
3. Nhập dữ liệu theo Test Data và submit.
4. Kiểm tra UI, UI/API và inbox.
5. Nếu có link, mở và đăng nhập.
6. Kiểm tra audit và mailbox âm.</t>
        </is>
      </c>
      <c r="M21" s="9" t="inlineStr">
        <is>
          <t>Không được từ chối chỉ vì trùng DOANH_NGHIEP.email; đăng ký thành công nếu TAI_KHOAN.email chưa có; sau đó TAI_KHOAN.email unique được tạo.</t>
        </is>
      </c>
      <c r="N21" s="9" t="inlineStr">
        <is>
          <t>TAI_KHOAN.email</t>
        </is>
      </c>
      <c r="O21" s="9" t="inlineStr">
        <is>
          <t>To: email đăng ký nếu thành công</t>
        </is>
      </c>
      <c r="P21" s="9" t="inlineStr">
        <is>
          <t>Email của tài khoản khác; email DN fixture khác</t>
        </is>
      </c>
      <c r="Q21" s="9" t="inlineStr">
        <is>
          <t>TAI_KHOAN/DOANH_NGHIEP liên kết qua MST; 2 email; role DN; token; queue; SMTP; AUDIT_LOG SELF_REGISTER_DN.</t>
        </is>
      </c>
      <c r="R21" s="9" t="inlineStr">
        <is>
          <t>Dùng MST/email riêng mỗi case; vô hiệu hóa fixture sau test.</t>
        </is>
      </c>
      <c r="S21" s="9" t="inlineStr"/>
      <c r="T21" s="9" t="inlineStr"/>
      <c r="U21" s="12" t="inlineStr">
        <is>
          <t>Not Run</t>
        </is>
      </c>
      <c r="V21" s="9" t="inlineStr"/>
      <c r="W21" s="9" t="inlineStr"/>
      <c r="X21" s="9" t="inlineStr"/>
    </row>
    <row r="22">
      <c r="A22" s="9" t="n">
        <v>21</v>
      </c>
      <c r="B22" s="9" t="inlineStr">
        <is>
          <t>EM-DN-REG-04</t>
        </is>
      </c>
      <c r="C22" s="9" t="inlineStr">
        <is>
          <t>FR-VIII-22 E2 ERR-REG-MST-EXIST</t>
        </is>
      </c>
      <c r="D22" s="9" t="inlineStr">
        <is>
          <t>DN tự đăng ký</t>
        </is>
      </c>
      <c r="E22" s="10" t="inlineStr">
        <is>
          <t>P0</t>
        </is>
      </c>
      <c r="F22" s="9" t="inlineStr">
        <is>
          <t>Workflow/Negative</t>
        </is>
      </c>
      <c r="G22" s="9" t="inlineStr">
        <is>
          <t>MST đã có hồ sơ doanh nghiệp</t>
        </is>
      </c>
      <c r="H22" s="9" t="inlineStr">
        <is>
          <t>DN chưa có TK</t>
        </is>
      </c>
      <c r="I22" s="9" t="inlineStr">
        <is>
          <t>Đăng nhập &gt; Đăng ký DN</t>
        </is>
      </c>
      <c r="J22" s="9" t="inlineStr">
        <is>
          <t>DOANH_NGHIEP đã có MST, chưa có hoặc đã có TK.</t>
        </is>
      </c>
      <c r="K22" s="9" t="inlineStr">
        <is>
          <t>MST hiện hữu; email mới</t>
        </is>
      </c>
      <c r="L22" s="9" t="inlineStr">
        <is>
          <t>1. Dọn inbox/ghi count UI/API, bridge, token, queue.
2. Mở form đăng ký.
3. Nhập dữ liệu theo Test Data và submit.
4. Kiểm tra UI, UI/API và inbox.
5. Nếu có link, mở và đăng nhập.
6. Kiểm tra audit và mailbox âm.</t>
        </is>
      </c>
      <c r="M22" s="9" t="inlineStr">
        <is>
          <t>Hiển thị nguyên văn ERR-REG-MST-EXIST và nút Quên mật khẩu; không tạo DN/TK/mail mới; nút dẫn FR-VIII-26.</t>
        </is>
      </c>
      <c r="N22" s="9" t="inlineStr">
        <is>
          <t>TAI_KHOAN.email</t>
        </is>
      </c>
      <c r="O22" s="9" t="inlineStr">
        <is>
          <t>To: email đăng ký nếu thành công</t>
        </is>
      </c>
      <c r="P22" s="9" t="inlineStr">
        <is>
          <t>Email của tài khoản khác; email DN fixture khác</t>
        </is>
      </c>
      <c r="Q22" s="9" t="inlineStr">
        <is>
          <t>TAI_KHOAN/DOANH_NGHIEP liên kết qua MST; 2 email; role DN; token; queue; SMTP; AUDIT_LOG SELF_REGISTER_DN.</t>
        </is>
      </c>
      <c r="R22" s="9" t="inlineStr">
        <is>
          <t>Dùng MST/email riêng mỗi case; vô hiệu hóa fixture sau test.</t>
        </is>
      </c>
      <c r="S22" s="9" t="inlineStr"/>
      <c r="T22" s="9" t="inlineStr"/>
      <c r="U22" s="12" t="inlineStr">
        <is>
          <t>Not Run</t>
        </is>
      </c>
      <c r="V22" s="9" t="inlineStr"/>
      <c r="W22" s="9" t="inlineStr"/>
      <c r="X22" s="9" t="inlineStr"/>
    </row>
    <row r="23">
      <c r="A23" s="9" t="n">
        <v>22</v>
      </c>
      <c r="B23" s="9" t="inlineStr">
        <is>
          <t>EM-DN-REG-05</t>
        </is>
      </c>
      <c r="C23" s="9" t="inlineStr">
        <is>
          <t>FR-VIII-22 E8 ERR-REG-ACT-01</t>
        </is>
      </c>
      <c r="D23" s="9" t="inlineStr">
        <is>
          <t>DN tự đăng ký</t>
        </is>
      </c>
      <c r="E23" s="10" t="inlineStr">
        <is>
          <t>P0</t>
        </is>
      </c>
      <c r="F23" s="9" t="inlineStr">
        <is>
          <t>Workflow/Negative</t>
        </is>
      </c>
      <c r="G23" s="9" t="inlineStr">
        <is>
          <t>Link kích hoạt DN bị sửa</t>
        </is>
      </c>
      <c r="H23" s="9" t="inlineStr">
        <is>
          <t>DN chưa có TK</t>
        </is>
      </c>
      <c r="I23" s="9" t="inlineStr">
        <is>
          <t>Đăng nhập &gt; Đăng ký DN</t>
        </is>
      </c>
      <c r="J23" s="9" t="inlineStr">
        <is>
          <t>DN đăng ký thành công, TK CHO_KICH_HOAT.</t>
        </is>
      </c>
      <c r="K23" s="9" t="inlineStr">
        <is>
          <t>URL token sửa một ký tự</t>
        </is>
      </c>
      <c r="L23" s="9" t="inlineStr">
        <is>
          <t>1. Dọn inbox/ghi count UI/API, bridge, token, queue.
2. Mở form đăng ký.
3. Nhập dữ liệu theo Test Data và submit.
4. Kiểm tra UI, UI/API và inbox.
5. Nếu có link, mở và đăng nhập.
6. Kiểm tra audit và mailbox âm.</t>
        </is>
      </c>
      <c r="M23" s="9" t="inlineStr">
        <is>
          <t>Link báo không hợp lệ nguyên văn; TK vẫn CHO_KICH_HOAT; mật khẩu/token hợp lệ ban đầu không bị thay đổi.</t>
        </is>
      </c>
      <c r="N23" s="9" t="inlineStr">
        <is>
          <t>TAI_KHOAN.email</t>
        </is>
      </c>
      <c r="O23" s="9" t="inlineStr">
        <is>
          <t>To: email đăng ký nếu thành công</t>
        </is>
      </c>
      <c r="P23" s="9" t="inlineStr">
        <is>
          <t>Email của tài khoản khác; email DN fixture khác</t>
        </is>
      </c>
      <c r="Q23" s="9" t="inlineStr">
        <is>
          <t>TAI_KHOAN/DOANH_NGHIEP liên kết qua MST; 2 email; role DN; token; queue; SMTP; AUDIT_LOG SELF_REGISTER_DN.</t>
        </is>
      </c>
      <c r="R23" s="9" t="inlineStr">
        <is>
          <t>Dùng MST/email riêng mỗi case; vô hiệu hóa fixture sau test.</t>
        </is>
      </c>
      <c r="S23" s="9" t="inlineStr"/>
      <c r="T23" s="9" t="inlineStr"/>
      <c r="U23" s="12" t="inlineStr">
        <is>
          <t>Not Run</t>
        </is>
      </c>
      <c r="V23" s="9" t="inlineStr"/>
      <c r="W23" s="9" t="inlineStr"/>
      <c r="X23" s="9" t="inlineStr"/>
    </row>
    <row r="24">
      <c r="A24" s="9" t="n">
        <v>23</v>
      </c>
      <c r="B24" s="9" t="inlineStr">
        <is>
          <t>EM-DN-REG-06</t>
        </is>
      </c>
      <c r="C24" s="9" t="inlineStr">
        <is>
          <t>FR-VIII-22 E9 ERR-REG-ACT-02</t>
        </is>
      </c>
      <c r="D24" s="9" t="inlineStr">
        <is>
          <t>DN tự đăng ký</t>
        </is>
      </c>
      <c r="E24" s="10" t="inlineStr">
        <is>
          <t>P0</t>
        </is>
      </c>
      <c r="F24" s="9" t="inlineStr">
        <is>
          <t>Workflow/Negative</t>
        </is>
      </c>
      <c r="G24" s="9" t="inlineStr">
        <is>
          <t>Link kích hoạt DN dùng lần hai</t>
        </is>
      </c>
      <c r="H24" s="9" t="inlineStr">
        <is>
          <t>DN chưa có TK</t>
        </is>
      </c>
      <c r="I24" s="9" t="inlineStr">
        <is>
          <t>Đăng nhập &gt; Đăng ký DN</t>
        </is>
      </c>
      <c r="J24" s="9" t="inlineStr">
        <is>
          <t>Link đã kích hoạt thành công.</t>
        </is>
      </c>
      <c r="K24" s="9" t="inlineStr">
        <is>
          <t>Dùng lại cùng URL</t>
        </is>
      </c>
      <c r="L24" s="9" t="inlineStr">
        <is>
          <t>1. Dọn inbox/ghi count UI/API, bridge, token, queue.
2. Mở form đăng ký.
3. Nhập dữ liệu theo Test Data và submit.
4. Kiểm tra UI, UI/API và inbox.
5. Nếu có link, mở và đăng nhập.
6. Kiểm tra audit và mailbox âm.</t>
        </is>
      </c>
      <c r="M24" s="9" t="inlineStr">
        <is>
          <t>Báo link đã sử dụng nguyên văn; không tạo thêm audit/session/role; TK vẫn HOAT_DONG.</t>
        </is>
      </c>
      <c r="N24" s="9" t="inlineStr">
        <is>
          <t>TAI_KHOAN.email</t>
        </is>
      </c>
      <c r="O24" s="9" t="inlineStr">
        <is>
          <t>To: email đăng ký nếu thành công</t>
        </is>
      </c>
      <c r="P24" s="9" t="inlineStr">
        <is>
          <t>Email của tài khoản khác; email DN fixture khác</t>
        </is>
      </c>
      <c r="Q24" s="9" t="inlineStr">
        <is>
          <t>TAI_KHOAN/DOANH_NGHIEP liên kết qua MST; 2 email; role DN; token; queue; SMTP; AUDIT_LOG SELF_REGISTER_DN.</t>
        </is>
      </c>
      <c r="R24" s="9" t="inlineStr">
        <is>
          <t>Dùng MST/email riêng mỗi case; vô hiệu hóa fixture sau test.</t>
        </is>
      </c>
      <c r="S24" s="9" t="inlineStr"/>
      <c r="T24" s="9" t="inlineStr"/>
      <c r="U24" s="12" t="inlineStr">
        <is>
          <t>Not Run</t>
        </is>
      </c>
      <c r="V24" s="9" t="inlineStr"/>
      <c r="W24" s="9" t="inlineStr"/>
      <c r="X24" s="9" t="inlineStr"/>
    </row>
    <row r="25">
      <c r="A25" s="9" t="n">
        <v>24</v>
      </c>
      <c r="B25" s="9" t="inlineStr">
        <is>
          <t>EM-DN-CLAIM-01</t>
        </is>
      </c>
      <c r="C25" s="9" t="inlineStr">
        <is>
          <t>FR-VIII-26 4b-16</t>
        </is>
      </c>
      <c r="D25" s="9" t="inlineStr">
        <is>
          <t>DN Claim Flow</t>
        </is>
      </c>
      <c r="E25" s="10" t="inlineStr">
        <is>
          <t>P0</t>
        </is>
      </c>
      <c r="F25" s="9" t="inlineStr">
        <is>
          <t>Workflow/Negative/Concurrency</t>
        </is>
      </c>
      <c r="G25" s="9" t="inlineStr">
        <is>
          <t>MST có DN chưa có TK và email hợp lệ</t>
        </is>
      </c>
      <c r="H25" s="9" t="inlineStr">
        <is>
          <t>DN</t>
        </is>
      </c>
      <c r="I25" s="9" t="inlineStr">
        <is>
          <t>Đăng nhập &gt; Quên mật khẩu</t>
        </is>
      </c>
      <c r="J25" s="9" t="inlineStr">
        <is>
          <t>DN tồn tại, chưa có TK, DOANH_NGHIEP.email hợp lệ.</t>
        </is>
      </c>
      <c r="K25" s="9" t="inlineStr">
        <is>
          <t>MST 0100000301; diupt01+uat-em-dn-claim-01@gmail.com</t>
        </is>
      </c>
      <c r="L25" s="9" t="inlineStr">
        <is>
          <t>1. Dọn inbox; ghi count DN/TK/token/queue và liên kết hiện tại.
2. Nhập MST vào một ô Tên đăng nhập.
3. Bấm gửi link.
4. Kiểm tra UI, UI/API và inbox.
5. Mở link, đặt mật khẩu nếu nhận được.
6. Đăng nhập và kiểm tra hồ sơ/quyền/audit.</t>
        </is>
      </c>
      <c r="M25" s="9" t="inlineStr">
        <is>
          <t>1-3. Hệ thống tạo đúng 1 TK username=MST, email=DOANH_NGHIEP.email, CHO_KICH_HOAT, role DN và link DN cũ.
4. Một mail tới email DN.
5. Token vĩnh viễn một lần; đặt mật khẩu làm TK HOAT_DONG.
6. Đăng nhập thấy đúng hồ sơ DN cũ, không tạo DN mới.</t>
        </is>
      </c>
      <c r="N25" s="9" t="inlineStr">
        <is>
          <t>DOANH_NGHIEP.email</t>
        </is>
      </c>
      <c r="O25" s="9" t="inlineStr">
        <is>
          <t>To: DOANH_NGHIEP.email cho claim mới; TAI_KHOAN.email nếu TK đã có</t>
        </is>
      </c>
      <c r="P25" s="9" t="inlineStr">
        <is>
          <t>Email DN/TK khác; email cũ sau khi đã cập nhật</t>
        </is>
      </c>
      <c r="Q25" s="9" t="inlineStr">
        <is>
          <t>TAI_KHOAN count/link DN/role DN; token vĩnh viễn một lần cho CHO_KICH_HOAT; queue/SMTP; AUDIT_LOG DN_CLAIM.</t>
        </is>
      </c>
      <c r="R25" s="9" t="inlineStr">
        <is>
          <t>Thu hồi token; vô hiệu hóa TK claim fixture nếu cần.</t>
        </is>
      </c>
      <c r="S25" s="9" t="inlineStr"/>
      <c r="T25" s="9" t="inlineStr"/>
      <c r="U25" s="12" t="inlineStr">
        <is>
          <t>Not Run</t>
        </is>
      </c>
      <c r="V25" s="9" t="inlineStr"/>
      <c r="W25" s="9" t="inlineStr"/>
      <c r="X25" s="9" t="inlineStr"/>
    </row>
    <row r="26">
      <c r="A26" s="9" t="n">
        <v>25</v>
      </c>
      <c r="B26" s="9" t="inlineStr">
        <is>
          <t>EM-DN-CLAIM-02</t>
        </is>
      </c>
      <c r="C26" s="9" t="inlineStr">
        <is>
          <t>FR-VIII-26 AC MST đã có TK</t>
        </is>
      </c>
      <c r="D26" s="9" t="inlineStr">
        <is>
          <t>DN Claim Flow</t>
        </is>
      </c>
      <c r="E26" s="10" t="inlineStr">
        <is>
          <t>P0</t>
        </is>
      </c>
      <c r="F26" s="9" t="inlineStr">
        <is>
          <t>Workflow/Negative/Concurrency</t>
        </is>
      </c>
      <c r="G26" s="9" t="inlineStr">
        <is>
          <t>MST có DN và đã có TK</t>
        </is>
      </c>
      <c r="H26" s="9" t="inlineStr">
        <is>
          <t>DN</t>
        </is>
      </c>
      <c r="I26" s="9" t="inlineStr">
        <is>
          <t>Đăng nhập &gt; Quên mật khẩu</t>
        </is>
      </c>
      <c r="J26" s="9" t="inlineStr">
        <is>
          <t>DN/TK đã liên kết; hai email khác nhau.</t>
        </is>
      </c>
      <c r="K26" s="9" t="inlineStr">
        <is>
          <t>MST 0100000302; TK=diupt01+uat-em-dn-claim-02-tk@gmail.com; DN=diupt01+uat-em-dn-claim-02-dn@gmail.com</t>
        </is>
      </c>
      <c r="L26" s="9" t="inlineStr">
        <is>
          <t>1. Dọn inbox; ghi count DN/TK/token/queue và liên kết hiện tại.
2. Nhập MST vào một ô Tên đăng nhập.
3. Bấm gửi link.
4. Kiểm tra UI, UI/API và inbox.
5. Mở link, đặt mật khẩu nếu nhận được.
6. Đăng nhập và kiểm tra hồ sơ/quyền/audit.</t>
        </is>
      </c>
      <c r="M26" s="9" t="inlineStr">
        <is>
          <t>Không tạo TK/DN mới; xử lý reset thường; token hạn 30 phút; chỉ diupt01+uat-em-dn-claim-02-tk@gmail.com nhận mail.</t>
        </is>
      </c>
      <c r="N26" s="9" t="inlineStr">
        <is>
          <t>TAI_KHOAN.email</t>
        </is>
      </c>
      <c r="O26" s="9" t="inlineStr">
        <is>
          <t>To: DOANH_NGHIEP.email cho claim mới; TAI_KHOAN.email nếu TK đã có</t>
        </is>
      </c>
      <c r="P26" s="9" t="inlineStr">
        <is>
          <t>Email DN/TK khác; email cũ sau khi đã cập nhật</t>
        </is>
      </c>
      <c r="Q26" s="9" t="inlineStr">
        <is>
          <t>TAI_KHOAN count/link DN/role DN; token vĩnh viễn một lần cho CHO_KICH_HOAT; queue/SMTP; AUDIT_LOG DN_CLAIM.</t>
        </is>
      </c>
      <c r="R26" s="9" t="inlineStr">
        <is>
          <t>Thu hồi token; vô hiệu hóa TK claim fixture nếu cần.</t>
        </is>
      </c>
      <c r="S26" s="9" t="inlineStr"/>
      <c r="T26" s="9" t="inlineStr"/>
      <c r="U26" s="12" t="inlineStr">
        <is>
          <t>Not Run</t>
        </is>
      </c>
      <c r="V26" s="9" t="inlineStr"/>
      <c r="W26" s="9" t="inlineStr"/>
      <c r="X26" s="9" t="inlineStr"/>
    </row>
    <row r="27">
      <c r="A27" s="9" t="n">
        <v>26</v>
      </c>
      <c r="B27" s="9" t="inlineStr">
        <is>
          <t>EM-DN-CLAIM-03</t>
        </is>
      </c>
      <c r="C27" s="9" t="inlineStr">
        <is>
          <t>FR-VIII-26 Processing#4b srs-fr-10:1320 / TAI_KHOAN.email bắt buộc+UNIQUE srs-v3.5:2110 / DOANH_NGHIEP.email tùy chọn srs-v3.5:1703 / ERR-PWD-01 srs-fr-10:1340</t>
        </is>
      </c>
      <c r="D27" s="9" t="inlineStr">
        <is>
          <t>DN Claim Flow</t>
        </is>
      </c>
      <c r="E27" s="10" t="inlineStr">
        <is>
          <t>P0</t>
        </is>
      </c>
      <c r="F27" s="9" t="inlineStr">
        <is>
          <t>Workflow/Negative/Concurrency</t>
        </is>
      </c>
      <c r="G27" s="9" t="inlineStr">
        <is>
          <t>DOANH_NGHIEP.email trống</t>
        </is>
      </c>
      <c r="H27" s="9" t="inlineStr">
        <is>
          <t>DN</t>
        </is>
      </c>
      <c r="I27" s="9" t="inlineStr">
        <is>
          <t>Đăng nhập &gt; Quên mật khẩu</t>
        </is>
      </c>
      <c r="J27" s="9" t="inlineStr">
        <is>
          <t>DN có MST, chưa TK, email NULL.</t>
        </is>
      </c>
      <c r="K27" s="9" t="inlineStr">
        <is>
          <t>MST 0100000303</t>
        </is>
      </c>
      <c r="L27" s="9" t="inlineStr">
        <is>
          <t>1. Dọn inbox; ghi count DN/TK/token/queue và liên kết hiện tại.
2. Nhập MST vào một ô Tên đăng nhập.
3. Bấm gửi link.
4. Kiểm tra UI, UI/API và inbox.
5. Mở link, đặt mật khẩu nếu nhận được.
6. Đăng nhập và kiểm tra hồ sơ/quyền/audit.</t>
        </is>
      </c>
      <c r="M27" s="9" t="inlineStr">
        <is>
          <t>Không được tạo TAI_KHOAN với email trống, không cấp quyền truy cập và không gửi SMTP mail. Nếu có phản hồi UI thì không được làm lộ thông tin ngoài thông báo trung tính; câu chữ cụ thể chưa được SRS đặc tả nên ghi Actual/BA clarification, không tự log bug wording.</t>
        </is>
      </c>
      <c r="N27" s="9" t="inlineStr">
        <is>
          <t>DOANH_NGHIEP.email</t>
        </is>
      </c>
      <c r="O27" s="9" t="inlineStr">
        <is>
          <t>To: DOANH_NGHIEP.email cho claim mới; TAI_KHOAN.email nếu TK đã có</t>
        </is>
      </c>
      <c r="P27" s="9" t="inlineStr">
        <is>
          <t>Email DN/TK khác; email cũ sau khi đã cập nhật</t>
        </is>
      </c>
      <c r="Q27" s="9" t="inlineStr">
        <is>
          <t>TAI_KHOAN count/link DN/role DN; token vĩnh viễn một lần cho CHO_KICH_HOAT; queue/SMTP; AUDIT_LOG DN_CLAIM.</t>
        </is>
      </c>
      <c r="R27" s="9" t="inlineStr">
        <is>
          <t>Thu hồi token; vô hiệu hóa TK claim fixture nếu cần.</t>
        </is>
      </c>
      <c r="S27" s="9" t="inlineStr"/>
      <c r="T27" s="9" t="inlineStr"/>
      <c r="U27" s="12" t="inlineStr">
        <is>
          <t>Not Run</t>
        </is>
      </c>
      <c r="V27" s="9" t="inlineStr"/>
      <c r="W27" s="9" t="inlineStr"/>
      <c r="X27" s="9" t="inlineStr"/>
    </row>
    <row r="28">
      <c r="A28" s="9" t="n">
        <v>27</v>
      </c>
      <c r="B28" s="9" t="inlineStr">
        <is>
          <t>EM-DN-CLAIM-04</t>
        </is>
      </c>
      <c r="C28" s="9" t="inlineStr">
        <is>
          <t>FR-VIII-26 E7-NEW</t>
        </is>
      </c>
      <c r="D28" s="9" t="inlineStr">
        <is>
          <t>DN Claim Flow</t>
        </is>
      </c>
      <c r="E28" s="10" t="inlineStr">
        <is>
          <t>P0</t>
        </is>
      </c>
      <c r="F28" s="9" t="inlineStr">
        <is>
          <t>Workflow/Negative/Concurrency</t>
        </is>
      </c>
      <c r="G28" s="9" t="inlineStr">
        <is>
          <t>Email DN bounce/không khả dụng</t>
        </is>
      </c>
      <c r="H28" s="9" t="inlineStr">
        <is>
          <t>DN</t>
        </is>
      </c>
      <c r="I28" s="9" t="inlineStr">
        <is>
          <t>Đăng nhập &gt; Quên mật khẩu</t>
        </is>
      </c>
      <c r="J28" s="9" t="inlineStr">
        <is>
          <t>DN chưa TK; SMTP chấp nhận rồi bounce hoặc stub trả lỗi.</t>
        </is>
      </c>
      <c r="K28" s="9" t="inlineStr">
        <is>
          <t>MST 0100000304; bounce@example.invalid</t>
        </is>
      </c>
      <c r="L28" s="9" t="inlineStr">
        <is>
          <t>1. Dọn inbox; ghi count DN/TK/token/queue và liên kết hiện tại.
2. Nhập MST vào một ô Tên đăng nhập.
3. Bấm gửi link.
4. Kiểm tra UI, UI/API và inbox.
5. Mở link, đặt mật khẩu nếu nhận được.
6. Đăng nhập và kiểm tra hồ sơ/quyền/audit.</t>
        </is>
      </c>
      <c r="M28" s="9" t="inlineStr">
        <is>
          <t>UI không hiển thị mã nội bộ ERR-PWD-DN-NO-MAIL; ghi mail failure/audit; DN không được active. Hỗ trợ phải cập nhật email rồi DN thực hiện lại.</t>
        </is>
      </c>
      <c r="N28" s="9" t="inlineStr">
        <is>
          <t>DOANH_NGHIEP.email</t>
        </is>
      </c>
      <c r="O28" s="9" t="inlineStr">
        <is>
          <t>To: DOANH_NGHIEP.email cho claim mới; TAI_KHOAN.email nếu TK đã có</t>
        </is>
      </c>
      <c r="P28" s="9" t="inlineStr">
        <is>
          <t>Email DN/TK khác; email cũ sau khi đã cập nhật</t>
        </is>
      </c>
      <c r="Q28" s="9" t="inlineStr">
        <is>
          <t>TAI_KHOAN count/link DN/role DN; token vĩnh viễn một lần cho CHO_KICH_HOAT; queue/SMTP; AUDIT_LOG DN_CLAIM.</t>
        </is>
      </c>
      <c r="R28" s="9" t="inlineStr">
        <is>
          <t>Thu hồi token; vô hiệu hóa TK claim fixture nếu cần.</t>
        </is>
      </c>
      <c r="S28" s="9" t="inlineStr"/>
      <c r="T28" s="9" t="inlineStr"/>
      <c r="U28" s="12" t="inlineStr">
        <is>
          <t>Not Run</t>
        </is>
      </c>
      <c r="V28" s="9" t="inlineStr"/>
      <c r="W28" s="9" t="inlineStr"/>
      <c r="X28" s="9" t="inlineStr"/>
    </row>
    <row r="29">
      <c r="A29" s="9" t="n">
        <v>28</v>
      </c>
      <c r="B29" s="9" t="inlineStr">
        <is>
          <t>EM-DN-CLAIM-05</t>
        </is>
      </c>
      <c r="C29" s="9" t="inlineStr">
        <is>
          <t>FR-VIII-26 fallback AC</t>
        </is>
      </c>
      <c r="D29" s="9" t="inlineStr">
        <is>
          <t>DN Claim Flow</t>
        </is>
      </c>
      <c r="E29" s="10" t="inlineStr">
        <is>
          <t>P0</t>
        </is>
      </c>
      <c r="F29" s="9" t="inlineStr">
        <is>
          <t>Workflow/Negative/Concurrency</t>
        </is>
      </c>
      <c r="G29" s="9" t="inlineStr">
        <is>
          <t>Cập nhật email DN rồi chạy lại Claim</t>
        </is>
      </c>
      <c r="H29" s="9" t="inlineStr">
        <is>
          <t>DN</t>
        </is>
      </c>
      <c r="I29" s="9" t="inlineStr">
        <is>
          <t>Đăng nhập &gt; Quên mật khẩu</t>
        </is>
      </c>
      <c r="J29" s="9" t="inlineStr">
        <is>
          <t>Claim trước thất bại; CB đã xác minh CNĐKKD và cập nhật email DN.</t>
        </is>
      </c>
      <c r="K29" s="9" t="inlineStr">
        <is>
          <t>MST 0100000305; old=bad; new=diupt01+uat-em-dn-claim-05-new@gmail.com</t>
        </is>
      </c>
      <c r="L29" s="9" t="inlineStr">
        <is>
          <t>1. Dọn inbox; ghi count DN/TK/token/queue và liên kết hiện tại.
2. Nhập MST vào một ô Tên đăng nhập.
3. Bấm gửi link.
4. Kiểm tra UI, UI/API và inbox.
5. Mở link, đặt mật khẩu nếu nhận được.
6. Đăng nhập và kiểm tra hồ sơ/quyền/audit.</t>
        </is>
      </c>
      <c r="M29" s="9" t="inlineStr">
        <is>
          <t>Lần mới gửi chỉ tới email mới; không tạo TK thứ hai; link mới đặt mật khẩu được; email cũ không nhận.</t>
        </is>
      </c>
      <c r="N29" s="9" t="inlineStr">
        <is>
          <t>DOANH_NGHIEP.email</t>
        </is>
      </c>
      <c r="O29" s="9" t="inlineStr">
        <is>
          <t>To: DOANH_NGHIEP.email cho claim mới; TAI_KHOAN.email nếu TK đã có</t>
        </is>
      </c>
      <c r="P29" s="9" t="inlineStr">
        <is>
          <t>Email DN/TK khác; email cũ sau khi đã cập nhật</t>
        </is>
      </c>
      <c r="Q29" s="9" t="inlineStr">
        <is>
          <t>TAI_KHOAN count/link DN/role DN; token vĩnh viễn một lần cho CHO_KICH_HOAT; queue/SMTP; AUDIT_LOG DN_CLAIM.</t>
        </is>
      </c>
      <c r="R29" s="9" t="inlineStr">
        <is>
          <t>Thu hồi token; vô hiệu hóa TK claim fixture nếu cần.</t>
        </is>
      </c>
      <c r="S29" s="9" t="inlineStr"/>
      <c r="T29" s="9" t="inlineStr"/>
      <c r="U29" s="12" t="inlineStr">
        <is>
          <t>Not Run</t>
        </is>
      </c>
      <c r="V29" s="9" t="inlineStr"/>
      <c r="W29" s="9" t="inlineStr"/>
      <c r="X29" s="9" t="inlineStr"/>
    </row>
    <row r="30">
      <c r="A30" s="9" t="n">
        <v>29</v>
      </c>
      <c r="B30" s="9" t="inlineStr">
        <is>
          <t>EM-DN-CLAIM-06</t>
        </is>
      </c>
      <c r="C30" s="9" t="inlineStr">
        <is>
          <t>FR-VIII-26 / Concurrency</t>
        </is>
      </c>
      <c r="D30" s="9" t="inlineStr">
        <is>
          <t>DN Claim Flow</t>
        </is>
      </c>
      <c r="E30" s="10" t="inlineStr">
        <is>
          <t>P0</t>
        </is>
      </c>
      <c r="F30" s="9" t="inlineStr">
        <is>
          <t>Workflow/Negative/Concurrency</t>
        </is>
      </c>
      <c r="G30" s="9" t="inlineStr">
        <is>
          <t>Hai yêu cầu Claim đồng thời</t>
        </is>
      </c>
      <c r="H30" s="9" t="inlineStr">
        <is>
          <t>DN</t>
        </is>
      </c>
      <c r="I30" s="9" t="inlineStr">
        <is>
          <t>Đăng nhập &gt; Quên mật khẩu</t>
        </is>
      </c>
      <c r="J30" s="9" t="inlineStr">
        <is>
          <t>DN tồn tại chưa có TK; hai request MST cùng lúc.</t>
        </is>
      </c>
      <c r="K30" s="9" t="inlineStr">
        <is>
          <t>MST 0100000306</t>
        </is>
      </c>
      <c r="L30" s="9" t="inlineStr">
        <is>
          <t>1. Dọn inbox; ghi count DN/TK/token/queue và liên kết hiện tại.
2. Nhập MST vào một ô Tên đăng nhập.
3. Bấm gửi link.
4. Kiểm tra UI, UI/API và inbox.
5. Mở link, đặt mật khẩu nếu nhận được.
6. Đăng nhập và kiểm tra hồ sơ/quyền/audit.</t>
        </is>
      </c>
      <c r="M30" s="9" t="inlineStr">
        <is>
          <t>Chỉ một TAI_KHOAN liên kết DN và một role DN; không duplicate key/500. Chính sách số mail/token phải nhất quán; chỉ token được coi hiệu lực theo quy tắc hệ thống.</t>
        </is>
      </c>
      <c r="N30" s="9" t="inlineStr">
        <is>
          <t>DOANH_NGHIEP.email</t>
        </is>
      </c>
      <c r="O30" s="9" t="inlineStr">
        <is>
          <t>To: DOANH_NGHIEP.email cho claim mới; TAI_KHOAN.email nếu TK đã có</t>
        </is>
      </c>
      <c r="P30" s="9" t="inlineStr">
        <is>
          <t>Email DN/TK khác; email cũ sau khi đã cập nhật</t>
        </is>
      </c>
      <c r="Q30" s="9" t="inlineStr">
        <is>
          <t>TAI_KHOAN count/link DN/role DN; token vĩnh viễn một lần cho CHO_KICH_HOAT; queue/SMTP; AUDIT_LOG DN_CLAIM.</t>
        </is>
      </c>
      <c r="R30" s="9" t="inlineStr">
        <is>
          <t>Thu hồi token; vô hiệu hóa TK claim fixture nếu cần.</t>
        </is>
      </c>
      <c r="S30" s="9" t="inlineStr"/>
      <c r="T30" s="9" t="inlineStr"/>
      <c r="U30" s="12" t="inlineStr">
        <is>
          <t>Not Run</t>
        </is>
      </c>
      <c r="V30" s="9" t="inlineStr"/>
      <c r="W30" s="9" t="inlineStr"/>
      <c r="X30" s="9" t="inlineStr"/>
    </row>
  </sheetData>
  <autoFilter ref="A1:X30"/>
  <dataValidations count="1">
    <dataValidation sqref="U2:U30" showDropDown="0" showInputMessage="0" showErrorMessage="0" allowBlank="0" type="list">
      <formula1>"Not Run,Pass,Fail,Blocked"</formula1>
    </dataValidation>
  </dataValidation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X75"/>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34" customWidth="1" min="3" max="3"/>
    <col width="20" customWidth="1" min="4" max="4"/>
    <col width="9" customWidth="1" min="5" max="5"/>
    <col width="17" customWidth="1" min="6" max="6"/>
    <col width="38" customWidth="1" min="7" max="7"/>
    <col width="22" customWidth="1" min="8" max="8"/>
    <col width="30" customWidth="1" min="9" max="9"/>
    <col width="38" customWidth="1" min="10" max="10"/>
    <col width="34" customWidth="1" min="11" max="11"/>
    <col width="60" customWidth="1" min="12" max="12"/>
    <col width="65" customWidth="1" min="13" max="13"/>
    <col width="28" customWidth="1" min="14" max="14"/>
    <col width="30" customWidth="1" min="15" max="15"/>
    <col width="34" customWidth="1" min="16" max="16"/>
    <col width="48" customWidth="1" min="17" max="17"/>
    <col width="32" customWidth="1" min="18" max="18"/>
    <col width="36" customWidth="1" min="19" max="19"/>
    <col width="25" customWidth="1" min="20" max="20"/>
    <col width="13" customWidth="1" min="21" max="21"/>
    <col width="16" customWidth="1" min="22" max="22"/>
    <col width="20" customWidth="1" min="23" max="23"/>
    <col width="30" customWidth="1" min="24" max="24"/>
  </cols>
  <sheetData>
    <row r="1" ht="48" customHeight="1">
      <c r="A1" s="4" t="inlineStr">
        <is>
          <t>STT</t>
        </is>
      </c>
      <c r="B1" s="4" t="inlineStr">
        <is>
          <t>Test Case ID</t>
        </is>
      </c>
      <c r="C1" s="4" t="inlineStr">
        <is>
          <t>TraceID (Mã SRS)</t>
        </is>
      </c>
      <c r="D1" s="4" t="inlineStr">
        <is>
          <t>Nhóm/Feature</t>
        </is>
      </c>
      <c r="E1" s="4" t="inlineStr">
        <is>
          <t>Priority</t>
        </is>
      </c>
      <c r="F1" s="4" t="inlineStr">
        <is>
          <t>Type</t>
        </is>
      </c>
      <c r="G1" s="4" t="inlineStr">
        <is>
          <t>Tên Test Case / Mục tiêu</t>
        </is>
      </c>
      <c r="H1" s="4" t="inlineStr">
        <is>
          <t>Tác nhân</t>
        </is>
      </c>
      <c r="I1" s="4" t="inlineStr">
        <is>
          <t>Điểm bắt đầu luồng</t>
        </is>
      </c>
      <c r="J1" s="4" t="inlineStr">
        <is>
          <t>Pre-conditions (Tiền đề)</t>
        </is>
      </c>
      <c r="K1" s="4" t="inlineStr">
        <is>
          <t>Test Data (Dữ liệu)</t>
        </is>
      </c>
      <c r="L1" s="4" t="inlineStr">
        <is>
          <t>Các bước thực hiện</t>
        </is>
      </c>
      <c r="M1" s="4" t="inlineStr">
        <is>
          <t>Kết quả mong đợi theo bước</t>
        </is>
      </c>
      <c r="N1" s="4" t="inlineStr">
        <is>
          <t>Nguồn địa chỉ nhận</t>
        </is>
      </c>
      <c r="O1" s="4" t="inlineStr">
        <is>
          <t>Expected To / CC</t>
        </is>
      </c>
      <c r="P1" s="4" t="inlineStr">
        <is>
          <t>Mailbox KHÔNG được nhận</t>
        </is>
      </c>
      <c r="Q1" s="4" t="inlineStr">
        <is>
          <t>UI / API / Queue / SMTP / Audit cần kiểm tra</t>
        </is>
      </c>
      <c r="R1" s="4" t="inlineStr">
        <is>
          <t>Post-condition / Cleanup</t>
        </is>
      </c>
      <c r="S1" s="4" t="inlineStr">
        <is>
          <t>Kết quả thực tế</t>
        </is>
      </c>
      <c r="T1" s="4" t="inlineStr">
        <is>
          <t>Evidence</t>
        </is>
      </c>
      <c r="U1" s="4" t="inlineStr">
        <is>
          <t>Trạng thái</t>
        </is>
      </c>
      <c r="V1" s="4" t="inlineStr">
        <is>
          <t>Bug ID</t>
        </is>
      </c>
      <c r="W1" s="4" t="inlineStr">
        <is>
          <t>Tester / Ngày</t>
        </is>
      </c>
      <c r="X1" s="4" t="inlineStr">
        <is>
          <t>Ghi chú</t>
        </is>
      </c>
    </row>
    <row r="2">
      <c r="A2" s="9" t="n">
        <v>1</v>
      </c>
      <c r="B2" s="9" t="inlineStr">
        <is>
          <t>EM-NOT-HDD-01</t>
        </is>
      </c>
      <c r="C2" s="9" t="inlineStr">
        <is>
          <t>FR-II-05 / srs-fr-02:510</t>
        </is>
      </c>
      <c r="D2" s="9" t="inlineStr">
        <is>
          <t>Hỏi đáp</t>
        </is>
      </c>
      <c r="E2" s="10" t="inlineStr">
        <is>
          <t>P0</t>
        </is>
      </c>
      <c r="F2" s="9" t="inlineStr">
        <is>
          <t>Workflow</t>
        </is>
      </c>
      <c r="G2" s="9" t="inlineStr">
        <is>
          <t>Phân công hỏi đáp</t>
        </is>
      </c>
      <c r="H2" s="9" t="inlineStr">
        <is>
          <t>CB NV có quyền</t>
        </is>
      </c>
      <c r="I2" s="9" t="inlineStr">
        <is>
          <t>Chi tiết hỏi đáp &gt; Phân công</t>
        </is>
      </c>
      <c r="J2" s="9" t="inlineStr">
        <is>
          <t>Hỏi đáp TIEP_NHAN; người xử lý hợp lệ.</t>
        </is>
      </c>
      <c r="K2" s="9" t="inlineStr">
        <is>
          <t>Mã HĐ; người được phân công
Fixture DEV đã gắn email: Lane TW: cbnv_tw_01=diupt01+cb-nv-a@gmail.com; cbnv_tw_02=diupt01+cb-nv-a-2@gmail.com; cbpd_tw_01=diupt01+cb-pd-a@gmail.com; mailbox âm khác đơn vị: cbnv_bn_01/cbpd_bn_01.</t>
        </is>
      </c>
      <c r="L2"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 s="9" t="inlineStr">
        <is>
          <t>1. Baseline sạch, không nhầm email cũ.
2. Hồ sơ và quyền đúng tiền đề.
3. Hỏi đáp → DANG_XU_LY, người xử lý được set.
4. UI phản ánh trạng thái mới.
5. Chỉ đúng người nhận nhận email; email chứa mã/nội dung phân công và link hồ sơ;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 s="9" t="inlineStr">
        <is>
          <t>TAI_KHOAN.email người được phân công</t>
        </is>
      </c>
      <c r="O2" s="9" t="inlineStr">
        <is>
          <t>To: người được phân công</t>
        </is>
      </c>
      <c r="P2" s="9" t="inlineStr">
        <is>
          <t>CB khác/đơn vị khác/người gửi</t>
        </is>
      </c>
      <c r="Q2" s="9" t="inlineStr">
        <is>
          <t>Kiểm tra trạng thái trên UI/API, Gmail và chuông của đúng người nhận/tài khoản âm; queue/SMTP/audit chỉ khi có quyền.</t>
        </is>
      </c>
      <c r="R2" s="9" t="inlineStr">
        <is>
          <t>Khôi phục fixture hoặc dùng hồ sơ mới cho case kế tiếp; lưu message-id và ảnh inbox/log.</t>
        </is>
      </c>
      <c r="S2" s="9" t="inlineStr"/>
      <c r="T2" s="9" t="inlineStr"/>
      <c r="U2" s="12" t="inlineStr">
        <is>
          <t>Not Run</t>
        </is>
      </c>
      <c r="V2" s="9" t="inlineStr"/>
      <c r="W2" s="9" t="inlineStr"/>
      <c r="X2" s="9" t="inlineStr"/>
    </row>
    <row r="3">
      <c r="A3" s="9" t="n">
        <v>2</v>
      </c>
      <c r="B3" s="9" t="inlineStr">
        <is>
          <t>EM-NOT-HDD-02</t>
        </is>
      </c>
      <c r="C3" s="9" t="inlineStr">
        <is>
          <t>BR-NOTIF-01 trigger trình duyệt; srs-fr-02:1175</t>
        </is>
      </c>
      <c r="D3" s="9" t="inlineStr">
        <is>
          <t>Hỏi đáp</t>
        </is>
      </c>
      <c r="E3" s="10" t="inlineStr">
        <is>
          <t>P0</t>
        </is>
      </c>
      <c r="F3" s="9" t="inlineStr">
        <is>
          <t>Workflow</t>
        </is>
      </c>
      <c r="G3" s="9" t="inlineStr">
        <is>
          <t>Gửi phản hồi để trình phê duyệt</t>
        </is>
      </c>
      <c r="H3" s="9" t="inlineStr">
        <is>
          <t>CB NV xử lý</t>
        </is>
      </c>
      <c r="I3" s="9" t="inlineStr">
        <is>
          <t>Chi tiết hỏi đáp &gt; Gửi phản hồi + Đã trả lời</t>
        </is>
      </c>
      <c r="J3" s="9" t="inlineStr">
        <is>
          <t>Hỏi đáp DANG_XU_LY; phản hồi hợp lệ.</t>
        </is>
      </c>
      <c r="K3" s="9" t="inlineStr">
        <is>
          <t>CB PD cùng đơn vị
Fixture DEV đã gắn email: Lane TW: cbnv_tw_01=diupt01+cb-nv-a@gmail.com; cbnv_tw_02=diupt01+cb-nv-a-2@gmail.com; cbpd_tw_01=diupt01+cb-pd-a@gmail.com; mailbox âm khác đơn vị: cbnv_bn_01/cbpd_bn_01.</t>
        </is>
      </c>
      <c r="L3"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 s="9" t="inlineStr">
        <is>
          <t>1. Baseline sạch, không nhầm email cũ.
2. Hồ sơ và quyền đúng tiền đề.
3. Hỏi đáp → CHO_PHE_DUYET.
4. UI phản ánh trạng thái mới.
5. Chỉ đúng người nhận nhận email; email nêu hồ sơ chờ duyệt; ≤5 phút;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 s="9" t="inlineStr">
        <is>
          <t>TAI_KHOAN.email CB PD cùng đơn vị</t>
        </is>
      </c>
      <c r="O3" s="9" t="inlineStr">
        <is>
          <t>To: CB PD cùng đơn vị</t>
        </is>
      </c>
      <c r="P3" s="9" t="inlineStr">
        <is>
          <t>CB PD khác đơn vị/cấp không phù hợp</t>
        </is>
      </c>
      <c r="Q3" s="9" t="inlineStr">
        <is>
          <t>Kiểm tra trạng thái trên UI/API, Gmail và chuông của đúng người nhận/tài khoản âm; queue/SMTP/audit chỉ khi có quyền.</t>
        </is>
      </c>
      <c r="R3" s="9" t="inlineStr">
        <is>
          <t>Khôi phục fixture hoặc dùng hồ sơ mới cho case kế tiếp; lưu message-id và ảnh inbox/log.</t>
        </is>
      </c>
      <c r="S3" s="9" t="inlineStr"/>
      <c r="T3" s="9" t="inlineStr"/>
      <c r="U3" s="12" t="inlineStr">
        <is>
          <t>Not Run</t>
        </is>
      </c>
      <c r="V3" s="9" t="inlineStr"/>
      <c r="W3" s="9" t="inlineStr"/>
      <c r="X3" s="9" t="inlineStr"/>
    </row>
    <row r="4">
      <c r="A4" s="9" t="n">
        <v>3</v>
      </c>
      <c r="B4" s="9" t="inlineStr">
        <is>
          <t>EM-NOT-HDD-03</t>
        </is>
      </c>
      <c r="C4" s="9" t="inlineStr">
        <is>
          <t>FR-II-08 / srs-fr-02:686,1118,1177</t>
        </is>
      </c>
      <c r="D4" s="9" t="inlineStr">
        <is>
          <t>Hỏi đáp</t>
        </is>
      </c>
      <c r="E4" s="10" t="inlineStr">
        <is>
          <t>P0</t>
        </is>
      </c>
      <c r="F4" s="9" t="inlineStr">
        <is>
          <t>Workflow</t>
        </is>
      </c>
      <c r="G4" s="9" t="inlineStr">
        <is>
          <t>CB PD từ chối phản hồi kèm lý do</t>
        </is>
      </c>
      <c r="H4" s="9" t="inlineStr">
        <is>
          <t>CB PD cùng đơn vị</t>
        </is>
      </c>
      <c r="I4" s="9" t="inlineStr">
        <is>
          <t>Chi tiết hỏi đáp CHO_PHE_DUYET &gt; Từ chối</t>
        </is>
      </c>
      <c r="J4" s="9" t="inlineStr">
        <is>
          <t>Có lý do 10-1000 ký tự.</t>
        </is>
      </c>
      <c r="K4" s="9" t="inlineStr">
        <is>
          <t>Lý do: Nội dung cần bổ sung căn cứ pháp lý
Fixture DEV đã gắn email: Lane TW: cbnv_tw_01=diupt01+cb-nv-a@gmail.com; cbnv_tw_02=diupt01+cb-nv-a-2@gmail.com; cbpd_tw_01=diupt01+cb-pd-a@gmail.com; mailbox âm khác đơn vị: cbnv_bn_01/cbpd_bn_01.</t>
        </is>
      </c>
      <c r="L4"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 s="9" t="inlineStr">
        <is>
          <t>1. Baseline sạch, không nhầm email cũ.
2. Hồ sơ và quyền đúng tiền đề.
3. Hỏi đáp → DANG_XU_LY.
4. UI phản ánh trạng thái mới.
5. Chỉ đúng người nhận nhận email; email có nguyên văn lý do từ chối;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 s="9" t="inlineStr">
        <is>
          <t>TAI_KHOAN.email CB NV soạn phản hồi</t>
        </is>
      </c>
      <c r="O4" s="9" t="inlineStr">
        <is>
          <t>To: CB NV soạn</t>
        </is>
      </c>
      <c r="P4" s="9" t="inlineStr">
        <is>
          <t>Người được phân công khác/CB PD khác</t>
        </is>
      </c>
      <c r="Q4" s="9" t="inlineStr">
        <is>
          <t>Kiểm tra trạng thái trên UI/API, Gmail và chuông của đúng người nhận/tài khoản âm; queue/SMTP/audit chỉ khi có quyền.</t>
        </is>
      </c>
      <c r="R4" s="9" t="inlineStr">
        <is>
          <t>Khôi phục fixture hoặc dùng hồ sơ mới cho case kế tiếp; lưu message-id và ảnh inbox/log.</t>
        </is>
      </c>
      <c r="S4" s="9" t="inlineStr"/>
      <c r="T4" s="9" t="inlineStr"/>
      <c r="U4" s="12" t="inlineStr">
        <is>
          <t>Not Run</t>
        </is>
      </c>
      <c r="V4" s="9" t="inlineStr"/>
      <c r="W4" s="9" t="inlineStr"/>
      <c r="X4" s="9" t="inlineStr"/>
    </row>
    <row r="5">
      <c r="A5" s="9" t="n">
        <v>4</v>
      </c>
      <c r="B5" s="9" t="inlineStr">
        <is>
          <t>EM-NOT-HDD-04</t>
        </is>
      </c>
      <c r="C5" s="9" t="inlineStr">
        <is>
          <t>srs-fr-02:1181</t>
        </is>
      </c>
      <c r="D5" s="9" t="inlineStr">
        <is>
          <t>Hỏi đáp</t>
        </is>
      </c>
      <c r="E5" s="10" t="inlineStr">
        <is>
          <t>P0</t>
        </is>
      </c>
      <c r="F5" s="9" t="inlineStr">
        <is>
          <t>Workflow</t>
        </is>
      </c>
      <c r="G5" s="9" t="inlineStr">
        <is>
          <t>Auto-escalate hỏi đáp chờ duyệt quá 3 ngày làm việc</t>
        </is>
      </c>
      <c r="H5" s="9" t="inlineStr">
        <is>
          <t>Scheduled job</t>
        </is>
      </c>
      <c r="I5" s="9" t="inlineStr">
        <is>
          <t>Job auto-escalate</t>
        </is>
      </c>
      <c r="J5" s="9" t="inlineStr">
        <is>
          <t>Hỏi đáp CHO_PHE_DUYET &gt;3 ngày LV; chưa escalate.</t>
        </is>
      </c>
      <c r="K5" s="9" t="inlineStr">
        <is>
          <t>Fixture clock/ngày lễ
Fixture escalation Bộ/ngành: tạo hồ sơ tại Bộ KH&amp;ĐT; CB NV cùng cấp `cbnv_bn_01` = `diupt01+cb-nv-b@gmail.com`; CB PD cùng cấp `cbpd_bn_01` = `diupt01+cb-pd-b@gmail.com`. Trước trigger, đọc `DON_VI.don_vi_cha_id` của Bộ KH&amp;ĐT và danh sách TAI_KHOAN `CB_PD_TW` hoạt động tại đúng đơn vị cha; mọi tài khoản có thể được resolver chọn phải được map sang alias `diupt01+...@gmail.com` để kiểm bằng Gmail thật.</t>
        </is>
      </c>
      <c r="L5"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5" s="9" t="inlineStr">
        <is>
          <t>1. Baseline sạch, không nhầm email cũ.
2. Hồ sơ và quyền đúng tiền đề.
3. Giữ/đánh dấu escalation đúng SRS; tạo cảnh báo.
4. UI phản ánh trạng thái mới.
5. Chỉ đúng người nhận nhận email; email thể hiện quá hạn phê duyệt;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5" s="9" t="inlineStr">
        <is>
          <t>TAI_KHOAN.email CB PD Bộ/ngành hiện tại và CB_PD_TW thuộc DON_VI.don_vi_cha_id</t>
        </is>
      </c>
      <c r="O5" s="9" t="inlineStr">
        <is>
          <t>To: cbpd_bn_01 nhận nhắc nhở; escalation tới ít nhất 1 CB_PD_TW đúng đơn vị cha</t>
        </is>
      </c>
      <c r="P5" s="9" t="inlineStr">
        <is>
          <t>CB PD của Bộ/ngành/Địa phương khác; tài khoản TW không có role CB_PD_TW</t>
        </is>
      </c>
      <c r="Q5" s="9" t="inlineStr">
        <is>
          <t>Kiểm tra trạng thái trên UI/API, Gmail và chuông của đúng người nhận/tài khoản âm; queue/SMTP/audit chỉ khi có quyền. Escalation phải có ít nhất một recipient là TAI_KHOAN hoạt động, role CB_PD_TW, don_vi_id = don_vi_cha_id của Bộ KH&amp;ĐT; không khẳng định gửi một hay tất cả khi SRS không quy định cardinality. Mọi recipient escalation thực tế phải thỏa role/phạm vi này.</t>
        </is>
      </c>
      <c r="R5" s="9" t="inlineStr">
        <is>
          <t>Khôi phục fixture hoặc dùng hồ sơ mới cho case kế tiếp; lưu message-id và ảnh inbox/log.</t>
        </is>
      </c>
      <c r="S5" s="9" t="inlineStr"/>
      <c r="T5" s="9" t="inlineStr"/>
      <c r="U5" s="12" t="inlineStr">
        <is>
          <t>Not Run</t>
        </is>
      </c>
      <c r="V5" s="9" t="inlineStr"/>
      <c r="W5" s="9" t="inlineStr"/>
      <c r="X5" s="9" t="inlineStr"/>
    </row>
    <row r="6">
      <c r="A6" s="9" t="n">
        <v>5</v>
      </c>
      <c r="B6" s="9" t="inlineStr">
        <is>
          <t>EM-NOT-HDD-05</t>
        </is>
      </c>
      <c r="C6" s="9" t="inlineStr">
        <is>
          <t>FR-II-CROSS-01 / BR-SLA-03</t>
        </is>
      </c>
      <c r="D6" s="9" t="inlineStr">
        <is>
          <t>Hỏi đáp</t>
        </is>
      </c>
      <c r="E6" s="10" t="inlineStr">
        <is>
          <t>P0</t>
        </is>
      </c>
      <c r="F6" s="9" t="inlineStr">
        <is>
          <t>Workflow</t>
        </is>
      </c>
      <c r="G6" s="9" t="inlineStr">
        <is>
          <t>Cảnh báo SLA hỏi đáp mức SAP_HET_HAN</t>
        </is>
      </c>
      <c r="H6" s="9" t="inlineStr">
        <is>
          <t>Scheduled job</t>
        </is>
      </c>
      <c r="I6" s="9" t="inlineStr">
        <is>
          <t>Job SLA hỏi đáp</t>
        </is>
      </c>
      <c r="J6" s="9" t="inlineStr">
        <is>
          <t>Hỏi đáp chuyển mới sang SAP_HET_HAN; cấu hình email bật.</t>
        </is>
      </c>
      <c r="K6" s="9" t="inlineStr">
        <is>
          <t>Clock tại đúng ngưỡng
Fixture DEV đã gắn email: Lane TW: cbnv_tw_01=diupt01+cb-nv-a@gmail.com; cbnv_tw_02=diupt01+cb-nv-a-2@gmail.com; cbpd_tw_01=diupt01+cb-pd-a@gmail.com; mailbox âm khác đơn vị: cbnv_bn_01/cbpd_bn_01.</t>
        </is>
      </c>
      <c r="L6"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6" s="9" t="inlineStr">
        <is>
          <t>1. Baseline sạch, không nhầm email cũ.
2. Hồ sơ và quyền đúng tiền đề.
3. Mức SLA → SAP_HET_HAN.
4. UI phản ánh trạng thái mới.
5. Chỉ đúng người nhận nhận email; email đúng mức, deadline và hồ sơ; không gửi lặp nếu không chuyển mức;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6" s="9" t="inlineStr">
        <is>
          <t>TAI_KHOAN.email theo mức</t>
        </is>
      </c>
      <c r="O6" s="9" t="inlineStr">
        <is>
          <t>To: CB NV xử lý</t>
        </is>
      </c>
      <c r="P6" s="9" t="inlineStr">
        <is>
          <t>Người ngoài ma trận nhận</t>
        </is>
      </c>
      <c r="Q6" s="9" t="inlineStr">
        <is>
          <t>Kiểm tra trạng thái trên UI/API, Gmail và chuông của đúng người nhận/tài khoản âm; queue/SMTP/audit chỉ khi có quyền.</t>
        </is>
      </c>
      <c r="R6" s="9" t="inlineStr">
        <is>
          <t>Khôi phục fixture hoặc dùng hồ sơ mới cho case kế tiếp; lưu message-id và ảnh inbox/log.</t>
        </is>
      </c>
      <c r="S6" s="9" t="inlineStr"/>
      <c r="T6" s="9" t="inlineStr"/>
      <c r="U6" s="12" t="inlineStr">
        <is>
          <t>Not Run</t>
        </is>
      </c>
      <c r="V6" s="9" t="inlineStr"/>
      <c r="W6" s="9" t="inlineStr"/>
      <c r="X6" s="9" t="inlineStr"/>
    </row>
    <row r="7">
      <c r="A7" s="9" t="n">
        <v>6</v>
      </c>
      <c r="B7" s="9" t="inlineStr">
        <is>
          <t>EM-NOT-HDD-06</t>
        </is>
      </c>
      <c r="C7" s="9" t="inlineStr">
        <is>
          <t>FR-II-CROSS-01 / BR-SLA-03</t>
        </is>
      </c>
      <c r="D7" s="9" t="inlineStr">
        <is>
          <t>Hỏi đáp</t>
        </is>
      </c>
      <c r="E7" s="10" t="inlineStr">
        <is>
          <t>P0</t>
        </is>
      </c>
      <c r="F7" s="9" t="inlineStr">
        <is>
          <t>Workflow</t>
        </is>
      </c>
      <c r="G7" s="9" t="inlineStr">
        <is>
          <t>Cảnh báo SLA hỏi đáp mức QUA_HAN</t>
        </is>
      </c>
      <c r="H7" s="9" t="inlineStr">
        <is>
          <t>Scheduled job</t>
        </is>
      </c>
      <c r="I7" s="9" t="inlineStr">
        <is>
          <t>Job SLA hỏi đáp</t>
        </is>
      </c>
      <c r="J7" s="9" t="inlineStr">
        <is>
          <t>Hỏi đáp chuyển mới sang QUA_HAN; cấu hình email bật.</t>
        </is>
      </c>
      <c r="K7" s="9" t="inlineStr">
        <is>
          <t>Clock tại đúng ngưỡng
Fixture DEV đã gắn email: Lane TW: cbnv_tw_01=diupt01+cb-nv-a@gmail.com; cbnv_tw_02=diupt01+cb-nv-a-2@gmail.com; cbpd_tw_01=diupt01+cb-pd-a@gmail.com; mailbox âm khác đơn vị: cbnv_bn_01/cbpd_bn_01.</t>
        </is>
      </c>
      <c r="L7"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7" s="9" t="inlineStr">
        <is>
          <t>1. Baseline sạch, không nhầm email cũ.
2. Hồ sơ và quyền đúng tiền đề.
3. Mức SLA → QUA_HAN.
4. UI phản ánh trạng thái mới.
5. Chỉ đúng người nhận nhận email; email đúng mức, deadline và hồ sơ; không gửi lặp nếu không chuyển mức;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7" s="9" t="inlineStr">
        <is>
          <t>TAI_KHOAN.email theo mức</t>
        </is>
      </c>
      <c r="O7" s="9" t="inlineStr">
        <is>
          <t>To: CB NV + CB PD quản lý</t>
        </is>
      </c>
      <c r="P7" s="9" t="inlineStr">
        <is>
          <t>Người ngoài ma trận nhận</t>
        </is>
      </c>
      <c r="Q7" s="9" t="inlineStr">
        <is>
          <t>Kiểm tra trạng thái trên UI/API, Gmail và chuông của đúng người nhận/tài khoản âm; queue/SMTP/audit chỉ khi có quyền.</t>
        </is>
      </c>
      <c r="R7" s="9" t="inlineStr">
        <is>
          <t>Khôi phục fixture hoặc dùng hồ sơ mới cho case kế tiếp; lưu message-id và ảnh inbox/log.</t>
        </is>
      </c>
      <c r="S7" s="9" t="inlineStr"/>
      <c r="T7" s="9" t="inlineStr"/>
      <c r="U7" s="12" t="inlineStr">
        <is>
          <t>Not Run</t>
        </is>
      </c>
      <c r="V7" s="9" t="inlineStr"/>
      <c r="W7" s="9" t="inlineStr"/>
      <c r="X7" s="9" t="inlineStr"/>
    </row>
    <row r="8">
      <c r="A8" s="9" t="n">
        <v>7</v>
      </c>
      <c r="B8" s="9" t="inlineStr">
        <is>
          <t>EM-NOT-HDD-07</t>
        </is>
      </c>
      <c r="C8" s="9" t="inlineStr">
        <is>
          <t>FR-II-CROSS-01 / BR-SLA-03</t>
        </is>
      </c>
      <c r="D8" s="9" t="inlineStr">
        <is>
          <t>Hỏi đáp</t>
        </is>
      </c>
      <c r="E8" s="10" t="inlineStr">
        <is>
          <t>P0</t>
        </is>
      </c>
      <c r="F8" s="9" t="inlineStr">
        <is>
          <t>Workflow</t>
        </is>
      </c>
      <c r="G8" s="9" t="inlineStr">
        <is>
          <t>Cảnh báo SLA hỏi đáp mức QUA_HAN_NGHIEM_TRONG</t>
        </is>
      </c>
      <c r="H8" s="9" t="inlineStr">
        <is>
          <t>Scheduled job</t>
        </is>
      </c>
      <c r="I8" s="9" t="inlineStr">
        <is>
          <t>Job SLA hỏi đáp</t>
        </is>
      </c>
      <c r="J8" s="9" t="inlineStr">
        <is>
          <t>Hỏi đáp chuyển mới sang QUA_HAN_NGHIEM_TRONG; cấu hình email bật.</t>
        </is>
      </c>
      <c r="K8" s="9" t="inlineStr">
        <is>
          <t>Clock tại đúng ngưỡng
Fixture escalation Bộ/ngành: tạo hồ sơ tại Bộ KH&amp;ĐT; CB NV cùng cấp `cbnv_bn_01` = `diupt01+cb-nv-b@gmail.com`; CB PD cùng cấp `cbpd_bn_01` = `diupt01+cb-pd-b@gmail.com`. Trước trigger, đọc `DON_VI.don_vi_cha_id` của Bộ KH&amp;ĐT và danh sách TAI_KHOAN `CB_PD_TW` hoạt động tại đúng đơn vị cha; mọi tài khoản có thể được resolver chọn phải được map sang alias `diupt01+...@gmail.com` để kiểm bằng Gmail thật.</t>
        </is>
      </c>
      <c r="L8"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8" s="9" t="inlineStr">
        <is>
          <t>1. Baseline sạch, không nhầm email cũ.
2. Hồ sơ và quyền đúng tiền đề.
3. Mức SLA → QUA_HAN_NGHIEM_TRONG.
4. UI phản ánh trạng thái mới.
5. Chỉ đúng người nhận nhận email; email đúng mức, deadline và hồ sơ; không gửi lặp nếu không chuyển mức;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8" s="9" t="inlineStr">
        <is>
          <t>TAI_KHOAN.email cbnv_bn_01 + cbpd_bn_01 + CB_PD_TW đúng đơn vị cha</t>
        </is>
      </c>
      <c r="O8" s="9" t="inlineStr">
        <is>
          <t>To: cbnv_bn_01 + cbpd_bn_01 + ít nhất 1 CB_PD_TW đúng đơn vị cha</t>
        </is>
      </c>
      <c r="P8" s="9" t="inlineStr">
        <is>
          <t>CB NV/CB PD thuộc đơn vị khác; tài khoản TW không có role CB_PD_TW</t>
        </is>
      </c>
      <c r="Q8" s="9" t="inlineStr">
        <is>
          <t>Kiểm tra trạng thái trên UI/API, Gmail và chuông của đúng người nhận/tài khoản âm; queue/SMTP/audit chỉ khi có quyền. Escalation phải có ít nhất một recipient là TAI_KHOAN hoạt động, role CB_PD_TW, don_vi_id = don_vi_cha_id của Bộ KH&amp;ĐT; không khẳng định gửi một hay tất cả khi SRS không quy định cardinality. Mọi recipient escalation thực tế phải thỏa role/phạm vi này.</t>
        </is>
      </c>
      <c r="R8" s="9" t="inlineStr">
        <is>
          <t>Khôi phục fixture hoặc dùng hồ sơ mới cho case kế tiếp; lưu message-id và ảnh inbox/log.</t>
        </is>
      </c>
      <c r="S8" s="9" t="inlineStr"/>
      <c r="T8" s="9" t="inlineStr"/>
      <c r="U8" s="12" t="inlineStr">
        <is>
          <t>Not Run</t>
        </is>
      </c>
      <c r="V8" s="9" t="inlineStr"/>
      <c r="W8" s="9" t="inlineStr"/>
      <c r="X8" s="9" t="inlineStr"/>
    </row>
    <row r="9">
      <c r="A9" s="9" t="n">
        <v>8</v>
      </c>
      <c r="B9" s="9" t="inlineStr">
        <is>
          <t>EM-NOT-DT-01</t>
        </is>
      </c>
      <c r="C9" s="9" t="inlineStr">
        <is>
          <t>srs-fr-03:195</t>
        </is>
      </c>
      <c r="D9" s="9" t="inlineStr">
        <is>
          <t>Đào tạo</t>
        </is>
      </c>
      <c r="E9" s="13" t="inlineStr">
        <is>
          <t>P1</t>
        </is>
      </c>
      <c r="F9" s="9" t="inlineStr">
        <is>
          <t>Workflow</t>
        </is>
      </c>
      <c r="G9" s="9" t="inlineStr">
        <is>
          <t>Trình phê duyệt chương trình/kế hoạch</t>
        </is>
      </c>
      <c r="H9" s="9" t="inlineStr">
        <is>
          <t>CB NV</t>
        </is>
      </c>
      <c r="I9" s="9" t="inlineStr">
        <is>
          <t>Module Đào tạo &gt; hồ sơ tương ứng</t>
        </is>
      </c>
      <c r="J9" s="9" t="inlineStr">
        <is>
          <t>Bản ghi hợp lệ chưa trình</t>
        </is>
      </c>
      <c r="K9"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9"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9" s="9" t="inlineStr">
        <is>
          <t>1. Baseline sạch, không nhầm email cũ.
2. Hồ sơ và quyền đúng tiền đề.
3. Bản ghi → CHO_DUYET.
4. UI phản ánh trạng thái mới.
5. Chỉ đúng người nhận nhận email; email báo chờ duyệt;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9" s="9" t="inlineStr">
        <is>
          <t>TAI_KHOAN.email CB PD</t>
        </is>
      </c>
      <c r="O9" s="9" t="inlineStr">
        <is>
          <t>To: CB PD cùng đơn vị</t>
        </is>
      </c>
      <c r="P9" s="9" t="inlineStr">
        <is>
          <t>Đối tượng không thuộc khóa/đăng ký; email liên hệ DN nếu SRS yêu cầu TAI_KHOAN.email</t>
        </is>
      </c>
      <c r="Q9" s="9" t="inlineStr">
        <is>
          <t>Kiểm tra trạng thái trên UI/API, Gmail và chuông của đúng người nhận/tài khoản âm; queue/SMTP/audit chỉ khi có quyền.</t>
        </is>
      </c>
      <c r="R9" s="9" t="inlineStr">
        <is>
          <t>Khôi phục fixture hoặc dùng hồ sơ mới cho case kế tiếp; lưu message-id và ảnh inbox/log.</t>
        </is>
      </c>
      <c r="S9" s="9" t="inlineStr"/>
      <c r="T9" s="9" t="inlineStr"/>
      <c r="U9" s="12" t="inlineStr">
        <is>
          <t>Not Run</t>
        </is>
      </c>
      <c r="V9" s="9" t="inlineStr"/>
      <c r="W9" s="9" t="inlineStr"/>
      <c r="X9" s="9" t="inlineStr"/>
    </row>
    <row r="10">
      <c r="A10" s="9" t="n">
        <v>9</v>
      </c>
      <c r="B10" s="9" t="inlineStr">
        <is>
          <t>EM-NOT-DT-02</t>
        </is>
      </c>
      <c r="C10" s="9" t="inlineStr">
        <is>
          <t>srs-fr-03:205</t>
        </is>
      </c>
      <c r="D10" s="9" t="inlineStr">
        <is>
          <t>Đào tạo</t>
        </is>
      </c>
      <c r="E10" s="13" t="inlineStr">
        <is>
          <t>P1</t>
        </is>
      </c>
      <c r="F10" s="9" t="inlineStr">
        <is>
          <t>Workflow</t>
        </is>
      </c>
      <c r="G10" s="9" t="inlineStr">
        <is>
          <t>Phê duyệt chương trình/kế hoạch</t>
        </is>
      </c>
      <c r="H10" s="9" t="inlineStr">
        <is>
          <t>CB PD</t>
        </is>
      </c>
      <c r="I10" s="9" t="inlineStr">
        <is>
          <t>Module Đào tạo &gt; hồ sơ tương ứng</t>
        </is>
      </c>
      <c r="J10" s="9" t="inlineStr">
        <is>
          <t>Bản ghi CHO_DUYET</t>
        </is>
      </c>
      <c r="K10"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0"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0" s="9" t="inlineStr">
        <is>
          <t>1. Baseline sạch, không nhầm email cũ.
2. Hồ sơ và quyền đúng tiền đề.
3. Bản ghi → DA_DUYET.
4. UI phản ánh trạng thái mới.
5. Chỉ đúng người nhận nhận email; email báo kết quả duyệt;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0" s="9" t="inlineStr">
        <is>
          <t>TAI_KHOAN.email người tạo</t>
        </is>
      </c>
      <c r="O10" s="9" t="inlineStr">
        <is>
          <t>To: Người tạo</t>
        </is>
      </c>
      <c r="P10" s="9" t="inlineStr">
        <is>
          <t>Đối tượng không thuộc khóa/đăng ký; email liên hệ DN nếu SRS yêu cầu TAI_KHOAN.email</t>
        </is>
      </c>
      <c r="Q10" s="9" t="inlineStr">
        <is>
          <t>Kiểm tra trạng thái trên UI/API, Gmail và chuông của đúng người nhận/tài khoản âm; queue/SMTP/audit chỉ khi có quyền.</t>
        </is>
      </c>
      <c r="R10" s="9" t="inlineStr">
        <is>
          <t>Khôi phục fixture hoặc dùng hồ sơ mới cho case kế tiếp; lưu message-id và ảnh inbox/log.</t>
        </is>
      </c>
      <c r="S10" s="9" t="inlineStr"/>
      <c r="T10" s="9" t="inlineStr"/>
      <c r="U10" s="12" t="inlineStr">
        <is>
          <t>Not Run</t>
        </is>
      </c>
      <c r="V10" s="9" t="inlineStr"/>
      <c r="W10" s="9" t="inlineStr"/>
      <c r="X10" s="9" t="inlineStr"/>
    </row>
    <row r="11">
      <c r="A11" s="9" t="n">
        <v>10</v>
      </c>
      <c r="B11" s="9" t="inlineStr">
        <is>
          <t>EM-NOT-DT-03</t>
        </is>
      </c>
      <c r="C11" s="9" t="inlineStr">
        <is>
          <t>srs-fr-03:216</t>
        </is>
      </c>
      <c r="D11" s="9" t="inlineStr">
        <is>
          <t>Đào tạo</t>
        </is>
      </c>
      <c r="E11" s="13" t="inlineStr">
        <is>
          <t>P1</t>
        </is>
      </c>
      <c r="F11" s="9" t="inlineStr">
        <is>
          <t>Workflow</t>
        </is>
      </c>
      <c r="G11" s="9" t="inlineStr">
        <is>
          <t>Từ chối chương trình/kế hoạch</t>
        </is>
      </c>
      <c r="H11" s="9" t="inlineStr">
        <is>
          <t>CB PD</t>
        </is>
      </c>
      <c r="I11" s="9" t="inlineStr">
        <is>
          <t>Module Đào tạo &gt; hồ sơ tương ứng</t>
        </is>
      </c>
      <c r="J11" s="9" t="inlineStr">
        <is>
          <t>Bản ghi CHO_DUYET; lý do hợp lệ</t>
        </is>
      </c>
      <c r="K11"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1"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1" s="9" t="inlineStr">
        <is>
          <t>1. Baseline sạch, không nhầm email cũ.
2. Hồ sơ và quyền đúng tiền đề.
3. Bản ghi → TU_CHOI.
4. UI phản ánh trạng thái mới.
5. Chỉ đúng người nhận nhận email; email có lý do từ chối;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1" s="9" t="inlineStr">
        <is>
          <t>TAI_KHOAN.email người tạo</t>
        </is>
      </c>
      <c r="O11" s="9" t="inlineStr">
        <is>
          <t>To: Người tạo</t>
        </is>
      </c>
      <c r="P11" s="9" t="inlineStr">
        <is>
          <t>Đối tượng không thuộc khóa/đăng ký; email liên hệ DN nếu SRS yêu cầu TAI_KHOAN.email</t>
        </is>
      </c>
      <c r="Q11" s="9" t="inlineStr">
        <is>
          <t>Kiểm tra trạng thái trên UI/API, Gmail và chuông của đúng người nhận/tài khoản âm; queue/SMTP/audit chỉ khi có quyền.</t>
        </is>
      </c>
      <c r="R11" s="9" t="inlineStr">
        <is>
          <t>Khôi phục fixture hoặc dùng hồ sơ mới cho case kế tiếp; lưu message-id và ảnh inbox/log.</t>
        </is>
      </c>
      <c r="S11" s="9" t="inlineStr"/>
      <c r="T11" s="9" t="inlineStr"/>
      <c r="U11" s="12" t="inlineStr">
        <is>
          <t>Not Run</t>
        </is>
      </c>
      <c r="V11" s="9" t="inlineStr"/>
      <c r="W11" s="9" t="inlineStr"/>
      <c r="X11" s="9" t="inlineStr"/>
    </row>
    <row r="12">
      <c r="A12" s="9" t="n">
        <v>11</v>
      </c>
      <c r="B12" s="9" t="inlineStr">
        <is>
          <t>EM-NOT-DT-04</t>
        </is>
      </c>
      <c r="C12" s="9" t="inlineStr">
        <is>
          <t>srs-fr-03:227</t>
        </is>
      </c>
      <c r="D12" s="9" t="inlineStr">
        <is>
          <t>Đào tạo</t>
        </is>
      </c>
      <c r="E12" s="13" t="inlineStr">
        <is>
          <t>P1</t>
        </is>
      </c>
      <c r="F12" s="9" t="inlineStr">
        <is>
          <t>Workflow</t>
        </is>
      </c>
      <c r="G12" s="9" t="inlineStr">
        <is>
          <t>Gửi phê duyệt lại sau từ chối</t>
        </is>
      </c>
      <c r="H12" s="9" t="inlineStr">
        <is>
          <t>CB NV</t>
        </is>
      </c>
      <c r="I12" s="9" t="inlineStr">
        <is>
          <t>Module Đào tạo &gt; hồ sơ tương ứng</t>
        </is>
      </c>
      <c r="J12" s="9" t="inlineStr">
        <is>
          <t>Bản ghi TU_CHOI đã sửa</t>
        </is>
      </c>
      <c r="K12"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2"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2" s="9" t="inlineStr">
        <is>
          <t>1. Baseline sạch, không nhầm email cũ.
2. Hồ sơ và quyền đúng tiền đề.
3. Bản ghi → CHO_DUYET.
4. UI phản ánh trạng thái mới.
5. Chỉ đúng người nhận nhận email; email phân biệt resubmit;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2" s="9" t="inlineStr">
        <is>
          <t>TAI_KHOAN.email CB PD</t>
        </is>
      </c>
      <c r="O12" s="9" t="inlineStr">
        <is>
          <t>To: CB PD cùng đơn vị</t>
        </is>
      </c>
      <c r="P12" s="9" t="inlineStr">
        <is>
          <t>Đối tượng không thuộc khóa/đăng ký; email liên hệ DN nếu SRS yêu cầu TAI_KHOAN.email</t>
        </is>
      </c>
      <c r="Q12" s="9" t="inlineStr">
        <is>
          <t>Kiểm tra trạng thái trên UI/API, Gmail và chuông của đúng người nhận/tài khoản âm; queue/SMTP/audit chỉ khi có quyền.</t>
        </is>
      </c>
      <c r="R12" s="9" t="inlineStr">
        <is>
          <t>Khôi phục fixture hoặc dùng hồ sơ mới cho case kế tiếp; lưu message-id và ảnh inbox/log.</t>
        </is>
      </c>
      <c r="S12" s="9" t="inlineStr"/>
      <c r="T12" s="9" t="inlineStr"/>
      <c r="U12" s="12" t="inlineStr">
        <is>
          <t>Not Run</t>
        </is>
      </c>
      <c r="V12" s="9" t="inlineStr"/>
      <c r="W12" s="9" t="inlineStr"/>
      <c r="X12" s="9" t="inlineStr"/>
    </row>
    <row r="13">
      <c r="A13" s="9" t="n">
        <v>12</v>
      </c>
      <c r="B13" s="9" t="inlineStr">
        <is>
          <t>EM-NOT-DT-05</t>
        </is>
      </c>
      <c r="C13" s="9" t="inlineStr">
        <is>
          <t>srs-fr-03:237</t>
        </is>
      </c>
      <c r="D13" s="9" t="inlineStr">
        <is>
          <t>Đào tạo</t>
        </is>
      </c>
      <c r="E13" s="13" t="inlineStr">
        <is>
          <t>P1</t>
        </is>
      </c>
      <c r="F13" s="9" t="inlineStr">
        <is>
          <t>Workflow</t>
        </is>
      </c>
      <c r="G13" s="9" t="inlineStr">
        <is>
          <t>Trình duyệt khóa học</t>
        </is>
      </c>
      <c r="H13" s="9" t="inlineStr">
        <is>
          <t>CB NV</t>
        </is>
      </c>
      <c r="I13" s="9" t="inlineStr">
        <is>
          <t>Module Đào tạo &gt; hồ sơ tương ứng</t>
        </is>
      </c>
      <c r="J13" s="9" t="inlineStr">
        <is>
          <t>Khóa hợp lệ</t>
        </is>
      </c>
      <c r="K13"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3"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3" s="9" t="inlineStr">
        <is>
          <t>1. Baseline sạch, không nhầm email cũ.
2. Hồ sơ và quyền đúng tiền đề.
3. Khóa → CHO_DUYET.
4. UI phản ánh trạng thái mới.
5. Chỉ đúng người nhận nhận email; email báo khóa chờ duyệt;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3" s="9" t="inlineStr">
        <is>
          <t>TAI_KHOAN.email CB PD</t>
        </is>
      </c>
      <c r="O13" s="9" t="inlineStr">
        <is>
          <t>To: CB PD cùng đơn vị</t>
        </is>
      </c>
      <c r="P13" s="9" t="inlineStr">
        <is>
          <t>Đối tượng không thuộc khóa/đăng ký; email liên hệ DN nếu SRS yêu cầu TAI_KHOAN.email</t>
        </is>
      </c>
      <c r="Q13" s="9" t="inlineStr">
        <is>
          <t>Kiểm tra trạng thái trên UI/API, Gmail và chuông của đúng người nhận/tài khoản âm; queue/SMTP/audit chỉ khi có quyền.</t>
        </is>
      </c>
      <c r="R13" s="9" t="inlineStr">
        <is>
          <t>Khôi phục fixture hoặc dùng hồ sơ mới cho case kế tiếp; lưu message-id và ảnh inbox/log.</t>
        </is>
      </c>
      <c r="S13" s="9" t="inlineStr"/>
      <c r="T13" s="9" t="inlineStr"/>
      <c r="U13" s="12" t="inlineStr">
        <is>
          <t>Not Run</t>
        </is>
      </c>
      <c r="V13" s="9" t="inlineStr"/>
      <c r="W13" s="9" t="inlineStr"/>
      <c r="X13" s="9" t="inlineStr"/>
    </row>
    <row r="14">
      <c r="A14" s="9" t="n">
        <v>13</v>
      </c>
      <c r="B14" s="9" t="inlineStr">
        <is>
          <t>EM-NOT-DT-06</t>
        </is>
      </c>
      <c r="C14" s="9" t="inlineStr">
        <is>
          <t>srs-fr-03:248</t>
        </is>
      </c>
      <c r="D14" s="9" t="inlineStr">
        <is>
          <t>Đào tạo</t>
        </is>
      </c>
      <c r="E14" s="13" t="inlineStr">
        <is>
          <t>P1</t>
        </is>
      </c>
      <c r="F14" s="9" t="inlineStr">
        <is>
          <t>Workflow</t>
        </is>
      </c>
      <c r="G14" s="9" t="inlineStr">
        <is>
          <t>Từ chối khóa học về dự thảo</t>
        </is>
      </c>
      <c r="H14" s="9" t="inlineStr">
        <is>
          <t>CB PD</t>
        </is>
      </c>
      <c r="I14" s="9" t="inlineStr">
        <is>
          <t>Module Đào tạo &gt; hồ sơ tương ứng</t>
        </is>
      </c>
      <c r="J14" s="9" t="inlineStr">
        <is>
          <t>Khóa CHO_DUYET; lý do hợp lệ</t>
        </is>
      </c>
      <c r="K14"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4"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4" s="9" t="inlineStr">
        <is>
          <t>1. Baseline sạch, không nhầm email cũ.
2. Hồ sơ và quyền đúng tiền đề.
3. Khóa → DU_THAO.
4. UI phản ánh trạng thái mới.
5. Chỉ đúng người nhận nhận email; email có lý do;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4" s="9" t="inlineStr">
        <is>
          <t>TAI_KHOAN.email người tạo</t>
        </is>
      </c>
      <c r="O14" s="9" t="inlineStr">
        <is>
          <t>To: Người tạo</t>
        </is>
      </c>
      <c r="P14" s="9" t="inlineStr">
        <is>
          <t>Đối tượng không thuộc khóa/đăng ký; email liên hệ DN nếu SRS yêu cầu TAI_KHOAN.email</t>
        </is>
      </c>
      <c r="Q14" s="9" t="inlineStr">
        <is>
          <t>Kiểm tra trạng thái trên UI/API, Gmail và chuông của đúng người nhận/tài khoản âm; queue/SMTP/audit chỉ khi có quyền.</t>
        </is>
      </c>
      <c r="R14" s="9" t="inlineStr">
        <is>
          <t>Khôi phục fixture hoặc dùng hồ sơ mới cho case kế tiếp; lưu message-id và ảnh inbox/log.</t>
        </is>
      </c>
      <c r="S14" s="9" t="inlineStr"/>
      <c r="T14" s="9" t="inlineStr"/>
      <c r="U14" s="12" t="inlineStr">
        <is>
          <t>Not Run</t>
        </is>
      </c>
      <c r="V14" s="9" t="inlineStr"/>
      <c r="W14" s="9" t="inlineStr"/>
      <c r="X14" s="9" t="inlineStr"/>
    </row>
    <row r="15">
      <c r="A15" s="9" t="n">
        <v>14</v>
      </c>
      <c r="B15" s="9" t="inlineStr">
        <is>
          <t>EM-NOT-DT-07</t>
        </is>
      </c>
      <c r="C15" s="9" t="inlineStr">
        <is>
          <t>FR-III-04 EC-02 / srs-fr-03:513 vs BR-NOTIF-01(5)</t>
        </is>
      </c>
      <c r="D15" s="9" t="inlineStr">
        <is>
          <t>Đào tạo</t>
        </is>
      </c>
      <c r="E15" s="13" t="inlineStr">
        <is>
          <t>P1</t>
        </is>
      </c>
      <c r="F15" s="9" t="inlineStr">
        <is>
          <t>Workflow</t>
        </is>
      </c>
      <c r="G15" s="9" t="inlineStr">
        <is>
          <t>Hủy khóa có học viên đăng ký</t>
        </is>
      </c>
      <c r="H15" s="9" t="inlineStr">
        <is>
          <t>CB NV/CB PD</t>
        </is>
      </c>
      <c r="I15" s="9" t="inlineStr">
        <is>
          <t>Module Đào tạo &gt; hồ sơ tương ứng</t>
        </is>
      </c>
      <c r="J15" s="9" t="inlineStr">
        <is>
          <t>Khóa có ít nhất 1 đăng ký DA_DUYET và 1 đăng ký CHO_DUYET/TU_CHOI để phân biệt recipient</t>
        </is>
      </c>
      <c r="K15"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5"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5" s="9" t="inlineStr">
        <is>
          <t>1. Baseline sạch, không nhầm email cũ.
2. Hồ sơ và quyền đúng tiền đề.
3. Khóa → DA_HUY; đăng ký liên quan → DA_HUY.
4. UI phản ánh trạng thái mới.
5. Chỉ đúng người nhận nhận email; email từng học viên đã duyệt có lý do hủy; đăng ký chưa duyệt không nhận trong khi chờ BA chốt mâu thuẫn;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5" s="9" t="inlineStr">
        <is>
          <t>HOC_VIEN.email; in-app theo HOC_VIEN.tai_khoan_id khi có</t>
        </is>
      </c>
      <c r="O15" s="9" t="inlineStr">
        <is>
          <t>To: Tất cả học viên có đăng ký DA_DUYET</t>
        </is>
      </c>
      <c r="P15" s="9" t="inlineStr">
        <is>
          <t>Đối tượng không thuộc khóa/đăng ký; email liên hệ DN nếu SRS yêu cầu TAI_KHOAN.email</t>
        </is>
      </c>
      <c r="Q15" s="9" t="inlineStr">
        <is>
          <t>Kiểm tra trạng thái trên UI/API, Gmail và chuông của đúng người nhận/tài khoản âm; queue/SMTP/audit chỉ khi có quyền.</t>
        </is>
      </c>
      <c r="R15" s="9" t="inlineStr">
        <is>
          <t>Khôi phục fixture hoặc dùng hồ sơ mới cho case kế tiếp; lưu message-id và ảnh inbox/log.</t>
        </is>
      </c>
      <c r="S15" s="9" t="inlineStr"/>
      <c r="T15" s="9" t="inlineStr"/>
      <c r="U15" s="12" t="inlineStr">
        <is>
          <t>Not Run</t>
        </is>
      </c>
      <c r="V15" s="9" t="inlineStr"/>
      <c r="W15" s="9" t="inlineStr"/>
      <c r="X15" s="9" t="inlineStr"/>
    </row>
    <row r="16">
      <c r="A16" s="9" t="n">
        <v>15</v>
      </c>
      <c r="B16" s="9" t="inlineStr">
        <is>
          <t>EM-NOT-DT-08</t>
        </is>
      </c>
      <c r="C16" s="9" t="inlineStr">
        <is>
          <t>BR-NOTIF-01(6) / srs-v3.5:5721,5952</t>
        </is>
      </c>
      <c r="D16" s="9" t="inlineStr">
        <is>
          <t>Đào tạo</t>
        </is>
      </c>
      <c r="E16" s="13" t="inlineStr">
        <is>
          <t>P1</t>
        </is>
      </c>
      <c r="F16" s="9" t="inlineStr">
        <is>
          <t>Workflow</t>
        </is>
      </c>
      <c r="G16" s="9" t="inlineStr">
        <is>
          <t>Khóa bắt đầu diễn ra</t>
        </is>
      </c>
      <c r="H16" s="9" t="inlineStr">
        <is>
          <t>Scheduled/System hoặc CB NV</t>
        </is>
      </c>
      <c r="I16" s="9" t="inlineStr">
        <is>
          <t>Module Đào tạo &gt; hồ sơ tương ứng</t>
        </is>
      </c>
      <c r="J16" s="9" t="inlineStr">
        <is>
          <t>Khóa DA_CONG_KHAI đến ngày bắt đầu; có lịch + GV + đăng ký</t>
        </is>
      </c>
      <c r="K16"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6"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6" s="9" t="inlineStr">
        <is>
          <t>1. Baseline sạch, không nhầm email cũ.
2. Hồ sơ và quyền đúng tiền đề.
3. Khóa → DANG_DIEN_RA.
4. UI phản ánh trạng thái mới.
5. Chỉ đúng người nhận nhận email; email thông tin bắt đầu khóa;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6" s="9" t="inlineStr">
        <is>
          <t>HOC_VIEN.email + GIANG_VIEN.email</t>
        </is>
      </c>
      <c r="O16" s="9" t="inlineStr">
        <is>
          <t>To: HOC_VIEN + GIANG_VIEN của khóa</t>
        </is>
      </c>
      <c r="P16" s="9" t="inlineStr">
        <is>
          <t>Đối tượng không thuộc khóa/đăng ký; email liên hệ DN nếu SRS yêu cầu TAI_KHOAN.email</t>
        </is>
      </c>
      <c r="Q16" s="9" t="inlineStr">
        <is>
          <t>Kiểm tra trạng thái trên UI/API, Gmail và chuông của đúng người nhận/tài khoản âm; queue/SMTP/audit chỉ khi có quyền.</t>
        </is>
      </c>
      <c r="R16" s="9" t="inlineStr">
        <is>
          <t>Khôi phục fixture hoặc dùng hồ sơ mới cho case kế tiếp; lưu message-id và ảnh inbox/log.</t>
        </is>
      </c>
      <c r="S16" s="9" t="inlineStr"/>
      <c r="T16" s="9" t="inlineStr"/>
      <c r="U16" s="12" t="inlineStr">
        <is>
          <t>Not Run</t>
        </is>
      </c>
      <c r="V16" s="9" t="inlineStr"/>
      <c r="W16" s="9" t="inlineStr"/>
      <c r="X16" s="9" t="inlineStr"/>
    </row>
    <row r="17">
      <c r="A17" s="9" t="n">
        <v>16</v>
      </c>
      <c r="B17" s="9" t="inlineStr">
        <is>
          <t>EM-NOT-DT-09</t>
        </is>
      </c>
      <c r="C17" s="9" t="inlineStr">
        <is>
          <t>FR-III-03 / srs-fr-03:410-425</t>
        </is>
      </c>
      <c r="D17" s="9" t="inlineStr">
        <is>
          <t>Đào tạo</t>
        </is>
      </c>
      <c r="E17" s="13" t="inlineStr">
        <is>
          <t>P1</t>
        </is>
      </c>
      <c r="F17" s="9" t="inlineStr">
        <is>
          <t>Workflow</t>
        </is>
      </c>
      <c r="G17" s="9" t="inlineStr">
        <is>
          <t>Duyệt đăng ký học</t>
        </is>
      </c>
      <c r="H17" s="9" t="inlineStr">
        <is>
          <t>CB NV</t>
        </is>
      </c>
      <c r="I17" s="9" t="inlineStr">
        <is>
          <t>Module Đào tạo &gt; hồ sơ tương ứng</t>
        </is>
      </c>
      <c r="J17" s="9" t="inlineStr">
        <is>
          <t>Đăng ký chờ duyệt</t>
        </is>
      </c>
      <c r="K17"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7"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7" s="9" t="inlineStr">
        <is>
          <t>1. Baseline sạch, không nhầm email cũ.
2. Hồ sơ và quyền đúng tiền đề.
3. Đăng ký → DA_DUYET.
4. UI phản ánh trạng thái mới.
5. Chỉ đúng người nhận nhận email; email kết quả duyệt;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7" s="9" t="inlineStr">
        <is>
          <t>DANG_KY_DAO_TAO.nguoi_dang_ky_id → TAI_KHOAN.email</t>
        </is>
      </c>
      <c r="O17" s="9" t="inlineStr">
        <is>
          <t>To: TK DN/NHT đăng ký</t>
        </is>
      </c>
      <c r="P17" s="9" t="inlineStr">
        <is>
          <t>Đối tượng không thuộc khóa/đăng ký; email liên hệ DN nếu SRS yêu cầu TAI_KHOAN.email</t>
        </is>
      </c>
      <c r="Q17" s="9" t="inlineStr">
        <is>
          <t>Kiểm tra trạng thái trên UI/API, Gmail và chuông của đúng người nhận/tài khoản âm; queue/SMTP/audit chỉ khi có quyền.</t>
        </is>
      </c>
      <c r="R17" s="9" t="inlineStr">
        <is>
          <t>Khôi phục fixture hoặc dùng hồ sơ mới cho case kế tiếp; lưu message-id và ảnh inbox/log.</t>
        </is>
      </c>
      <c r="S17" s="9" t="inlineStr"/>
      <c r="T17" s="9" t="inlineStr"/>
      <c r="U17" s="12" t="inlineStr">
        <is>
          <t>Not Run</t>
        </is>
      </c>
      <c r="V17" s="9" t="inlineStr"/>
      <c r="W17" s="9" t="inlineStr"/>
      <c r="X17" s="9" t="inlineStr"/>
    </row>
    <row r="18">
      <c r="A18" s="9" t="n">
        <v>17</v>
      </c>
      <c r="B18" s="9" t="inlineStr">
        <is>
          <t>EM-NOT-DT-10</t>
        </is>
      </c>
      <c r="C18" s="9" t="inlineStr">
        <is>
          <t>FR-III-03 / srs-fr-03:410-425</t>
        </is>
      </c>
      <c r="D18" s="9" t="inlineStr">
        <is>
          <t>Đào tạo</t>
        </is>
      </c>
      <c r="E18" s="13" t="inlineStr">
        <is>
          <t>P1</t>
        </is>
      </c>
      <c r="F18" s="9" t="inlineStr">
        <is>
          <t>Workflow</t>
        </is>
      </c>
      <c r="G18" s="9" t="inlineStr">
        <is>
          <t>Từ chối đăng ký học</t>
        </is>
      </c>
      <c r="H18" s="9" t="inlineStr">
        <is>
          <t>CB NV</t>
        </is>
      </c>
      <c r="I18" s="9" t="inlineStr">
        <is>
          <t>Module Đào tạo &gt; hồ sơ tương ứng</t>
        </is>
      </c>
      <c r="J18" s="9" t="inlineStr">
        <is>
          <t>Đăng ký chờ duyệt; có lý do</t>
        </is>
      </c>
      <c r="K18"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8"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8" s="9" t="inlineStr">
        <is>
          <t>1. Baseline sạch, không nhầm email cũ.
2. Hồ sơ và quyền đúng tiền đề.
3. Đăng ký → TU_CHOI.
4. UI phản ánh trạng thái mới.
5. Chỉ đúng người nhận nhận email; email có lý do từ chối;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8" s="9" t="inlineStr">
        <is>
          <t>DANG_KY_DAO_TAO.nguoi_dang_ky_id → TAI_KHOAN.email</t>
        </is>
      </c>
      <c r="O18" s="9" t="inlineStr">
        <is>
          <t>To: TK DN/NHT đăng ký</t>
        </is>
      </c>
      <c r="P18" s="9" t="inlineStr">
        <is>
          <t>Đối tượng không thuộc khóa/đăng ký; email liên hệ DN nếu SRS yêu cầu TAI_KHOAN.email</t>
        </is>
      </c>
      <c r="Q18" s="9" t="inlineStr">
        <is>
          <t>Kiểm tra trạng thái trên UI/API, Gmail và chuông của đúng người nhận/tài khoản âm; queue/SMTP/audit chỉ khi có quyền.</t>
        </is>
      </c>
      <c r="R18" s="9" t="inlineStr">
        <is>
          <t>Khôi phục fixture hoặc dùng hồ sơ mới cho case kế tiếp; lưu message-id và ảnh inbox/log.</t>
        </is>
      </c>
      <c r="S18" s="9" t="inlineStr"/>
      <c r="T18" s="9" t="inlineStr"/>
      <c r="U18" s="12" t="inlineStr">
        <is>
          <t>Not Run</t>
        </is>
      </c>
      <c r="V18" s="9" t="inlineStr"/>
      <c r="W18" s="9" t="inlineStr"/>
      <c r="X18" s="9" t="inlineStr"/>
    </row>
    <row r="19">
      <c r="A19" s="9" t="n">
        <v>18</v>
      </c>
      <c r="B19" s="9" t="inlineStr">
        <is>
          <t>EM-NOT-DT-11</t>
        </is>
      </c>
      <c r="C19" s="9" t="inlineStr">
        <is>
          <t>FR-III-19 / srs-fr-03:1434</t>
        </is>
      </c>
      <c r="D19" s="9" t="inlineStr">
        <is>
          <t>Đào tạo</t>
        </is>
      </c>
      <c r="E19" s="13" t="inlineStr">
        <is>
          <t>P1</t>
        </is>
      </c>
      <c r="F19" s="9" t="inlineStr">
        <is>
          <t>Workflow</t>
        </is>
      </c>
      <c r="G19" s="9" t="inlineStr">
        <is>
          <t>Công bố kết quả đào tạo</t>
        </is>
      </c>
      <c r="H19" s="9" t="inlineStr">
        <is>
          <t>CB NV/System</t>
        </is>
      </c>
      <c r="I19" s="9" t="inlineStr">
        <is>
          <t>Module Đào tạo &gt; hồ sơ tương ứng</t>
        </is>
      </c>
      <c r="J19" s="9" t="inlineStr">
        <is>
          <t>KQ đã duyệt</t>
        </is>
      </c>
      <c r="K19" s="9" t="inlineStr">
        <is>
          <t>Dùng đăng ký do TK 0109998887 hoặc nht_qa_tw tạo; mailbox từng TK tách biệt
Fixture DEV đã gắn email: Lane TW: cbnv_tw_01=diupt01+cb-nv-a@gmail.com; cbpd_tw_01=diupt01+cb-pd-a@gmail.com. Duyệt đăng ký/công bố KQ dùng TK 0109998887=diupt01+dn-login@gmail.com hoặc nht_qa_tw=diupt01+nht-tw@gmail.com. Hủy/bắt đầu khóa dùng HOC_VIEN aaaa...001=diupt01+hv-01@gmail.com, aaaa...002=diupt01+hv-02@gmail.com; GV-QA-001=diupt01+gv-01@gmail.com.</t>
        </is>
      </c>
      <c r="L19"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19" s="9" t="inlineStr">
        <is>
          <t>1. Baseline sạch, không nhầm email cũ.
2. Hồ sơ và quyền đúng tiền đề.
3. Kết quả được công bố.
4. UI phản ánh trạng thái mới.
5. Chỉ đúng người nhận nhận email; email 'KQ đào tạo đã có';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19" s="9" t="inlineStr">
        <is>
          <t>DANG_KY_DAO_TAO.nguoi_dang_ky_id → TAI_KHOAN.email</t>
        </is>
      </c>
      <c r="O19" s="9" t="inlineStr">
        <is>
          <t>To: TK DN/NHT đã đăng ký học viên</t>
        </is>
      </c>
      <c r="P19" s="9" t="inlineStr">
        <is>
          <t>Đối tượng không thuộc khóa/đăng ký; email liên hệ DN nếu SRS yêu cầu TAI_KHOAN.email</t>
        </is>
      </c>
      <c r="Q19" s="9" t="inlineStr">
        <is>
          <t>Kiểm tra trạng thái trên UI/API, Gmail và chuông của đúng người nhận/tài khoản âm; queue/SMTP/audit chỉ khi có quyền.</t>
        </is>
      </c>
      <c r="R19" s="9" t="inlineStr">
        <is>
          <t>Khôi phục fixture hoặc dùng hồ sơ mới cho case kế tiếp; lưu message-id và ảnh inbox/log.</t>
        </is>
      </c>
      <c r="S19" s="9" t="inlineStr"/>
      <c r="T19" s="9" t="inlineStr"/>
      <c r="U19" s="12" t="inlineStr">
        <is>
          <t>Not Run</t>
        </is>
      </c>
      <c r="V19" s="9" t="inlineStr"/>
      <c r="W19" s="9" t="inlineStr"/>
      <c r="X19" s="9" t="inlineStr"/>
    </row>
    <row r="20">
      <c r="A20" s="9" t="n">
        <v>19</v>
      </c>
      <c r="B20" s="9" t="inlineStr">
        <is>
          <t>EM-NOT-TVV-01</t>
        </is>
      </c>
      <c r="C20" s="9" t="inlineStr">
        <is>
          <t>FR-IV-06/07 / BR-NOTIF-01 / srs-fr-04:525-635</t>
        </is>
      </c>
      <c r="D20" s="9" t="inlineStr">
        <is>
          <t>TVV/CG</t>
        </is>
      </c>
      <c r="E20" s="10" t="inlineStr">
        <is>
          <t>P0</t>
        </is>
      </c>
      <c r="F20" s="9" t="inlineStr">
        <is>
          <t>Workflow</t>
        </is>
      </c>
      <c r="G20" s="9" t="inlineStr">
        <is>
          <t>Yêu cầu TVV/CG bổ sung hồ sơ</t>
        </is>
      </c>
      <c r="H20" s="9" t="inlineStr">
        <is>
          <t>CB NV</t>
        </is>
      </c>
      <c r="I20" s="9" t="inlineStr">
        <is>
          <t>Hồ sơ TVV/CG</t>
        </is>
      </c>
      <c r="J20" s="9" t="inlineStr">
        <is>
          <t>Hồ sơ đang thẩm định; có Người hỗ trợ nộp.</t>
        </is>
      </c>
      <c r="K20" s="9" t="inlineStr">
        <is>
          <t>Email TVV và TK NHT/CB khác nhau
Fixture DEV đã gắn email: Lane TW: nht_qa_tw=diupt01+nht-tw@gmail.com; cbnv_tw_01=diupt01+cb-nv-a@gmail.com; cbpd_tw_01=diupt01+cb-pd-a@gmail.com; TVV qa_tvv_tw_r19=diupt01+tvv-tw@gmail.com; CG qa_tvvseed28=diupt01+cg@gmail.com.</t>
        </is>
      </c>
      <c r="L20"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0" s="9" t="inlineStr">
        <is>
          <t>1. Baseline sạch, không nhầm email cũ.
2. Hồ sơ và quyền đúng tiền đề.
3. → YEU_CAU_BO_SUNG.
4. UI phản ánh trạng thái mới.
5. Chỉ đúng người nhận nhận email; email cả hai, có lý do;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0" s="9" t="inlineStr">
        <is>
          <t>Email khai TVV/CG; TAI_KHOAN.email NHT/CB</t>
        </is>
      </c>
      <c r="O20" s="9" t="inlineStr">
        <is>
          <t>To riêng: TVV/CG qua email khai; NHT nộp hồ sơ qua TK</t>
        </is>
      </c>
      <c r="P20" s="9" t="inlineStr">
        <is>
          <t>NHT khác/CB khác đơn vị/TVV khác</t>
        </is>
      </c>
      <c r="Q20" s="9" t="inlineStr">
        <is>
          <t>Kiểm tra trạng thái trên UI/API, Gmail và chuông của đúng người nhận/tài khoản âm; queue/SMTP/audit chỉ khi có quyền.</t>
        </is>
      </c>
      <c r="R20" s="9" t="inlineStr">
        <is>
          <t>Khôi phục fixture hoặc dùng hồ sơ mới cho case kế tiếp; lưu message-id và ảnh inbox/log.</t>
        </is>
      </c>
      <c r="S20" s="9" t="inlineStr"/>
      <c r="T20" s="9" t="inlineStr"/>
      <c r="U20" s="12" t="inlineStr">
        <is>
          <t>Not Run</t>
        </is>
      </c>
      <c r="V20" s="9" t="inlineStr"/>
      <c r="W20" s="9" t="inlineStr"/>
      <c r="X20" s="9" t="inlineStr"/>
    </row>
    <row r="21">
      <c r="A21" s="9" t="n">
        <v>20</v>
      </c>
      <c r="B21" s="9" t="inlineStr">
        <is>
          <t>EM-NOT-TVV-02</t>
        </is>
      </c>
      <c r="C21" s="9" t="inlineStr">
        <is>
          <t>FR-IV-06/07 / BR-NOTIF-01 / srs-fr-04:525-635</t>
        </is>
      </c>
      <c r="D21" s="9" t="inlineStr">
        <is>
          <t>TVV/CG</t>
        </is>
      </c>
      <c r="E21" s="10" t="inlineStr">
        <is>
          <t>P0</t>
        </is>
      </c>
      <c r="F21" s="9" t="inlineStr">
        <is>
          <t>Workflow</t>
        </is>
      </c>
      <c r="G21" s="9" t="inlineStr">
        <is>
          <t>Kết luận hồ sơ TVV/CG không đạt</t>
        </is>
      </c>
      <c r="H21" s="9" t="inlineStr">
        <is>
          <t>CB NV</t>
        </is>
      </c>
      <c r="I21" s="9" t="inlineStr">
        <is>
          <t>Hồ sơ TVV/CG</t>
        </is>
      </c>
      <c r="J21" s="9" t="inlineStr">
        <is>
          <t>Hồ sơ đang thẩm định; có Người hỗ trợ nộp.</t>
        </is>
      </c>
      <c r="K21" s="9" t="inlineStr">
        <is>
          <t>Email TVV và TK NHT/CB khác nhau
Fixture DEV đã gắn email: Lane TW: nht_qa_tw=diupt01+nht-tw@gmail.com; cbnv_tw_01=diupt01+cb-nv-a@gmail.com; cbpd_tw_01=diupt01+cb-pd-a@gmail.com; TVV qa_tvv_tw_r19=diupt01+tvv-tw@gmail.com; CG qa_tvvseed28=diupt01+cg@gmail.com.</t>
        </is>
      </c>
      <c r="L21"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1" s="9" t="inlineStr">
        <is>
          <t>1. Baseline sạch, không nhầm email cũ.
2. Hồ sơ và quyền đúng tiền đề.
3. → TU_CHOI.
4. UI phản ánh trạng thái mới.
5. Chỉ đúng người nhận nhận email; email có lý do;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1" s="9" t="inlineStr">
        <is>
          <t>Email khai TVV/CG; TAI_KHOAN.email NHT/CB</t>
        </is>
      </c>
      <c r="O21" s="9" t="inlineStr">
        <is>
          <t>To riêng: TVV/CG và NHT nộp hồ sơ</t>
        </is>
      </c>
      <c r="P21" s="9" t="inlineStr">
        <is>
          <t>NHT khác/CB khác đơn vị/TVV khác</t>
        </is>
      </c>
      <c r="Q21" s="9" t="inlineStr">
        <is>
          <t>Kiểm tra trạng thái trên UI/API, Gmail và chuông của đúng người nhận/tài khoản âm; queue/SMTP/audit chỉ khi có quyền.</t>
        </is>
      </c>
      <c r="R21" s="9" t="inlineStr">
        <is>
          <t>Khôi phục fixture hoặc dùng hồ sơ mới cho case kế tiếp; lưu message-id và ảnh inbox/log.</t>
        </is>
      </c>
      <c r="S21" s="9" t="inlineStr"/>
      <c r="T21" s="9" t="inlineStr"/>
      <c r="U21" s="12" t="inlineStr">
        <is>
          <t>Not Run</t>
        </is>
      </c>
      <c r="V21" s="9" t="inlineStr"/>
      <c r="W21" s="9" t="inlineStr"/>
      <c r="X21" s="9" t="inlineStr"/>
    </row>
    <row r="22">
      <c r="A22" s="9" t="n">
        <v>21</v>
      </c>
      <c r="B22" s="9" t="inlineStr">
        <is>
          <t>EM-NOT-TVV-03</t>
        </is>
      </c>
      <c r="C22" s="9" t="inlineStr">
        <is>
          <t>FR-IV-06/07 / BR-NOTIF-01 / srs-fr-04:525-635</t>
        </is>
      </c>
      <c r="D22" s="9" t="inlineStr">
        <is>
          <t>TVV/CG</t>
        </is>
      </c>
      <c r="E22" s="10" t="inlineStr">
        <is>
          <t>P0</t>
        </is>
      </c>
      <c r="F22" s="9" t="inlineStr">
        <is>
          <t>Workflow</t>
        </is>
      </c>
      <c r="G22" s="9" t="inlineStr">
        <is>
          <t>Phê duyệt TVV/CG và thông báo các bên</t>
        </is>
      </c>
      <c r="H22" s="9" t="inlineStr">
        <is>
          <t>CB PD</t>
        </is>
      </c>
      <c r="I22" s="9" t="inlineStr">
        <is>
          <t>Hồ sơ TVV/CG</t>
        </is>
      </c>
      <c r="J22" s="9" t="inlineStr">
        <is>
          <t>Hồ sơ CHO_PHE_DUYET; có Người hỗ trợ nộp.</t>
        </is>
      </c>
      <c r="K22" s="9" t="inlineStr">
        <is>
          <t>Email TVV và TK NHT/CB khác nhau
Fixture DEV đã gắn email: Lane TW: nht_qa_tw=diupt01+nht-tw@gmail.com; cbnv_tw_01=diupt01+cb-nv-a@gmail.com; cbpd_tw_01=diupt01+cb-pd-a@gmail.com; TVV qa_tvv_tw_r19=diupt01+tvv-tw@gmail.com; CG qa_tvvseed28=diupt01+cg@gmail.com.</t>
        </is>
      </c>
      <c r="L22"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2" s="9" t="inlineStr">
        <is>
          <t>1. Baseline sạch, không nhầm email cũ.
2. Hồ sơ và quyền đúng tiền đề.
3. → CHO_KICH_HOAT.
4. UI phản ánh trạng thái mới.
5. Chỉ đúng người nhận nhận email; kết quả duyệt; riêng chủ hồ sơ có link kích hoạt;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2" s="9" t="inlineStr">
        <is>
          <t>Email khai TVV/CG; TAI_KHOAN.email NHT/CB</t>
        </is>
      </c>
      <c r="O22" s="9" t="inlineStr">
        <is>
          <t>To riêng: Chủ hồ sơ; CB NV thẩm định; NHT nộp</t>
        </is>
      </c>
      <c r="P22" s="9" t="inlineStr">
        <is>
          <t>NHT khác/CB khác đơn vị/TVV khác</t>
        </is>
      </c>
      <c r="Q22" s="9" t="inlineStr">
        <is>
          <t>Kiểm tra trạng thái trên UI/API, Gmail và chuông của đúng người nhận/tài khoản âm; queue/SMTP/audit chỉ khi có quyền.</t>
        </is>
      </c>
      <c r="R22" s="9" t="inlineStr">
        <is>
          <t>Khôi phục fixture hoặc dùng hồ sơ mới cho case kế tiếp; lưu message-id và ảnh inbox/log.</t>
        </is>
      </c>
      <c r="S22" s="9" t="inlineStr"/>
      <c r="T22" s="9" t="inlineStr"/>
      <c r="U22" s="12" t="inlineStr">
        <is>
          <t>Not Run</t>
        </is>
      </c>
      <c r="V22" s="9" t="inlineStr"/>
      <c r="W22" s="9" t="inlineStr"/>
      <c r="X22" s="9" t="inlineStr"/>
    </row>
    <row r="23">
      <c r="A23" s="9" t="n">
        <v>22</v>
      </c>
      <c r="B23" s="9" t="inlineStr">
        <is>
          <t>EM-NOT-TVV-04</t>
        </is>
      </c>
      <c r="C23" s="9" t="inlineStr">
        <is>
          <t>FR-IV-06/07 / BR-NOTIF-01 / srs-fr-04:525-635</t>
        </is>
      </c>
      <c r="D23" s="9" t="inlineStr">
        <is>
          <t>TVV/CG</t>
        </is>
      </c>
      <c r="E23" s="10" t="inlineStr">
        <is>
          <t>P0</t>
        </is>
      </c>
      <c r="F23" s="9" t="inlineStr">
        <is>
          <t>Workflow</t>
        </is>
      </c>
      <c r="G23" s="9" t="inlineStr">
        <is>
          <t>Từ chối TVV/CG ở bước phê duyệt</t>
        </is>
      </c>
      <c r="H23" s="9" t="inlineStr">
        <is>
          <t>CB PD</t>
        </is>
      </c>
      <c r="I23" s="9" t="inlineStr">
        <is>
          <t>Hồ sơ TVV/CG</t>
        </is>
      </c>
      <c r="J23" s="9" t="inlineStr">
        <is>
          <t>Hồ sơ CHO_PHE_DUYET; có Người hỗ trợ nộp.</t>
        </is>
      </c>
      <c r="K23" s="9" t="inlineStr">
        <is>
          <t>Email TVV và TK NHT/CB khác nhau
Fixture DEV đã gắn email: Lane TW: nht_qa_tw=diupt01+nht-tw@gmail.com; cbnv_tw_01=diupt01+cb-nv-a@gmail.com; cbpd_tw_01=diupt01+cb-pd-a@gmail.com; TVV qa_tvv_tw_r19=diupt01+tvv-tw@gmail.com; CG qa_tvvseed28=diupt01+cg@gmail.com.</t>
        </is>
      </c>
      <c r="L23"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3" s="9" t="inlineStr">
        <is>
          <t>1. Baseline sạch, không nhầm email cũ.
2. Hồ sơ và quyền đúng tiền đề.
3. → TU_CHOI.
4. UI phản ánh trạng thái mới.
5. Chỉ đúng người nhận nhận email; email cả ba có lý do;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3" s="9" t="inlineStr">
        <is>
          <t>Email khai TVV/CG; TAI_KHOAN.email NHT/CB</t>
        </is>
      </c>
      <c r="O23" s="9" t="inlineStr">
        <is>
          <t>To riêng: Chủ hồ sơ; CB NV; NHT</t>
        </is>
      </c>
      <c r="P23" s="9" t="inlineStr">
        <is>
          <t>NHT khác/CB khác đơn vị/TVV khác</t>
        </is>
      </c>
      <c r="Q23" s="9" t="inlineStr">
        <is>
          <t>Kiểm tra trạng thái trên UI/API, Gmail và chuông của đúng người nhận/tài khoản âm; queue/SMTP/audit chỉ khi có quyền.</t>
        </is>
      </c>
      <c r="R23" s="9" t="inlineStr">
        <is>
          <t>Khôi phục fixture hoặc dùng hồ sơ mới cho case kế tiếp; lưu message-id và ảnh inbox/log.</t>
        </is>
      </c>
      <c r="S23" s="9" t="inlineStr"/>
      <c r="T23" s="9" t="inlineStr"/>
      <c r="U23" s="12" t="inlineStr">
        <is>
          <t>Not Run</t>
        </is>
      </c>
      <c r="V23" s="9" t="inlineStr"/>
      <c r="W23" s="9" t="inlineStr"/>
      <c r="X23" s="9" t="inlineStr"/>
    </row>
    <row r="24">
      <c r="A24" s="9" t="n">
        <v>23</v>
      </c>
      <c r="B24" s="9" t="inlineStr">
        <is>
          <t>EM-NOT-VV-01</t>
        </is>
      </c>
      <c r="C24" s="9" t="inlineStr">
        <is>
          <t>FR-V.I / BR-NOTIF-01 / srs-fr-05:419,750,908-956,2485</t>
        </is>
      </c>
      <c r="D24" s="9" t="inlineStr">
        <is>
          <t>Vụ việc</t>
        </is>
      </c>
      <c r="E24" s="10" t="inlineStr">
        <is>
          <t>P0</t>
        </is>
      </c>
      <c r="F24" s="9" t="inlineStr">
        <is>
          <t>Workflow</t>
        </is>
      </c>
      <c r="G24" s="9" t="inlineStr">
        <is>
          <t>Tiếp nhận vụ việc inbound</t>
        </is>
      </c>
      <c r="H24" s="9" t="inlineStr">
        <is>
          <t>API/System</t>
        </is>
      </c>
      <c r="I24" s="9" t="inlineStr">
        <is>
          <t>Module Vụ việc &gt; hồ sơ tương ứng</t>
        </is>
      </c>
      <c r="J24" s="9" t="inlineStr">
        <is>
          <t>Payload hợp lệ</t>
        </is>
      </c>
      <c r="K24" s="9" t="inlineStr">
        <is>
          <t>Fixture DN/người xử lý/đơn vị tách mailbox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24"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4" s="9" t="inlineStr">
        <is>
          <t>1. Baseline sạch, không nhầm email cũ.
2. Hồ sơ và quyền đúng tiền đề.
3. Tạo vụ việc.
4. UI phản ánh trạng thái mới.
5. Chỉ đúng người nhận nhận email; email báo dữ liệu mới;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4" s="9" t="inlineStr">
        <is>
          <t>TAI_KHOAN.email người nhận theo workflow</t>
        </is>
      </c>
      <c r="O24" s="9" t="inlineStr">
        <is>
          <t>CB NV phụ trách theo đơn vị</t>
        </is>
      </c>
      <c r="P24" s="9" t="inlineStr">
        <is>
          <t>Người ngoài hồ sơ/khác đơn vị</t>
        </is>
      </c>
      <c r="Q24" s="9" t="inlineStr">
        <is>
          <t>Kiểm tra trạng thái trên UI/API, Gmail và chuông của đúng người nhận/tài khoản âm; queue/SMTP/audit chỉ khi có quyền.</t>
        </is>
      </c>
      <c r="R24" s="9" t="inlineStr">
        <is>
          <t>Khôi phục fixture hoặc dùng hồ sơ mới cho case kế tiếp; lưu message-id và ảnh inbox/log.</t>
        </is>
      </c>
      <c r="S24" s="9" t="inlineStr"/>
      <c r="T24" s="9" t="inlineStr"/>
      <c r="U24" s="12" t="inlineStr">
        <is>
          <t>Not Run</t>
        </is>
      </c>
      <c r="V24" s="9" t="inlineStr"/>
      <c r="W24" s="9" t="inlineStr"/>
      <c r="X24" s="9" t="inlineStr"/>
    </row>
    <row r="25">
      <c r="A25" s="9" t="n">
        <v>24</v>
      </c>
      <c r="B25" s="9" t="inlineStr">
        <is>
          <t>EM-NOT-VV-02</t>
        </is>
      </c>
      <c r="C25" s="9" t="inlineStr">
        <is>
          <t>FR-V.I / BR-NOTIF-01 / srs-fr-05:419,750,908-956,2485</t>
        </is>
      </c>
      <c r="D25" s="9" t="inlineStr">
        <is>
          <t>Vụ việc</t>
        </is>
      </c>
      <c r="E25" s="10" t="inlineStr">
        <is>
          <t>P0</t>
        </is>
      </c>
      <c r="F25" s="9" t="inlineStr">
        <is>
          <t>Workflow</t>
        </is>
      </c>
      <c r="G25" s="9" t="inlineStr">
        <is>
          <t>Phân công vụ việc cho cá nhân</t>
        </is>
      </c>
      <c r="H25" s="9" t="inlineStr">
        <is>
          <t>CB NV</t>
        </is>
      </c>
      <c r="I25" s="9" t="inlineStr">
        <is>
          <t>Module Vụ việc &gt; hồ sơ tương ứng</t>
        </is>
      </c>
      <c r="J25" s="9" t="inlineStr">
        <is>
          <t>Vụ việc đủ điều kiện phân công</t>
        </is>
      </c>
      <c r="K25" s="9" t="inlineStr">
        <is>
          <t>Fixture DN/người xử lý/đơn vị tách mailbox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25"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5" s="9" t="inlineStr">
        <is>
          <t>1. Baseline sạch, không nhầm email cũ.
2. Hồ sơ và quyền đúng tiền đề.
3. → DA_PHAN_CONG.
4. UI phản ánh trạng thái mới.
5. Chỉ đúng người nhận nhận email; email phân công;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5" s="9" t="inlineStr">
        <is>
          <t>TAI_KHOAN.email người nhận theo workflow</t>
        </is>
      </c>
      <c r="O25" s="9" t="inlineStr">
        <is>
          <t>TVV/CG/NHT được chọn</t>
        </is>
      </c>
      <c r="P25" s="9" t="inlineStr">
        <is>
          <t>Người ngoài hồ sơ/khác đơn vị</t>
        </is>
      </c>
      <c r="Q25" s="9" t="inlineStr">
        <is>
          <t>Kiểm tra trạng thái trên UI/API, Gmail và chuông của đúng người nhận/tài khoản âm; queue/SMTP/audit chỉ khi có quyền.</t>
        </is>
      </c>
      <c r="R25" s="9" t="inlineStr">
        <is>
          <t>Khôi phục fixture hoặc dùng hồ sơ mới cho case kế tiếp; lưu message-id và ảnh inbox/log.</t>
        </is>
      </c>
      <c r="S25" s="9" t="inlineStr"/>
      <c r="T25" s="9" t="inlineStr"/>
      <c r="U25" s="12" t="inlineStr">
        <is>
          <t>Not Run</t>
        </is>
      </c>
      <c r="V25" s="9" t="inlineStr"/>
      <c r="W25" s="9" t="inlineStr"/>
      <c r="X25" s="9" t="inlineStr"/>
    </row>
    <row r="26">
      <c r="A26" s="9" t="n">
        <v>25</v>
      </c>
      <c r="B26" s="9" t="inlineStr">
        <is>
          <t>EM-NOT-VV-03</t>
        </is>
      </c>
      <c r="C26" s="9" t="inlineStr">
        <is>
          <t>FR-V.I / BR-NOTIF-01 / srs-fr-05:419,750,908-956,2485</t>
        </is>
      </c>
      <c r="D26" s="9" t="inlineStr">
        <is>
          <t>Vụ việc</t>
        </is>
      </c>
      <c r="E26" s="10" t="inlineStr">
        <is>
          <t>P0</t>
        </is>
      </c>
      <c r="F26" s="9" t="inlineStr">
        <is>
          <t>Workflow</t>
        </is>
      </c>
      <c r="G26" s="9" t="inlineStr">
        <is>
          <t>Phân công qua tổ chức tư vấn có CC</t>
        </is>
      </c>
      <c r="H26" s="9" t="inlineStr">
        <is>
          <t>CB NV</t>
        </is>
      </c>
      <c r="I26" s="9" t="inlineStr">
        <is>
          <t>Module Vụ việc &gt; hồ sơ tương ứng</t>
        </is>
      </c>
      <c r="J26" s="9" t="inlineStr">
        <is>
          <t>Chọn tổ chức + TVV cụ thể</t>
        </is>
      </c>
      <c r="K26" s="9" t="inlineStr">
        <is>
          <t>Fixture DN/người xử lý/đơn vị tách mailbox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26"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6" s="9" t="inlineStr">
        <is>
          <t>1. Baseline sạch, không nhầm email cũ.
2. Hồ sơ và quyền đúng tiền đề.
3. → DA_PHAN_CONG.
4. UI phản ánh trạng thái mới.
5. Chỉ đúng người nhận nhận email; đúng To/CC, không CC tổ chức khác;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6" s="9" t="inlineStr">
        <is>
          <t>TO_CHUC_TU_VAN.email_lien_he cho CC; TAI_KHOAN.email người xử lý</t>
        </is>
      </c>
      <c r="O26" s="9" t="inlineStr">
        <is>
          <t>To TVV được cử; CC email liên hệ tổ chức</t>
        </is>
      </c>
      <c r="P26" s="9" t="inlineStr">
        <is>
          <t>Người ngoài hồ sơ/khác đơn vị</t>
        </is>
      </c>
      <c r="Q26" s="9" t="inlineStr">
        <is>
          <t>Kiểm tra trạng thái trên UI/API, Gmail và chuông của đúng người nhận/tài khoản âm; queue/SMTP/audit chỉ khi có quyền.</t>
        </is>
      </c>
      <c r="R26" s="9" t="inlineStr">
        <is>
          <t>Khôi phục fixture hoặc dùng hồ sơ mới cho case kế tiếp; lưu message-id và ảnh inbox/log.</t>
        </is>
      </c>
      <c r="S26" s="9" t="inlineStr"/>
      <c r="T26" s="9" t="inlineStr"/>
      <c r="U26" s="12" t="inlineStr">
        <is>
          <t>Not Run</t>
        </is>
      </c>
      <c r="V26" s="9" t="inlineStr"/>
      <c r="W26" s="9" t="inlineStr"/>
      <c r="X26" s="9" t="inlineStr"/>
    </row>
    <row r="27">
      <c r="A27" s="9" t="n">
        <v>26</v>
      </c>
      <c r="B27" s="9" t="inlineStr">
        <is>
          <t>EM-NOT-VV-04</t>
        </is>
      </c>
      <c r="C27" s="9" t="inlineStr">
        <is>
          <t>FR-V.I / BR-NOTIF-01 / srs-fr-05:419,750,908-956,2485</t>
        </is>
      </c>
      <c r="D27" s="9" t="inlineStr">
        <is>
          <t>Vụ việc</t>
        </is>
      </c>
      <c r="E27" s="10" t="inlineStr">
        <is>
          <t>P0</t>
        </is>
      </c>
      <c r="F27" s="9" t="inlineStr">
        <is>
          <t>Workflow</t>
        </is>
      </c>
      <c r="G27" s="9" t="inlineStr">
        <is>
          <t>Hồ sơ kiểm tra không đạt tự động báo DN</t>
        </is>
      </c>
      <c r="H27" s="9" t="inlineStr">
        <is>
          <t>System</t>
        </is>
      </c>
      <c r="I27" s="9" t="inlineStr">
        <is>
          <t>Module Vụ việc &gt; hồ sơ tương ứng</t>
        </is>
      </c>
      <c r="J27" s="9" t="inlineStr">
        <is>
          <t>DANG_KIEM_TRA; CB kết luận Không đạt</t>
        </is>
      </c>
      <c r="K27" s="9" t="inlineStr">
        <is>
          <t>Fixture DN/người xử lý/đơn vị tách mailbox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27"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7" s="9" t="inlineStr">
        <is>
          <t>1. Baseline sạch, không nhầm email cũ.
2. Hồ sơ và quyền đúng tiền đề.
3. → TU_CHOI.
4. UI phản ánh trạng thái mới.
5. Chỉ đúng người nhận nhận email; email có lý do; không có nút gửi thủ công;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7" s="9" t="inlineStr">
        <is>
          <t>TAI_KHOAN.email người nhận theo workflow</t>
        </is>
      </c>
      <c r="O27" s="9" t="inlineStr">
        <is>
          <t>To: diupt01+dn-ag-login@gmail.com (TAI_KHOAN.email DN 0209888006)</t>
        </is>
      </c>
      <c r="P27" s="9" t="inlineStr">
        <is>
          <t>diupt01+dn-ag-contact@gmail.com (DOANH_NGHIEP.email) và người ngoài hồ sơ</t>
        </is>
      </c>
      <c r="Q27" s="9" t="inlineStr">
        <is>
          <t>Kiểm tra trạng thái trên UI/API, Gmail và chuông của đúng người nhận/tài khoản âm; queue/SMTP/audit chỉ khi có quyền.</t>
        </is>
      </c>
      <c r="R27" s="9" t="inlineStr">
        <is>
          <t>Khôi phục fixture hoặc dùng hồ sơ mới cho case kế tiếp; lưu message-id và ảnh inbox/log.</t>
        </is>
      </c>
      <c r="S27" s="9" t="inlineStr"/>
      <c r="T27" s="9" t="inlineStr"/>
      <c r="U27" s="12" t="inlineStr">
        <is>
          <t>Not Run</t>
        </is>
      </c>
      <c r="V27" s="9" t="inlineStr"/>
      <c r="W27" s="9" t="inlineStr"/>
      <c r="X27" s="9" t="inlineStr"/>
    </row>
    <row r="28">
      <c r="A28" s="9" t="n">
        <v>27</v>
      </c>
      <c r="B28" s="9" t="inlineStr">
        <is>
          <t>EM-NOT-VV-05</t>
        </is>
      </c>
      <c r="C28" s="9" t="inlineStr">
        <is>
          <t>FR-V.I / BR-NOTIF-01 / srs-fr-05:419,750,908-956,2485</t>
        </is>
      </c>
      <c r="D28" s="9" t="inlineStr">
        <is>
          <t>Vụ việc</t>
        </is>
      </c>
      <c r="E28" s="10" t="inlineStr">
        <is>
          <t>P0</t>
        </is>
      </c>
      <c r="F28" s="9" t="inlineStr">
        <is>
          <t>Workflow</t>
        </is>
      </c>
      <c r="G28" s="9" t="inlineStr">
        <is>
          <t>Hoàn thành vụ việc thông báo DN</t>
        </is>
      </c>
      <c r="H28" s="9" t="inlineStr">
        <is>
          <t>CB NV/System</t>
        </is>
      </c>
      <c r="I28" s="9" t="inlineStr">
        <is>
          <t>Module Vụ việc &gt; hồ sơ tương ứng</t>
        </is>
      </c>
      <c r="J28" s="9" t="inlineStr">
        <is>
          <t>Vụ việc đủ điều kiện hoàn thành</t>
        </is>
      </c>
      <c r="K28" s="9" t="inlineStr">
        <is>
          <t>Fixture DN/người xử lý/đơn vị tách mailbox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28"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8" s="9" t="inlineStr">
        <is>
          <t>1. Baseline sạch, không nhầm email cũ.
2. Hồ sơ và quyền đúng tiền đề.
3. → HOAN_THANH.
4. UI phản ánh trạng thái mới.
5. Chỉ đúng người nhận nhận email; email kết quả đúng hồ sơ;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8" s="9" t="inlineStr">
        <is>
          <t>TAI_KHOAN.email người nhận theo workflow</t>
        </is>
      </c>
      <c r="O28" s="9" t="inlineStr">
        <is>
          <t>To: diupt01+dn-ag-login@gmail.com (TAI_KHOAN.email DN 0209888006)</t>
        </is>
      </c>
      <c r="P28" s="9" t="inlineStr">
        <is>
          <t>diupt01+dn-ag-contact@gmail.com (DOANH_NGHIEP.email) và người ngoài hồ sơ</t>
        </is>
      </c>
      <c r="Q28" s="9" t="inlineStr">
        <is>
          <t>Kiểm tra trạng thái trên UI/API, Gmail và chuông của đúng người nhận/tài khoản âm; queue/SMTP/audit chỉ khi có quyền.</t>
        </is>
      </c>
      <c r="R28" s="9" t="inlineStr">
        <is>
          <t>Khôi phục fixture hoặc dùng hồ sơ mới cho case kế tiếp; lưu message-id và ảnh inbox/log.</t>
        </is>
      </c>
      <c r="S28" s="9" t="inlineStr"/>
      <c r="T28" s="9" t="inlineStr"/>
      <c r="U28" s="12" t="inlineStr">
        <is>
          <t>Not Run</t>
        </is>
      </c>
      <c r="V28" s="9" t="inlineStr"/>
      <c r="W28" s="9" t="inlineStr"/>
      <c r="X28" s="9" t="inlineStr"/>
    </row>
    <row r="29">
      <c r="A29" s="9" t="n">
        <v>28</v>
      </c>
      <c r="B29" s="9" t="inlineStr">
        <is>
          <t>EM-NOT-VV-06</t>
        </is>
      </c>
      <c r="C29" s="9" t="inlineStr">
        <is>
          <t>FR-V.I / BR-NOTIF-01 / srs-fr-05:419,750,908-956,2485</t>
        </is>
      </c>
      <c r="D29" s="9" t="inlineStr">
        <is>
          <t>Vụ việc</t>
        </is>
      </c>
      <c r="E29" s="10" t="inlineStr">
        <is>
          <t>P0</t>
        </is>
      </c>
      <c r="F29" s="9" t="inlineStr">
        <is>
          <t>Workflow</t>
        </is>
      </c>
      <c r="G29" s="9" t="inlineStr">
        <is>
          <t>Yêu cầu bổ sung hồ sơ</t>
        </is>
      </c>
      <c r="H29" s="9" t="inlineStr">
        <is>
          <t>CB NV</t>
        </is>
      </c>
      <c r="I29" s="9" t="inlineStr">
        <is>
          <t>Module Vụ việc &gt; hồ sơ tương ứng</t>
        </is>
      </c>
      <c r="J29" s="9" t="inlineStr">
        <is>
          <t>Vụ việc cần bổ sung</t>
        </is>
      </c>
      <c r="K29" s="9" t="inlineStr">
        <is>
          <t>Fixture DN/người xử lý/đơn vị tách mailbox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29"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29" s="9" t="inlineStr">
        <is>
          <t>1. Baseline sạch, không nhầm email cũ.
2. Hồ sơ và quyền đúng tiền đề.
3. → trạng thái bổ sung.
4. UI phản ánh trạng thái mới.
5. Chỉ đúng người nhận nhận email; email nêu nội dung cần bổ sung;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29" s="9" t="inlineStr">
        <is>
          <t>TAI_KHOAN.email người nhận theo workflow</t>
        </is>
      </c>
      <c r="O29" s="9" t="inlineStr">
        <is>
          <t>To: diupt01+dn-ag-login@gmail.com (TAI_KHOAN.email DN 0209888006)</t>
        </is>
      </c>
      <c r="P29" s="9" t="inlineStr">
        <is>
          <t>diupt01+dn-ag-contact@gmail.com (DOANH_NGHIEP.email) và người ngoài hồ sơ</t>
        </is>
      </c>
      <c r="Q29" s="9" t="inlineStr">
        <is>
          <t>Kiểm tra trạng thái trên UI/API, Gmail và chuông của đúng người nhận/tài khoản âm; queue/SMTP/audit chỉ khi có quyền.</t>
        </is>
      </c>
      <c r="R29" s="9" t="inlineStr">
        <is>
          <t>Khôi phục fixture hoặc dùng hồ sơ mới cho case kế tiếp; lưu message-id và ảnh inbox/log.</t>
        </is>
      </c>
      <c r="S29" s="9" t="inlineStr"/>
      <c r="T29" s="9" t="inlineStr"/>
      <c r="U29" s="12" t="inlineStr">
        <is>
          <t>Not Run</t>
        </is>
      </c>
      <c r="V29" s="9" t="inlineStr"/>
      <c r="W29" s="9" t="inlineStr"/>
      <c r="X29" s="9" t="inlineStr"/>
    </row>
    <row r="30">
      <c r="A30" s="9" t="n">
        <v>29</v>
      </c>
      <c r="B30" s="9" t="inlineStr">
        <is>
          <t>EM-NOT-VV-07</t>
        </is>
      </c>
      <c r="C30" s="9" t="inlineStr">
        <is>
          <t>FR-V.I / BR-NOTIF-01 / srs-fr-05:419,750,908-956,2485</t>
        </is>
      </c>
      <c r="D30" s="9" t="inlineStr">
        <is>
          <t>Vụ việc</t>
        </is>
      </c>
      <c r="E30" s="10" t="inlineStr">
        <is>
          <t>P0</t>
        </is>
      </c>
      <c r="F30" s="9" t="inlineStr">
        <is>
          <t>Workflow</t>
        </is>
      </c>
      <c r="G30" s="9" t="inlineStr">
        <is>
          <t>Phê duyệt vụ việc</t>
        </is>
      </c>
      <c r="H30" s="9" t="inlineStr">
        <is>
          <t>CB PD</t>
        </is>
      </c>
      <c r="I30" s="9" t="inlineStr">
        <is>
          <t>Module Vụ việc &gt; hồ sơ tương ứng</t>
        </is>
      </c>
      <c r="J30" s="9" t="inlineStr">
        <is>
          <t>Vụ việc CHO_PHE_DUYET</t>
        </is>
      </c>
      <c r="K30" s="9" t="inlineStr">
        <is>
          <t>Fixture DN/người xử lý/đơn vị tách mailbox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30"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0" s="9" t="inlineStr">
        <is>
          <t>1. Baseline sạch, không nhầm email cũ.
2. Hồ sơ và quyền đúng tiền đề.
3. → DA_DUYET.
4. UI phản ánh trạng thái mới.
5. Chỉ đúng người nhận nhận email; email kết quả phê duyệt đúng hồ sơ;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0" s="9" t="inlineStr">
        <is>
          <t>TAI_KHOAN.email người nhận theo workflow</t>
        </is>
      </c>
      <c r="O30" s="9" t="inlineStr">
        <is>
          <t>To: CB NV phụ trách</t>
        </is>
      </c>
      <c r="P30" s="9" t="inlineStr">
        <is>
          <t>Người ngoài hồ sơ/khác đơn vị</t>
        </is>
      </c>
      <c r="Q30" s="9" t="inlineStr">
        <is>
          <t>Kiểm tra trạng thái trên UI/API, Gmail và chuông của đúng người nhận/tài khoản âm; queue/SMTP/audit chỉ khi có quyền.</t>
        </is>
      </c>
      <c r="R30" s="9" t="inlineStr">
        <is>
          <t>Khôi phục fixture hoặc dùng hồ sơ mới cho case kế tiếp; lưu message-id và ảnh inbox/log.</t>
        </is>
      </c>
      <c r="S30" s="9" t="inlineStr"/>
      <c r="T30" s="9" t="inlineStr"/>
      <c r="U30" s="12" t="inlineStr">
        <is>
          <t>Not Run</t>
        </is>
      </c>
      <c r="V30" s="9" t="inlineStr"/>
      <c r="W30" s="9" t="inlineStr"/>
      <c r="X30" s="9" t="inlineStr"/>
    </row>
    <row r="31">
      <c r="A31" s="9" t="n">
        <v>30</v>
      </c>
      <c r="B31" s="9" t="inlineStr">
        <is>
          <t>EM-NOT-VV-11</t>
        </is>
      </c>
      <c r="C31" s="9" t="inlineStr">
        <is>
          <t>FR-V.I / BR-NOTIF-01 / srs-fr-05:419,750,908-956,2485</t>
        </is>
      </c>
      <c r="D31" s="9" t="inlineStr">
        <is>
          <t>Vụ việc</t>
        </is>
      </c>
      <c r="E31" s="10" t="inlineStr">
        <is>
          <t>P0</t>
        </is>
      </c>
      <c r="F31" s="9" t="inlineStr">
        <is>
          <t>Workflow</t>
        </is>
      </c>
      <c r="G31" s="9" t="inlineStr">
        <is>
          <t>Công khai vụ việc</t>
        </is>
      </c>
      <c r="H31" s="9" t="inlineStr">
        <is>
          <t>CB PD</t>
        </is>
      </c>
      <c r="I31" s="9" t="inlineStr">
        <is>
          <t>Module Vụ việc &gt; hồ sơ tương ứng</t>
        </is>
      </c>
      <c r="J31" s="9" t="inlineStr">
        <is>
          <t>Vụ việc DA_DUYET/HOAN_THANH và cong_khai=0</t>
        </is>
      </c>
      <c r="K31" s="9" t="inlineStr">
        <is>
          <t>Fixture DN/người xử lý/đơn vị tách mailbox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31"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1" s="9" t="inlineStr">
        <is>
          <t>1. Baseline sạch, không nhầm email cũ.
2. Hồ sơ và quyền đúng tiền đề.
3. cong_khai=1.
4. UI phản ánh trạng thái mới.
5. Chỉ đúng người nhận nhận email; email báo công khai; không chứa field nhạy cảm;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1" s="9" t="inlineStr">
        <is>
          <t>TAI_KHOAN.email người nhận theo workflow</t>
        </is>
      </c>
      <c r="O31" s="9" t="inlineStr">
        <is>
          <t>To: diupt01+dn-ag-login@gmail.com (TAI_KHOAN.email DN 0209888006)</t>
        </is>
      </c>
      <c r="P31" s="9" t="inlineStr">
        <is>
          <t>diupt01+dn-ag-contact@gmail.com (DOANH_NGHIEP.email) và người ngoài hồ sơ</t>
        </is>
      </c>
      <c r="Q31" s="9" t="inlineStr">
        <is>
          <t>Kiểm tra trạng thái trên UI/API, Gmail và chuông của đúng người nhận/tài khoản âm; queue/SMTP/audit chỉ khi có quyền.</t>
        </is>
      </c>
      <c r="R31" s="9" t="inlineStr">
        <is>
          <t>Khôi phục fixture hoặc dùng hồ sơ mới cho case kế tiếp; lưu message-id và ảnh inbox/log.</t>
        </is>
      </c>
      <c r="S31" s="9" t="inlineStr"/>
      <c r="T31" s="9" t="inlineStr"/>
      <c r="U31" s="12" t="inlineStr">
        <is>
          <t>Not Run</t>
        </is>
      </c>
      <c r="V31" s="9" t="inlineStr"/>
      <c r="W31" s="9" t="inlineStr"/>
      <c r="X31" s="9" t="inlineStr"/>
    </row>
    <row r="32">
      <c r="A32" s="9" t="n">
        <v>31</v>
      </c>
      <c r="B32" s="9" t="inlineStr">
        <is>
          <t>EM-NOT-VV-08</t>
        </is>
      </c>
      <c r="C32" s="9" t="inlineStr">
        <is>
          <t>FR-V.I-CROSS SLA / BR-SLA-03 / srs-fr-05:2449</t>
        </is>
      </c>
      <c r="D32" s="9" t="inlineStr">
        <is>
          <t>Vụ việc</t>
        </is>
      </c>
      <c r="E32" s="10" t="inlineStr">
        <is>
          <t>P0</t>
        </is>
      </c>
      <c r="F32" s="9" t="inlineStr">
        <is>
          <t>Workflow</t>
        </is>
      </c>
      <c r="G32" s="9" t="inlineStr">
        <is>
          <t>Cảnh báo SLA vụ việc SAP_HET_HAN</t>
        </is>
      </c>
      <c r="H32" s="9" t="inlineStr">
        <is>
          <t>Scheduled job</t>
        </is>
      </c>
      <c r="I32" s="9" t="inlineStr">
        <is>
          <t>Job SLA vụ việc</t>
        </is>
      </c>
      <c r="J32" s="9" t="inlineStr">
        <is>
          <t>Vụ việc vừa chuyển SAP_HET_HAN; email toggle bật.</t>
        </is>
      </c>
      <c r="K32" s="9" t="inlineStr">
        <is>
          <t>Clock đúng ngưỡng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32"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2" s="9" t="inlineStr">
        <is>
          <t>1. Baseline sạch, không nhầm email cũ.
2. Hồ sơ và quyền đúng tiền đề.
3. Mức → SAP_HET_HAN.
4. UI phản ánh trạng thái mới.
5. Chỉ đúng người nhận nhận email; email có mức/deadline/mã hồ sơ; không trùng;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2" s="9" t="inlineStr">
        <is>
          <t>TAI_KHOAN.email theo ma trận</t>
        </is>
      </c>
      <c r="O32" s="9" t="inlineStr">
        <is>
          <t>To: CB NV</t>
        </is>
      </c>
      <c r="P32" s="9" t="inlineStr">
        <is>
          <t>Người ngoài ma trận</t>
        </is>
      </c>
      <c r="Q32" s="9" t="inlineStr">
        <is>
          <t>Kiểm tra trạng thái trên UI/API, Gmail và chuông của đúng người nhận/tài khoản âm; queue/SMTP/audit chỉ khi có quyền.</t>
        </is>
      </c>
      <c r="R32" s="9" t="inlineStr">
        <is>
          <t>Khôi phục fixture hoặc dùng hồ sơ mới cho case kế tiếp; lưu message-id và ảnh inbox/log.</t>
        </is>
      </c>
      <c r="S32" s="9" t="inlineStr"/>
      <c r="T32" s="9" t="inlineStr"/>
      <c r="U32" s="12" t="inlineStr">
        <is>
          <t>Not Run</t>
        </is>
      </c>
      <c r="V32" s="9" t="inlineStr"/>
      <c r="W32" s="9" t="inlineStr"/>
      <c r="X32" s="9" t="inlineStr"/>
    </row>
    <row r="33">
      <c r="A33" s="9" t="n">
        <v>32</v>
      </c>
      <c r="B33" s="9" t="inlineStr">
        <is>
          <t>EM-NOT-VV-09</t>
        </is>
      </c>
      <c r="C33" s="9" t="inlineStr">
        <is>
          <t>FR-V.I-CROSS SLA / BR-SLA-03 / srs-fr-05:2449</t>
        </is>
      </c>
      <c r="D33" s="9" t="inlineStr">
        <is>
          <t>Vụ việc</t>
        </is>
      </c>
      <c r="E33" s="10" t="inlineStr">
        <is>
          <t>P0</t>
        </is>
      </c>
      <c r="F33" s="9" t="inlineStr">
        <is>
          <t>Workflow</t>
        </is>
      </c>
      <c r="G33" s="9" t="inlineStr">
        <is>
          <t>Cảnh báo SLA vụ việc QUA_HAN</t>
        </is>
      </c>
      <c r="H33" s="9" t="inlineStr">
        <is>
          <t>Scheduled job</t>
        </is>
      </c>
      <c r="I33" s="9" t="inlineStr">
        <is>
          <t>Job SLA vụ việc</t>
        </is>
      </c>
      <c r="J33" s="9" t="inlineStr">
        <is>
          <t>Vụ việc vừa chuyển QUA_HAN; email toggle bật.</t>
        </is>
      </c>
      <c r="K33" s="9" t="inlineStr">
        <is>
          <t>Clock đúng ngưỡng
Fixture DEV đã gắn email: Lane An Giang: DN 0209888006 TK=diupt01+dn-ag-login@gmail.com, DN liên hệ=diupt01+dn-ag-contact@gmail.com; cbnv_dp_01=diupt01+cb-nv-ag@gmail.com; cbpd_dp_01=diupt01+cb-pd-ag@gmail.com; nht_qa_01=diupt01+nht-ag@gmail.com; TVV qa_tvv_dp_r18=diupt01+tvv-ag@gmail.com; tổ chức TC-STP-AG-0001=diupt01+org-b@gmail.com.</t>
        </is>
      </c>
      <c r="L33"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3" s="9" t="inlineStr">
        <is>
          <t>1. Baseline sạch, không nhầm email cũ.
2. Hồ sơ và quyền đúng tiền đề.
3. Mức → QUA_HAN.
4. UI phản ánh trạng thái mới.
5. Chỉ đúng người nhận nhận email; email có mức/deadline/mã hồ sơ; không trùng;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3" s="9" t="inlineStr">
        <is>
          <t>TAI_KHOAN.email theo ma trận</t>
        </is>
      </c>
      <c r="O33" s="9" t="inlineStr">
        <is>
          <t>To: CB NV + CB PD</t>
        </is>
      </c>
      <c r="P33" s="9" t="inlineStr">
        <is>
          <t>Người ngoài ma trận</t>
        </is>
      </c>
      <c r="Q33" s="9" t="inlineStr">
        <is>
          <t>Kiểm tra trạng thái trên UI/API, Gmail và chuông của đúng người nhận/tài khoản âm; queue/SMTP/audit chỉ khi có quyền.</t>
        </is>
      </c>
      <c r="R33" s="9" t="inlineStr">
        <is>
          <t>Khôi phục fixture hoặc dùng hồ sơ mới cho case kế tiếp; lưu message-id và ảnh inbox/log.</t>
        </is>
      </c>
      <c r="S33" s="9" t="inlineStr"/>
      <c r="T33" s="9" t="inlineStr"/>
      <c r="U33" s="12" t="inlineStr">
        <is>
          <t>Not Run</t>
        </is>
      </c>
      <c r="V33" s="9" t="inlineStr"/>
      <c r="W33" s="9" t="inlineStr"/>
      <c r="X33" s="9" t="inlineStr"/>
    </row>
    <row r="34">
      <c r="A34" s="9" t="n">
        <v>33</v>
      </c>
      <c r="B34" s="9" t="inlineStr">
        <is>
          <t>EM-NOT-VV-10</t>
        </is>
      </c>
      <c r="C34" s="9" t="inlineStr">
        <is>
          <t>FR-V.I-CROSS SLA / BR-SLA-03 / srs-fr-05:2449</t>
        </is>
      </c>
      <c r="D34" s="9" t="inlineStr">
        <is>
          <t>Vụ việc</t>
        </is>
      </c>
      <c r="E34" s="10" t="inlineStr">
        <is>
          <t>P0</t>
        </is>
      </c>
      <c r="F34" s="9" t="inlineStr">
        <is>
          <t>Workflow</t>
        </is>
      </c>
      <c r="G34" s="9" t="inlineStr">
        <is>
          <t>Cảnh báo SLA vụ việc QUA_HAN_NGHIEM_TRONG</t>
        </is>
      </c>
      <c r="H34" s="9" t="inlineStr">
        <is>
          <t>Scheduled job</t>
        </is>
      </c>
      <c r="I34" s="9" t="inlineStr">
        <is>
          <t>Job SLA vụ việc</t>
        </is>
      </c>
      <c r="J34" s="9" t="inlineStr">
        <is>
          <t>Vụ việc vừa chuyển QUA_HAN_NGHIEM_TRONG; email toggle bật.</t>
        </is>
      </c>
      <c r="K34" s="9" t="inlineStr">
        <is>
          <t>Clock đúng ngưỡng
Fixture escalation Bộ/ngành: tạo hồ sơ tại Bộ KH&amp;ĐT; CB NV cùng cấp `cbnv_bn_01` = `diupt01+cb-nv-b@gmail.com`; CB PD cùng cấp `cbpd_bn_01` = `diupt01+cb-pd-b@gmail.com`. Trước trigger, đọc `DON_VI.don_vi_cha_id` của Bộ KH&amp;ĐT và danh sách TAI_KHOAN `CB_PD_TW` hoạt động tại đúng đơn vị cha; mọi tài khoản có thể được resolver chọn phải được map sang alias `diupt01+...@gmail.com` để kiểm bằng Gmail thật.</t>
        </is>
      </c>
      <c r="L34"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4" s="9" t="inlineStr">
        <is>
          <t>1. Baseline sạch, không nhầm email cũ.
2. Hồ sơ và quyền đúng tiền đề.
3. Mức → QUA_HAN_NGHIEM_TRONG.
4. UI phản ánh trạng thái mới.
5. Chỉ đúng người nhận nhận email; email có mức/deadline/mã hồ sơ; không trùng;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4" s="9" t="inlineStr">
        <is>
          <t>TAI_KHOAN.email cbnv_bn_01 + cbpd_bn_01 + CB_PD_TW đúng đơn vị cha</t>
        </is>
      </c>
      <c r="O34" s="9" t="inlineStr">
        <is>
          <t>To: cbnv_bn_01 + cbpd_bn_01 + ít nhất 1 CB_PD_TW đúng đơn vị cha</t>
        </is>
      </c>
      <c r="P34" s="9" t="inlineStr">
        <is>
          <t>CB NV/CB PD thuộc đơn vị khác; tài khoản TW không có role CB_PD_TW</t>
        </is>
      </c>
      <c r="Q34" s="9" t="inlineStr">
        <is>
          <t>Kiểm tra trạng thái trên UI/API, Gmail và chuông của đúng người nhận/tài khoản âm; queue/SMTP/audit chỉ khi có quyền. Escalation phải có ít nhất một recipient là TAI_KHOAN hoạt động, role CB_PD_TW, don_vi_id = don_vi_cha_id của Bộ KH&amp;ĐT; không khẳng định gửi một hay tất cả khi SRS không quy định cardinality. Mọi recipient escalation thực tế phải thỏa role/phạm vi này.</t>
        </is>
      </c>
      <c r="R34" s="9" t="inlineStr">
        <is>
          <t>Khôi phục fixture hoặc dùng hồ sơ mới cho case kế tiếp; lưu message-id và ảnh inbox/log.</t>
        </is>
      </c>
      <c r="S34" s="9" t="inlineStr"/>
      <c r="T34" s="9" t="inlineStr"/>
      <c r="U34" s="12" t="inlineStr">
        <is>
          <t>Not Run</t>
        </is>
      </c>
      <c r="V34" s="9" t="inlineStr"/>
      <c r="W34" s="9" t="inlineStr"/>
      <c r="X34" s="9" t="inlineStr"/>
    </row>
    <row r="35">
      <c r="A35" s="9" t="n">
        <v>34</v>
      </c>
      <c r="B35" s="9" t="inlineStr">
        <is>
          <t>EM-NOT-CT-01</t>
        </is>
      </c>
      <c r="C35" s="9" t="inlineStr">
        <is>
          <t>FR-V.II-08/10 / srs-fr-06:758-790</t>
        </is>
      </c>
      <c r="D35" s="9" t="inlineStr">
        <is>
          <t>Chi trả</t>
        </is>
      </c>
      <c r="E35" s="10" t="inlineStr">
        <is>
          <t>P0</t>
        </is>
      </c>
      <c r="F35" s="9" t="inlineStr">
        <is>
          <t>Workflow</t>
        </is>
      </c>
      <c r="G35" s="9" t="inlineStr">
        <is>
          <t>Gửi kết quả thẩm định cho TVV</t>
        </is>
      </c>
      <c r="H35" s="9" t="inlineStr">
        <is>
          <t>System sau UC76</t>
        </is>
      </c>
      <c r="I35" s="9" t="inlineStr">
        <is>
          <t>Hồ sơ chi trả &gt; hoàn tất thẩm định</t>
        </is>
      </c>
      <c r="J35" s="9" t="inlineStr">
        <is>
          <t>Thẩm định hoàn tất; TVV có TK/email.</t>
        </is>
      </c>
      <c r="K35" s="9" t="inlineStr">
        <is>
          <t>Kết quả dạng chữ
Fixture DEV đã gắn email: Lane An Giang: DN 0209888006 TK=diupt01+dn-ag-login@gmail.com; cbnv_dp_01=diupt01+cb-nv-ag@gmail.com; cbpd_dp_01=diupt01+cb-pd-ag@gmail.com; TVV qa_tvv_dp_r18=diupt01+tvv-ag@gmail.com.</t>
        </is>
      </c>
      <c r="L35"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5" s="9" t="inlineStr">
        <is>
          <t>1. Baseline sạch, không nhầm email cũ.
2. Hồ sơ và quyền đúng tiền đề.
3. Kết quả thẩm định được ghi nhận.
4. UI phản ánh trạng thái mới.
5. Chỉ đúng người nhận nhận email; email kết quả dạng chữ, KHÔNG có file đính kèm;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5" s="9" t="inlineStr">
        <is>
          <t>TAI_KHOAN.email TVV</t>
        </is>
      </c>
      <c r="O35" s="9" t="inlineStr">
        <is>
          <t>To: TVV</t>
        </is>
      </c>
      <c r="P35" s="9" t="inlineStr">
        <is>
          <t>DN/TVV khác</t>
        </is>
      </c>
      <c r="Q35" s="9" t="inlineStr">
        <is>
          <t>Kiểm tra trạng thái trên UI/API, Gmail và chuông của đúng người nhận/tài khoản âm; queue/SMTP/audit chỉ khi có quyền. SMTP attachment count = 0; in-app chỉ TVV thấy.</t>
        </is>
      </c>
      <c r="R35" s="9" t="inlineStr">
        <is>
          <t>Khôi phục fixture hoặc dùng hồ sơ mới cho case kế tiếp; lưu message-id và ảnh inbox/log.</t>
        </is>
      </c>
      <c r="S35" s="9" t="inlineStr"/>
      <c r="T35" s="9" t="inlineStr"/>
      <c r="U35" s="12" t="inlineStr">
        <is>
          <t>Not Run</t>
        </is>
      </c>
      <c r="V35" s="9" t="inlineStr"/>
      <c r="W35" s="9" t="inlineStr"/>
      <c r="X35" s="9" t="inlineStr"/>
    </row>
    <row r="36">
      <c r="A36" s="9" t="n">
        <v>35</v>
      </c>
      <c r="B36" s="9" t="inlineStr">
        <is>
          <t>EM-NOT-CT-02</t>
        </is>
      </c>
      <c r="C36" s="9" t="inlineStr">
        <is>
          <t>FR-V.II-07 / srs-fr-06:595-614</t>
        </is>
      </c>
      <c r="D36" s="9" t="inlineStr">
        <is>
          <t>Chi trả</t>
        </is>
      </c>
      <c r="E36" s="10" t="inlineStr">
        <is>
          <t>P0</t>
        </is>
      </c>
      <c r="F36" s="9" t="inlineStr">
        <is>
          <t>Workflow</t>
        </is>
      </c>
      <c r="G36" s="9" t="inlineStr">
        <is>
          <t>DN gửi đề nghị thanh toán</t>
        </is>
      </c>
      <c r="H36" s="9" t="inlineStr">
        <is>
          <t>DVC/System</t>
        </is>
      </c>
      <c r="I36" s="9" t="inlineStr">
        <is>
          <t>Module Chi trả &gt; hồ sơ tương ứng</t>
        </is>
      </c>
      <c r="J36" s="9" t="inlineStr">
        <is>
          <t>Hồ sơ DA_DUYET; payload có ít nhất 1 file mới</t>
        </is>
      </c>
      <c r="K36" s="9" t="inlineStr">
        <is>
          <t>Mailbox CB NV/CB PD/TVV/DN tách biệt
Fixture DEV đã gắn email: Lane An Giang: DN 0209888006 TK=diupt01+dn-ag-login@gmail.com; cbnv_dp_01=diupt01+cb-nv-ag@gmail.com; cbpd_dp_01=diupt01+cb-pd-ag@gmail.com; TVV qa_tvv_dp_r18=diupt01+tvv-ag@gmail.com.</t>
        </is>
      </c>
      <c r="L36"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6" s="9" t="inlineStr">
        <is>
          <t>1. Baseline sạch, không nhầm email cũ.
2. Hồ sơ và quyền đúng tiền đề.
3. Giữ DA_DUYET và tiếp nhận chứng từ.
4. UI phản ánh trạng thái mới.
5. Chỉ đúng người nhận nhận email; email báo DN đã gửi đề nghị thanh toán;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6" s="9" t="inlineStr">
        <is>
          <t>TAI_KHOAN.email CB NV</t>
        </is>
      </c>
      <c r="O36" s="9" t="inlineStr">
        <is>
          <t>To: CB NV phụ trách</t>
        </is>
      </c>
      <c r="P36" s="9" t="inlineStr">
        <is>
          <t>Người ngoài hồ sơ/khác đơn vị</t>
        </is>
      </c>
      <c r="Q36" s="9" t="inlineStr">
        <is>
          <t>Kiểm tra trạng thái trên UI/API, Gmail và chuông của đúng người nhận/tài khoản âm; queue/SMTP/audit chỉ khi có quyền.</t>
        </is>
      </c>
      <c r="R36" s="9" t="inlineStr">
        <is>
          <t>Khôi phục fixture hoặc dùng hồ sơ mới cho case kế tiếp; lưu message-id và ảnh inbox/log.</t>
        </is>
      </c>
      <c r="S36" s="9" t="inlineStr"/>
      <c r="T36" s="9" t="inlineStr"/>
      <c r="U36" s="12" t="inlineStr">
        <is>
          <t>Not Run</t>
        </is>
      </c>
      <c r="V36" s="9" t="inlineStr"/>
      <c r="W36" s="9" t="inlineStr"/>
      <c r="X36" s="9" t="inlineStr"/>
    </row>
    <row r="37">
      <c r="A37" s="9" t="n">
        <v>36</v>
      </c>
      <c r="B37" s="9" t="inlineStr">
        <is>
          <t>EM-NOT-CT-03</t>
        </is>
      </c>
      <c r="C37" s="9" t="inlineStr">
        <is>
          <t>FR-V.II-11 / srs-fr-06:795-840</t>
        </is>
      </c>
      <c r="D37" s="9" t="inlineStr">
        <is>
          <t>Chi trả</t>
        </is>
      </c>
      <c r="E37" s="10" t="inlineStr">
        <is>
          <t>P0</t>
        </is>
      </c>
      <c r="F37" s="9" t="inlineStr">
        <is>
          <t>Workflow</t>
        </is>
      </c>
      <c r="G37" s="9" t="inlineStr">
        <is>
          <t>Trình phê duyệt hồ sơ thanh toán</t>
        </is>
      </c>
      <c r="H37" s="9" t="inlineStr">
        <is>
          <t>CB NV</t>
        </is>
      </c>
      <c r="I37" s="9" t="inlineStr">
        <is>
          <t>Module Chi trả &gt; hồ sơ tương ứng</t>
        </is>
      </c>
      <c r="J37" s="9" t="inlineStr">
        <is>
          <t>Hồ sơ DANG_THAM_DINH; kết quả Đạt</t>
        </is>
      </c>
      <c r="K37" s="9" t="inlineStr">
        <is>
          <t>Mailbox CB NV/CB PD/TVV/DN tách biệt
Fixture DEV đã gắn email: Lane An Giang: DN 0209888006 TK=diupt01+dn-ag-login@gmail.com; cbnv_dp_01=diupt01+cb-nv-ag@gmail.com; cbpd_dp_01=diupt01+cb-pd-ag@gmail.com; TVV qa_tvv_dp_r18=diupt01+tvv-ag@gmail.com.</t>
        </is>
      </c>
      <c r="L37"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7" s="9" t="inlineStr">
        <is>
          <t>1. Baseline sạch, không nhầm email cũ.
2. Hồ sơ và quyền đúng tiền đề.
3. → CHO_PHE_DUYET.
4. UI phản ánh trạng thái mới.
5. Chỉ đúng người nhận nhận email; email báo hồ sơ chờ duyệt;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7" s="9" t="inlineStr">
        <is>
          <t>TAI_KHOAN.email CB PD</t>
        </is>
      </c>
      <c r="O37" s="9" t="inlineStr">
        <is>
          <t>To: CB PD cùng đơn vị</t>
        </is>
      </c>
      <c r="P37" s="9" t="inlineStr">
        <is>
          <t>Người ngoài hồ sơ/khác đơn vị</t>
        </is>
      </c>
      <c r="Q37" s="9" t="inlineStr">
        <is>
          <t>Kiểm tra trạng thái trên UI/API, Gmail và chuông của đúng người nhận/tài khoản âm; queue/SMTP/audit chỉ khi có quyền.</t>
        </is>
      </c>
      <c r="R37" s="9" t="inlineStr">
        <is>
          <t>Khôi phục fixture hoặc dùng hồ sơ mới cho case kế tiếp; lưu message-id và ảnh inbox/log.</t>
        </is>
      </c>
      <c r="S37" s="9" t="inlineStr"/>
      <c r="T37" s="9" t="inlineStr"/>
      <c r="U37" s="12" t="inlineStr">
        <is>
          <t>Not Run</t>
        </is>
      </c>
      <c r="V37" s="9" t="inlineStr"/>
      <c r="W37" s="9" t="inlineStr"/>
      <c r="X37" s="9" t="inlineStr"/>
    </row>
    <row r="38">
      <c r="A38" s="9" t="n">
        <v>37</v>
      </c>
      <c r="B38" s="9" t="inlineStr">
        <is>
          <t>EM-NOT-CT-04</t>
        </is>
      </c>
      <c r="C38" s="9" t="inlineStr">
        <is>
          <t>FR-V.II-12 / srs-fr-06:845-911</t>
        </is>
      </c>
      <c r="D38" s="9" t="inlineStr">
        <is>
          <t>Chi trả</t>
        </is>
      </c>
      <c r="E38" s="10" t="inlineStr">
        <is>
          <t>P0</t>
        </is>
      </c>
      <c r="F38" s="9" t="inlineStr">
        <is>
          <t>Workflow</t>
        </is>
      </c>
      <c r="G38" s="9" t="inlineStr">
        <is>
          <t>Phê duyệt hồ sơ thanh toán</t>
        </is>
      </c>
      <c r="H38" s="9" t="inlineStr">
        <is>
          <t>CB PD</t>
        </is>
      </c>
      <c r="I38" s="9" t="inlineStr">
        <is>
          <t>Module Chi trả &gt; hồ sơ tương ứng</t>
        </is>
      </c>
      <c r="J38" s="9" t="inlineStr">
        <is>
          <t>Hồ sơ CHO_PHE_DUYET; quyết định hợp lệ</t>
        </is>
      </c>
      <c r="K38" s="9" t="inlineStr">
        <is>
          <t>Mailbox CB NV/CB PD/TVV/DN tách biệt
Fixture DEV đã gắn email: Lane An Giang: DN 0209888006 TK=diupt01+dn-ag-login@gmail.com; cbnv_dp_01=diupt01+cb-nv-ag@gmail.com; cbpd_dp_01=diupt01+cb-pd-ag@gmail.com; TVV qa_tvv_dp_r18=diupt01+tvv-ag@gmail.com.</t>
        </is>
      </c>
      <c r="L38"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8" s="9" t="inlineStr">
        <is>
          <t>1. Baseline sạch, không nhầm email cũ.
2. Hồ sơ và quyền đúng tiền đề.
3. → DA_DUYET.
4. UI phản ánh trạng thái mới.
5. Chỉ đúng người nhận nhận email; email kết quả duyệt đúng đối tượng;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8" s="9" t="inlineStr">
        <is>
          <t>TAI_KHOAN.email người nhận workflow</t>
        </is>
      </c>
      <c r="O38" s="9" t="inlineStr">
        <is>
          <t>To: CB NV + TVV + DN</t>
        </is>
      </c>
      <c r="P38" s="9" t="inlineStr">
        <is>
          <t>Người ngoài hồ sơ/khác đơn vị</t>
        </is>
      </c>
      <c r="Q38" s="9" t="inlineStr">
        <is>
          <t>Kiểm tra trạng thái trên UI/API, Gmail và chuông của đúng người nhận/tài khoản âm; queue/SMTP/audit chỉ khi có quyền.</t>
        </is>
      </c>
      <c r="R38" s="9" t="inlineStr">
        <is>
          <t>Khôi phục fixture hoặc dùng hồ sơ mới cho case kế tiếp; lưu message-id và ảnh inbox/log.</t>
        </is>
      </c>
      <c r="S38" s="9" t="inlineStr"/>
      <c r="T38" s="9" t="inlineStr"/>
      <c r="U38" s="12" t="inlineStr">
        <is>
          <t>Not Run</t>
        </is>
      </c>
      <c r="V38" s="9" t="inlineStr"/>
      <c r="W38" s="9" t="inlineStr"/>
      <c r="X38" s="9" t="inlineStr"/>
    </row>
    <row r="39">
      <c r="A39" s="9" t="n">
        <v>38</v>
      </c>
      <c r="B39" s="9" t="inlineStr">
        <is>
          <t>EM-NOT-CT-05</t>
        </is>
      </c>
      <c r="C39" s="9" t="inlineStr">
        <is>
          <t>FR-V.II-13 / srs-fr-06:917-972</t>
        </is>
      </c>
      <c r="D39" s="9" t="inlineStr">
        <is>
          <t>Chi trả</t>
        </is>
      </c>
      <c r="E39" s="10" t="inlineStr">
        <is>
          <t>P0</t>
        </is>
      </c>
      <c r="F39" s="9" t="inlineStr">
        <is>
          <t>Workflow</t>
        </is>
      </c>
      <c r="G39" s="9" t="inlineStr">
        <is>
          <t>Cập nhật đã thanh toán</t>
        </is>
      </c>
      <c r="H39" s="9" t="inlineStr">
        <is>
          <t>CB NV</t>
        </is>
      </c>
      <c r="I39" s="9" t="inlineStr">
        <is>
          <t>Module Chi trả &gt; hồ sơ tương ứng</t>
        </is>
      </c>
      <c r="J39" s="9" t="inlineStr">
        <is>
          <t>Hồ sơ DA_DUYET</t>
        </is>
      </c>
      <c r="K39" s="9" t="inlineStr">
        <is>
          <t>Mailbox CB NV/CB PD/TVV/DN tách biệt
Fixture DEV đã gắn email: Lane An Giang: DN 0209888006 TK=diupt01+dn-ag-login@gmail.com; cbnv_dp_01=diupt01+cb-nv-ag@gmail.com; cbpd_dp_01=diupt01+cb-pd-ag@gmail.com; TVV qa_tvv_dp_r18=diupt01+tvv-ag@gmail.com.</t>
        </is>
      </c>
      <c r="L39"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39" s="9" t="inlineStr">
        <is>
          <t>1. Baseline sạch, không nhầm email cũ.
2. Hồ sơ và quyền đúng tiền đề.
3. → DA_THANH_TOAN.
4. UI phản ánh trạng thái mới.
5. Chỉ đúng người nhận nhận email; email kết quả thanh toán;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39" s="9" t="inlineStr">
        <is>
          <t>TAI_KHOAN.email TVV/DN</t>
        </is>
      </c>
      <c r="O39" s="9" t="inlineStr">
        <is>
          <t>To: TVV + DN</t>
        </is>
      </c>
      <c r="P39" s="9" t="inlineStr">
        <is>
          <t>Người ngoài hồ sơ/khác đơn vị</t>
        </is>
      </c>
      <c r="Q39" s="9" t="inlineStr">
        <is>
          <t>Kiểm tra trạng thái trên UI/API, Gmail và chuông của đúng người nhận/tài khoản âm; queue/SMTP/audit chỉ khi có quyền.</t>
        </is>
      </c>
      <c r="R39" s="9" t="inlineStr">
        <is>
          <t>Khôi phục fixture hoặc dùng hồ sơ mới cho case kế tiếp; lưu message-id và ảnh inbox/log.</t>
        </is>
      </c>
      <c r="S39" s="9" t="inlineStr"/>
      <c r="T39" s="9" t="inlineStr"/>
      <c r="U39" s="12" t="inlineStr">
        <is>
          <t>Not Run</t>
        </is>
      </c>
      <c r="V39" s="9" t="inlineStr"/>
      <c r="W39" s="9" t="inlineStr"/>
      <c r="X39" s="9" t="inlineStr"/>
    </row>
    <row r="40">
      <c r="A40" s="9" t="n">
        <v>39</v>
      </c>
      <c r="B40" s="9" t="inlineStr">
        <is>
          <t>EM-NOT-DG-01</t>
        </is>
      </c>
      <c r="C40" s="9" t="inlineStr">
        <is>
          <t>FR-VI-03 / srs-fr-08:240-315</t>
        </is>
      </c>
      <c r="D40" s="9" t="inlineStr">
        <is>
          <t>Đánh giá</t>
        </is>
      </c>
      <c r="E40" s="10" t="inlineStr">
        <is>
          <t>P0</t>
        </is>
      </c>
      <c r="F40" s="9" t="inlineStr">
        <is>
          <t>Workflow</t>
        </is>
      </c>
      <c r="G40" s="9" t="inlineStr">
        <is>
          <t>Phân công người đánh giá</t>
        </is>
      </c>
      <c r="H40" s="9" t="inlineStr">
        <is>
          <t>CB NV</t>
        </is>
      </c>
      <c r="I40" s="9" t="inlineStr">
        <is>
          <t>Module Đánh giá &gt; hồ sơ tương ứng</t>
        </is>
      </c>
      <c r="J40" s="9" t="inlineStr">
        <is>
          <t>Kế hoạch/tiêu chí đủ điều kiện phân công</t>
        </is>
      </c>
      <c r="K40" s="9" t="inlineStr">
        <is>
          <t>Mailbox người nhận tách biệt
Fixture DEV đã gắn email: Lane TW: cbnv_tw_01=diupt01+cb-nv-a@gmail.com; cbpd_tw_01=diupt01+cb-pd-a@gmail.com; người được phân công là CG qa_tvvseed28=diupt01+cg@gmail.com.</t>
        </is>
      </c>
      <c r="L40"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0" s="9" t="inlineStr">
        <is>
          <t>1. Baseline sạch, không nhầm email cũ.
2. Hồ sơ và quyền đúng tiền đề.
3. Lưu phân công.
4. UI phản ánh trạng thái mới.
5. Chỉ đúng người nhận nhận email; email thông báo phân công;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0" s="9" t="inlineStr">
        <is>
          <t>TAI_KHOAN.email người nhận</t>
        </is>
      </c>
      <c r="O40" s="9" t="inlineStr">
        <is>
          <t>To: Người được phân công</t>
        </is>
      </c>
      <c r="P40" s="9" t="inlineStr">
        <is>
          <t>Người ngoài phân công/khác đơn vị</t>
        </is>
      </c>
      <c r="Q40" s="9" t="inlineStr">
        <is>
          <t>Kiểm tra trạng thái trên UI/API, Gmail và chuông của đúng người nhận/tài khoản âm; queue/SMTP/audit chỉ khi có quyền.</t>
        </is>
      </c>
      <c r="R40" s="9" t="inlineStr">
        <is>
          <t>Khôi phục fixture hoặc dùng hồ sơ mới cho case kế tiếp; lưu message-id và ảnh inbox/log.</t>
        </is>
      </c>
      <c r="S40" s="9" t="inlineStr"/>
      <c r="T40" s="9" t="inlineStr"/>
      <c r="U40" s="12" t="inlineStr">
        <is>
          <t>Not Run</t>
        </is>
      </c>
      <c r="V40" s="9" t="inlineStr"/>
      <c r="W40" s="9" t="inlineStr"/>
      <c r="X40" s="9" t="inlineStr"/>
    </row>
    <row r="41">
      <c r="A41" s="9" t="n">
        <v>40</v>
      </c>
      <c r="B41" s="9" t="inlineStr">
        <is>
          <t>EM-NOT-DG-02</t>
        </is>
      </c>
      <c r="C41" s="9" t="inlineStr">
        <is>
          <t>FR-VI-04 / srs-fr-08:322-396</t>
        </is>
      </c>
      <c r="D41" s="9" t="inlineStr">
        <is>
          <t>Đánh giá</t>
        </is>
      </c>
      <c r="E41" s="10" t="inlineStr">
        <is>
          <t>P0</t>
        </is>
      </c>
      <c r="F41" s="9" t="inlineStr">
        <is>
          <t>Workflow</t>
        </is>
      </c>
      <c r="G41" s="9" t="inlineStr">
        <is>
          <t>Phê duyệt phân công</t>
        </is>
      </c>
      <c r="H41" s="9" t="inlineStr">
        <is>
          <t>CB PD</t>
        </is>
      </c>
      <c r="I41" s="9" t="inlineStr">
        <is>
          <t>Module Đánh giá &gt; hồ sơ tương ứng</t>
        </is>
      </c>
      <c r="J41" s="9" t="inlineStr">
        <is>
          <t>Phân công chờ phê duyệt</t>
        </is>
      </c>
      <c r="K41" s="9" t="inlineStr">
        <is>
          <t>Mailbox người nhận tách biệt
Fixture DEV đã gắn email: Lane TW: cbnv_tw_01=diupt01+cb-nv-a@gmail.com; cbpd_tw_01=diupt01+cb-pd-a@gmail.com; người được phân công là CG qa_tvvseed28=diupt01+cg@gmail.com.</t>
        </is>
      </c>
      <c r="L41"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1" s="9" t="inlineStr">
        <is>
          <t>1. Baseline sạch, không nhầm email cũ.
2. Hồ sơ và quyền đúng tiền đề.
3. → THUC_HIEN.
4. UI phản ánh trạng thái mới.
5. Chỉ đúng người nhận nhận email; email kết quả phê duyệt;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1" s="9" t="inlineStr">
        <is>
          <t>TAI_KHOAN.email người nhận</t>
        </is>
      </c>
      <c r="O41" s="9" t="inlineStr">
        <is>
          <t>To: CB NV trình</t>
        </is>
      </c>
      <c r="P41" s="9" t="inlineStr">
        <is>
          <t>Người ngoài phân công/khác đơn vị</t>
        </is>
      </c>
      <c r="Q41" s="9" t="inlineStr">
        <is>
          <t>Kiểm tra trạng thái trên UI/API, Gmail và chuông của đúng người nhận/tài khoản âm; queue/SMTP/audit chỉ khi có quyền.</t>
        </is>
      </c>
      <c r="R41" s="9" t="inlineStr">
        <is>
          <t>Khôi phục fixture hoặc dùng hồ sơ mới cho case kế tiếp; lưu message-id và ảnh inbox/log.</t>
        </is>
      </c>
      <c r="S41" s="9" t="inlineStr"/>
      <c r="T41" s="9" t="inlineStr"/>
      <c r="U41" s="12" t="inlineStr">
        <is>
          <t>Not Run</t>
        </is>
      </c>
      <c r="V41" s="9" t="inlineStr"/>
      <c r="W41" s="9" t="inlineStr"/>
      <c r="X41" s="9" t="inlineStr"/>
    </row>
    <row r="42">
      <c r="A42" s="9" t="n">
        <v>41</v>
      </c>
      <c r="B42" s="9" t="inlineStr">
        <is>
          <t>EM-NOT-DG-03</t>
        </is>
      </c>
      <c r="C42" s="9" t="inlineStr">
        <is>
          <t>FR-VI-08 / srs-fr-08:628-687</t>
        </is>
      </c>
      <c r="D42" s="9" t="inlineStr">
        <is>
          <t>Đánh giá</t>
        </is>
      </c>
      <c r="E42" s="10" t="inlineStr">
        <is>
          <t>P0</t>
        </is>
      </c>
      <c r="F42" s="9" t="inlineStr">
        <is>
          <t>Workflow</t>
        </is>
      </c>
      <c r="G42" s="9" t="inlineStr">
        <is>
          <t>Trình phê duyệt báo cáo đánh giá</t>
        </is>
      </c>
      <c r="H42" s="9" t="inlineStr">
        <is>
          <t>CB NV</t>
        </is>
      </c>
      <c r="I42" s="9" t="inlineStr">
        <is>
          <t>Module Đánh giá &gt; hồ sơ tương ứng</t>
        </is>
      </c>
      <c r="J42" s="9" t="inlineStr">
        <is>
          <t>Báo cáo hoàn chỉnh</t>
        </is>
      </c>
      <c r="K42" s="9" t="inlineStr">
        <is>
          <t>Mailbox người nhận tách biệt
Fixture DEV đã gắn email: Lane TW: cbnv_tw_01=diupt01+cb-nv-a@gmail.com; cbpd_tw_01=diupt01+cb-pd-a@gmail.com; người được phân công là CG qa_tvvseed28=diupt01+cg@gmail.com.</t>
        </is>
      </c>
      <c r="L42"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2" s="9" t="inlineStr">
        <is>
          <t>1. Baseline sạch, không nhầm email cũ.
2. Hồ sơ và quyền đúng tiền đề.
3. → CHO_PHE_DUYET.
4. UI phản ánh trạng thái mới.
5. Chỉ đúng người nhận nhận email; email báo cáo chờ duyệt;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2" s="9" t="inlineStr">
        <is>
          <t>TAI_KHOAN.email người nhận</t>
        </is>
      </c>
      <c r="O42" s="9" t="inlineStr">
        <is>
          <t>To: CB PD</t>
        </is>
      </c>
      <c r="P42" s="9" t="inlineStr">
        <is>
          <t>Người ngoài phân công/khác đơn vị</t>
        </is>
      </c>
      <c r="Q42" s="9" t="inlineStr">
        <is>
          <t>Kiểm tra trạng thái trên UI/API, Gmail và chuông của đúng người nhận/tài khoản âm; queue/SMTP/audit chỉ khi có quyền.</t>
        </is>
      </c>
      <c r="R42" s="9" t="inlineStr">
        <is>
          <t>Khôi phục fixture hoặc dùng hồ sơ mới cho case kế tiếp; lưu message-id và ảnh inbox/log.</t>
        </is>
      </c>
      <c r="S42" s="9" t="inlineStr"/>
      <c r="T42" s="9" t="inlineStr"/>
      <c r="U42" s="12" t="inlineStr">
        <is>
          <t>Not Run</t>
        </is>
      </c>
      <c r="V42" s="9" t="inlineStr"/>
      <c r="W42" s="9" t="inlineStr"/>
      <c r="X42" s="9" t="inlineStr"/>
    </row>
    <row r="43">
      <c r="A43" s="9" t="n">
        <v>42</v>
      </c>
      <c r="B43" s="9" t="inlineStr">
        <is>
          <t>EM-NOT-DG-04</t>
        </is>
      </c>
      <c r="C43" s="9" t="inlineStr">
        <is>
          <t>FR-VI-09 / srs-fr-08:692-747</t>
        </is>
      </c>
      <c r="D43" s="9" t="inlineStr">
        <is>
          <t>Đánh giá</t>
        </is>
      </c>
      <c r="E43" s="10" t="inlineStr">
        <is>
          <t>P0</t>
        </is>
      </c>
      <c r="F43" s="9" t="inlineStr">
        <is>
          <t>Workflow</t>
        </is>
      </c>
      <c r="G43" s="9" t="inlineStr">
        <is>
          <t>Phê duyệt báo cáo đánh giá</t>
        </is>
      </c>
      <c r="H43" s="9" t="inlineStr">
        <is>
          <t>CB PD</t>
        </is>
      </c>
      <c r="I43" s="9" t="inlineStr">
        <is>
          <t>Module Đánh giá &gt; hồ sơ tương ứng</t>
        </is>
      </c>
      <c r="J43" s="9" t="inlineStr">
        <is>
          <t>Báo cáo CHO_PHE_DUYET</t>
        </is>
      </c>
      <c r="K43" s="9" t="inlineStr">
        <is>
          <t>Mailbox người nhận tách biệt
Fixture DEV đã gắn email: Lane TW: cbnv_tw_01=diupt01+cb-nv-a@gmail.com; cbpd_tw_01=diupt01+cb-pd-a@gmail.com; người được phân công là CG qa_tvvseed28=diupt01+cg@gmail.com.</t>
        </is>
      </c>
      <c r="L43"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3" s="9" t="inlineStr">
        <is>
          <t>1. Baseline sạch, không nhầm email cũ.
2. Hồ sơ và quyền đúng tiền đề.
3. → HOAN_THANH.
4. UI phản ánh trạng thái mới.
5. Chỉ đúng người nhận nhận email; email kết quả phê duyệt;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3" s="9" t="inlineStr">
        <is>
          <t>TAI_KHOAN.email người nhận</t>
        </is>
      </c>
      <c r="O43" s="9" t="inlineStr">
        <is>
          <t>To: CB NV trình</t>
        </is>
      </c>
      <c r="P43" s="9" t="inlineStr">
        <is>
          <t>Người ngoài phân công/khác đơn vị</t>
        </is>
      </c>
      <c r="Q43" s="9" t="inlineStr">
        <is>
          <t>Kiểm tra trạng thái trên UI/API, Gmail và chuông của đúng người nhận/tài khoản âm; queue/SMTP/audit chỉ khi có quyền.</t>
        </is>
      </c>
      <c r="R43" s="9" t="inlineStr">
        <is>
          <t>Khôi phục fixture hoặc dùng hồ sơ mới cho case kế tiếp; lưu message-id và ảnh inbox/log.</t>
        </is>
      </c>
      <c r="S43" s="9" t="inlineStr"/>
      <c r="T43" s="9" t="inlineStr"/>
      <c r="U43" s="12" t="inlineStr">
        <is>
          <t>Not Run</t>
        </is>
      </c>
      <c r="V43" s="9" t="inlineStr"/>
      <c r="W43" s="9" t="inlineStr"/>
      <c r="X43" s="9" t="inlineStr"/>
    </row>
    <row r="44">
      <c r="A44" s="9" t="n">
        <v>43</v>
      </c>
      <c r="B44" s="9" t="inlineStr">
        <is>
          <t>EM-NOT-TVCS-01</t>
        </is>
      </c>
      <c r="C44" s="9" t="inlineStr">
        <is>
          <t>FR-X.1-01/03/05 / BR-NOTIF-01 / srs-fr-12:180-250,1549-1656</t>
        </is>
      </c>
      <c r="D44" s="9" t="inlineStr">
        <is>
          <t>Tư vấn chuyên sâu</t>
        </is>
      </c>
      <c r="E44" s="10" t="inlineStr">
        <is>
          <t>P0</t>
        </is>
      </c>
      <c r="F44" s="9" t="inlineStr">
        <is>
          <t>Workflow</t>
        </is>
      </c>
      <c r="G44" s="9" t="inlineStr">
        <is>
          <t>Phân công CG</t>
        </is>
      </c>
      <c r="H44" s="9" t="inlineStr">
        <is>
          <t>CB NV</t>
        </is>
      </c>
      <c r="I44" s="9" t="inlineStr">
        <is>
          <t>Module TVCS/API inbound</t>
        </is>
      </c>
      <c r="J44" s="9" t="inlineStr">
        <is>
          <t>TIEP_NHAN; CG phù hợp</t>
        </is>
      </c>
      <c r="K44" s="9" t="inlineStr">
        <is>
          <t>Mailbox CG/CB/DN tách biệt; DN nhóm này chưa TK
Fixture DEV đã gắn email: Lane TW: DN không TK MST 0108051801=diupt01+dn-no-account@gmail.com; CG qa_tvvseed28=diupt01+cg@gmail.com; cbnv_tw_01=diupt01+cb-nv-a@gmail.com; cbpd_tw_01=diupt01+cb-pd-a@gmail.com.</t>
        </is>
      </c>
      <c r="L44"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4" s="9" t="inlineStr">
        <is>
          <t>1. Baseline sạch, không nhầm email cũ.
2. Hồ sơ và quyền đúng tiền đề.
3. TIEP_NHAN→PHAN_CONG.
4. UI phản ánh trạng thái mới.
5. Chỉ đúng người nhận nhận email; in-app + email; SLA xác nhận 2 ngày LV;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4" s="9" t="inlineStr">
        <is>
          <t>DOANH_NGHIEP.email cho DN chưa TK; TAI_KHOAN.email cho CB/CG</t>
        </is>
      </c>
      <c r="O44" s="9" t="inlineStr">
        <is>
          <t>To: CG</t>
        </is>
      </c>
      <c r="P44" s="9" t="inlineStr">
        <is>
          <t>DN/CG/CB không thuộc hồ sơ</t>
        </is>
      </c>
      <c r="Q44" s="9" t="inlineStr">
        <is>
          <t>Kiểm tra trạng thái trên UI/API, Gmail và chuông của đúng người nhận/tài khoản âm; queue/SMTP/audit chỉ khi có quyền. Với DN: THONG_BAO.nguoi_nhan_id=NULL, email_nguoi_nhan=DOANH_NGHIEP.email, hien_trong_ung_dung=0. Email trống → warning, không rollback.</t>
        </is>
      </c>
      <c r="R44" s="9" t="inlineStr">
        <is>
          <t>Khôi phục fixture hoặc dùng hồ sơ mới cho case kế tiếp; lưu message-id và ảnh inbox/log.</t>
        </is>
      </c>
      <c r="S44" s="9" t="inlineStr"/>
      <c r="T44" s="9" t="inlineStr"/>
      <c r="U44" s="12" t="inlineStr">
        <is>
          <t>Not Run</t>
        </is>
      </c>
      <c r="V44" s="9" t="inlineStr"/>
      <c r="W44" s="9" t="inlineStr"/>
      <c r="X44" s="9" t="inlineStr"/>
    </row>
    <row r="45">
      <c r="A45" s="9" t="n">
        <v>44</v>
      </c>
      <c r="B45" s="9" t="inlineStr">
        <is>
          <t>EM-NOT-TVCS-02</t>
        </is>
      </c>
      <c r="C45" s="9" t="inlineStr">
        <is>
          <t>FR-X.1-01/03/05 / BR-NOTIF-01 / srs-fr-12:180-250,1549-1656</t>
        </is>
      </c>
      <c r="D45" s="9" t="inlineStr">
        <is>
          <t>Tư vấn chuyên sâu</t>
        </is>
      </c>
      <c r="E45" s="10" t="inlineStr">
        <is>
          <t>P0</t>
        </is>
      </c>
      <c r="F45" s="9" t="inlineStr">
        <is>
          <t>Workflow</t>
        </is>
      </c>
      <c r="G45" s="9" t="inlineStr">
        <is>
          <t>CG xác nhận</t>
        </is>
      </c>
      <c r="H45" s="9" t="inlineStr">
        <is>
          <t>CG</t>
        </is>
      </c>
      <c r="I45" s="9" t="inlineStr">
        <is>
          <t>Module TVCS/API inbound</t>
        </is>
      </c>
      <c r="J45" s="9" t="inlineStr">
        <is>
          <t>PHAN_CONG</t>
        </is>
      </c>
      <c r="K45" s="9" t="inlineStr">
        <is>
          <t>Mailbox CG/CB/DN tách biệt; DN nhóm này chưa TK
Fixture DEV đã gắn email: Lane TW: DN không TK MST 0108051801=diupt01+dn-no-account@gmail.com; CG qa_tvvseed28=diupt01+cg@gmail.com; cbnv_tw_01=diupt01+cb-nv-a@gmail.com; cbpd_tw_01=diupt01+cb-pd-a@gmail.com.</t>
        </is>
      </c>
      <c r="L45"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5" s="9" t="inlineStr">
        <is>
          <t>1. Baseline sạch, không nhầm email cũ.
2. Hồ sơ và quyền đúng tiền đề.
3. PHAN_CONG→DANG_TU_VAN.
4. UI phản ánh trạng thái mới.
5. Chỉ đúng người nhận nhận email; CB NV in-app+email; DN email-only;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5" s="9" t="inlineStr">
        <is>
          <t>DOANH_NGHIEP.email cho DN chưa TK; TAI_KHOAN.email cho CB/CG</t>
        </is>
      </c>
      <c r="O45" s="9" t="inlineStr">
        <is>
          <t>To: CB NV + DN</t>
        </is>
      </c>
      <c r="P45" s="9" t="inlineStr">
        <is>
          <t>DN/CG/CB không thuộc hồ sơ</t>
        </is>
      </c>
      <c r="Q45" s="9" t="inlineStr">
        <is>
          <t>Kiểm tra trạng thái trên UI/API, Gmail và chuông của đúng người nhận/tài khoản âm; queue/SMTP/audit chỉ khi có quyền. Với DN: THONG_BAO.nguoi_nhan_id=NULL, email_nguoi_nhan=DOANH_NGHIEP.email, hien_trong_ung_dung=0. Email trống → warning, không rollback.</t>
        </is>
      </c>
      <c r="R45" s="9" t="inlineStr">
        <is>
          <t>Khôi phục fixture hoặc dùng hồ sơ mới cho case kế tiếp; lưu message-id và ảnh inbox/log.</t>
        </is>
      </c>
      <c r="S45" s="9" t="inlineStr"/>
      <c r="T45" s="9" t="inlineStr"/>
      <c r="U45" s="12" t="inlineStr">
        <is>
          <t>Not Run</t>
        </is>
      </c>
      <c r="V45" s="9" t="inlineStr"/>
      <c r="W45" s="9" t="inlineStr"/>
      <c r="X45" s="9" t="inlineStr"/>
    </row>
    <row r="46">
      <c r="A46" s="9" t="n">
        <v>45</v>
      </c>
      <c r="B46" s="9" t="inlineStr">
        <is>
          <t>EM-NOT-TVCS-03</t>
        </is>
      </c>
      <c r="C46" s="9" t="inlineStr">
        <is>
          <t>FR-X.1-01/03/05 / BR-NOTIF-01 / srs-fr-12:180-250,1549-1656</t>
        </is>
      </c>
      <c r="D46" s="9" t="inlineStr">
        <is>
          <t>Tư vấn chuyên sâu</t>
        </is>
      </c>
      <c r="E46" s="10" t="inlineStr">
        <is>
          <t>P0</t>
        </is>
      </c>
      <c r="F46" s="9" t="inlineStr">
        <is>
          <t>Workflow</t>
        </is>
      </c>
      <c r="G46" s="9" t="inlineStr">
        <is>
          <t>CG từ chối</t>
        </is>
      </c>
      <c r="H46" s="9" t="inlineStr">
        <is>
          <t>CG</t>
        </is>
      </c>
      <c r="I46" s="9" t="inlineStr">
        <is>
          <t>Module TVCS/API inbound</t>
        </is>
      </c>
      <c r="J46" s="9" t="inlineStr">
        <is>
          <t>PHAN_CONG; lý do hợp lệ</t>
        </is>
      </c>
      <c r="K46" s="9" t="inlineStr">
        <is>
          <t>Mailbox CG/CB/DN tách biệt; DN nhóm này chưa TK
Fixture DEV đã gắn email: Lane TW: DN không TK MST 0108051801=diupt01+dn-no-account@gmail.com; CG qa_tvvseed28=diupt01+cg@gmail.com; cbnv_tw_01=diupt01+cb-nv-a@gmail.com; cbpd_tw_01=diupt01+cb-pd-a@gmail.com.</t>
        </is>
      </c>
      <c r="L46"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6" s="9" t="inlineStr">
        <is>
          <t>1. Baseline sạch, không nhầm email cũ.
2. Hồ sơ và quyền đúng tiền đề.
3. PHAN_CONG→TIEP_NHAN.
4. UI phản ánh trạng thái mới.
5. Chỉ đúng người nhận nhận email; email có lý do, cần phân công lại;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6" s="9" t="inlineStr">
        <is>
          <t>DOANH_NGHIEP.email cho DN chưa TK; TAI_KHOAN.email cho CB/CG</t>
        </is>
      </c>
      <c r="O46" s="9" t="inlineStr">
        <is>
          <t>To: CB NV</t>
        </is>
      </c>
      <c r="P46" s="9" t="inlineStr">
        <is>
          <t>DN/CG/CB không thuộc hồ sơ</t>
        </is>
      </c>
      <c r="Q46" s="9" t="inlineStr">
        <is>
          <t>Kiểm tra trạng thái trên UI/API, Gmail và chuông của đúng người nhận/tài khoản âm; queue/SMTP/audit chỉ khi có quyền. Với DN: THONG_BAO.nguoi_nhan_id=NULL, email_nguoi_nhan=DOANH_NGHIEP.email, hien_trong_ung_dung=0. Email trống → warning, không rollback.</t>
        </is>
      </c>
      <c r="R46" s="9" t="inlineStr">
        <is>
          <t>Khôi phục fixture hoặc dùng hồ sơ mới cho case kế tiếp; lưu message-id và ảnh inbox/log.</t>
        </is>
      </c>
      <c r="S46" s="9" t="inlineStr"/>
      <c r="T46" s="9" t="inlineStr"/>
      <c r="U46" s="12" t="inlineStr">
        <is>
          <t>Not Run</t>
        </is>
      </c>
      <c r="V46" s="9" t="inlineStr"/>
      <c r="W46" s="9" t="inlineStr"/>
      <c r="X46" s="9" t="inlineStr"/>
    </row>
    <row r="47">
      <c r="A47" s="9" t="n">
        <v>46</v>
      </c>
      <c r="B47" s="9" t="inlineStr">
        <is>
          <t>EM-NOT-TVCS-04</t>
        </is>
      </c>
      <c r="C47" s="9" t="inlineStr">
        <is>
          <t>FR-X.1-01/03/05 / BR-NOTIF-01 / srs-fr-12:180-250,1549-1656</t>
        </is>
      </c>
      <c r="D47" s="9" t="inlineStr">
        <is>
          <t>Tư vấn chuyên sâu</t>
        </is>
      </c>
      <c r="E47" s="10" t="inlineStr">
        <is>
          <t>P0</t>
        </is>
      </c>
      <c r="F47" s="9" t="inlineStr">
        <is>
          <t>Workflow</t>
        </is>
      </c>
      <c r="G47" s="9" t="inlineStr">
        <is>
          <t>Hoàn thành tư vấn tự trình duyệt</t>
        </is>
      </c>
      <c r="H47" s="9" t="inlineStr">
        <is>
          <t>System</t>
        </is>
      </c>
      <c r="I47" s="9" t="inlineStr">
        <is>
          <t>Module TVCS/API inbound</t>
        </is>
      </c>
      <c r="J47" s="9" t="inlineStr">
        <is>
          <t>HOAN_THANH</t>
        </is>
      </c>
      <c r="K47" s="9" t="inlineStr">
        <is>
          <t>Mailbox CG/CB/DN tách biệt; DN nhóm này chưa TK
Fixture DEV đã gắn email: Lane TW: DN không TK MST 0108051801=diupt01+dn-no-account@gmail.com; CG qa_tvvseed28=diupt01+cg@gmail.com; cbnv_tw_01=diupt01+cb-nv-a@gmail.com; cbpd_tw_01=diupt01+cb-pd-a@gmail.com.</t>
        </is>
      </c>
      <c r="L47"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7" s="9" t="inlineStr">
        <is>
          <t>1. Baseline sạch, không nhầm email cũ.
2. Hồ sơ và quyền đúng tiền đề.
3. HOAN_THANH→CHO_PHE_DUYET.
4. UI phản ánh trạng thái mới.
5. Chỉ đúng người nhận nhận email; in-app + email;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7" s="9" t="inlineStr">
        <is>
          <t>DOANH_NGHIEP.email cho DN chưa TK; TAI_KHOAN.email cho CB/CG</t>
        </is>
      </c>
      <c r="O47" s="9" t="inlineStr">
        <is>
          <t>To: CB PD cùng đơn vị</t>
        </is>
      </c>
      <c r="P47" s="9" t="inlineStr">
        <is>
          <t>DN/CG/CB không thuộc hồ sơ</t>
        </is>
      </c>
      <c r="Q47" s="9" t="inlineStr">
        <is>
          <t>Kiểm tra trạng thái trên UI/API, Gmail và chuông của đúng người nhận/tài khoản âm; queue/SMTP/audit chỉ khi có quyền. Với DN: THONG_BAO.nguoi_nhan_id=NULL, email_nguoi_nhan=DOANH_NGHIEP.email, hien_trong_ung_dung=0. Email trống → warning, không rollback.</t>
        </is>
      </c>
      <c r="R47" s="9" t="inlineStr">
        <is>
          <t>Khôi phục fixture hoặc dùng hồ sơ mới cho case kế tiếp; lưu message-id và ảnh inbox/log.</t>
        </is>
      </c>
      <c r="S47" s="9" t="inlineStr"/>
      <c r="T47" s="9" t="inlineStr"/>
      <c r="U47" s="12" t="inlineStr">
        <is>
          <t>Not Run</t>
        </is>
      </c>
      <c r="V47" s="9" t="inlineStr"/>
      <c r="W47" s="9" t="inlineStr"/>
      <c r="X47" s="9" t="inlineStr"/>
    </row>
    <row r="48">
      <c r="A48" s="9" t="n">
        <v>47</v>
      </c>
      <c r="B48" s="9" t="inlineStr">
        <is>
          <t>EM-NOT-TVCS-05</t>
        </is>
      </c>
      <c r="C48" s="9" t="inlineStr">
        <is>
          <t>FR-X.1-01/03/05 / BR-NOTIF-01 / srs-fr-12:180-250,1549-1656</t>
        </is>
      </c>
      <c r="D48" s="9" t="inlineStr">
        <is>
          <t>Tư vấn chuyên sâu</t>
        </is>
      </c>
      <c r="E48" s="10" t="inlineStr">
        <is>
          <t>P0</t>
        </is>
      </c>
      <c r="F48" s="9" t="inlineStr">
        <is>
          <t>Workflow</t>
        </is>
      </c>
      <c r="G48" s="9" t="inlineStr">
        <is>
          <t>Phê duyệt kết quả</t>
        </is>
      </c>
      <c r="H48" s="9" t="inlineStr">
        <is>
          <t>CB PD</t>
        </is>
      </c>
      <c r="I48" s="9" t="inlineStr">
        <is>
          <t>Module TVCS/API inbound</t>
        </is>
      </c>
      <c r="J48" s="9" t="inlineStr">
        <is>
          <t>CHO_PHE_DUYET</t>
        </is>
      </c>
      <c r="K48" s="9" t="inlineStr">
        <is>
          <t>Mailbox CG/CB/DN tách biệt; DN nhóm này chưa TK
Fixture DEV đã gắn email: Lane TW: DN không TK MST 0108051801=diupt01+dn-no-account@gmail.com; CG qa_tvvseed28=diupt01+cg@gmail.com; cbnv_tw_01=diupt01+cb-nv-a@gmail.com; cbpd_tw_01=diupt01+cb-pd-a@gmail.com.</t>
        </is>
      </c>
      <c r="L48"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8" s="9" t="inlineStr">
        <is>
          <t>1. Baseline sạch, không nhầm email cũ.
2. Hồ sơ và quyền đúng tiền đề.
3. CHO_PHE_DUYET→DA_DUYET.
4. UI phản ánh trạng thái mới.
5. Chỉ đúng người nhận nhận email; kết quả qua Cổng/email theo kênh; email-only mời đánh giá; không gửi trùng;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8" s="9" t="inlineStr">
        <is>
          <t>DOANH_NGHIEP.email cho DN chưa TK; TAI_KHOAN.email cho CB/CG</t>
        </is>
      </c>
      <c r="O48" s="9" t="inlineStr">
        <is>
          <t>To: DN</t>
        </is>
      </c>
      <c r="P48" s="9" t="inlineStr">
        <is>
          <t>DN/CG/CB không thuộc hồ sơ</t>
        </is>
      </c>
      <c r="Q48" s="9" t="inlineStr">
        <is>
          <t>Kiểm tra trạng thái trên UI/API, Gmail và chuông của đúng người nhận/tài khoản âm; queue/SMTP/audit chỉ khi có quyền. Với DN: THONG_BAO.nguoi_nhan_id=NULL, email_nguoi_nhan=DOANH_NGHIEP.email, hien_trong_ung_dung=0. Email trống → warning, không rollback.</t>
        </is>
      </c>
      <c r="R48" s="9" t="inlineStr">
        <is>
          <t>Khôi phục fixture hoặc dùng hồ sơ mới cho case kế tiếp; lưu message-id và ảnh inbox/log.</t>
        </is>
      </c>
      <c r="S48" s="9" t="inlineStr"/>
      <c r="T48" s="9" t="inlineStr"/>
      <c r="U48" s="12" t="inlineStr">
        <is>
          <t>Not Run</t>
        </is>
      </c>
      <c r="V48" s="9" t="inlineStr"/>
      <c r="W48" s="9" t="inlineStr"/>
      <c r="X48" s="9" t="inlineStr"/>
    </row>
    <row r="49">
      <c r="A49" s="9" t="n">
        <v>48</v>
      </c>
      <c r="B49" s="9" t="inlineStr">
        <is>
          <t>EM-NOT-TVCS-06</t>
        </is>
      </c>
      <c r="C49" s="9" t="inlineStr">
        <is>
          <t>FR-X.1-01/03/05 / BR-NOTIF-01 / srs-fr-12:180-250,1549-1656</t>
        </is>
      </c>
      <c r="D49" s="9" t="inlineStr">
        <is>
          <t>Tư vấn chuyên sâu</t>
        </is>
      </c>
      <c r="E49" s="10" t="inlineStr">
        <is>
          <t>P0</t>
        </is>
      </c>
      <c r="F49" s="9" t="inlineStr">
        <is>
          <t>Workflow</t>
        </is>
      </c>
      <c r="G49" s="9" t="inlineStr">
        <is>
          <t>Từ chối phê duyệt</t>
        </is>
      </c>
      <c r="H49" s="9" t="inlineStr">
        <is>
          <t>CB PD</t>
        </is>
      </c>
      <c r="I49" s="9" t="inlineStr">
        <is>
          <t>Module TVCS/API inbound</t>
        </is>
      </c>
      <c r="J49" s="9" t="inlineStr">
        <is>
          <t>CHO_PHE_DUYET; lý do</t>
        </is>
      </c>
      <c r="K49" s="9" t="inlineStr">
        <is>
          <t>Mailbox CG/CB/DN tách biệt; DN nhóm này chưa TK
Fixture DEV đã gắn email: Lane TW: DN không TK MST 0108051801=diupt01+dn-no-account@gmail.com; CG qa_tvvseed28=diupt01+cg@gmail.com; cbnv_tw_01=diupt01+cb-nv-a@gmail.com; cbpd_tw_01=diupt01+cb-pd-a@gmail.com.</t>
        </is>
      </c>
      <c r="L49"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49" s="9" t="inlineStr">
        <is>
          <t>1. Baseline sạch, không nhầm email cũ.
2. Hồ sơ và quyền đúng tiền đề.
3. CHO_PHE_DUYET→DANG_TU_VAN.
4. UI phản ánh trạng thái mới.
5. Chỉ đúng người nhận nhận email; in-app + email có lý do bổ sung;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49" s="9" t="inlineStr">
        <is>
          <t>DOANH_NGHIEP.email cho DN chưa TK; TAI_KHOAN.email cho CB/CG</t>
        </is>
      </c>
      <c r="O49" s="9" t="inlineStr">
        <is>
          <t>To: CG</t>
        </is>
      </c>
      <c r="P49" s="9" t="inlineStr">
        <is>
          <t>DN/CG/CB không thuộc hồ sơ</t>
        </is>
      </c>
      <c r="Q49" s="9" t="inlineStr">
        <is>
          <t>Kiểm tra trạng thái trên UI/API, Gmail và chuông của đúng người nhận/tài khoản âm; queue/SMTP/audit chỉ khi có quyền. Với DN: THONG_BAO.nguoi_nhan_id=NULL, email_nguoi_nhan=DOANH_NGHIEP.email, hien_trong_ung_dung=0. Email trống → warning, không rollback.</t>
        </is>
      </c>
      <c r="R49" s="9" t="inlineStr">
        <is>
          <t>Khôi phục fixture hoặc dùng hồ sơ mới cho case kế tiếp; lưu message-id và ảnh inbox/log.</t>
        </is>
      </c>
      <c r="S49" s="9" t="inlineStr"/>
      <c r="T49" s="9" t="inlineStr"/>
      <c r="U49" s="12" t="inlineStr">
        <is>
          <t>Not Run</t>
        </is>
      </c>
      <c r="V49" s="9" t="inlineStr"/>
      <c r="W49" s="9" t="inlineStr"/>
      <c r="X49" s="9" t="inlineStr"/>
    </row>
    <row r="50">
      <c r="A50" s="9" t="n">
        <v>49</v>
      </c>
      <c r="B50" s="9" t="inlineStr">
        <is>
          <t>EM-NOT-TVCS-07</t>
        </is>
      </c>
      <c r="C50" s="9" t="inlineStr">
        <is>
          <t>FR-X.1-01/03/05 / BR-NOTIF-01 / srs-fr-12:180-250,1549-1656</t>
        </is>
      </c>
      <c r="D50" s="9" t="inlineStr">
        <is>
          <t>Tư vấn chuyên sâu</t>
        </is>
      </c>
      <c r="E50" s="10" t="inlineStr">
        <is>
          <t>P0</t>
        </is>
      </c>
      <c r="F50" s="9" t="inlineStr">
        <is>
          <t>Workflow</t>
        </is>
      </c>
      <c r="G50" s="9" t="inlineStr">
        <is>
          <t>Hủy khi CG chưa xác nhận</t>
        </is>
      </c>
      <c r="H50" s="9" t="inlineStr">
        <is>
          <t>CB NV</t>
        </is>
      </c>
      <c r="I50" s="9" t="inlineStr">
        <is>
          <t>Module TVCS/API inbound</t>
        </is>
      </c>
      <c r="J50" s="9" t="inlineStr">
        <is>
          <t>PHAN_CONG; có yêu cầu/lý do</t>
        </is>
      </c>
      <c r="K50" s="9" t="inlineStr">
        <is>
          <t>Mailbox CG/CB/DN tách biệt; DN nhóm này chưa TK
Fixture DEV đã gắn email: Lane TW: DN không TK MST 0108051801=diupt01+dn-no-account@gmail.com; CG qa_tvvseed28=diupt01+cg@gmail.com; cbnv_tw_01=diupt01+cb-nv-a@gmail.com; cbpd_tw_01=diupt01+cb-pd-a@gmail.com.</t>
        </is>
      </c>
      <c r="L50"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50" s="9" t="inlineStr">
        <is>
          <t>1. Baseline sạch, không nhầm email cũ.
2. Hồ sơ và quyền đúng tiền đề.
3. PHAN_CONG→HUY.
4. UI phản ánh trạng thái mới.
5. Chỉ đúng người nhận nhận email; CG in-app+email; DN email-only;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50" s="9" t="inlineStr">
        <is>
          <t>DOANH_NGHIEP.email cho DN chưa TK; TAI_KHOAN.email cho CB/CG</t>
        </is>
      </c>
      <c r="O50" s="9" t="inlineStr">
        <is>
          <t>To: CG + DN</t>
        </is>
      </c>
      <c r="P50" s="9" t="inlineStr">
        <is>
          <t>DN/CG/CB không thuộc hồ sơ</t>
        </is>
      </c>
      <c r="Q50" s="9" t="inlineStr">
        <is>
          <t>Kiểm tra trạng thái trên UI/API, Gmail và chuông của đúng người nhận/tài khoản âm; queue/SMTP/audit chỉ khi có quyền. Với DN: THONG_BAO.nguoi_nhan_id=NULL, email_nguoi_nhan=DOANH_NGHIEP.email, hien_trong_ung_dung=0. Email trống → warning, không rollback.</t>
        </is>
      </c>
      <c r="R50" s="9" t="inlineStr">
        <is>
          <t>Khôi phục fixture hoặc dùng hồ sơ mới cho case kế tiếp; lưu message-id và ảnh inbox/log.</t>
        </is>
      </c>
      <c r="S50" s="9" t="inlineStr"/>
      <c r="T50" s="9" t="inlineStr"/>
      <c r="U50" s="12" t="inlineStr">
        <is>
          <t>Not Run</t>
        </is>
      </c>
      <c r="V50" s="9" t="inlineStr"/>
      <c r="W50" s="9" t="inlineStr"/>
      <c r="X50" s="9" t="inlineStr"/>
    </row>
    <row r="51">
      <c r="A51" s="9" t="n">
        <v>50</v>
      </c>
      <c r="B51" s="9" t="inlineStr">
        <is>
          <t>EM-NOT-TVCS-08</t>
        </is>
      </c>
      <c r="C51" s="9" t="inlineStr">
        <is>
          <t>FR-X.1-01/03/05 / BR-NOTIF-01 / srs-fr-12:180-250,1549-1656</t>
        </is>
      </c>
      <c r="D51" s="9" t="inlineStr">
        <is>
          <t>Tư vấn chuyên sâu</t>
        </is>
      </c>
      <c r="E51" s="10" t="inlineStr">
        <is>
          <t>P0</t>
        </is>
      </c>
      <c r="F51" s="9" t="inlineStr">
        <is>
          <t>Workflow</t>
        </is>
      </c>
      <c r="G51" s="9" t="inlineStr">
        <is>
          <t>Dữ liệu TVCS inbound</t>
        </is>
      </c>
      <c r="H51" s="9" t="inlineStr">
        <is>
          <t>Cổng PLQG/System</t>
        </is>
      </c>
      <c r="I51" s="9" t="inlineStr">
        <is>
          <t>Module TVCS/API inbound</t>
        </is>
      </c>
      <c r="J51" s="9" t="inlineStr">
        <is>
          <t>Payload hợp lệ</t>
        </is>
      </c>
      <c r="K51" s="9" t="inlineStr">
        <is>
          <t>Mailbox CG/CB/DN tách biệt; DN nhóm này chưa TK
Fixture DEV đã gắn email: Lane TW: DN không TK MST 0108051801=diupt01+dn-no-account@gmail.com; CG qa_tvvseed28=diupt01+cg@gmail.com; cbnv_tw_01=diupt01+cb-nv-a@gmail.com; cbpd_tw_01=diupt01+cb-pd-a@gmail.com.</t>
        </is>
      </c>
      <c r="L51"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51" s="9" t="inlineStr">
        <is>
          <t>1. Baseline sạch, không nhầm email cũ.
2. Hồ sơ và quyền đúng tiền đề.
3. Tạo dữ liệu.
4. UI phản ánh trạng thái mới.
5. Chỉ đúng người nhận nhận email; in-app + email;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51" s="9" t="inlineStr">
        <is>
          <t>DOANH_NGHIEP.email cho DN chưa TK; TAI_KHOAN.email cho CB/CG</t>
        </is>
      </c>
      <c r="O51" s="9" t="inlineStr">
        <is>
          <t>To: CB NV phụ trách theo đơn vị</t>
        </is>
      </c>
      <c r="P51" s="9" t="inlineStr">
        <is>
          <t>DN/CG/CB không thuộc hồ sơ</t>
        </is>
      </c>
      <c r="Q51" s="9" t="inlineStr">
        <is>
          <t>Kiểm tra trạng thái trên UI/API, Gmail và chuông của đúng người nhận/tài khoản âm; queue/SMTP/audit chỉ khi có quyền. Với DN: THONG_BAO.nguoi_nhan_id=NULL, email_nguoi_nhan=DOANH_NGHIEP.email, hien_trong_ung_dung=0. Email trống → warning, không rollback.</t>
        </is>
      </c>
      <c r="R51" s="9" t="inlineStr">
        <is>
          <t>Khôi phục fixture hoặc dùng hồ sơ mới cho case kế tiếp; lưu message-id và ảnh inbox/log.</t>
        </is>
      </c>
      <c r="S51" s="9" t="inlineStr"/>
      <c r="T51" s="9" t="inlineStr"/>
      <c r="U51" s="12" t="inlineStr">
        <is>
          <t>Not Run</t>
        </is>
      </c>
      <c r="V51" s="9" t="inlineStr"/>
      <c r="W51" s="9" t="inlineStr"/>
      <c r="X51" s="9" t="inlineStr"/>
    </row>
    <row r="52">
      <c r="A52" s="9" t="n">
        <v>51</v>
      </c>
      <c r="B52" s="9" t="inlineStr">
        <is>
          <t>EM-NOT-BC-01</t>
        </is>
      </c>
      <c r="C52" s="9" t="inlineStr">
        <is>
          <t>FR-XI-NEW-01 / srs-fr-15:1047-1074</t>
        </is>
      </c>
      <c r="D52" s="9" t="inlineStr">
        <is>
          <t>Báo cáo HTPLDN</t>
        </is>
      </c>
      <c r="E52" s="10" t="inlineStr">
        <is>
          <t>P0</t>
        </is>
      </c>
      <c r="F52" s="9" t="inlineStr">
        <is>
          <t>Workflow</t>
        </is>
      </c>
      <c r="G52" s="9" t="inlineStr">
        <is>
          <t>Nhắc đơn vị nộp báo cáo trước hạn 7 ngày</t>
        </is>
      </c>
      <c r="H52" s="9" t="inlineStr">
        <is>
          <t>Scheduled job</t>
        </is>
      </c>
      <c r="I52" s="9" t="inlineStr">
        <is>
          <t>Job nhắc báo cáo</t>
        </is>
      </c>
      <c r="J52" s="9" t="inlineStr">
        <is>
          <t>Đợt đang mở; đơn vị CHUA_NOP/DANG_LAP; chưa gửi cùng loại trong 24h.</t>
        </is>
      </c>
      <c r="K52" s="9" t="inlineStr">
        <is>
          <t>delta=7</t>
        </is>
      </c>
      <c r="L52"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52" s="9" t="inlineStr">
        <is>
          <t>1. Baseline sạch, không nhầm email cũ.
2. Hồ sơ và quyền đúng tiền đề.
3. Không đổi trạng thái nộp; tạo notification đúng loại.
4. UI phản ánh trạng thái mới.
5. Chỉ đúng người nhận nhận email; email nhắc trước hạn 7 ngày;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52" s="9" t="inlineStr">
        <is>
          <t>TAI_KHOAN.email CB NV đơn vị nộp</t>
        </is>
      </c>
      <c r="O52" s="9" t="inlineStr">
        <is>
          <t>To: CB NV đúng đơn vị</t>
        </is>
      </c>
      <c r="P52" s="9" t="inlineStr">
        <is>
          <t>CB đơn vị khác/đơn vị đã nộp</t>
        </is>
      </c>
      <c r="Q52" s="9" t="inlineStr">
        <is>
          <t>Kiểm tra trạng thái trên UI/API, Gmail và chuông của đúng người nhận/tài khoản âm; queue/SMTP/audit chỉ khi có quyền.</t>
        </is>
      </c>
      <c r="R52" s="9" t="inlineStr">
        <is>
          <t>Khôi phục fixture hoặc dùng hồ sơ mới cho case kế tiếp; lưu message-id và ảnh inbox/log.</t>
        </is>
      </c>
      <c r="S52" s="9" t="inlineStr"/>
      <c r="T52" s="9" t="inlineStr"/>
      <c r="U52" s="12" t="inlineStr">
        <is>
          <t>Not Run</t>
        </is>
      </c>
      <c r="V52" s="9" t="inlineStr"/>
      <c r="W52" s="9" t="inlineStr"/>
      <c r="X52" s="9" t="inlineStr"/>
    </row>
    <row r="53">
      <c r="A53" s="9" t="n">
        <v>52</v>
      </c>
      <c r="B53" s="9" t="inlineStr">
        <is>
          <t>EM-NOT-BC-02</t>
        </is>
      </c>
      <c r="C53" s="9" t="inlineStr">
        <is>
          <t>FR-XI-NEW-01 / srs-fr-15:1047-1074</t>
        </is>
      </c>
      <c r="D53" s="9" t="inlineStr">
        <is>
          <t>Báo cáo HTPLDN</t>
        </is>
      </c>
      <c r="E53" s="10" t="inlineStr">
        <is>
          <t>P0</t>
        </is>
      </c>
      <c r="F53" s="9" t="inlineStr">
        <is>
          <t>Workflow</t>
        </is>
      </c>
      <c r="G53" s="9" t="inlineStr">
        <is>
          <t>Nhắc đơn vị nộp báo cáo trước hạn 3 ngày</t>
        </is>
      </c>
      <c r="H53" s="9" t="inlineStr">
        <is>
          <t>Scheduled job</t>
        </is>
      </c>
      <c r="I53" s="9" t="inlineStr">
        <is>
          <t>Job nhắc báo cáo</t>
        </is>
      </c>
      <c r="J53" s="9" t="inlineStr">
        <is>
          <t>Đợt đang mở; đơn vị CHUA_NOP/DANG_LAP; chưa gửi cùng loại trong 24h.</t>
        </is>
      </c>
      <c r="K53" s="9" t="inlineStr">
        <is>
          <t>delta=3</t>
        </is>
      </c>
      <c r="L53"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53" s="9" t="inlineStr">
        <is>
          <t>1. Baseline sạch, không nhầm email cũ.
2. Hồ sơ và quyền đúng tiền đề.
3. Không đổi trạng thái nộp; tạo notification đúng loại.
4. UI phản ánh trạng thái mới.
5. Chỉ đúng người nhận nhận email; email nhắc trước hạn 3 ngày;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53" s="9" t="inlineStr">
        <is>
          <t>TAI_KHOAN.email CB NV đơn vị nộp</t>
        </is>
      </c>
      <c r="O53" s="9" t="inlineStr">
        <is>
          <t>To: CB NV đúng đơn vị</t>
        </is>
      </c>
      <c r="P53" s="9" t="inlineStr">
        <is>
          <t>CB đơn vị khác/đơn vị đã nộp</t>
        </is>
      </c>
      <c r="Q53" s="9" t="inlineStr">
        <is>
          <t>Kiểm tra trạng thái trên UI/API, Gmail và chuông của đúng người nhận/tài khoản âm; queue/SMTP/audit chỉ khi có quyền.</t>
        </is>
      </c>
      <c r="R53" s="9" t="inlineStr">
        <is>
          <t>Khôi phục fixture hoặc dùng hồ sơ mới cho case kế tiếp; lưu message-id và ảnh inbox/log.</t>
        </is>
      </c>
      <c r="S53" s="9" t="inlineStr"/>
      <c r="T53" s="9" t="inlineStr"/>
      <c r="U53" s="12" t="inlineStr">
        <is>
          <t>Not Run</t>
        </is>
      </c>
      <c r="V53" s="9" t="inlineStr"/>
      <c r="W53" s="9" t="inlineStr"/>
      <c r="X53" s="9" t="inlineStr"/>
    </row>
    <row r="54">
      <c r="A54" s="9" t="n">
        <v>53</v>
      </c>
      <c r="B54" s="9" t="inlineStr">
        <is>
          <t>EM-NOT-BC-03</t>
        </is>
      </c>
      <c r="C54" s="9" t="inlineStr">
        <is>
          <t>FR-XI-NEW-01 / srs-fr-15:1047-1074</t>
        </is>
      </c>
      <c r="D54" s="9" t="inlineStr">
        <is>
          <t>Báo cáo HTPLDN</t>
        </is>
      </c>
      <c r="E54" s="10" t="inlineStr">
        <is>
          <t>P0</t>
        </is>
      </c>
      <c r="F54" s="9" t="inlineStr">
        <is>
          <t>Workflow</t>
        </is>
      </c>
      <c r="G54" s="9" t="inlineStr">
        <is>
          <t>Nhắc đơn vị nộp báo cáo quá hạn</t>
        </is>
      </c>
      <c r="H54" s="9" t="inlineStr">
        <is>
          <t>Scheduled job</t>
        </is>
      </c>
      <c r="I54" s="9" t="inlineStr">
        <is>
          <t>Job nhắc báo cáo</t>
        </is>
      </c>
      <c r="J54" s="9" t="inlineStr">
        <is>
          <t>Đợt đang mở; đơn vị CHUA_NOP/DANG_LAP; chưa gửi cùng loại trong 24h.</t>
        </is>
      </c>
      <c r="K54" s="9" t="inlineStr">
        <is>
          <t>delta=-1</t>
        </is>
      </c>
      <c r="L54"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54" s="9" t="inlineStr">
        <is>
          <t>1. Baseline sạch, không nhầm email cũ.
2. Hồ sơ và quyền đúng tiền đề.
3. Không đổi trạng thái nộp; tạo notification đúng loại.
4. UI phản ánh trạng thái mới.
5. Chỉ đúng người nhận nhận email; email nhắc quá hạn; đúng 1 email/người/sự kiện.
6. Gmail và chuông đúng với kênh được cấu hình; queue/audit khớp nếu có quyền.
7. Với đối tượng được SRS chỉ định nhận in-app: đúng người nhận thấy đúng một thông báo mới trên chuông; số chưa đọc, nội dung, thời gian, link và trạng thái đã đọc đúng; tài khoản khác không thấy. Người chưa có tài khoản chỉ nhận email và không có thông báo trên ứng dụng.</t>
        </is>
      </c>
      <c r="N54" s="9" t="inlineStr">
        <is>
          <t>TAI_KHOAN.email CB NV đơn vị nộp</t>
        </is>
      </c>
      <c r="O54" s="9" t="inlineStr">
        <is>
          <t>To: CB NV đúng đơn vị</t>
        </is>
      </c>
      <c r="P54" s="9" t="inlineStr">
        <is>
          <t>CB đơn vị khác/đơn vị đã nộp</t>
        </is>
      </c>
      <c r="Q54" s="9" t="inlineStr">
        <is>
          <t>Kiểm tra trạng thái trên UI/API, Gmail và chuông của đúng người nhận/tài khoản âm; queue/SMTP/audit chỉ khi có quyền.</t>
        </is>
      </c>
      <c r="R54" s="9" t="inlineStr">
        <is>
          <t>Khôi phục fixture hoặc dùng hồ sơ mới cho case kế tiếp; lưu message-id và ảnh inbox/log.</t>
        </is>
      </c>
      <c r="S54" s="9" t="inlineStr"/>
      <c r="T54" s="9" t="inlineStr"/>
      <c r="U54" s="12" t="inlineStr">
        <is>
          <t>Not Run</t>
        </is>
      </c>
      <c r="V54" s="9" t="inlineStr"/>
      <c r="W54" s="9" t="inlineStr"/>
      <c r="X54" s="9" t="inlineStr"/>
    </row>
    <row r="55">
      <c r="A55" s="9" t="n">
        <v>54</v>
      </c>
      <c r="B55" s="9" t="inlineStr">
        <is>
          <t>EM-NOT-BC-04</t>
        </is>
      </c>
      <c r="C55" s="9" t="inlineStr">
        <is>
          <t>FR-XI-NEW-01 dedupe 24h / srs-fr-15:1072</t>
        </is>
      </c>
      <c r="D55" s="9" t="inlineStr">
        <is>
          <t>Báo cáo HTPLDN</t>
        </is>
      </c>
      <c r="E55" s="10" t="inlineStr">
        <is>
          <t>P0</t>
        </is>
      </c>
      <c r="F55" s="9" t="inlineStr">
        <is>
          <t>Negative regression</t>
        </is>
      </c>
      <c r="G55" s="9" t="inlineStr">
        <is>
          <t>Không gửi lặp nhắc báo cáo trong 24 giờ</t>
        </is>
      </c>
      <c r="H55" s="9" t="inlineStr">
        <is>
          <t>Scheduled job</t>
        </is>
      </c>
      <c r="I55" s="9" t="inlineStr">
        <is>
          <t>Chạy lại job nhắc báo cáo</t>
        </is>
      </c>
      <c r="J55" s="9" t="inlineStr">
        <is>
          <t>Đã gửi cùng notification &lt;24h; trạng thái vẫn CHUA_NOP/DANG_LAP.</t>
        </is>
      </c>
      <c r="K55" s="9" t="inlineStr">
        <is>
          <t>Chạy job lần 2</t>
        </is>
      </c>
      <c r="L55"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55" s="9" t="inlineStr">
        <is>
          <t>1. Baseline sạch, không nhầm email cũ.
2. Hồ sơ và quyền đúng tiền đề.
3. Không tạo notification/email mới.
4. UI phản ánh trạng thái mới.
5. Không có email mới ở bất kỳ mailbox nào; Gmail count giữ nguyên.
6. Gmail và chuông đúng với kênh được cấu hình; queue/audit khớp nếu có quyền.
7. Không có thông báo mới trên chuông; số chưa đọc giữ nguyên ở mọi tài khoản kiểm tra.</t>
        </is>
      </c>
      <c r="N55" s="9" t="inlineStr">
        <is>
          <t>Không áp dụng</t>
        </is>
      </c>
      <c r="O55" s="9" t="inlineStr">
        <is>
          <t>Không có email mới</t>
        </is>
      </c>
      <c r="P55" s="9" t="inlineStr">
        <is>
          <t>Tất cả mailbox</t>
        </is>
      </c>
      <c r="Q55" s="9" t="inlineStr">
        <is>
          <t>Kiểm tra trạng thái trên UI/API, Gmail và chuông của đúng người nhận/tài khoản âm; queue/SMTP/audit chỉ khi có quyền.</t>
        </is>
      </c>
      <c r="R55" s="9" t="inlineStr">
        <is>
          <t>Khôi phục fixture hoặc dùng hồ sơ mới cho case kế tiếp; lưu message-id và ảnh inbox/log.</t>
        </is>
      </c>
      <c r="S55" s="9" t="inlineStr"/>
      <c r="T55" s="9" t="inlineStr"/>
      <c r="U55" s="12" t="inlineStr">
        <is>
          <t>Not Run</t>
        </is>
      </c>
      <c r="V55" s="9" t="inlineStr"/>
      <c r="W55" s="9" t="inlineStr"/>
      <c r="X55" s="9" t="inlineStr"/>
    </row>
    <row r="56">
      <c r="A56" s="9" t="n">
        <v>55</v>
      </c>
      <c r="B56" s="9" t="inlineStr">
        <is>
          <t>EM-NOT-NO-01</t>
        </is>
      </c>
      <c r="C56" s="9" t="inlineStr">
        <is>
          <t>BR-SLA-03</t>
        </is>
      </c>
      <c r="D56" s="9" t="inlineStr">
        <is>
          <t>Cấu hình SLA</t>
        </is>
      </c>
      <c r="E56" s="10" t="inlineStr">
        <is>
          <t>P0</t>
        </is>
      </c>
      <c r="F56" s="9" t="inlineStr">
        <is>
          <t>Negative regression</t>
        </is>
      </c>
      <c r="G56" s="9" t="inlineStr">
        <is>
          <t>Tắt gửi email nhưng giữ in-app</t>
        </is>
      </c>
      <c r="H56" s="9" t="inlineStr">
        <is>
          <t>QTHT + Scheduled job</t>
        </is>
      </c>
      <c r="I56" s="9" t="inlineStr">
        <is>
          <t>Cấu hình SLA &gt; toggle Gửi email OFF</t>
        </is>
      </c>
      <c r="J56" s="9" t="inlineStr">
        <is>
          <t>Email OFF; in-app ON; hồ sơ chuyển mức cảnh báo.</t>
        </is>
      </c>
      <c r="K56" s="9" t="inlineStr">
        <is>
          <t>Trigger đúng ngưỡng</t>
        </is>
      </c>
      <c r="L56"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56" s="9" t="inlineStr">
        <is>
          <t>1. Baseline sạch, không nhầm email cũ.
2. Hồ sơ và quyền đúng tiền đề.
3. Mức SLA đổi; in-app được tạo.
4. UI phản ánh trạng thái mới.
5. Không có email mới ở bất kỳ mailbox nào; Gmail count giữ nguyên.
6. Gmail và chuông đúng với kênh được cấu hình; queue/audit khớp nếu có quyền.
7. Đúng người nhận thấy đúng một thông báo mới trên chuông; số chưa đọc, nội dung, thời gian, link và trạng thái đã đọc đúng; tài khoản khác không thấy; Gmail không có thư mới.</t>
        </is>
      </c>
      <c r="N56" s="9" t="inlineStr">
        <is>
          <t>Không áp dụng</t>
        </is>
      </c>
      <c r="O56" s="9" t="inlineStr">
        <is>
          <t>Không email</t>
        </is>
      </c>
      <c r="P56" s="9" t="inlineStr">
        <is>
          <t>Tất cả mailbox</t>
        </is>
      </c>
      <c r="Q56" s="9" t="inlineStr">
        <is>
          <t>Kiểm tra trạng thái trên UI/API, Gmail và chuông của đúng người nhận/tài khoản âm; queue/SMTP/audit chỉ khi có quyền.</t>
        </is>
      </c>
      <c r="R56" s="9" t="inlineStr">
        <is>
          <t>Khôi phục fixture hoặc dùng hồ sơ mới cho case kế tiếp; lưu message-id và ảnh inbox/log.</t>
        </is>
      </c>
      <c r="S56" s="9" t="inlineStr"/>
      <c r="T56" s="9" t="inlineStr"/>
      <c r="U56" s="12" t="inlineStr">
        <is>
          <t>Not Run</t>
        </is>
      </c>
      <c r="V56" s="9" t="inlineStr"/>
      <c r="W56" s="9" t="inlineStr"/>
      <c r="X56" s="9" t="inlineStr"/>
    </row>
    <row r="57">
      <c r="A57" s="9" t="n">
        <v>56</v>
      </c>
      <c r="B57" s="9" t="inlineStr">
        <is>
          <t>EM-NOT-NO-02</t>
        </is>
      </c>
      <c r="C57" s="9" t="inlineStr">
        <is>
          <t>BR-SLA-03 / BA 2026-08-09</t>
        </is>
      </c>
      <c r="D57" s="9" t="inlineStr">
        <is>
          <t>Cảnh báo SLA</t>
        </is>
      </c>
      <c r="E57" s="10" t="inlineStr">
        <is>
          <t>P0</t>
        </is>
      </c>
      <c r="F57" s="9" t="inlineStr">
        <is>
          <t>Negative regression</t>
        </is>
      </c>
      <c r="G57" s="9" t="inlineStr">
        <is>
          <t>Không gửi khi xóa mức do hồ sơ kết thúc/không có hạn</t>
        </is>
      </c>
      <c r="H57" s="9" t="inlineStr">
        <is>
          <t>System</t>
        </is>
      </c>
      <c r="I57" s="9" t="inlineStr">
        <is>
          <t>Job SLA</t>
        </is>
      </c>
      <c r="J57" s="9" t="inlineStr">
        <is>
          <t>Hồ sơ vừa kết thúc hoặc deadline bị xóa; trước đó có mức cảnh báo.</t>
        </is>
      </c>
      <c r="K57" s="9" t="inlineStr">
        <is>
          <t>Remove warning level</t>
        </is>
      </c>
      <c r="L57" s="9" t="inlineStr">
        <is>
          <t>1. Xóa thư cũ; ghi nhận trạng thái hồ sơ và số chưa đọc trên chuông.
2. Đăng nhập đúng tác nhân, mở đúng hồ sơ ở trạng thái nguồn.
3. Thực hiện hành động trigger; không bấm lặp.
4. Reload chi tiết/danh sách và chờ email tối đa 5 phút.
5. Kiểm tra mailbox Expected To/CC và toàn bộ mailbox âm.
6. Đối chiếu chuông với Gmail; kiểm queue/SMTP log và audit nếu có quyền.
7. Nếu SRS quy định in-app: đăng nhập từng tài khoản nhận, mở chuông và trang Xem tất cả thông báo; kiểm số chưa đọc, nội dung, thời gian, link, trạng thái đã đọc; đăng nhập tài khoản âm để kiểm không nhìn thấy. Người nhận chưa có tài khoản không kiểm chuông.</t>
        </is>
      </c>
      <c r="M57" s="9" t="inlineStr">
        <is>
          <t>1. Baseline sạch, không nhầm email cũ.
2. Hồ sơ và quyền đúng tiền đề.
3. Mức được xóa nhưng không coi là chuyển mức gửi TB.
4. UI phản ánh trạng thái mới.
5. Không có email mới ở bất kỳ mailbox nào; Gmail count giữ nguyên.
6. Gmail và chuông đúng với kênh được cấu hình; queue/audit khớp nếu có quyền.
7. Không có thông báo mới trên chuông; số chưa đọc giữ nguyên ở mọi tài khoản kiểm tra.</t>
        </is>
      </c>
      <c r="N57" s="9" t="inlineStr">
        <is>
          <t>Không áp dụng</t>
        </is>
      </c>
      <c r="O57" s="9" t="inlineStr">
        <is>
          <t>Không email/in-app mới</t>
        </is>
      </c>
      <c r="P57" s="9" t="inlineStr">
        <is>
          <t>Tất cả mailbox</t>
        </is>
      </c>
      <c r="Q57" s="9" t="inlineStr">
        <is>
          <t>Kiểm tra trạng thái trên UI/API, Gmail và chuông của đúng người nhận/tài khoản âm; queue/SMTP/audit chỉ khi có quyền.</t>
        </is>
      </c>
      <c r="R57" s="9" t="inlineStr">
        <is>
          <t>Khôi phục fixture hoặc dùng hồ sơ mới cho case kế tiếp; lưu message-id và ảnh inbox/log.</t>
        </is>
      </c>
      <c r="S57" s="9" t="inlineStr"/>
      <c r="T57" s="9" t="inlineStr"/>
      <c r="U57" s="12" t="inlineStr">
        <is>
          <t>Not Run</t>
        </is>
      </c>
      <c r="V57" s="9" t="inlineStr"/>
      <c r="W57" s="9" t="inlineStr"/>
      <c r="X57" s="9" t="inlineStr"/>
    </row>
    <row r="58">
      <c r="A58" s="9" t="n">
        <v>57</v>
      </c>
      <c r="B58" s="9" t="inlineStr">
        <is>
          <t>EM-FLD-HDD-01</t>
        </is>
      </c>
      <c r="C58" s="9" t="inlineStr">
        <is>
          <t>FR-II-01 Inputs#5 / SCR-II-01 row 41 / srs-fr-02:104,1065</t>
        </is>
      </c>
      <c r="D58" s="9" t="inlineStr">
        <is>
          <t>Hỏi đáp — Field/API/Export</t>
        </is>
      </c>
      <c r="E58" s="10" t="inlineStr">
        <is>
          <t>P0</t>
        </is>
      </c>
      <c r="F58" s="9" t="inlineStr">
        <is>
          <t>UI/API/Data/Negative</t>
        </is>
      </c>
      <c r="G58" s="9" t="inlineStr">
        <is>
          <t>Email người gửi là tùy chọn và hợp lệ</t>
        </is>
      </c>
      <c r="H58" s="9" t="inlineStr">
        <is>
          <t>CB NV</t>
        </is>
      </c>
      <c r="I58" s="9" t="inlineStr">
        <is>
          <t>Hỏi đáp &gt; Tạo mới</t>
        </is>
      </c>
      <c r="J58" s="9" t="inlineStr">
        <is>
          <t>Form tạo hỏi đáp mở.</t>
        </is>
      </c>
      <c r="K58" s="9" t="inlineStr">
        <is>
          <t>email_nguoi_gui = qa.sender+uat@example.test</t>
        </is>
      </c>
      <c r="L58" s="9" t="inlineStr">
        <is>
          <t>1. Mở form.
2. Để trống email và lưu hồ sơ A.
3. Tạo hồ sơ B với email hợp lệ.
4. Mở chi tiết/list.</t>
        </is>
      </c>
      <c r="M58" s="9" t="inlineStr">
        <is>
          <t>2. Hồ sơ A lưu được vì email không bắt buộc.
3. Hồ sơ B lưu được.
4. Email B hiển thị đúng, không bị cắt/sửa; hồ sơ A không phát sinh email giả.</t>
        </is>
      </c>
      <c r="N58" s="9" t="inlineStr">
        <is>
          <t>Field/entity nêu trong TraceID</t>
        </is>
      </c>
      <c r="O58" s="9" t="inlineStr">
        <is>
          <t>Theo case; không tự gửi nếu chỉ validate/display</t>
        </is>
      </c>
      <c r="P58" s="9" t="inlineStr">
        <is>
          <t>Mailbox/entity không thuộc record</t>
        </is>
      </c>
      <c r="Q58" s="9" t="inlineStr">
        <is>
          <t>HOI_DAP.email_nguoi_gui; UI list/detail; không tự tạo TAI_KHOAN.</t>
        </is>
      </c>
      <c r="R58" s="9" t="inlineStr">
        <is>
          <t>Dùng fixture riêng; rollback/delete fixture nếu quy trình cho phép.</t>
        </is>
      </c>
      <c r="S58" s="9" t="inlineStr"/>
      <c r="T58" s="9" t="inlineStr"/>
      <c r="U58" s="12" t="inlineStr">
        <is>
          <t>Not Run</t>
        </is>
      </c>
      <c r="V58" s="9" t="inlineStr"/>
      <c r="W58" s="9" t="inlineStr"/>
      <c r="X58" s="9" t="inlineStr"/>
    </row>
    <row r="59">
      <c r="A59" s="9" t="n">
        <v>58</v>
      </c>
      <c r="B59" s="9" t="inlineStr">
        <is>
          <t>EM-FLD-HDD-02</t>
        </is>
      </c>
      <c r="C59" s="9" t="inlineStr">
        <is>
          <t>FR-II-01 Inputs#5 / SCR-II-01 row 41</t>
        </is>
      </c>
      <c r="D59" s="9" t="inlineStr">
        <is>
          <t>Hỏi đáp — Field/API/Export</t>
        </is>
      </c>
      <c r="E59" s="10" t="inlineStr">
        <is>
          <t>P0</t>
        </is>
      </c>
      <c r="F59" s="9" t="inlineStr">
        <is>
          <t>UI/API/Data/Negative</t>
        </is>
      </c>
      <c r="G59" s="9" t="inlineStr">
        <is>
          <t>Email người gửi sai format</t>
        </is>
      </c>
      <c r="H59" s="9" t="inlineStr">
        <is>
          <t>CB NV</t>
        </is>
      </c>
      <c r="I59" s="9" t="inlineStr">
        <is>
          <t>Hỏi đáp &gt; Tạo mới</t>
        </is>
      </c>
      <c r="J59" s="9" t="inlineStr">
        <is>
          <t>Form tạo hỏi đáp mở.</t>
        </is>
      </c>
      <c r="K59" s="9" t="inlineStr">
        <is>
          <t>email_nguoi_gui = invalid-email</t>
        </is>
      </c>
      <c r="L59" s="9" t="inlineStr">
        <is>
          <t>1. Nhập các field bắt buộc hợp lệ.
2. Nhập email sai.
3. Submit.
4. Kiểm tra UI/API.</t>
        </is>
      </c>
      <c r="M59" s="9" t="inlineStr">
        <is>
          <t>3. Inline nguyên văn 'Email không đúng định dạng'; không submit.
4. Không tạo/cập nhật HOI_DAP, queue hoặc email.</t>
        </is>
      </c>
      <c r="N59" s="9" t="inlineStr">
        <is>
          <t>Field/entity nêu trong TraceID</t>
        </is>
      </c>
      <c r="O59" s="9" t="inlineStr">
        <is>
          <t>Theo case; không tự gửi nếu chỉ validate/display</t>
        </is>
      </c>
      <c r="P59" s="9" t="inlineStr">
        <is>
          <t>Mailbox/entity không thuộc record</t>
        </is>
      </c>
      <c r="Q59" s="9" t="inlineStr">
        <is>
          <t>HOI_DAP count trước/sau; validation UI/API.</t>
        </is>
      </c>
      <c r="R59" s="9" t="inlineStr">
        <is>
          <t>Dùng fixture riêng; rollback/delete fixture nếu quy trình cho phép.</t>
        </is>
      </c>
      <c r="S59" s="9" t="inlineStr"/>
      <c r="T59" s="9" t="inlineStr"/>
      <c r="U59" s="12" t="inlineStr">
        <is>
          <t>Not Run</t>
        </is>
      </c>
      <c r="V59" s="9" t="inlineStr"/>
      <c r="W59" s="9" t="inlineStr"/>
      <c r="X59" s="9" t="inlineStr"/>
    </row>
    <row r="60">
      <c r="A60" s="9" t="n">
        <v>59</v>
      </c>
      <c r="B60" s="9" t="inlineStr">
        <is>
          <t>EM-FLD-HDD-03</t>
        </is>
      </c>
      <c r="C60" s="9" t="inlineStr">
        <is>
          <t>FR-II-01 Inputs#5 max 100</t>
        </is>
      </c>
      <c r="D60" s="9" t="inlineStr">
        <is>
          <t>Hỏi đáp — Field/API/Export</t>
        </is>
      </c>
      <c r="E60" s="10" t="inlineStr">
        <is>
          <t>P0</t>
        </is>
      </c>
      <c r="F60" s="9" t="inlineStr">
        <is>
          <t>UI/API/Data/Negative</t>
        </is>
      </c>
      <c r="G60" s="9" t="inlineStr">
        <is>
          <t>Biên độ dài email người gửi 100/101 ký tự</t>
        </is>
      </c>
      <c r="H60" s="9" t="inlineStr">
        <is>
          <t>CB NV</t>
        </is>
      </c>
      <c r="I60" s="9" t="inlineStr">
        <is>
          <t>Hỏi đáp &gt; Tạo mới</t>
        </is>
      </c>
      <c r="J60" s="9" t="inlineStr">
        <is>
          <t>Có hai địa chỉ syntactically valid dài đúng 100 và 101 ký tự.</t>
        </is>
      </c>
      <c r="K60" s="9" t="inlineStr">
        <is>
          <t>email length = 100 rồi 101</t>
        </is>
      </c>
      <c r="L60" s="9" t="inlineStr">
        <is>
          <t>1. Submit địa chỉ dài 100.
2. Ghi kết quả.
3. Submit địa chỉ dài 101.
4. Kiểm tra UI/API.</t>
        </is>
      </c>
      <c r="M60" s="9" t="inlineStr">
        <is>
          <t>1. Địa chỉ 100 ký tự được chấp nhận nếu hợp lệ.
3. Địa chỉ 101 bị chặn; không truncate thầm lặng.
4. UI/API lưu nguyên giá trị case 100, không có record case 101.</t>
        </is>
      </c>
      <c r="N60" s="9" t="inlineStr">
        <is>
          <t>Field/entity nêu trong TraceID</t>
        </is>
      </c>
      <c r="O60" s="9" t="inlineStr">
        <is>
          <t>Theo case; không tự gửi nếu chỉ validate/display</t>
        </is>
      </c>
      <c r="P60" s="9" t="inlineStr">
        <is>
          <t>Mailbox/entity không thuộc record</t>
        </is>
      </c>
      <c r="Q60" s="9" t="inlineStr">
        <is>
          <t>Length client/server/UI/API; không truncate.</t>
        </is>
      </c>
      <c r="R60" s="9" t="inlineStr">
        <is>
          <t>Dùng fixture riêng; rollback/delete fixture nếu quy trình cho phép.</t>
        </is>
      </c>
      <c r="S60" s="9" t="inlineStr"/>
      <c r="T60" s="9" t="inlineStr"/>
      <c r="U60" s="12" t="inlineStr">
        <is>
          <t>Not Run</t>
        </is>
      </c>
      <c r="V60" s="9" t="inlineStr"/>
      <c r="W60" s="9" t="inlineStr"/>
      <c r="X60" s="9" t="inlineStr"/>
    </row>
    <row r="61">
      <c r="A61" s="9" t="n">
        <v>60</v>
      </c>
      <c r="B61" s="9" t="inlineStr">
        <is>
          <t>EM-FLD-HDD-04</t>
        </is>
      </c>
      <c r="C61" s="9" t="inlineStr">
        <is>
          <t>FR-II-01 Outputs Excel / srs-fr-02:155</t>
        </is>
      </c>
      <c r="D61" s="9" t="inlineStr">
        <is>
          <t>Hỏi đáp — Field/API/Export</t>
        </is>
      </c>
      <c r="E61" s="10" t="inlineStr">
        <is>
          <t>P0</t>
        </is>
      </c>
      <c r="F61" s="9" t="inlineStr">
        <is>
          <t>UI/API/Data/Negative</t>
        </is>
      </c>
      <c r="G61" s="9" t="inlineStr">
        <is>
          <t>Xuất Excel hỏi đáp có cột Email đúng dữ liệu</t>
        </is>
      </c>
      <c r="H61" s="9" t="inlineStr">
        <is>
          <t>CB NV có quyền xuất</t>
        </is>
      </c>
      <c r="I61" s="9" t="inlineStr">
        <is>
          <t>Danh sách hỏi đáp &gt; Xuất Excel</t>
        </is>
      </c>
      <c r="J61" s="9" t="inlineStr">
        <is>
          <t>Có 3 hồ sơ: email hợp lệ, email rỗng, ký tự tiếng Việt ở tên người gửi.</t>
        </is>
      </c>
      <c r="K61" s="9" t="inlineStr">
        <is>
          <t>Bộ lọc trả đúng 3 hồ sơ</t>
        </is>
      </c>
      <c r="L61" s="9" t="inlineStr">
        <is>
          <t>1. Áp bộ lọc.
2. Xuất Excel.
3. Mở file.
4. Đối chiếu từng dòng với UI/API/detail.</t>
        </is>
      </c>
      <c r="M61" s="9" t="inlineStr">
        <is>
          <t>File mở được; có cột Email đúng thứ tự SRS; 3 dòng khớp hồ sơ/filter; email rỗng vẫn rỗng; không formula injection/truncate.</t>
        </is>
      </c>
      <c r="N61" s="9" t="inlineStr">
        <is>
          <t>Field/entity nêu trong TraceID</t>
        </is>
      </c>
      <c r="O61" s="9" t="inlineStr">
        <is>
          <t>Theo case; không tự gửi nếu chỉ validate/display</t>
        </is>
      </c>
      <c r="P61" s="9" t="inlineStr">
        <is>
          <t>Mailbox/entity không thuộc record</t>
        </is>
      </c>
      <c r="Q61" s="9" t="inlineStr">
        <is>
          <t>File .xlsx; header/row count/cell value; so với HOI_DAP.email_nguoi_gui.</t>
        </is>
      </c>
      <c r="R61" s="9" t="inlineStr">
        <is>
          <t>Dùng fixture riêng; rollback/delete fixture nếu quy trình cho phép.</t>
        </is>
      </c>
      <c r="S61" s="9" t="inlineStr"/>
      <c r="T61" s="9" t="inlineStr"/>
      <c r="U61" s="12" t="inlineStr">
        <is>
          <t>Not Run</t>
        </is>
      </c>
      <c r="V61" s="9" t="inlineStr"/>
      <c r="W61" s="9" t="inlineStr"/>
      <c r="X61" s="9" t="inlineStr"/>
    </row>
    <row r="62">
      <c r="A62" s="9" t="n">
        <v>61</v>
      </c>
      <c r="B62" s="9" t="inlineStr">
        <is>
          <t>EM-FLD-DT-01</t>
        </is>
      </c>
      <c r="C62" s="9" t="inlineStr">
        <is>
          <t>srs-fr-03:1939-1953</t>
        </is>
      </c>
      <c r="D62" s="9" t="inlineStr">
        <is>
          <t>Đào tạo — Field/API/Export</t>
        </is>
      </c>
      <c r="E62" s="10" t="inlineStr">
        <is>
          <t>P0</t>
        </is>
      </c>
      <c r="F62" s="9" t="inlineStr">
        <is>
          <t>UI/API/Data/Negative</t>
        </is>
      </c>
      <c r="G62" s="9" t="inlineStr">
        <is>
          <t>Email học viên hiển thị nhất quán trên các tab</t>
        </is>
      </c>
      <c r="H62" s="9" t="inlineStr">
        <is>
          <t>CB NV</t>
        </is>
      </c>
      <c r="I62" s="9" t="inlineStr">
        <is>
          <t>Chi tiết khóa học &gt; Học viên/Điểm danh/Kết quả/Công bố</t>
        </is>
      </c>
      <c r="J62" s="9" t="inlineStr">
        <is>
          <t>Một học viên đã duyệt có email xác định.</t>
        </is>
      </c>
      <c r="K62" s="9" t="inlineStr">
        <is>
          <t>hoc_vien_id HV01; hv01@example.test</t>
        </is>
      </c>
      <c r="L62" s="9" t="inlineStr">
        <is>
          <t>1. Mở lần lượt Tab Học viên, Điểm danh, Kết quả, Công bố.
2. Tìm HV01.
3. Đối chiếu email từng tab với UI/API.</t>
        </is>
      </c>
      <c r="M62" s="9" t="inlineStr">
        <is>
          <t>HV01 hiển thị đúng cùng email ở tất cả tab có cột email; không lấy nhầm email DN/NHT đăng ký hoặc học viên khác.</t>
        </is>
      </c>
      <c r="N62" s="9" t="inlineStr">
        <is>
          <t>Field/entity nêu trong TraceID</t>
        </is>
      </c>
      <c r="O62" s="9" t="inlineStr">
        <is>
          <t>Theo case; không tự gửi nếu chỉ validate/display</t>
        </is>
      </c>
      <c r="P62" s="9" t="inlineStr">
        <is>
          <t>Mailbox/entity không thuộc record</t>
        </is>
      </c>
      <c r="Q62" s="9" t="inlineStr">
        <is>
          <t>HOC_VIEN.email join theo hoc_vien_id; UI row mapping.</t>
        </is>
      </c>
      <c r="R62" s="9" t="inlineStr">
        <is>
          <t>Dùng fixture riêng; rollback/delete fixture nếu quy trình cho phép.</t>
        </is>
      </c>
      <c r="S62" s="9" t="inlineStr"/>
      <c r="T62" s="9" t="inlineStr"/>
      <c r="U62" s="12" t="inlineStr">
        <is>
          <t>Not Run</t>
        </is>
      </c>
      <c r="V62" s="9" t="inlineStr"/>
      <c r="W62" s="9" t="inlineStr"/>
      <c r="X62" s="9" t="inlineStr"/>
    </row>
    <row r="63">
      <c r="A63" s="9" t="n">
        <v>62</v>
      </c>
      <c r="B63" s="9" t="inlineStr">
        <is>
          <t>EM-FLD-DT-02</t>
        </is>
      </c>
      <c r="C63" s="9" t="inlineStr">
        <is>
          <t>FR-III-05 / srs-fr-03:580-615</t>
        </is>
      </c>
      <c r="D63" s="9" t="inlineStr">
        <is>
          <t>Đào tạo — Field/API/Export</t>
        </is>
      </c>
      <c r="E63" s="10" t="inlineStr">
        <is>
          <t>P0</t>
        </is>
      </c>
      <c r="F63" s="9" t="inlineStr">
        <is>
          <t>UI/API/Data/Negative</t>
        </is>
      </c>
      <c r="G63" s="9" t="inlineStr">
        <is>
          <t>Mẫu Excel điểm danh/điểm kiểm tra điền đúng email học viên</t>
        </is>
      </c>
      <c r="H63" s="9" t="inlineStr">
        <is>
          <t>CB NV</t>
        </is>
      </c>
      <c r="I63" s="9" t="inlineStr">
        <is>
          <t>Chi tiết khóa học &gt; Tải mẫu</t>
        </is>
      </c>
      <c r="J63" s="9" t="inlineStr">
        <is>
          <t>Khóa có ≥3 học viên, chọn buổi/đề hợp lệ.</t>
        </is>
      </c>
      <c r="K63" s="9" t="inlineStr">
        <is>
          <t>Ba hoc_vien_id/email khác nhau</t>
        </is>
      </c>
      <c r="L63" s="9" t="inlineStr">
        <is>
          <t>1. Chọn buổi và tải mẫu điểm danh.
2. Chọn đề và tải mẫu điểm kiểm tra.
3. Mở hai file, hiện cột/metadata ẩn nếu có.
4. Đối chiếu từng hoc_vien_id-họ tên-email.</t>
        </is>
      </c>
      <c r="M63" s="9" t="inlineStr">
        <is>
          <t>Mỗi file có đúng danh sách học viên; email khớp hoc_vien_id; không dùng email làm khóa thay hoc_vien_id; metadata buổi/đề đúng.</t>
        </is>
      </c>
      <c r="N63" s="9" t="inlineStr">
        <is>
          <t>Field/entity nêu trong TraceID</t>
        </is>
      </c>
      <c r="O63" s="9" t="inlineStr">
        <is>
          <t>Theo case; không tự gửi nếu chỉ validate/display</t>
        </is>
      </c>
      <c r="P63" s="9" t="inlineStr">
        <is>
          <t>Mailbox/entity không thuộc record</t>
        </is>
      </c>
      <c r="Q63" s="9" t="inlineStr">
        <is>
          <t>File protection/hidden id; mapping HOC_VIEN; checksum file.</t>
        </is>
      </c>
      <c r="R63" s="9" t="inlineStr">
        <is>
          <t>Dùng fixture riêng; rollback/delete fixture nếu quy trình cho phép.</t>
        </is>
      </c>
      <c r="S63" s="9" t="inlineStr"/>
      <c r="T63" s="9" t="inlineStr"/>
      <c r="U63" s="12" t="inlineStr">
        <is>
          <t>Not Run</t>
        </is>
      </c>
      <c r="V63" s="9" t="inlineStr"/>
      <c r="W63" s="9" t="inlineStr"/>
      <c r="X63" s="9" t="inlineStr"/>
    </row>
    <row r="64">
      <c r="A64" s="9" t="n">
        <v>63</v>
      </c>
      <c r="B64" s="9" t="inlineStr">
        <is>
          <t>EM-FLD-DT-03</t>
        </is>
      </c>
      <c r="C64" s="9" t="inlineStr">
        <is>
          <t>FR-III-05 KTDGKQHT_05</t>
        </is>
      </c>
      <c r="D64" s="9" t="inlineStr">
        <is>
          <t>Đào tạo — Field/API/Export</t>
        </is>
      </c>
      <c r="E64" s="10" t="inlineStr">
        <is>
          <t>P0</t>
        </is>
      </c>
      <c r="F64" s="9" t="inlineStr">
        <is>
          <t>UI/API/Data/Negative</t>
        </is>
      </c>
      <c r="G64" s="9" t="inlineStr">
        <is>
          <t>Import không được nhận diện học viên bằng email</t>
        </is>
      </c>
      <c r="H64" s="9" t="inlineStr">
        <is>
          <t>CB NV</t>
        </is>
      </c>
      <c r="I64" s="9" t="inlineStr">
        <is>
          <t>Import điểm danh/điểm kiểm tra</t>
        </is>
      </c>
      <c r="J64" s="9" t="inlineStr">
        <is>
          <t>Tải mẫu hợp lệ; giữ hoc_vien_id HV01 nhưng sửa email hiển thị thành email HV02.</t>
        </is>
      </c>
      <c r="K64" s="9" t="inlineStr">
        <is>
          <t>hoc_vien_id HV01 + email hv02@example.test</t>
        </is>
      </c>
      <c r="L64" s="9" t="inlineStr">
        <is>
          <t>1. Sửa email trong bản sao mẫu, không đổi hoc_vien_id.
2. Điền trạng thái/điểm hợp lệ.
3. Import.
4. Kiểm tra preview/kết quả và UI/API.</t>
        </is>
      </c>
      <c r="M64" s="9" t="inlineStr">
        <is>
          <t>Hệ thống nhận diện theo hoc_vien_id, không ghi kết quả sang HV02 vì email. Nếu cột email bị khóa và hệ thống từ chối file sửa, phải báo rõ; tuyệt đối không map theo email.</t>
        </is>
      </c>
      <c r="N64" s="9" t="inlineStr">
        <is>
          <t>Field/entity nêu trong TraceID</t>
        </is>
      </c>
      <c r="O64" s="9" t="inlineStr">
        <is>
          <t>Theo case; không tự gửi nếu chỉ validate/display</t>
        </is>
      </c>
      <c r="P64" s="9" t="inlineStr">
        <is>
          <t>Mailbox/entity không thuộc record</t>
        </is>
      </c>
      <c r="Q64" s="9" t="inlineStr">
        <is>
          <t>Import parser key=hoc_vien_id; kết quả HV01/HV02 trước-sau.</t>
        </is>
      </c>
      <c r="R64" s="9" t="inlineStr">
        <is>
          <t>Dùng fixture riêng; rollback/delete fixture nếu quy trình cho phép.</t>
        </is>
      </c>
      <c r="S64" s="9" t="inlineStr"/>
      <c r="T64" s="9" t="inlineStr"/>
      <c r="U64" s="12" t="inlineStr">
        <is>
          <t>Not Run</t>
        </is>
      </c>
      <c r="V64" s="9" t="inlineStr"/>
      <c r="W64" s="9" t="inlineStr"/>
      <c r="X64" s="9" t="inlineStr"/>
    </row>
    <row r="65">
      <c r="A65" s="9" t="n">
        <v>64</v>
      </c>
      <c r="B65" s="9" t="inlineStr">
        <is>
          <t>EM-FLD-API-01</t>
        </is>
      </c>
      <c r="C65" s="9" t="inlineStr">
        <is>
          <t>FR-XII-19 Inputs email_nguoi_gui / srs-fr-16:1169</t>
        </is>
      </c>
      <c r="D65" s="9" t="inlineStr">
        <is>
          <t>API Hỏi đáp inbound — Field/API/Export</t>
        </is>
      </c>
      <c r="E65" s="10" t="inlineStr">
        <is>
          <t>P0</t>
        </is>
      </c>
      <c r="F65" s="9" t="inlineStr">
        <is>
          <t>UI/API/Data/Negative</t>
        </is>
      </c>
      <c r="G65" s="9" t="inlineStr">
        <is>
          <t>Email người gửi API: absent/valid/invalid/max</t>
        </is>
      </c>
      <c r="H65" s="9" t="inlineStr">
        <is>
          <t>Cổng PLQG/API client</t>
        </is>
      </c>
      <c r="I65" s="9" t="inlineStr">
        <is>
          <t>API inbound hỏi đáp</t>
        </is>
      </c>
      <c r="J65" s="9" t="inlineStr">
        <is>
          <t>JWT/mTLS hợp lệ; payload base hợp lệ.</t>
        </is>
      </c>
      <c r="K65" s="9" t="inlineStr">
        <is>
          <t>4 payload: absent; valid; invalid; &gt;100</t>
        </is>
      </c>
      <c r="L65" s="9" t="inlineStr">
        <is>
          <t>1. POST payload không email.
2. POST email hợp lệ.
3. POST email sai RFC.
4. POST email &gt;100.
5. Kiểm tra response/UI/notification.</t>
        </is>
      </c>
      <c r="M65" s="9" t="inlineStr">
        <is>
          <t>1. Chấp nhận vì optional.
2. Chấp nhận và lưu nguyên email.
3-4. Từ chối validation, không partial save/notification.
5. Chỉ 2 record hợp lệ và notification tương ứng được tạo.</t>
        </is>
      </c>
      <c r="N65" s="9" t="inlineStr">
        <is>
          <t>Field/entity nêu trong TraceID</t>
        </is>
      </c>
      <c r="O65" s="9" t="inlineStr">
        <is>
          <t>Theo case; không tự gửi nếu chỉ validate/display</t>
        </is>
      </c>
      <c r="P65" s="9" t="inlineStr">
        <is>
          <t>Mailbox/entity không thuộc record</t>
        </is>
      </c>
      <c r="Q65" s="9" t="inlineStr">
        <is>
          <t>HTTP status/error detail; HOI_DAP; transaction/queue.</t>
        </is>
      </c>
      <c r="R65" s="9" t="inlineStr">
        <is>
          <t>Dùng fixture riêng; rollback/delete fixture nếu quy trình cho phép.</t>
        </is>
      </c>
      <c r="S65" s="9" t="inlineStr"/>
      <c r="T65" s="9" t="inlineStr"/>
      <c r="U65" s="12" t="inlineStr">
        <is>
          <t>Not Run</t>
        </is>
      </c>
      <c r="V65" s="9" t="inlineStr"/>
      <c r="W65" s="9" t="inlineStr"/>
      <c r="X65" s="9" t="inlineStr"/>
    </row>
    <row r="66">
      <c r="A66" s="9" t="n">
        <v>65</v>
      </c>
      <c r="B66" s="9" t="inlineStr">
        <is>
          <t>EM-FLD-API-02</t>
        </is>
      </c>
      <c r="C66" s="9" t="inlineStr">
        <is>
          <t>FR-V.I-05 EC-V.I-05-01 / srs-fr-05:393,478</t>
        </is>
      </c>
      <c r="D66" s="9" t="inlineStr">
        <is>
          <t>API Vụ việc inbound — Field/API/Export</t>
        </is>
      </c>
      <c r="E66" s="10" t="inlineStr">
        <is>
          <t>P0</t>
        </is>
      </c>
      <c r="F66" s="9" t="inlineStr">
        <is>
          <t>UI/API/Data/Negative</t>
        </is>
      </c>
      <c r="G66" s="9" t="inlineStr">
        <is>
          <t>Validate email nested trong thong_tin_dn</t>
        </is>
      </c>
      <c r="H66" s="9" t="inlineStr">
        <is>
          <t>Hệ thống ngoài/API client</t>
        </is>
      </c>
      <c r="I66" s="9" t="inlineStr">
        <is>
          <t>API inbound vụ việc</t>
        </is>
      </c>
      <c r="J66" s="9" t="inlineStr">
        <is>
          <t>Auth hợp lệ; payload base hợp lệ.</t>
        </is>
      </c>
      <c r="K66" s="9" t="inlineStr">
        <is>
          <t>email valid rồi invalid</t>
        </is>
      </c>
      <c r="L66" s="9" t="inlineStr">
        <is>
          <t>1. POST payload email hợp lệ.
2. POST payload email sai RFC.
3. Kiểm tra response.
4. Kiểm tra UI/API/notification.</t>
        </is>
      </c>
      <c r="M66" s="9" t="inlineStr">
        <is>
          <t>1. Payload hợp lệ được xử lý.
2. Payload sai trả ERR-INTG-03 kèm field lỗi email.
3-4. Không partial save/notification cho request sai.</t>
        </is>
      </c>
      <c r="N66" s="9" t="inlineStr">
        <is>
          <t>Field/entity nêu trong TraceID</t>
        </is>
      </c>
      <c r="O66" s="9" t="inlineStr">
        <is>
          <t>Theo case; không tự gửi nếu chỉ validate/display</t>
        </is>
      </c>
      <c r="P66" s="9" t="inlineStr">
        <is>
          <t>Mailbox/entity không thuộc record</t>
        </is>
      </c>
      <c r="Q66" s="9" t="inlineStr">
        <is>
          <t>Response ERR-INTG-03; entity/transaction; queue.</t>
        </is>
      </c>
      <c r="R66" s="9" t="inlineStr">
        <is>
          <t>Dùng fixture riêng; rollback/delete fixture nếu quy trình cho phép.</t>
        </is>
      </c>
      <c r="S66" s="9" t="inlineStr"/>
      <c r="T66" s="9" t="inlineStr"/>
      <c r="U66" s="12" t="inlineStr">
        <is>
          <t>Not Run</t>
        </is>
      </c>
      <c r="V66" s="9" t="inlineStr"/>
      <c r="W66" s="9" t="inlineStr"/>
      <c r="X66" s="9" t="inlineStr"/>
    </row>
    <row r="67">
      <c r="A67" s="9" t="n">
        <v>66</v>
      </c>
      <c r="B67" s="9" t="inlineStr">
        <is>
          <t>EM-FLD-API-03</t>
        </is>
      </c>
      <c r="C67" s="9" t="inlineStr">
        <is>
          <t>FR-X.1-03 / srs-fr-12:469,483,499</t>
        </is>
      </c>
      <c r="D67" s="9" t="inlineStr">
        <is>
          <t>API TVCS inbound — Field/API/Export</t>
        </is>
      </c>
      <c r="E67" s="10" t="inlineStr">
        <is>
          <t>P0</t>
        </is>
      </c>
      <c r="F67" s="9" t="inlineStr">
        <is>
          <t>UI/API/Data/Negative</t>
        </is>
      </c>
      <c r="G67" s="9" t="inlineStr">
        <is>
          <t>Email DN optional nhưng nếu có phải hợp lệ</t>
        </is>
      </c>
      <c r="H67" s="9" t="inlineStr">
        <is>
          <t>Cổng PLQG</t>
        </is>
      </c>
      <c r="I67" s="9" t="inlineStr">
        <is>
          <t>API inbound TVCS</t>
        </is>
      </c>
      <c r="J67" s="9" t="inlineStr">
        <is>
          <t>Auth/payload base hợp lệ; MST/tên DN hợp lệ.</t>
        </is>
      </c>
      <c r="K67" s="9" t="inlineStr">
        <is>
          <t>email absent; valid; invalid</t>
        </is>
      </c>
      <c r="L67" s="9" t="inlineStr">
        <is>
          <t>1. POST không email.
2. POST email hợp lệ với MST khác.
3. POST email invalid với MST khác.
4. Kiểm tra UI/API và queue.</t>
        </is>
      </c>
      <c r="M67" s="9" t="inlineStr">
        <is>
          <t>1-2. Chấp nhận và tạo DN/TVCS theo spec; case absent lưu NULL.
3. Từ chối format, không partial save.
4. Không case nào tạo TAI_KHOAN/mail kích hoạt; chỉ notification CB cho request hợp lệ.</t>
        </is>
      </c>
      <c r="N67" s="9" t="inlineStr">
        <is>
          <t>Field/entity nêu trong TraceID</t>
        </is>
      </c>
      <c r="O67" s="9" t="inlineStr">
        <is>
          <t>Theo case; không tự gửi nếu chỉ validate/display</t>
        </is>
      </c>
      <c r="P67" s="9" t="inlineStr">
        <is>
          <t>Mailbox/entity không thuộc record</t>
        </is>
      </c>
      <c r="Q67" s="9" t="inlineStr">
        <is>
          <t>DOANH_NGHIEP/TVCS transaction; TAI_KHOAN +0; activation queue +0.</t>
        </is>
      </c>
      <c r="R67" s="9" t="inlineStr">
        <is>
          <t>Dùng fixture riêng; rollback/delete fixture nếu quy trình cho phép.</t>
        </is>
      </c>
      <c r="S67" s="9" t="inlineStr"/>
      <c r="T67" s="9" t="inlineStr"/>
      <c r="U67" s="12" t="inlineStr">
        <is>
          <t>Not Run</t>
        </is>
      </c>
      <c r="V67" s="9" t="inlineStr"/>
      <c r="W67" s="9" t="inlineStr"/>
      <c r="X67" s="9" t="inlineStr"/>
    </row>
    <row r="68">
      <c r="A68" s="9" t="n">
        <v>67</v>
      </c>
      <c r="B68" s="9" t="inlineStr">
        <is>
          <t>EM-FLD-API-04</t>
        </is>
      </c>
      <c r="C68" s="9" t="inlineStr">
        <is>
          <t>FR-X.1-05 / srs-fr-12:748-782</t>
        </is>
      </c>
      <c r="D68" s="9" t="inlineStr">
        <is>
          <t>API Hồ sơ pháp lý inbound — Field/API/Export</t>
        </is>
      </c>
      <c r="E68" s="10" t="inlineStr">
        <is>
          <t>P0</t>
        </is>
      </c>
      <c r="F68" s="9" t="inlineStr">
        <is>
          <t>UI/API/Data/Negative</t>
        </is>
      </c>
      <c r="G68" s="9" t="inlineStr">
        <is>
          <t>Email DN optional trong hồ sơ pháp lý inbound</t>
        </is>
      </c>
      <c r="H68" s="9" t="inlineStr">
        <is>
          <t>Cổng PLQG</t>
        </is>
      </c>
      <c r="I68" s="9" t="inlineStr">
        <is>
          <t>API inbound hồ sơ pháp lý</t>
        </is>
      </c>
      <c r="J68" s="9" t="inlineStr">
        <is>
          <t>Auth/payload base hợp lệ.</t>
        </is>
      </c>
      <c r="K68" s="9" t="inlineStr">
        <is>
          <t>email absent; valid; invalid</t>
        </is>
      </c>
      <c r="L68" s="9" t="inlineStr">
        <is>
          <t>1. Gửi lần lượt 3 payload.
2. Đối chiếu response.
3. Kiểm tra UI/API và queue.</t>
        </is>
      </c>
      <c r="M68" s="9" t="inlineStr">
        <is>
          <t>Absent/valid được xử lý; invalid bị từ chối không partial save; không tạo TK/mail kích hoạt; CB phụ trách chỉ nhận notification với request hợp lệ.</t>
        </is>
      </c>
      <c r="N68" s="9" t="inlineStr">
        <is>
          <t>Field/entity nêu trong TraceID</t>
        </is>
      </c>
      <c r="O68" s="9" t="inlineStr">
        <is>
          <t>Theo case; không tự gửi nếu chỉ validate/display</t>
        </is>
      </c>
      <c r="P68" s="9" t="inlineStr">
        <is>
          <t>Mailbox/entity không thuộc record</t>
        </is>
      </c>
      <c r="Q68" s="9" t="inlineStr">
        <is>
          <t>Entity/transaction; TAI_KHOAN/token/queue activation +0.</t>
        </is>
      </c>
      <c r="R68" s="9" t="inlineStr">
        <is>
          <t>Dùng fixture riêng; rollback/delete fixture nếu quy trình cho phép.</t>
        </is>
      </c>
      <c r="S68" s="9" t="inlineStr"/>
      <c r="T68" s="9" t="inlineStr"/>
      <c r="U68" s="12" t="inlineStr">
        <is>
          <t>Not Run</t>
        </is>
      </c>
      <c r="V68" s="9" t="inlineStr"/>
      <c r="W68" s="9" t="inlineStr"/>
      <c r="X68" s="9" t="inlineStr"/>
    </row>
    <row r="69">
      <c r="A69" s="9" t="n">
        <v>68</v>
      </c>
      <c r="B69" s="9" t="inlineStr">
        <is>
          <t>EM-FLD-API-05</t>
        </is>
      </c>
      <c r="C69" s="9" t="inlineStr">
        <is>
          <t>BR-PUBLIC-04 / srs-fr-05:1369,2503</t>
        </is>
      </c>
      <c r="D69" s="9" t="inlineStr">
        <is>
          <t>API outbound/public — Field/API/Export</t>
        </is>
      </c>
      <c r="E69" s="10" t="inlineStr">
        <is>
          <t>P0</t>
        </is>
      </c>
      <c r="F69" s="9" t="inlineStr">
        <is>
          <t>UI/API/Data/Negative</t>
        </is>
      </c>
      <c r="G69" s="9" t="inlineStr">
        <is>
          <t>Không xuất email/SĐT/địa chỉ DN trong vụ việc công khai</t>
        </is>
      </c>
      <c r="H69" s="9" t="inlineStr">
        <is>
          <t>Cổng PLQG/API client</t>
        </is>
      </c>
      <c r="I69" s="9" t="inlineStr">
        <is>
          <t>API outbound vụ việc công khai</t>
        </is>
      </c>
      <c r="J69" s="9" t="inlineStr">
        <is>
          <t>Vụ việc đã duyệt có đầy đủ PII DN.</t>
        </is>
      </c>
      <c r="K69" s="9" t="inlineStr">
        <is>
          <t>email_dn=secret@example.test</t>
        </is>
      </c>
      <c r="L69" s="9" t="inlineStr">
        <is>
          <t>1. Gọi API danh sách/chi tiết công khai.
2. Tìm email và các PII trong JSON.
3. Kiểm tra log sanitize.</t>
        </is>
      </c>
      <c r="M69" s="9" t="inlineStr">
        <is>
          <t>Response chỉ có 10 field whitelist; không có email/SĐT/địa chỉ DN trong key hoặc free-text; nếu phát hiện PII phải chặn publish và audit security.</t>
        </is>
      </c>
      <c r="N69" s="9" t="inlineStr">
        <is>
          <t>Field/entity nêu trong TraceID</t>
        </is>
      </c>
      <c r="O69" s="9" t="inlineStr">
        <is>
          <t>Theo case; không tự gửi nếu chỉ validate/display</t>
        </is>
      </c>
      <c r="P69" s="9" t="inlineStr">
        <is>
          <t>Mailbox/entity không thuộc record</t>
        </is>
      </c>
      <c r="Q69" s="9" t="inlineStr">
        <is>
          <t>Raw JSON, whitelist keys, SEC_PII_LEAK audit.</t>
        </is>
      </c>
      <c r="R69" s="9" t="inlineStr">
        <is>
          <t>Dùng fixture riêng; rollback/delete fixture nếu quy trình cho phép.</t>
        </is>
      </c>
      <c r="S69" s="9" t="inlineStr"/>
      <c r="T69" s="9" t="inlineStr"/>
      <c r="U69" s="12" t="inlineStr">
        <is>
          <t>Not Run</t>
        </is>
      </c>
      <c r="V69" s="9" t="inlineStr"/>
      <c r="W69" s="9" t="inlineStr"/>
      <c r="X69" s="9" t="inlineStr"/>
    </row>
    <row r="70">
      <c r="A70" s="9" t="n">
        <v>69</v>
      </c>
      <c r="B70" s="9" t="inlineStr">
        <is>
          <t>EM-FLD-API-06</t>
        </is>
      </c>
      <c r="C70" s="9" t="inlineStr">
        <is>
          <t>FR-XII org mapping / srs-fr-16:536,1552</t>
        </is>
      </c>
      <c r="D70" s="9" t="inlineStr">
        <is>
          <t>API outbound tổ chức — Field/API/Export</t>
        </is>
      </c>
      <c r="E70" s="10" t="inlineStr">
        <is>
          <t>P0</t>
        </is>
      </c>
      <c r="F70" s="9" t="inlineStr">
        <is>
          <t>UI/API/Data/Negative</t>
        </is>
      </c>
      <c r="G70" s="9" t="inlineStr">
        <is>
          <t>Email liên hệ công khai của tổ chức được map đúng</t>
        </is>
      </c>
      <c r="H70" s="9" t="inlineStr">
        <is>
          <t>Cổng PLQG/API client</t>
        </is>
      </c>
      <c r="I70" s="9" t="inlineStr">
        <is>
          <t>API outbound tổ chức tư vấn</t>
        </is>
      </c>
      <c r="J70" s="9" t="inlineStr">
        <is>
          <t>Tổ chức được phép công khai có email liên hệ.</t>
        </is>
      </c>
      <c r="K70" s="9" t="inlineStr">
        <is>
          <t>org.public@example.test</t>
        </is>
      </c>
      <c r="L70" s="9" t="inlineStr">
        <is>
          <t>1. Gọi API danh sách/chi tiết tổ chức.
2. Đối chiếu email với TO_CHUC_TU_VAN.
3. Kiểm tra tổ chức không được công khai.</t>
        </is>
      </c>
      <c r="M70" s="9" t="inlineStr">
        <is>
          <t>Tổ chức được phép có đúng email liên hệ theo mapping; không lẫn email cá nhân TVV/TK; tổ chức ngoài scope không xuất hiện.</t>
        </is>
      </c>
      <c r="N70" s="9" t="inlineStr">
        <is>
          <t>Field/entity nêu trong TraceID</t>
        </is>
      </c>
      <c r="O70" s="9" t="inlineStr">
        <is>
          <t>Theo case; không tự gửi nếu chỉ validate/display</t>
        </is>
      </c>
      <c r="P70" s="9" t="inlineStr">
        <is>
          <t>Mailbox/entity không thuộc record</t>
        </is>
      </c>
      <c r="Q70" s="9" t="inlineStr">
        <is>
          <t>API JSON vs TO_CHUC_TU_VAN.email; scope/public flag.</t>
        </is>
      </c>
      <c r="R70" s="9" t="inlineStr">
        <is>
          <t>Dùng fixture riêng; rollback/delete fixture nếu quy trình cho phép.</t>
        </is>
      </c>
      <c r="S70" s="9" t="inlineStr"/>
      <c r="T70" s="9" t="inlineStr"/>
      <c r="U70" s="12" t="inlineStr">
        <is>
          <t>Not Run</t>
        </is>
      </c>
      <c r="V70" s="9" t="inlineStr"/>
      <c r="W70" s="9" t="inlineStr"/>
      <c r="X70" s="9" t="inlineStr"/>
    </row>
    <row r="71">
      <c r="A71" s="9" t="n">
        <v>70</v>
      </c>
      <c r="B71" s="9" t="inlineStr">
        <is>
          <t>EM-FLD-TVV-01</t>
        </is>
      </c>
      <c r="C71" s="9" t="inlineStr">
        <is>
          <t>FR-IV-02 Inputs email / srs-fr-04:302-364</t>
        </is>
      </c>
      <c r="D71" s="9" t="inlineStr">
        <is>
          <t>TVV/CG — Field/API/Export</t>
        </is>
      </c>
      <c r="E71" s="10" t="inlineStr">
        <is>
          <t>P0</t>
        </is>
      </c>
      <c r="F71" s="9" t="inlineStr">
        <is>
          <t>UI/API/Data/Negative</t>
        </is>
      </c>
      <c r="G71" s="9" t="inlineStr">
        <is>
          <t>Đăng ký TVV với email hợp lệ duy nhất</t>
        </is>
      </c>
      <c r="H71" s="9" t="inlineStr">
        <is>
          <t>NHT</t>
        </is>
      </c>
      <c r="I71" s="9" t="inlineStr">
        <is>
          <t>Đăng ký hồ sơ TVV/CG</t>
        </is>
      </c>
      <c r="J71" s="9" t="inlineStr">
        <is>
          <t>Email chưa dùng trong hệ thống.</t>
        </is>
      </c>
      <c r="K71" s="9" t="inlineStr">
        <is>
          <t>new.tvv@example.test</t>
        </is>
      </c>
      <c r="L71" s="9" t="inlineStr">
        <is>
          <t>1. Mở form.
2. Nhập email hợp lệ và dữ liệu bắt buộc.
3. Submit.
4. Kiểm tra hồ sơ/TK/queue.</t>
        </is>
      </c>
      <c r="M71" s="9" t="inlineStr">
        <is>
          <t>Tạo hồ sơ MOI_DANG_KY với email đúng; chưa tạo TK/mail kích hoạt trước khi CB PD duyệt.</t>
        </is>
      </c>
      <c r="N71" s="9" t="inlineStr">
        <is>
          <t>Field/entity nêu trong TraceID</t>
        </is>
      </c>
      <c r="O71" s="9" t="inlineStr">
        <is>
          <t>Theo case; không tự gửi nếu chỉ validate/display</t>
        </is>
      </c>
      <c r="P71" s="9" t="inlineStr">
        <is>
          <t>Mailbox/entity không thuộc record</t>
        </is>
      </c>
      <c r="Q71" s="9" t="inlineStr">
        <is>
          <t>TU_VAN_VIEN.email; TAI_KHOAN/token/activation queue +0.</t>
        </is>
      </c>
      <c r="R71" s="9" t="inlineStr">
        <is>
          <t>Dùng fixture riêng; rollback/delete fixture nếu quy trình cho phép.</t>
        </is>
      </c>
      <c r="S71" s="9" t="inlineStr"/>
      <c r="T71" s="9" t="inlineStr"/>
      <c r="U71" s="12" t="inlineStr">
        <is>
          <t>Not Run</t>
        </is>
      </c>
      <c r="V71" s="9" t="inlineStr"/>
      <c r="W71" s="9" t="inlineStr"/>
      <c r="X71" s="9" t="inlineStr"/>
    </row>
    <row r="72">
      <c r="A72" s="9" t="n">
        <v>71</v>
      </c>
      <c r="B72" s="9" t="inlineStr">
        <is>
          <t>EM-FLD-TVV-02</t>
        </is>
      </c>
      <c r="C72" s="9" t="inlineStr">
        <is>
          <t>FR-IV-02 E7 ERR-DK-07</t>
        </is>
      </c>
      <c r="D72" s="9" t="inlineStr">
        <is>
          <t>TVV/CG — Field/API/Export</t>
        </is>
      </c>
      <c r="E72" s="10" t="inlineStr">
        <is>
          <t>P0</t>
        </is>
      </c>
      <c r="F72" s="9" t="inlineStr">
        <is>
          <t>UI/API/Data/Negative</t>
        </is>
      </c>
      <c r="G72" s="9" t="inlineStr">
        <is>
          <t>Đăng ký TVV email sai format</t>
        </is>
      </c>
      <c r="H72" s="9" t="inlineStr">
        <is>
          <t>NHT</t>
        </is>
      </c>
      <c r="I72" s="9" t="inlineStr">
        <is>
          <t>Đăng ký hồ sơ TVV/CG</t>
        </is>
      </c>
      <c r="J72" s="9" t="inlineStr">
        <is>
          <t>Form hợp lệ trừ email.</t>
        </is>
      </c>
      <c r="K72" s="9" t="inlineStr">
        <is>
          <t>invalid-email</t>
        </is>
      </c>
      <c r="L72" s="9" t="inlineStr">
        <is>
          <t>1. Nhập dữ liệu.
2. Submit.
3. Kiểm tra UI/API.</t>
        </is>
      </c>
      <c r="M72" s="9" t="inlineStr">
        <is>
          <t>Hiển thị 'Email không đúng định dạng'; không tạo hồ sơ/TK/mail.</t>
        </is>
      </c>
      <c r="N72" s="9" t="inlineStr">
        <is>
          <t>Field/entity nêu trong TraceID</t>
        </is>
      </c>
      <c r="O72" s="9" t="inlineStr">
        <is>
          <t>Theo case; không tự gửi nếu chỉ validate/display</t>
        </is>
      </c>
      <c r="P72" s="9" t="inlineStr">
        <is>
          <t>Mailbox/entity không thuộc record</t>
        </is>
      </c>
      <c r="Q72" s="9" t="inlineStr">
        <is>
          <t>TU_VAN_VIEN count; response/message; queue +0.</t>
        </is>
      </c>
      <c r="R72" s="9" t="inlineStr">
        <is>
          <t>Dùng fixture riêng; rollback/delete fixture nếu quy trình cho phép.</t>
        </is>
      </c>
      <c r="S72" s="9" t="inlineStr"/>
      <c r="T72" s="9" t="inlineStr"/>
      <c r="U72" s="12" t="inlineStr">
        <is>
          <t>Not Run</t>
        </is>
      </c>
      <c r="V72" s="9" t="inlineStr"/>
      <c r="W72" s="9" t="inlineStr"/>
      <c r="X72" s="9" t="inlineStr"/>
    </row>
    <row r="73">
      <c r="A73" s="9" t="n">
        <v>72</v>
      </c>
      <c r="B73" s="9" t="inlineStr">
        <is>
          <t>EM-FLD-TVV-03</t>
        </is>
      </c>
      <c r="C73" s="9" t="inlineStr">
        <is>
          <t>FR-IV-02 E9 ERR-DK-09</t>
        </is>
      </c>
      <c r="D73" s="9" t="inlineStr">
        <is>
          <t>TVV/CG — Field/API/Export</t>
        </is>
      </c>
      <c r="E73" s="10" t="inlineStr">
        <is>
          <t>P0</t>
        </is>
      </c>
      <c r="F73" s="9" t="inlineStr">
        <is>
          <t>UI/API/Data/Negative</t>
        </is>
      </c>
      <c r="G73" s="9" t="inlineStr">
        <is>
          <t>Đăng ký TVV email đã tồn tại</t>
        </is>
      </c>
      <c r="H73" s="9" t="inlineStr">
        <is>
          <t>NHT</t>
        </is>
      </c>
      <c r="I73" s="9" t="inlineStr">
        <is>
          <t>Đăng ký hồ sơ TVV/CG</t>
        </is>
      </c>
      <c r="J73" s="9" t="inlineStr">
        <is>
          <t>Email đã thuộc TVV/tài khoản khác.</t>
        </is>
      </c>
      <c r="K73" s="9" t="inlineStr">
        <is>
          <t>existing.tvv@example.test</t>
        </is>
      </c>
      <c r="L73" s="9" t="inlineStr">
        <is>
          <t>1. Nhập dữ liệu.
2. Submit.
3. Kiểm tra UI/API.</t>
        </is>
      </c>
      <c r="M73" s="9" t="inlineStr">
        <is>
          <t>Hiển thị 'Email này đã được sử dụng bởi tư vấn viên khác'; không tạo hồ sơ/TK/mail.</t>
        </is>
      </c>
      <c r="N73" s="9" t="inlineStr">
        <is>
          <t>Field/entity nêu trong TraceID</t>
        </is>
      </c>
      <c r="O73" s="9" t="inlineStr">
        <is>
          <t>Theo case; không tự gửi nếu chỉ validate/display</t>
        </is>
      </c>
      <c r="P73" s="9" t="inlineStr">
        <is>
          <t>Mailbox/entity không thuộc record</t>
        </is>
      </c>
      <c r="Q73" s="9" t="inlineStr">
        <is>
          <t>Unique lookup toàn hệ thống; entity count/queue.</t>
        </is>
      </c>
      <c r="R73" s="9" t="inlineStr">
        <is>
          <t>Dùng fixture riêng; rollback/delete fixture nếu quy trình cho phép.</t>
        </is>
      </c>
      <c r="S73" s="9" t="inlineStr"/>
      <c r="T73" s="9" t="inlineStr"/>
      <c r="U73" s="12" t="inlineStr">
        <is>
          <t>Not Run</t>
        </is>
      </c>
      <c r="V73" s="9" t="inlineStr"/>
      <c r="W73" s="9" t="inlineStr"/>
      <c r="X73" s="9" t="inlineStr"/>
    </row>
    <row r="74">
      <c r="A74" s="9" t="n">
        <v>73</v>
      </c>
      <c r="B74" s="9" t="inlineStr">
        <is>
          <t>EM-FLD-TVV-04</t>
        </is>
      </c>
      <c r="C74" s="9" t="inlineStr">
        <is>
          <t>FR-IV-10 / srs-fr-04:821-864</t>
        </is>
      </c>
      <c r="D74" s="9" t="inlineStr">
        <is>
          <t>TVV/CG — Field/API/Export</t>
        </is>
      </c>
      <c r="E74" s="10" t="inlineStr">
        <is>
          <t>P0</t>
        </is>
      </c>
      <c r="F74" s="9" t="inlineStr">
        <is>
          <t>UI/API/Data/Negative</t>
        </is>
      </c>
      <c r="G74" s="9" t="inlineStr">
        <is>
          <t>Cập nhật email TVV validate format và unique</t>
        </is>
      </c>
      <c r="H74" s="9" t="inlineStr">
        <is>
          <t>NHT đúng đơn vị</t>
        </is>
      </c>
      <c r="I74" s="9" t="inlineStr">
        <is>
          <t>Chi tiết TVV &gt; Cập nhật liên hệ</t>
        </is>
      </c>
      <c r="J74" s="9" t="inlineStr">
        <is>
          <t>TVV hiện hữu; chuẩn bị email valid mới, invalid, duplicate.</t>
        </is>
      </c>
      <c r="K74" s="9" t="inlineStr">
        <is>
          <t>3 lần cập nhật</t>
        </is>
      </c>
      <c r="L74" s="9" t="inlineStr">
        <is>
          <t>1. Đổi sang email valid mới, lưu/reload.
2. Đổi sang invalid.
3. Đổi sang duplicate.
4. Kiểm tra UI/API/audit.</t>
        </is>
      </c>
      <c r="M74" s="9" t="inlineStr">
        <is>
          <t>1. Email mới lưu đúng.
2. ERR-CN-01 'Định dạng email không hợp lệ'.
3. ERR-CN-04 'Email này đã được sử dụng bởi tư vấn viên khác'.
4. Hai case lỗi dữ liệu trên UI không đổi; audit case thành công.</t>
        </is>
      </c>
      <c r="N74" s="9" t="inlineStr">
        <is>
          <t>Field/entity nêu trong TraceID</t>
        </is>
      </c>
      <c r="O74" s="9" t="inlineStr">
        <is>
          <t>Theo case; không tự gửi nếu chỉ validate/display</t>
        </is>
      </c>
      <c r="P74" s="9" t="inlineStr">
        <is>
          <t>Mailbox/entity không thuộc record</t>
        </is>
      </c>
      <c r="Q74" s="9" t="inlineStr">
        <is>
          <t>TU_VAN_VIEN.email old/new; uniqueness; audit.</t>
        </is>
      </c>
      <c r="R74" s="9" t="inlineStr">
        <is>
          <t>Dùng fixture riêng; rollback/delete fixture nếu quy trình cho phép.</t>
        </is>
      </c>
      <c r="S74" s="9" t="inlineStr"/>
      <c r="T74" s="9" t="inlineStr"/>
      <c r="U74" s="12" t="inlineStr">
        <is>
          <t>Not Run</t>
        </is>
      </c>
      <c r="V74" s="9" t="inlineStr"/>
      <c r="W74" s="9" t="inlineStr"/>
      <c r="X74" s="9" t="inlineStr"/>
    </row>
    <row r="75">
      <c r="A75" s="9" t="n">
        <v>74</v>
      </c>
      <c r="B75" s="9" t="inlineStr">
        <is>
          <t>EM-FLD-TVV-05</t>
        </is>
      </c>
      <c r="C75" s="9" t="inlineStr">
        <is>
          <t>FR-IV-11 srs-fr-04:815-849 / BR-AUTH-EMAIL-01 canonical srs-v3.5:5616 / FR-VIII-26 srs-fr-10:1319-1323</t>
        </is>
      </c>
      <c r="D75" s="9" t="inlineStr">
        <is>
          <t>TVV/CG — Field/API/Export</t>
        </is>
      </c>
      <c r="E75" s="10" t="inlineStr">
        <is>
          <t>P0</t>
        </is>
      </c>
      <c r="F75" s="9" t="inlineStr">
        <is>
          <t>UI/API/Data/Negative</t>
        </is>
      </c>
      <c r="G75" s="9" t="inlineStr">
        <is>
          <t>TVV đã có TK đổi email liên hệ: kiểm routing và ghi nhận đồng bộ</t>
        </is>
      </c>
      <c r="H75" s="9" t="inlineStr">
        <is>
          <t>NHT đúng đơn vị</t>
        </is>
      </c>
      <c r="I75" s="9" t="inlineStr">
        <is>
          <t>Chi tiết TVV HOAT_DONG &gt; Cập nhật liên hệ</t>
        </is>
      </c>
      <c r="J75" s="9" t="inlineStr">
        <is>
          <t>TU_VAN_VIEN.email = TAI_KHOAN.email trước test.</t>
        </is>
      </c>
      <c r="K75" s="9" t="inlineStr">
        <is>
          <t>new.tvv.contact@example.test</t>
        </is>
      </c>
      <c r="L75" s="9" t="inlineStr">
        <is>
          <t>1. Ghi hai email trước test.
2. NHT đổi email TVV.
3. Reload hai entity.
4. Trigger reset/notification.
5. Kiểm tra inbox.</t>
        </is>
      </c>
      <c r="M75" s="9" t="inlineStr">
        <is>
          <t>FR-IV-11 cập nhật TU_VAN_VIEN.email. Sau thay đổi, reset và mọi notification workflow vẫn phải gửi tới TAI_KHOAN.email; gửi sang email liên hệ TVV là Fail. Riêng việc TAI_KHOAN.email có tự đồng bộ hay không chưa được FR-IV-11 đặc tả: ghi Actual + BA clarification, không tự chấm.</t>
        </is>
      </c>
      <c r="N75" s="9" t="inlineStr">
        <is>
          <t>Field/entity nêu trong TraceID</t>
        </is>
      </c>
      <c r="O75" s="9" t="inlineStr">
        <is>
          <t>Theo case; không tự gửi nếu chỉ validate/display</t>
        </is>
      </c>
      <c r="P75" s="9" t="inlineStr">
        <is>
          <t>Mailbox/entity không thuộc record</t>
        </is>
      </c>
      <c r="Q75" s="9" t="inlineStr">
        <is>
          <t>TU_VAN_VIEN.email, TAI_KHOAN.email, recipient routing, audit.</t>
        </is>
      </c>
      <c r="R75" s="9" t="inlineStr">
        <is>
          <t>Dùng fixture riêng; rollback/delete fixture nếu quy trình cho phép.</t>
        </is>
      </c>
      <c r="S75" s="9" t="inlineStr"/>
      <c r="T75" s="9" t="inlineStr"/>
      <c r="U75" s="12" t="inlineStr">
        <is>
          <t>Not Run</t>
        </is>
      </c>
      <c r="V75" s="9" t="inlineStr"/>
      <c r="W75" s="9" t="inlineStr"/>
      <c r="X75" s="9" t="inlineStr"/>
    </row>
  </sheetData>
  <autoFilter ref="A1:X75"/>
  <dataValidations count="1">
    <dataValidation sqref="U2:U75" showDropDown="0" showInputMessage="0" showErrorMessage="0" allowBlank="0" type="list">
      <formula1>"Not Run,Pass,Fail,Blocked"</formula1>
    </dataValidation>
  </dataValidation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X19"/>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34" customWidth="1" min="3" max="3"/>
    <col width="20" customWidth="1" min="4" max="4"/>
    <col width="9" customWidth="1" min="5" max="5"/>
    <col width="17" customWidth="1" min="6" max="6"/>
    <col width="38" customWidth="1" min="7" max="7"/>
    <col width="22" customWidth="1" min="8" max="8"/>
    <col width="30" customWidth="1" min="9" max="9"/>
    <col width="38" customWidth="1" min="10" max="10"/>
    <col width="34" customWidth="1" min="11" max="11"/>
    <col width="60" customWidth="1" min="12" max="12"/>
    <col width="65" customWidth="1" min="13" max="13"/>
    <col width="28" customWidth="1" min="14" max="14"/>
    <col width="30" customWidth="1" min="15" max="15"/>
    <col width="34" customWidth="1" min="16" max="16"/>
    <col width="48" customWidth="1" min="17" max="17"/>
    <col width="32" customWidth="1" min="18" max="18"/>
    <col width="36" customWidth="1" min="19" max="19"/>
    <col width="25" customWidth="1" min="20" max="20"/>
    <col width="13" customWidth="1" min="21" max="21"/>
    <col width="16" customWidth="1" min="22" max="22"/>
    <col width="20" customWidth="1" min="23" max="23"/>
    <col width="30" customWidth="1" min="24" max="24"/>
  </cols>
  <sheetData>
    <row r="1" ht="48" customHeight="1">
      <c r="A1" s="4" t="inlineStr">
        <is>
          <t>STT</t>
        </is>
      </c>
      <c r="B1" s="4" t="inlineStr">
        <is>
          <t>Test Case ID</t>
        </is>
      </c>
      <c r="C1" s="4" t="inlineStr">
        <is>
          <t>TraceID (Mã SRS)</t>
        </is>
      </c>
      <c r="D1" s="4" t="inlineStr">
        <is>
          <t>Nhóm/Feature</t>
        </is>
      </c>
      <c r="E1" s="4" t="inlineStr">
        <is>
          <t>Priority</t>
        </is>
      </c>
      <c r="F1" s="4" t="inlineStr">
        <is>
          <t>Type</t>
        </is>
      </c>
      <c r="G1" s="4" t="inlineStr">
        <is>
          <t>Tên Test Case / Mục tiêu</t>
        </is>
      </c>
      <c r="H1" s="4" t="inlineStr">
        <is>
          <t>Tác nhân</t>
        </is>
      </c>
      <c r="I1" s="4" t="inlineStr">
        <is>
          <t>Điểm bắt đầu luồng</t>
        </is>
      </c>
      <c r="J1" s="4" t="inlineStr">
        <is>
          <t>Pre-conditions (Tiền đề)</t>
        </is>
      </c>
      <c r="K1" s="4" t="inlineStr">
        <is>
          <t>Test Data (Dữ liệu)</t>
        </is>
      </c>
      <c r="L1" s="4" t="inlineStr">
        <is>
          <t>Các bước thực hiện</t>
        </is>
      </c>
      <c r="M1" s="4" t="inlineStr">
        <is>
          <t>Kết quả mong đợi theo bước</t>
        </is>
      </c>
      <c r="N1" s="4" t="inlineStr">
        <is>
          <t>Nguồn địa chỉ nhận</t>
        </is>
      </c>
      <c r="O1" s="4" t="inlineStr">
        <is>
          <t>Expected To / CC</t>
        </is>
      </c>
      <c r="P1" s="4" t="inlineStr">
        <is>
          <t>Mailbox KHÔNG được nhận</t>
        </is>
      </c>
      <c r="Q1" s="4" t="inlineStr">
        <is>
          <t>UI / API / Queue / SMTP / Audit cần kiểm tra</t>
        </is>
      </c>
      <c r="R1" s="4" t="inlineStr">
        <is>
          <t>Post-condition / Cleanup</t>
        </is>
      </c>
      <c r="S1" s="4" t="inlineStr">
        <is>
          <t>Kết quả thực tế</t>
        </is>
      </c>
      <c r="T1" s="4" t="inlineStr">
        <is>
          <t>Evidence</t>
        </is>
      </c>
      <c r="U1" s="4" t="inlineStr">
        <is>
          <t>Trạng thái</t>
        </is>
      </c>
      <c r="V1" s="4" t="inlineStr">
        <is>
          <t>Bug ID</t>
        </is>
      </c>
      <c r="W1" s="4" t="inlineStr">
        <is>
          <t>Tester / Ngày</t>
        </is>
      </c>
      <c r="X1" s="4" t="inlineStr">
        <is>
          <t>Ghi chú</t>
        </is>
      </c>
    </row>
    <row r="2">
      <c r="A2" s="9" t="n">
        <v>1</v>
      </c>
      <c r="B2" s="9" t="inlineStr">
        <is>
          <t>EM-INF-01</t>
        </is>
      </c>
      <c r="C2" s="9" t="inlineStr">
        <is>
          <t>INT-06 / SEC-01 §3.5.1 srs-v3.5:4605 / Architecture srs-v3.5:394 / phụ: SEC-03 §4.2.18 srs-v3.5:5138</t>
        </is>
      </c>
      <c r="D2" s="9" t="inlineStr">
        <is>
          <t>SMTP</t>
        </is>
      </c>
      <c r="E2" s="10" t="inlineStr">
        <is>
          <t>P0</t>
        </is>
      </c>
      <c r="F2" s="9" t="inlineStr">
        <is>
          <t>Integration</t>
        </is>
      </c>
      <c r="G2" s="9" t="inlineStr">
        <is>
          <t>Kết nối SMTP qua TLS</t>
        </is>
      </c>
      <c r="H2" s="9" t="inlineStr">
        <is>
          <t>QA kỹ thuật/QTHT</t>
        </is>
      </c>
      <c r="I2" s="9" t="inlineStr">
        <is>
          <t>SMTP test harness + ứng dụng</t>
        </is>
      </c>
      <c r="J2" s="9" t="inlineStr">
        <is>
          <t>Có quyền xem handshake SMTP.</t>
        </is>
      </c>
      <c r="K2" s="9" t="inlineStr">
        <is>
          <t>SMTP TLS hợp lệ</t>
        </is>
      </c>
      <c r="L2" s="9" t="inlineStr">
        <is>
          <t>1. Bật capture handshake.
2. Trigger một email.
3. Kiểm tra protocol/cipher/certificate.
4. Kiểm tra accepted.</t>
        </is>
      </c>
      <c r="M2" s="9" t="inlineStr">
        <is>
          <t>Ứng dụng kết nối SMTP/TLS 1.2+; cert hợp lệ; email accepted; không gửi credential plaintext.</t>
        </is>
      </c>
      <c r="N2" s="9" t="inlineStr">
        <is>
          <t>Theo testcase trigger</t>
        </is>
      </c>
      <c r="O2" s="9" t="inlineStr">
        <is>
          <t>Theo testcase trigger</t>
        </is>
      </c>
      <c r="P2" s="9" t="inlineStr">
        <is>
          <t>Mailbox không thuộc recipient matrix</t>
        </is>
      </c>
      <c r="Q2" s="9" t="inlineStr">
        <is>
          <t>SMTP connection/handshake log; message-id.</t>
        </is>
      </c>
      <c r="R2" s="9" t="inlineStr">
        <is>
          <t>Khôi phục SMTP/config/clock; xóa fixture queue; lưu log và message-id.</t>
        </is>
      </c>
      <c r="S2" s="9" t="inlineStr"/>
      <c r="T2" s="9" t="inlineStr"/>
      <c r="U2" s="12" t="inlineStr">
        <is>
          <t>Not Run</t>
        </is>
      </c>
      <c r="V2" s="9" t="inlineStr"/>
      <c r="W2" s="9" t="inlineStr"/>
      <c r="X2" s="9" t="inlineStr"/>
    </row>
    <row r="3">
      <c r="A3" s="9" t="n">
        <v>2</v>
      </c>
      <c r="B3" s="9" t="inlineStr">
        <is>
          <t>EM-INF-02</t>
        </is>
      </c>
      <c r="C3" s="9" t="inlineStr">
        <is>
          <t>NFR-NOTIF-01</t>
        </is>
      </c>
      <c r="D3" s="9" t="inlineStr">
        <is>
          <t>Delivery SLA</t>
        </is>
      </c>
      <c r="E3" s="10" t="inlineStr">
        <is>
          <t>P0</t>
        </is>
      </c>
      <c r="F3" s="9" t="inlineStr">
        <is>
          <t>Performance</t>
        </is>
      </c>
      <c r="G3" s="9" t="inlineStr">
        <is>
          <t>Email được SMTP accepted trong ≤5 phút</t>
        </is>
      </c>
      <c r="H3" s="9" t="inlineStr">
        <is>
          <t>QA kỹ thuật/QTHT</t>
        </is>
      </c>
      <c r="I3" s="9" t="inlineStr">
        <is>
          <t>SMTP test harness + ứng dụng</t>
        </is>
      </c>
      <c r="J3" s="9" t="inlineStr">
        <is>
          <t>Đồng bộ clock ứng dụng/API/SMTP.</t>
        </is>
      </c>
      <c r="K3" s="9" t="inlineStr">
        <is>
          <t>Tối thiểu 20 trigger đại diện</t>
        </is>
      </c>
      <c r="L3" s="9" t="inlineStr">
        <is>
          <t>1. Ghi event timestamp.
2. Trigger email.
3. Ghi SMTP accepted timestamp.
4. Tính delta từng mẫu.
5. Kiểm tra alert nếu &gt;5 phút.</t>
        </is>
      </c>
      <c r="M3" s="9" t="inlineStr">
        <is>
          <t>Mọi mẫu delta ≤5 phút. Mẫu &gt;5 phút phải tạo alert QTHT và testcase delivery bị Fail.</t>
        </is>
      </c>
      <c r="N3" s="9" t="inlineStr">
        <is>
          <t>Theo testcase trigger</t>
        </is>
      </c>
      <c r="O3" s="9" t="inlineStr">
        <is>
          <t>Theo testcase trigger</t>
        </is>
      </c>
      <c r="P3" s="9" t="inlineStr">
        <is>
          <t>Mailbox không thuộc recipient matrix</t>
        </is>
      </c>
      <c r="Q3" s="9" t="inlineStr">
        <is>
          <t>Event time, queue created/attempt time, SMTP accepted time, alert.</t>
        </is>
      </c>
      <c r="R3" s="9" t="inlineStr">
        <is>
          <t>Khôi phục SMTP/config/clock; xóa fixture queue; lưu log và message-id.</t>
        </is>
      </c>
      <c r="S3" s="9" t="inlineStr"/>
      <c r="T3" s="9" t="inlineStr"/>
      <c r="U3" s="12" t="inlineStr">
        <is>
          <t>Not Run</t>
        </is>
      </c>
      <c r="V3" s="9" t="inlineStr"/>
      <c r="W3" s="9" t="inlineStr"/>
      <c r="X3" s="9" t="inlineStr"/>
    </row>
    <row r="4">
      <c r="A4" s="9" t="n">
        <v>3</v>
      </c>
      <c r="B4" s="9" t="inlineStr">
        <is>
          <t>EM-INF-03</t>
        </is>
      </c>
      <c r="C4" s="9" t="inlineStr">
        <is>
          <t>[NGOÀI SRS] INT-06 Email HTML</t>
        </is>
      </c>
      <c r="D4" s="9" t="inlineStr">
        <is>
          <t>Rendering</t>
        </is>
      </c>
      <c r="E4" s="13" t="inlineStr">
        <is>
          <t>P1</t>
        </is>
      </c>
      <c r="F4" s="9" t="inlineStr">
        <is>
          <t>Compatibility</t>
        </is>
      </c>
      <c r="G4" s="9" t="inlineStr">
        <is>
          <t>HTML và tiếng Việt hiển thị đúng</t>
        </is>
      </c>
      <c r="H4" s="9" t="inlineStr">
        <is>
          <t>QA kỹ thuật/QTHT</t>
        </is>
      </c>
      <c r="I4" s="9" t="inlineStr">
        <is>
          <t>SMTP test harness + ứng dụng</t>
        </is>
      </c>
      <c r="J4" s="9" t="inlineStr">
        <is>
          <t>Gmail thật nhận được thư; có quyền mở Show original.</t>
        </is>
      </c>
      <c r="K4" s="9" t="inlineStr">
        <is>
          <t>Tên/mã/lý do có dấu tiếng Việt và ký tự &amp;,&lt;,&gt;</t>
        </is>
      </c>
      <c r="L4" s="9" t="inlineStr">
        <is>
          <t>1. Trigger mail mẫu.
2. Mở thư trong Gmail.
3. Kiểm tra subject/body/link và Show original.
4. Xem plain-text fallback nếu template có.</t>
        </is>
      </c>
      <c r="M4" s="9" t="inlineStr">
        <is>
          <t>Không lỗi font/encoding/layout; biến được escape; link đúng; nội dung không bị cắt sai.</t>
        </is>
      </c>
      <c r="N4" s="9" t="inlineStr">
        <is>
          <t>Theo testcase trigger</t>
        </is>
      </c>
      <c r="O4" s="9" t="inlineStr">
        <is>
          <t>Theo testcase trigger</t>
        </is>
      </c>
      <c r="P4" s="9" t="inlineStr">
        <is>
          <t>Mailbox không thuộc recipient matrix</t>
        </is>
      </c>
      <c r="Q4" s="9" t="inlineStr">
        <is>
          <t>Gmail Show original: To/CC/Message-ID/Content-Type/charset + ảnh thư đã render.</t>
        </is>
      </c>
      <c r="R4" s="9" t="inlineStr">
        <is>
          <t>Khôi phục SMTP/config/clock; xóa fixture queue; lưu log và message-id.</t>
        </is>
      </c>
      <c r="S4" s="9" t="inlineStr"/>
      <c r="T4" s="9" t="inlineStr"/>
      <c r="U4" s="12" t="inlineStr">
        <is>
          <t>Not Run</t>
        </is>
      </c>
      <c r="V4" s="9" t="inlineStr"/>
      <c r="W4" s="9" t="inlineStr"/>
      <c r="X4" s="9" t="inlineStr"/>
    </row>
    <row r="5">
      <c r="A5" s="9" t="n">
        <v>4</v>
      </c>
      <c r="B5" s="9" t="inlineStr">
        <is>
          <t>EM-INF-04</t>
        </is>
      </c>
      <c r="C5" s="9" t="inlineStr">
        <is>
          <t>BR-EC-11</t>
        </is>
      </c>
      <c r="D5" s="9" t="inlineStr">
        <is>
          <t>Retry</t>
        </is>
      </c>
      <c r="E5" s="10" t="inlineStr">
        <is>
          <t>P0</t>
        </is>
      </c>
      <c r="F5" s="9" t="inlineStr">
        <is>
          <t>Resilience</t>
        </is>
      </c>
      <c r="G5" s="9" t="inlineStr">
        <is>
          <t>SMTP lỗi tạm thời được retry</t>
        </is>
      </c>
      <c r="H5" s="9" t="inlineStr">
        <is>
          <t>QA kỹ thuật/QTHT</t>
        </is>
      </c>
      <c r="I5" s="9" t="inlineStr">
        <is>
          <t>SMTP test harness + ứng dụng</t>
        </is>
      </c>
      <c r="J5" s="9" t="inlineStr">
        <is>
          <t>SMTP stub trả timeout/5xx 2 lần rồi success.</t>
        </is>
      </c>
      <c r="K5" s="9" t="inlineStr">
        <is>
          <t>Retry sequence fail,fail,success</t>
        </is>
      </c>
      <c r="L5" s="9" t="inlineStr">
        <is>
          <t>1. Cấu hình stub.
2. Trigger một mail.
3. Theo dõi attempts.
4. Cho lần 3 success.
5. Kiểm tra inbox/flags.</t>
        </is>
      </c>
      <c r="M5" s="9" t="inlineStr">
        <is>
          <t>Tối đa 3 lần gửi; lần 3 thành công; không gửi trùng; cuối cùng một mail accepted. Không assert khoảng cách retry, trừ case Hỏi đáp kiểm riêng 10 phút.</t>
        </is>
      </c>
      <c r="N5" s="9" t="inlineStr">
        <is>
          <t>Theo testcase trigger</t>
        </is>
      </c>
      <c r="O5" s="9" t="inlineStr">
        <is>
          <t>Theo testcase trigger</t>
        </is>
      </c>
      <c r="P5" s="9" t="inlineStr">
        <is>
          <t>Mailbox không thuộc recipient matrix</t>
        </is>
      </c>
      <c r="Q5" s="9" t="inlineStr">
        <is>
          <t>Queue attempts/timestamps nếu có quyền; Gmail chỉ có một thư/message-id.</t>
        </is>
      </c>
      <c r="R5" s="9" t="inlineStr">
        <is>
          <t>Khôi phục SMTP/config/clock; xóa fixture queue; lưu log và message-id.</t>
        </is>
      </c>
      <c r="S5" s="9" t="inlineStr"/>
      <c r="T5" s="9" t="inlineStr"/>
      <c r="U5" s="12" t="inlineStr">
        <is>
          <t>Not Run</t>
        </is>
      </c>
      <c r="V5" s="9" t="inlineStr"/>
      <c r="W5" s="9" t="inlineStr"/>
      <c r="X5" s="9" t="inlineStr"/>
    </row>
    <row r="6">
      <c r="A6" s="9" t="n">
        <v>5</v>
      </c>
      <c r="B6" s="9" t="inlineStr">
        <is>
          <t>EM-INF-05</t>
        </is>
      </c>
      <c r="C6" s="9" t="inlineStr">
        <is>
          <t>BR-EC-11 / srs-fr-02 ERR-SLA-MAIL-01</t>
        </is>
      </c>
      <c r="D6" s="9" t="inlineStr">
        <is>
          <t>Retry</t>
        </is>
      </c>
      <c r="E6" s="10" t="inlineStr">
        <is>
          <t>P0</t>
        </is>
      </c>
      <c r="F6" s="9" t="inlineStr">
        <is>
          <t>Resilience</t>
        </is>
      </c>
      <c r="G6" s="9" t="inlineStr">
        <is>
          <t>Ba lần lỗi đánh dấu thất bại và cảnh báo QTHT</t>
        </is>
      </c>
      <c r="H6" s="9" t="inlineStr">
        <is>
          <t>QA kỹ thuật/QTHT</t>
        </is>
      </c>
      <c r="I6" s="9" t="inlineStr">
        <is>
          <t>SMTP test harness + ứng dụng</t>
        </is>
      </c>
      <c r="J6" s="9" t="inlineStr">
        <is>
          <t>SMTP fail liên tục.</t>
        </is>
      </c>
      <c r="K6" s="9" t="inlineStr">
        <is>
          <t>3 failures</t>
        </is>
      </c>
      <c r="L6" s="9" t="inlineStr">
        <is>
          <t>1. Trigger mail.
2. Cho SMTP fail đủ 3 lần.
3. Theo dõi queue.
4. Kiểm tra dashboard/in-app QTHT.
5. Kiểm tra recipient inbox.</t>
        </is>
      </c>
      <c r="M6" s="9" t="inlineStr">
        <is>
          <t>Sau 3 lần: trạng thái THAT_BAI/email_failed=true; tạo in-app + alert QTHT; recipient không có mail; nghiệp vụ không bị gửi/commit lặp.</t>
        </is>
      </c>
      <c r="N6" s="9" t="inlineStr">
        <is>
          <t>Theo testcase trigger</t>
        </is>
      </c>
      <c r="O6" s="9" t="inlineStr">
        <is>
          <t>Theo testcase trigger</t>
        </is>
      </c>
      <c r="P6" s="9" t="inlineStr">
        <is>
          <t>Mailbox không thuộc recipient matrix</t>
        </is>
      </c>
      <c r="Q6" s="9" t="inlineStr">
        <is>
          <t>Attempts, final status, QTHT alert, audit. Lưu ý lịch retry 10 phút chỉ được nêu riêng Hỏi đáp.</t>
        </is>
      </c>
      <c r="R6" s="9" t="inlineStr">
        <is>
          <t>Khôi phục SMTP/config/clock; xóa fixture queue; lưu log và message-id.</t>
        </is>
      </c>
      <c r="S6" s="9" t="inlineStr"/>
      <c r="T6" s="9" t="inlineStr"/>
      <c r="U6" s="12" t="inlineStr">
        <is>
          <t>Not Run</t>
        </is>
      </c>
      <c r="V6" s="9" t="inlineStr"/>
      <c r="W6" s="9" t="inlineStr"/>
      <c r="X6" s="9" t="inlineStr"/>
    </row>
    <row r="7">
      <c r="A7" s="9" t="n">
        <v>6</v>
      </c>
      <c r="B7" s="9" t="inlineStr">
        <is>
          <t>EM-INF-06</t>
        </is>
      </c>
      <c r="C7" s="9" t="inlineStr">
        <is>
          <t>THONG_BAO entity srs-v3.5:2406-2407</t>
        </is>
      </c>
      <c r="D7" s="9" t="inlineStr">
        <is>
          <t>Delivery flags</t>
        </is>
      </c>
      <c r="E7" s="10" t="inlineStr">
        <is>
          <t>P0</t>
        </is>
      </c>
      <c r="F7" s="9" t="inlineStr">
        <is>
          <t>Data integrity</t>
        </is>
      </c>
      <c r="G7" s="9" t="inlineStr">
        <is>
          <t>Chỉ set đã gửi và thời gian sau SMTP accepted</t>
        </is>
      </c>
      <c r="H7" s="9" t="inlineStr">
        <is>
          <t>QA kỹ thuật/QTHT</t>
        </is>
      </c>
      <c r="I7" s="9" t="inlineStr">
        <is>
          <t>SMTP test harness + ứng dụng</t>
        </is>
      </c>
      <c r="J7" s="9" t="inlineStr">
        <is>
          <t>SMTP stub cho phép pause trước accepted.</t>
        </is>
      </c>
      <c r="K7" s="9" t="inlineStr">
        <is>
          <t>Kiểm tra trước/sau accepted</t>
        </is>
      </c>
      <c r="L7" s="9" t="inlineStr">
        <is>
          <t>1. Trigger email và pause SMTP.
2. Đọc trạng thái gửi qua API/màn quản trị nếu có.
3. Cho SMTP accepted.
4. Đọc lại trạng thái và kiểm Gmail.</t>
        </is>
      </c>
      <c r="M7" s="9" t="inlineStr">
        <is>
          <t>Trước SMTP accepted chưa được báo gửi thành công. Sau accepted, trạng thái gửi và thời gian cập nhật đúng; Gmail nhận đúng một thư. Nếu môi trường không mở trạng thái này qua API/UI thì ghi Not Run, không yêu cầu DB.</t>
        </is>
      </c>
      <c r="N7" s="9" t="inlineStr">
        <is>
          <t>Theo testcase trigger</t>
        </is>
      </c>
      <c r="O7" s="9" t="inlineStr">
        <is>
          <t>Theo testcase trigger</t>
        </is>
      </c>
      <c r="P7" s="9" t="inlineStr">
        <is>
          <t>Mailbox không thuộc recipient matrix</t>
        </is>
      </c>
      <c r="Q7" s="9" t="inlineStr">
        <is>
          <t>API/màn quản trị + Gmail + SMTP timestamp nếu có quyền.</t>
        </is>
      </c>
      <c r="R7" s="9" t="inlineStr">
        <is>
          <t>Khôi phục SMTP/config/clock; xóa fixture queue; lưu log và message-id.</t>
        </is>
      </c>
      <c r="S7" s="9" t="inlineStr"/>
      <c r="T7" s="9" t="inlineStr"/>
      <c r="U7" s="12" t="inlineStr">
        <is>
          <t>Not Run</t>
        </is>
      </c>
      <c r="V7" s="9" t="inlineStr"/>
      <c r="W7" s="9" t="inlineStr"/>
      <c r="X7" s="9" t="inlineStr"/>
    </row>
    <row r="8">
      <c r="A8" s="9" t="n">
        <v>7</v>
      </c>
      <c r="B8" s="9" t="inlineStr">
        <is>
          <t>EM-INF-07</t>
        </is>
      </c>
      <c r="C8" s="9" t="inlineStr">
        <is>
          <t>[NGOÀI SRS] BR-NOTIF-01</t>
        </is>
      </c>
      <c r="D8" s="9" t="inlineStr">
        <is>
          <t>Idempotency</t>
        </is>
      </c>
      <c r="E8" s="13" t="inlineStr">
        <is>
          <t>P1</t>
        </is>
      </c>
      <c r="F8" s="9" t="inlineStr">
        <is>
          <t>Concurrency</t>
        </is>
      </c>
      <c r="G8" s="9" t="inlineStr">
        <is>
          <t>Double-click trigger không gửi trùng</t>
        </is>
      </c>
      <c r="H8" s="9" t="inlineStr">
        <is>
          <t>QA kỹ thuật/QTHT</t>
        </is>
      </c>
      <c r="I8" s="9" t="inlineStr">
        <is>
          <t>SMTP test harness + ứng dụng</t>
        </is>
      </c>
      <c r="J8" s="9" t="inlineStr">
        <is>
          <t>Action workflow cho phép gửi notification.</t>
        </is>
      </c>
      <c r="K8" s="9" t="inlineStr">
        <is>
          <t>Hai request cùng idempotency context</t>
        </is>
      </c>
      <c r="L8" s="9" t="inlineStr">
        <is>
          <t>1. Ghi baseline.
2. Double-click/gửi 2 request đồng thời.
3. Chờ queue.
4. Kiểm tra state/inbox/UI/API.</t>
        </is>
      </c>
      <c r="M8" s="9" t="inlineStr">
        <is>
          <t>Một transition, một THONG_BAO theo người/sự kiện, một email/message-id; request thứ hai không tạo side effect.</t>
        </is>
      </c>
      <c r="N8" s="9" t="inlineStr">
        <is>
          <t>Theo testcase trigger</t>
        </is>
      </c>
      <c r="O8" s="9" t="inlineStr">
        <is>
          <t>Theo testcase trigger</t>
        </is>
      </c>
      <c r="P8" s="9" t="inlineStr">
        <is>
          <t>Mailbox không thuộc recipient matrix</t>
        </is>
      </c>
      <c r="Q8" s="9" t="inlineStr">
        <is>
          <t>Unique/idempotency key, state version, queue/message-id.</t>
        </is>
      </c>
      <c r="R8" s="9" t="inlineStr">
        <is>
          <t>Khôi phục SMTP/config/clock; xóa fixture queue; lưu log và message-id.</t>
        </is>
      </c>
      <c r="S8" s="9" t="inlineStr"/>
      <c r="T8" s="9" t="inlineStr"/>
      <c r="U8" s="12" t="inlineStr">
        <is>
          <t>Not Run</t>
        </is>
      </c>
      <c r="V8" s="9" t="inlineStr"/>
      <c r="W8" s="9" t="inlineStr"/>
      <c r="X8" s="9" t="inlineStr"/>
    </row>
    <row r="9">
      <c r="A9" s="9" t="n">
        <v>8</v>
      </c>
      <c r="B9" s="9" t="inlineStr">
        <is>
          <t>EM-INF-08</t>
        </is>
      </c>
      <c r="C9" s="9" t="inlineStr">
        <is>
          <t>[NGOÀI SRS] BR-NOTIF-01</t>
        </is>
      </c>
      <c r="D9" s="9" t="inlineStr">
        <is>
          <t>Recipient privacy</t>
        </is>
      </c>
      <c r="E9" s="13" t="inlineStr">
        <is>
          <t>P1</t>
        </is>
      </c>
      <c r="F9" s="9" t="inlineStr">
        <is>
          <t>Security</t>
        </is>
      </c>
      <c r="G9" s="9" t="inlineStr">
        <is>
          <t>Không lộ danh sách người nhận hàng loạt</t>
        </is>
      </c>
      <c r="H9" s="9" t="inlineStr">
        <is>
          <t>QA kỹ thuật/QTHT</t>
        </is>
      </c>
      <c r="I9" s="9" t="inlineStr">
        <is>
          <t>SMTP test harness + ứng dụng</t>
        </is>
      </c>
      <c r="J9" s="9" t="inlineStr">
        <is>
          <t>Sự kiện gửi nhiều học viên/CB.</t>
        </is>
      </c>
      <c r="K9" s="9" t="inlineStr">
        <is>
          <t>≥3 recipient khác domain</t>
        </is>
      </c>
      <c r="L9" s="9" t="inlineStr">
        <is>
          <t>1. Trigger bulk notification.
2. Mở raw mail từng người.
3. Kiểm tra To/CC/BCC.
4. So recipient envelope.</t>
        </is>
      </c>
      <c r="M9" s="9" t="inlineStr">
        <is>
          <t>Mỗi người không thấy email người không cần biết; To/CC đúng nghiệp vụ; không dùng CC toàn bộ học viên.</t>
        </is>
      </c>
      <c r="N9" s="9" t="inlineStr">
        <is>
          <t>Theo testcase trigger</t>
        </is>
      </c>
      <c r="O9" s="9" t="inlineStr">
        <is>
          <t>Theo testcase trigger</t>
        </is>
      </c>
      <c r="P9" s="9" t="inlineStr">
        <is>
          <t>Mailbox không thuộc recipient matrix</t>
        </is>
      </c>
      <c r="Q9" s="9" t="inlineStr">
        <is>
          <t>Raw MIME + SMTP envelope recipients.</t>
        </is>
      </c>
      <c r="R9" s="9" t="inlineStr">
        <is>
          <t>Khôi phục SMTP/config/clock; xóa fixture queue; lưu log và message-id.</t>
        </is>
      </c>
      <c r="S9" s="9" t="inlineStr"/>
      <c r="T9" s="9" t="inlineStr"/>
      <c r="U9" s="12" t="inlineStr">
        <is>
          <t>Not Run</t>
        </is>
      </c>
      <c r="V9" s="9" t="inlineStr"/>
      <c r="W9" s="9" t="inlineStr"/>
      <c r="X9" s="9" t="inlineStr"/>
    </row>
    <row r="10">
      <c r="A10" s="9" t="n">
        <v>9</v>
      </c>
      <c r="B10" s="9" t="inlineStr">
        <is>
          <t>EM-INF-09</t>
        </is>
      </c>
      <c r="C10" s="9" t="inlineStr">
        <is>
          <t>FR-V.I assignment</t>
        </is>
      </c>
      <c r="D10" s="9" t="inlineStr">
        <is>
          <t>CC routing</t>
        </is>
      </c>
      <c r="E10" s="10" t="inlineStr">
        <is>
          <t>P0</t>
        </is>
      </c>
      <c r="F10" s="9" t="inlineStr">
        <is>
          <t>Integration</t>
        </is>
      </c>
      <c r="G10" s="9" t="inlineStr">
        <is>
          <t>CC đúng điểm liên hệ tổ chức tư vấn</t>
        </is>
      </c>
      <c r="H10" s="9" t="inlineStr">
        <is>
          <t>QA kỹ thuật/QTHT</t>
        </is>
      </c>
      <c r="I10" s="9" t="inlineStr">
        <is>
          <t>SMTP test harness + ứng dụng</t>
        </is>
      </c>
      <c r="J10" s="9" t="inlineStr">
        <is>
          <t>Có 2 tổ chức, mỗi tổ chức email riêng.</t>
        </is>
      </c>
      <c r="K10" s="9" t="inlineStr">
        <is>
          <t>Chọn tổ chức A + TVV A</t>
        </is>
      </c>
      <c r="L10" s="9" t="inlineStr">
        <is>
          <t>1. Phân công qua tổ chức A.
2. Kiểm tra raw mail.
3. Kiểm tra inbox A/B.</t>
        </is>
      </c>
      <c r="M10" s="9" t="inlineStr">
        <is>
          <t>To TVV A; CC chính xác email liên hệ tổ chức A; tổ chức B và TVV B không nhận.</t>
        </is>
      </c>
      <c r="N10" s="9" t="inlineStr">
        <is>
          <t>Theo testcase trigger</t>
        </is>
      </c>
      <c r="O10" s="9" t="inlineStr">
        <is>
          <t>Theo testcase trigger</t>
        </is>
      </c>
      <c r="P10" s="9" t="inlineStr">
        <is>
          <t>Mailbox không thuộc recipient matrix</t>
        </is>
      </c>
      <c r="Q10" s="9" t="inlineStr">
        <is>
          <t>SMTP To/CC; source TO_CHUC_TU_VAN.email_lien_he.</t>
        </is>
      </c>
      <c r="R10" s="9" t="inlineStr">
        <is>
          <t>Khôi phục SMTP/config/clock; xóa fixture queue; lưu log và message-id.</t>
        </is>
      </c>
      <c r="S10" s="9" t="inlineStr"/>
      <c r="T10" s="9" t="inlineStr"/>
      <c r="U10" s="12" t="inlineStr">
        <is>
          <t>Not Run</t>
        </is>
      </c>
      <c r="V10" s="9" t="inlineStr"/>
      <c r="W10" s="9" t="inlineStr"/>
      <c r="X10" s="9" t="inlineStr"/>
    </row>
    <row r="11">
      <c r="A11" s="9" t="n">
        <v>10</v>
      </c>
      <c r="B11" s="9" t="inlineStr">
        <is>
          <t>EM-INF-10</t>
        </is>
      </c>
      <c r="C11" s="9" t="inlineStr">
        <is>
          <t>§3.5 XSS policy srs-v3.5:4623-4639</t>
        </is>
      </c>
      <c r="D11" s="9" t="inlineStr">
        <is>
          <t>XSS</t>
        </is>
      </c>
      <c r="E11" s="10" t="inlineStr">
        <is>
          <t>P0</t>
        </is>
      </c>
      <c r="F11" s="9" t="inlineStr">
        <is>
          <t>Security</t>
        </is>
      </c>
      <c r="G11" s="9" t="inlineStr">
        <is>
          <t>Sanitize script trong nội dung email</t>
        </is>
      </c>
      <c r="H11" s="9" t="inlineStr">
        <is>
          <t>QA kỹ thuật/QTHT</t>
        </is>
      </c>
      <c r="I11" s="9" t="inlineStr">
        <is>
          <t>SMTP test harness + ứng dụng</t>
        </is>
      </c>
      <c r="J11" s="9" t="inlineStr">
        <is>
          <t>Có field rich-text đi vào email.</t>
        </is>
      </c>
      <c r="K11" s="9" t="inlineStr">
        <is>
          <t>&lt;script&gt;alert(1)&lt;/script&gt;&lt;b&gt;Hợp lệ&lt;/b&gt;</t>
        </is>
      </c>
      <c r="L11" s="9" t="inlineStr">
        <is>
          <t>1. Nhập payload qua UI/API.
2. Trigger email.
3. Xem raw HTML và render.
4. Kiểm tra security log.</t>
        </is>
      </c>
      <c r="M11" s="9" t="inlineStr">
        <is>
          <t>script bị loại/reject theo tầng; không thực thi; tag whitelist b được giữ đúng nếu request được chấp nhận.</t>
        </is>
      </c>
      <c r="N11" s="9" t="inlineStr">
        <is>
          <t>Theo testcase trigger</t>
        </is>
      </c>
      <c r="O11" s="9" t="inlineStr">
        <is>
          <t>Theo testcase trigger</t>
        </is>
      </c>
      <c r="P11" s="9" t="inlineStr">
        <is>
          <t>Mailbox không thuộc recipient matrix</t>
        </is>
      </c>
      <c r="Q11" s="9" t="inlineStr">
        <is>
          <t>Raw HTML; UI/API response; security alert nếu bypass client.</t>
        </is>
      </c>
      <c r="R11" s="9" t="inlineStr">
        <is>
          <t>Khôi phục SMTP/config/clock; xóa fixture queue; lưu log và message-id.</t>
        </is>
      </c>
      <c r="S11" s="9" t="inlineStr"/>
      <c r="T11" s="9" t="inlineStr"/>
      <c r="U11" s="12" t="inlineStr">
        <is>
          <t>Not Run</t>
        </is>
      </c>
      <c r="V11" s="9" t="inlineStr"/>
      <c r="W11" s="9" t="inlineStr"/>
      <c r="X11" s="9" t="inlineStr"/>
    </row>
    <row r="12">
      <c r="A12" s="9" t="n">
        <v>11</v>
      </c>
      <c r="B12" s="9" t="inlineStr">
        <is>
          <t>EM-INF-11</t>
        </is>
      </c>
      <c r="C12" s="9" t="inlineStr">
        <is>
          <t>§3.5 XSS policy</t>
        </is>
      </c>
      <c r="D12" s="9" t="inlineStr">
        <is>
          <t>XSS</t>
        </is>
      </c>
      <c r="E12" s="10" t="inlineStr">
        <is>
          <t>P0</t>
        </is>
      </c>
      <c r="F12" s="9" t="inlineStr">
        <is>
          <t>Security</t>
        </is>
      </c>
      <c r="G12" s="9" t="inlineStr">
        <is>
          <t>Sanitize event handler và javascript URL</t>
        </is>
      </c>
      <c r="H12" s="9" t="inlineStr">
        <is>
          <t>QA kỹ thuật/QTHT</t>
        </is>
      </c>
      <c r="I12" s="9" t="inlineStr">
        <is>
          <t>SMTP test harness + ứng dụng</t>
        </is>
      </c>
      <c r="J12" s="9" t="inlineStr">
        <is>
          <t>Có field rich-text đi vào email.</t>
        </is>
      </c>
      <c r="K12" s="9" t="inlineStr">
        <is>
          <t>&lt;img src=x onerror=alert(1)&gt;&lt;a href=javascript:alert(1)&gt;x&lt;/a&gt;</t>
        </is>
      </c>
      <c r="L12" s="9" t="inlineStr">
        <is>
          <t>1. Gửi payload qua API bypass client.
2. Trigger email.
3. Xem raw/render.
4. Kiểm tra log.</t>
        </is>
      </c>
      <c r="M12" s="9" t="inlineStr">
        <is>
          <t>Server/pre-email sanitize chặn tag/attribute/URL nguy hiểm; không thực thi và không gửi HTML độc hại.</t>
        </is>
      </c>
      <c r="N12" s="9" t="inlineStr">
        <is>
          <t>Theo testcase trigger</t>
        </is>
      </c>
      <c r="O12" s="9" t="inlineStr">
        <is>
          <t>Theo testcase trigger</t>
        </is>
      </c>
      <c r="P12" s="9" t="inlineStr">
        <is>
          <t>Mailbox không thuộc recipient matrix</t>
        </is>
      </c>
      <c r="Q12" s="9" t="inlineStr">
        <is>
          <t>Raw MIME and security log.</t>
        </is>
      </c>
      <c r="R12" s="9" t="inlineStr">
        <is>
          <t>Khôi phục SMTP/config/clock; xóa fixture queue; lưu log và message-id.</t>
        </is>
      </c>
      <c r="S12" s="9" t="inlineStr"/>
      <c r="T12" s="9" t="inlineStr"/>
      <c r="U12" s="12" t="inlineStr">
        <is>
          <t>Not Run</t>
        </is>
      </c>
      <c r="V12" s="9" t="inlineStr"/>
      <c r="W12" s="9" t="inlineStr"/>
      <c r="X12" s="9" t="inlineStr"/>
    </row>
    <row r="13">
      <c r="A13" s="9" t="n">
        <v>12</v>
      </c>
      <c r="B13" s="9" t="inlineStr">
        <is>
          <t>EM-INF-12</t>
        </is>
      </c>
      <c r="C13" s="9" t="inlineStr">
        <is>
          <t>BR-SEC-01; srs-v3.5:5746</t>
        </is>
      </c>
      <c r="D13" s="9" t="inlineStr">
        <is>
          <t>PII</t>
        </is>
      </c>
      <c r="E13" s="10" t="inlineStr">
        <is>
          <t>P0</t>
        </is>
      </c>
      <c r="F13" s="9" t="inlineStr">
        <is>
          <t>Security</t>
        </is>
      </c>
      <c r="G13" s="9" t="inlineStr">
        <is>
          <t>Email/public content không rò dữ liệu nhạy cảm</t>
        </is>
      </c>
      <c r="H13" s="9" t="inlineStr">
        <is>
          <t>QA kỹ thuật/QTHT</t>
        </is>
      </c>
      <c r="I13" s="9" t="inlineStr">
        <is>
          <t>SMTP test harness + ứng dụng</t>
        </is>
      </c>
      <c r="J13" s="9" t="inlineStr">
        <is>
          <t>Fixture có CCCD, SĐT, email cá nhân, địa chỉ, tài khoản NH.</t>
        </is>
      </c>
      <c r="K13" s="9" t="inlineStr">
        <is>
          <t>Trigger công khai/email template</t>
        </is>
      </c>
      <c r="L13" s="9" t="inlineStr">
        <is>
          <t>1. Tạo fixture PII.
2. Trigger publish/email liên quan.
3. Tìm 6 nhóm PII trong raw body/attachment/link.
4. Kiểm tra audit security.</t>
        </is>
      </c>
      <c r="M13" s="9" t="inlineStr">
        <is>
          <t>Chỉ field được phép xuất hiện; không có password/hash/token/CCCD/tài khoản NH; vi phạm bị chặn/log SEC_PII_LEAK.</t>
        </is>
      </c>
      <c r="N13" s="9" t="inlineStr">
        <is>
          <t>Theo testcase trigger</t>
        </is>
      </c>
      <c r="O13" s="9" t="inlineStr">
        <is>
          <t>Theo testcase trigger</t>
        </is>
      </c>
      <c r="P13" s="9" t="inlineStr">
        <is>
          <t>Mailbox không thuộc recipient matrix</t>
        </is>
      </c>
      <c r="Q13" s="9" t="inlineStr">
        <is>
          <t>Raw body/attachment/API; security audit.</t>
        </is>
      </c>
      <c r="R13" s="9" t="inlineStr">
        <is>
          <t>Khôi phục SMTP/config/clock; xóa fixture queue; lưu log và message-id.</t>
        </is>
      </c>
      <c r="S13" s="9" t="inlineStr"/>
      <c r="T13" s="9" t="inlineStr"/>
      <c r="U13" s="12" t="inlineStr">
        <is>
          <t>Not Run</t>
        </is>
      </c>
      <c r="V13" s="9" t="inlineStr"/>
      <c r="W13" s="9" t="inlineStr"/>
      <c r="X13" s="9" t="inlineStr"/>
    </row>
    <row r="14">
      <c r="A14" s="9" t="n">
        <v>13</v>
      </c>
      <c r="B14" s="9" t="inlineStr">
        <is>
          <t>EM-INF-13</t>
        </is>
      </c>
      <c r="C14" s="9" t="inlineStr">
        <is>
          <t>[NGOÀI SRS] FR-VIII-22/26 token</t>
        </is>
      </c>
      <c r="D14" s="9" t="inlineStr">
        <is>
          <t>Token security</t>
        </is>
      </c>
      <c r="E14" s="10" t="inlineStr">
        <is>
          <t>P0</t>
        </is>
      </c>
      <c r="F14" s="9" t="inlineStr">
        <is>
          <t>Security</t>
        </is>
      </c>
      <c r="G14" s="9" t="inlineStr">
        <is>
          <t>Token không lộ trong log/analytics/Referer</t>
        </is>
      </c>
      <c r="H14" s="9" t="inlineStr">
        <is>
          <t>QA kỹ thuật/QTHT</t>
        </is>
      </c>
      <c r="I14" s="9" t="inlineStr">
        <is>
          <t>SMTP test harness + ứng dụng</t>
        </is>
      </c>
      <c r="J14" s="9" t="inlineStr">
        <is>
          <t>Có access log/APM/browser devtools.</t>
        </is>
      </c>
      <c r="K14" s="9" t="inlineStr">
        <is>
          <t>Activation/reset URL</t>
        </is>
      </c>
      <c r="L14" s="9" t="inlineStr">
        <is>
          <t>1. Yêu cầu link.
2. Mở link.
3. Kiểm tra app/proxy/APM/analytics logs.
4. Điều hướng khỏi trang và xem Referer.</t>
        </is>
      </c>
      <c r="M14" s="9" t="inlineStr">
        <is>
          <t>Không log token đầy đủ; không gửi token tới analytics/third party/Referer; UI/API lưu an toàn theo thiết kế.</t>
        </is>
      </c>
      <c r="N14" s="9" t="inlineStr">
        <is>
          <t>Theo testcase trigger</t>
        </is>
      </c>
      <c r="O14" s="9" t="inlineStr">
        <is>
          <t>Theo testcase trigger</t>
        </is>
      </c>
      <c r="P14" s="9" t="inlineStr">
        <is>
          <t>Mailbox không thuộc recipient matrix</t>
        </is>
      </c>
      <c r="Q14" s="9" t="inlineStr">
        <is>
          <t>Log search theo token; network capture.</t>
        </is>
      </c>
      <c r="R14" s="9" t="inlineStr">
        <is>
          <t>Khôi phục SMTP/config/clock; xóa fixture queue; lưu log và message-id.</t>
        </is>
      </c>
      <c r="S14" s="9" t="inlineStr"/>
      <c r="T14" s="9" t="inlineStr"/>
      <c r="U14" s="12" t="inlineStr">
        <is>
          <t>Not Run</t>
        </is>
      </c>
      <c r="V14" s="9" t="inlineStr"/>
      <c r="W14" s="9" t="inlineStr"/>
      <c r="X14" s="9" t="inlineStr"/>
    </row>
    <row r="15">
      <c r="A15" s="9" t="n">
        <v>14</v>
      </c>
      <c r="B15" s="9" t="inlineStr">
        <is>
          <t>EM-INF-15</t>
        </is>
      </c>
      <c r="C15" s="9" t="inlineStr">
        <is>
          <t>FR-V.II-08</t>
        </is>
      </c>
      <c r="D15" s="9" t="inlineStr">
        <is>
          <t>Attachment</t>
        </is>
      </c>
      <c r="E15" s="10" t="inlineStr">
        <is>
          <t>P0</t>
        </is>
      </c>
      <c r="F15" s="9" t="inlineStr">
        <is>
          <t>Negative regression</t>
        </is>
      </c>
      <c r="G15" s="9" t="inlineStr">
        <is>
          <t>Mail thẩm định chi trả không có file</t>
        </is>
      </c>
      <c r="H15" s="9" t="inlineStr">
        <is>
          <t>QA kỹ thuật/QTHT</t>
        </is>
      </c>
      <c r="I15" s="9" t="inlineStr">
        <is>
          <t>SMTP test harness + ứng dụng</t>
        </is>
      </c>
      <c r="J15" s="9" t="inlineStr">
        <is>
          <t>Có hồ sơ hoàn tất thẩm định.</t>
        </is>
      </c>
      <c r="K15" s="9" t="inlineStr">
        <is>
          <t>Kết quả chữ + hệ thống có file nghiệp vụ</t>
        </is>
      </c>
      <c r="L15" s="9" t="inlineStr">
        <is>
          <t>1. Trigger kết quả thẩm định.
2. Mở raw MIME.
3. Kiểm tra attachment count/link.</t>
        </is>
      </c>
      <c r="M15" s="9" t="inlineStr">
        <is>
          <t>Email/in-app chỉ có nội dung chữ; attachment count=0; không lộ file nghiệp vụ qua link.</t>
        </is>
      </c>
      <c r="N15" s="9" t="inlineStr">
        <is>
          <t>Theo testcase trigger</t>
        </is>
      </c>
      <c r="O15" s="9" t="inlineStr">
        <is>
          <t>Theo testcase trigger</t>
        </is>
      </c>
      <c r="P15" s="9" t="inlineStr">
        <is>
          <t>Mailbox không thuộc recipient matrix</t>
        </is>
      </c>
      <c r="Q15" s="9" t="inlineStr">
        <is>
          <t>MIME parts; signed URLs; inbox.</t>
        </is>
      </c>
      <c r="R15" s="9" t="inlineStr">
        <is>
          <t>Khôi phục SMTP/config/clock; xóa fixture queue; lưu log và message-id.</t>
        </is>
      </c>
      <c r="S15" s="9" t="inlineStr"/>
      <c r="T15" s="9" t="inlineStr"/>
      <c r="U15" s="12" t="inlineStr">
        <is>
          <t>Not Run</t>
        </is>
      </c>
      <c r="V15" s="9" t="inlineStr"/>
      <c r="W15" s="9" t="inlineStr"/>
      <c r="X15" s="9" t="inlineStr"/>
    </row>
    <row r="16">
      <c r="A16" s="9" t="n">
        <v>15</v>
      </c>
      <c r="B16" s="9" t="inlineStr">
        <is>
          <t>EM-INF-18</t>
        </is>
      </c>
      <c r="C16" s="9" t="inlineStr">
        <is>
          <t>BR-NOTIF-01</t>
        </is>
      </c>
      <c r="D16" s="9" t="inlineStr">
        <is>
          <t>Data isolation</t>
        </is>
      </c>
      <c r="E16" s="10" t="inlineStr">
        <is>
          <t>P0</t>
        </is>
      </c>
      <c r="F16" s="9" t="inlineStr">
        <is>
          <t>Security</t>
        </is>
      </c>
      <c r="G16" s="9" t="inlineStr">
        <is>
          <t>Không gửi chéo đơn vị</t>
        </is>
      </c>
      <c r="H16" s="9" t="inlineStr">
        <is>
          <t>QA kỹ thuật/QTHT</t>
        </is>
      </c>
      <c r="I16" s="9" t="inlineStr">
        <is>
          <t>SMTP test harness + ứng dụng</t>
        </is>
      </c>
      <c r="J16" s="9" t="inlineStr">
        <is>
          <t>Có CB PD/CB NV cùng role ở hai đơn vị.</t>
        </is>
      </c>
      <c r="K16" s="9" t="inlineStr">
        <is>
          <t>Trigger trình duyệt tại đơn vị A</t>
        </is>
      </c>
      <c r="L16" s="9" t="inlineStr">
        <is>
          <t>1. Dọn mailbox A/B.
2. Trigger ở A.
3. Kiểm tra inbox và UI/API recipient.</t>
        </is>
      </c>
      <c r="M16" s="9" t="inlineStr">
        <is>
          <t>Chỉ CB đúng đơn vị/cấp theo BR-AUTH-05 nhận; đơn vị B không có THONG_BAO/email.</t>
        </is>
      </c>
      <c r="N16" s="9" t="inlineStr">
        <is>
          <t>Theo testcase trigger</t>
        </is>
      </c>
      <c r="O16" s="9" t="inlineStr">
        <is>
          <t>Theo testcase trigger</t>
        </is>
      </c>
      <c r="P16" s="9" t="inlineStr">
        <is>
          <t>Mailbox không thuộc recipient matrix</t>
        </is>
      </c>
      <c r="Q16" s="9" t="inlineStr">
        <is>
          <t>Recipient query includes don_vi_id; inbox A/B.</t>
        </is>
      </c>
      <c r="R16" s="9" t="inlineStr">
        <is>
          <t>Khôi phục SMTP/config/clock; xóa fixture queue; lưu log và message-id.</t>
        </is>
      </c>
      <c r="S16" s="9" t="inlineStr"/>
      <c r="T16" s="9" t="inlineStr"/>
      <c r="U16" s="12" t="inlineStr">
        <is>
          <t>Not Run</t>
        </is>
      </c>
      <c r="V16" s="9" t="inlineStr"/>
      <c r="W16" s="9" t="inlineStr"/>
      <c r="X16" s="9" t="inlineStr"/>
    </row>
    <row r="17">
      <c r="A17" s="9" t="n">
        <v>16</v>
      </c>
      <c r="B17" s="9" t="inlineStr">
        <is>
          <t>EM-INF-19</t>
        </is>
      </c>
      <c r="C17" s="9" t="inlineStr">
        <is>
          <t>BR-AUTH-EMAIL-01</t>
        </is>
      </c>
      <c r="D17" s="9" t="inlineStr">
        <is>
          <t>Routing</t>
        </is>
      </c>
      <c r="E17" s="10" t="inlineStr">
        <is>
          <t>P0</t>
        </is>
      </c>
      <c r="F17" s="9" t="inlineStr">
        <is>
          <t>Integration</t>
        </is>
      </c>
      <c r="G17" s="9" t="inlineStr">
        <is>
          <t>Workflow dùng TAI_KHOAN.email, không dùng email DN</t>
        </is>
      </c>
      <c r="H17" s="9" t="inlineStr">
        <is>
          <t>QA kỹ thuật/QTHT</t>
        </is>
      </c>
      <c r="I17" s="9" t="inlineStr">
        <is>
          <t>SMTP test harness + ứng dụng</t>
        </is>
      </c>
      <c r="J17" s="9" t="inlineStr">
        <is>
          <t>TK email và DN email khác nhau.</t>
        </is>
      </c>
      <c r="K17" s="9" t="inlineStr">
        <is>
          <t>Trigger workflow người login</t>
        </is>
      </c>
      <c r="L17" s="9" t="inlineStr">
        <is>
          <t>1. Đặt hai email khác nhau.
2. Trigger notification workflow.
3. Kiểm tra inbox/log.</t>
        </is>
      </c>
      <c r="M17" s="9" t="inlineStr">
        <is>
          <t>Email gửi TAI_KHOAN.email; DOANH_NGHIEP.email không nhận trừ ngoại lệ DN chưa TK/TVCS.</t>
        </is>
      </c>
      <c r="N17" s="9" t="inlineStr">
        <is>
          <t>Theo testcase trigger</t>
        </is>
      </c>
      <c r="O17" s="9" t="inlineStr">
        <is>
          <t>Theo testcase trigger</t>
        </is>
      </c>
      <c r="P17" s="9" t="inlineStr">
        <is>
          <t>Mailbox không thuộc recipient matrix</t>
        </is>
      </c>
      <c r="Q17" s="9" t="inlineStr">
        <is>
          <t>Resolved recipient source and message envelope.</t>
        </is>
      </c>
      <c r="R17" s="9" t="inlineStr">
        <is>
          <t>Khôi phục SMTP/config/clock; xóa fixture queue; lưu log và message-id.</t>
        </is>
      </c>
      <c r="S17" s="9" t="inlineStr"/>
      <c r="T17" s="9" t="inlineStr"/>
      <c r="U17" s="12" t="inlineStr">
        <is>
          <t>Not Run</t>
        </is>
      </c>
      <c r="V17" s="9" t="inlineStr"/>
      <c r="W17" s="9" t="inlineStr"/>
      <c r="X17" s="9" t="inlineStr"/>
    </row>
    <row r="18">
      <c r="A18" s="9" t="n">
        <v>17</v>
      </c>
      <c r="B18" s="9" t="inlineStr">
        <is>
          <t>EM-INF-20</t>
        </is>
      </c>
      <c r="C18" s="9" t="inlineStr">
        <is>
          <t>BR-NOTIF-01 TVCS</t>
        </is>
      </c>
      <c r="D18" s="9" t="inlineStr">
        <is>
          <t>Email-only</t>
        </is>
      </c>
      <c r="E18" s="10" t="inlineStr">
        <is>
          <t>P0</t>
        </is>
      </c>
      <c r="F18" s="9" t="inlineStr">
        <is>
          <t>Data integrity</t>
        </is>
      </c>
      <c r="G18" s="9" t="inlineStr">
        <is>
          <t>Bản ghi thông báo email-only DN chưa tài khoản</t>
        </is>
      </c>
      <c r="H18" s="9" t="inlineStr">
        <is>
          <t>QA kỹ thuật/QTHT</t>
        </is>
      </c>
      <c r="I18" s="9" t="inlineStr">
        <is>
          <t>SMTP test harness + ứng dụng</t>
        </is>
      </c>
      <c r="J18" s="9" t="inlineStr">
        <is>
          <t>TVCS có DN chưa TK và email hợp lệ.</t>
        </is>
      </c>
      <c r="K18" s="9" t="inlineStr">
        <is>
          <t>Trigger CG xác nhận/hủy</t>
        </is>
      </c>
      <c r="L18" s="9" t="inlineStr">
        <is>
          <t>1. Trigger sự kiện.
2. Kiểm tra Gmail của DN.
3. Đăng nhập các tài khoản liên quan và kiểm chuông/trang thông báo.
4. Kiểm tra phản hồi API hoặc log nếu có quyền.</t>
        </is>
      </c>
      <c r="M18" s="9" t="inlineStr">
        <is>
          <t>DN chưa có tài khoản nhận đúng email; thông báo không xuất hiện trên chuông của bất kỳ người dùng nào; nghiệp vụ vẫn hoàn tất.</t>
        </is>
      </c>
      <c r="N18" s="9" t="inlineStr">
        <is>
          <t>Theo testcase trigger</t>
        </is>
      </c>
      <c r="O18" s="9" t="inlineStr">
        <is>
          <t>Theo testcase trigger</t>
        </is>
      </c>
      <c r="P18" s="9" t="inlineStr">
        <is>
          <t>Mailbox không thuộc recipient matrix</t>
        </is>
      </c>
      <c r="Q18" s="9" t="inlineStr">
        <is>
          <t>UI/API + Gmail + chuông.</t>
        </is>
      </c>
      <c r="R18" s="9" t="inlineStr">
        <is>
          <t>Khôi phục SMTP/config/clock; xóa fixture queue; lưu log và message-id.</t>
        </is>
      </c>
      <c r="S18" s="9" t="inlineStr"/>
      <c r="T18" s="9" t="inlineStr"/>
      <c r="U18" s="12" t="inlineStr">
        <is>
          <t>Not Run</t>
        </is>
      </c>
      <c r="V18" s="9" t="inlineStr"/>
      <c r="W18" s="9" t="inlineStr"/>
      <c r="X18" s="9" t="inlineStr"/>
    </row>
    <row r="19">
      <c r="A19" s="9" t="n">
        <v>18</v>
      </c>
      <c r="B19" s="9" t="inlineStr">
        <is>
          <t>EM-INF-21</t>
        </is>
      </c>
      <c r="C19" s="9" t="inlineStr">
        <is>
          <t>THONG_BAO constraint srs-v3.5:2409</t>
        </is>
      </c>
      <c r="D19" s="9" t="inlineStr">
        <is>
          <t>Data integrity</t>
        </is>
      </c>
      <c r="E19" s="10" t="inlineStr">
        <is>
          <t>P0</t>
        </is>
      </c>
      <c r="F19" s="9" t="inlineStr">
        <is>
          <t>Negative</t>
        </is>
      </c>
      <c r="G19" s="9" t="inlineStr">
        <is>
          <t>Không tạo THONG_BAO trống cả người nhận và email</t>
        </is>
      </c>
      <c r="H19" s="9" t="inlineStr">
        <is>
          <t>QA kỹ thuật/QTHT</t>
        </is>
      </c>
      <c r="I19" s="9" t="inlineStr">
        <is>
          <t>SMTP test harness + ứng dụng</t>
        </is>
      </c>
      <c r="J19" s="9" t="inlineStr">
        <is>
          <t>DN chưa TK và email NULL.</t>
        </is>
      </c>
      <c r="K19" s="9" t="inlineStr">
        <is>
          <t>Trigger TVCS email-only</t>
        </is>
      </c>
      <c r="L19" s="9" t="inlineStr">
        <is>
          <t>1. Trigger sự kiện với DN chưa có tài khoản và email trống.
2. Kiểm tra Gmail và chuông các tài khoản liên quan.
3. Kiểm tra cảnh báo trên UI/log nếu có quyền.
4. Kiểm tra trạng thái nghiệp vụ trên UI.</t>
        </is>
      </c>
      <c r="M19" s="9" t="inlineStr">
        <is>
          <t>Không gửi email và không hiện thông báo không có người nhận; có cảnh báo để CB liên hệ nếu UI/log hỗ trợ; luồng nghiệp vụ không bị chặn theo SRS.</t>
        </is>
      </c>
      <c r="N19" s="9" t="inlineStr">
        <is>
          <t>Theo testcase trigger</t>
        </is>
      </c>
      <c r="O19" s="9" t="inlineStr">
        <is>
          <t>Theo testcase trigger</t>
        </is>
      </c>
      <c r="P19" s="9" t="inlineStr">
        <is>
          <t>Mailbox không thuộc recipient matrix</t>
        </is>
      </c>
      <c r="Q19" s="9" t="inlineStr">
        <is>
          <t>UI/API + Gmail + chuông + warning log nếu có quyền.</t>
        </is>
      </c>
      <c r="R19" s="9" t="inlineStr">
        <is>
          <t>Khôi phục SMTP/config/clock; xóa fixture queue; lưu log và message-id.</t>
        </is>
      </c>
      <c r="S19" s="9" t="inlineStr"/>
      <c r="T19" s="9" t="inlineStr"/>
      <c r="U19" s="12" t="inlineStr">
        <is>
          <t>Not Run</t>
        </is>
      </c>
      <c r="V19" s="9" t="inlineStr"/>
      <c r="W19" s="9" t="inlineStr"/>
      <c r="X19" s="9" t="inlineStr"/>
    </row>
  </sheetData>
  <autoFilter ref="A1:X19"/>
  <dataValidations count="1">
    <dataValidation sqref="U2:U19" showDropDown="0" showInputMessage="0" showErrorMessage="0" allowBlank="0" type="list">
      <formula1>"Not Run,Pass,Fail,Blocked"</formula1>
    </dataValidation>
  </dataValidations>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E38"/>
  <sheetViews>
    <sheetView showGridLines="0" workbookViewId="0">
      <pane ySplit="1" topLeftCell="A2" activePane="bottomLeft" state="frozen"/>
      <selection pane="bottomLeft" activeCell="A1" sqref="A1"/>
    </sheetView>
  </sheetViews>
  <sheetFormatPr baseColWidth="8" defaultRowHeight="15"/>
  <cols>
    <col width="28" customWidth="1" min="1" max="1"/>
    <col width="52" customWidth="1" min="2" max="2"/>
    <col width="52" customWidth="1" min="3" max="3"/>
    <col width="44" customWidth="1" min="4" max="4"/>
    <col width="66" customWidth="1" min="5" max="5"/>
  </cols>
  <sheetData>
    <row r="1" ht="48" customHeight="1">
      <c r="A1" s="4" t="inlineStr">
        <is>
          <t>Alias/Fixture</t>
        </is>
      </c>
      <c r="B1" s="4" t="inlineStr">
        <is>
          <t>Email hoặc pattern</t>
        </is>
      </c>
      <c r="C1" s="4" t="inlineStr">
        <is>
          <t>Mục đích</t>
        </is>
      </c>
      <c r="D1" s="4" t="inlineStr">
        <is>
          <t>Cách kiểm tra DEV/Gmail</t>
        </is>
      </c>
      <c r="E1" s="4" t="inlineStr">
        <is>
          <t>Tách biệt/Ghi chú</t>
        </is>
      </c>
    </row>
    <row r="2">
      <c r="A2" s="14" t="inlineStr">
        <is>
          <t>MB_PRIMARY</t>
        </is>
      </c>
      <c r="B2" s="14" t="inlineStr">
        <is>
          <t>diupt01@gmail.com</t>
        </is>
      </c>
      <c r="C2" s="14" t="inlineStr">
        <is>
          <t>Oracle nhận OTP và email thông báo thật trên DEV</t>
        </is>
      </c>
      <c r="D2" s="14" t="inlineStr">
        <is>
          <t>Đăng nhập Gmail; tìm `to:&lt;alias&gt;` kèm mốc thời gian/subject</t>
        </is>
      </c>
      <c r="E2" s="14" t="inlineStr">
        <is>
          <t>Mọi diupt01+...@gmail.com sẽ về hộp thư này</t>
        </is>
      </c>
    </row>
    <row r="3">
      <c r="A3" s="14" t="inlineStr">
        <is>
          <t>MB_ALIAS_CHECK</t>
        </is>
      </c>
      <c r="B3" s="14" t="inlineStr">
        <is>
          <t>diupt01+check@gmail.com</t>
        </is>
      </c>
      <c r="C3" s="14" t="inlineStr">
        <is>
          <t>Preflight kiểm tra Gmail plus alias</t>
        </is>
      </c>
      <c r="D3" s="14" t="inlineStr">
        <is>
          <t>to:diupt01+check@gmail.com</t>
        </is>
      </c>
      <c r="E3" s="14" t="inlineStr">
        <is>
          <t>Đã gửi/nhận và xác minh trường To lúc 14:07 ICT 2026-08-12</t>
        </is>
      </c>
    </row>
    <row r="4">
      <c r="A4" s="15" t="inlineStr">
        <is>
          <t>MB_QTHT</t>
        </is>
      </c>
      <c r="B4" s="15" t="inlineStr">
        <is>
          <t>diupt01+qtht@gmail.com</t>
        </is>
      </c>
      <c r="C4" s="15" t="inlineStr">
        <is>
          <t>Quản trị hệ thống</t>
        </is>
      </c>
      <c r="D4" s="15" t="inlineStr">
        <is>
          <t>to:diupt01+qtht@gmail.com</t>
        </is>
      </c>
      <c r="E4" s="15" t="inlineStr">
        <is>
          <t>TAI_KHOAN.email của username admin trên DEV</t>
        </is>
      </c>
    </row>
    <row r="5">
      <c r="A5" s="15" t="inlineStr">
        <is>
          <t>MB_TK_CURRENT</t>
        </is>
      </c>
      <c r="B5" s="15" t="inlineStr">
        <is>
          <t>diupt01+tk-current@gmail.com</t>
        </is>
      </c>
      <c r="C5" s="15" t="inlineStr">
        <is>
          <t>TAI_KHOAN.email hiện tại</t>
        </is>
      </c>
      <c r="D5" s="15" t="inlineStr">
        <is>
          <t>to:diupt01+tk-current@gmail.com</t>
        </is>
      </c>
      <c r="E5" s="15" t="inlineStr">
        <is>
          <t>Khác MB_TK_OLD/MB_TK_NEW/MB_DN_CONTACT</t>
        </is>
      </c>
    </row>
    <row r="6">
      <c r="A6" s="15" t="inlineStr">
        <is>
          <t>MB_TK_OLD</t>
        </is>
      </c>
      <c r="B6" s="15" t="inlineStr">
        <is>
          <t>diupt01+tk-old@gmail.com</t>
        </is>
      </c>
      <c r="C6" s="15" t="inlineStr">
        <is>
          <t>Email tài khoản trước khi đổi</t>
        </is>
      </c>
      <c r="D6" s="15" t="inlineStr">
        <is>
          <t>to:diupt01+tk-old@gmail.com</t>
        </is>
      </c>
      <c r="E6" s="15" t="inlineStr">
        <is>
          <t>Mailbox âm sau khi đổi</t>
        </is>
      </c>
    </row>
    <row r="7">
      <c r="A7" s="15" t="inlineStr">
        <is>
          <t>MB_TK_NEW</t>
        </is>
      </c>
      <c r="B7" s="15" t="inlineStr">
        <is>
          <t>diupt01+tk-new@gmail.com</t>
        </is>
      </c>
      <c r="C7" s="15" t="inlineStr">
        <is>
          <t>Email tài khoản sau khi đổi</t>
        </is>
      </c>
      <c r="D7" s="15" t="inlineStr">
        <is>
          <t>to:diupt01+tk-new@gmail.com</t>
        </is>
      </c>
      <c r="E7" s="15" t="inlineStr">
        <is>
          <t>Mailbox dương sau khi đổi</t>
        </is>
      </c>
    </row>
    <row r="8">
      <c r="A8" s="15" t="inlineStr">
        <is>
          <t>MB_DN_CONTACT</t>
        </is>
      </c>
      <c r="B8" s="15" t="inlineStr">
        <is>
          <t>diupt01+dn-contact@gmail.com</t>
        </is>
      </c>
      <c r="C8" s="15" t="inlineStr">
        <is>
          <t>DOANH_NGHIEP.email liên hệ</t>
        </is>
      </c>
      <c r="D8" s="15" t="inlineStr">
        <is>
          <t>to:diupt01+dn-contact@gmail.com</t>
        </is>
      </c>
      <c r="E8" s="15" t="inlineStr">
        <is>
          <t>Khác email TK khi test routing</t>
        </is>
      </c>
    </row>
    <row r="9">
      <c r="A9" s="15" t="inlineStr">
        <is>
          <t>MB_DN_LOGIN</t>
        </is>
      </c>
      <c r="B9" s="15" t="inlineStr">
        <is>
          <t>diupt01+dn-login@gmail.com</t>
        </is>
      </c>
      <c r="C9" s="15" t="inlineStr">
        <is>
          <t>TAI_KHOAN.email của DN đã có tài khoản</t>
        </is>
      </c>
      <c r="D9" s="15" t="inlineStr">
        <is>
          <t>to:diupt01+dn-login@gmail.com</t>
        </is>
      </c>
      <c r="E9" s="15" t="inlineStr">
        <is>
          <t>Khác MB_DN_CONTACT để kiểm đúng nguồn recipient</t>
        </is>
      </c>
    </row>
    <row r="10">
      <c r="A10" s="15" t="inlineStr">
        <is>
          <t>MB_DN_AG_LOGIN</t>
        </is>
      </c>
      <c r="B10" s="15" t="inlineStr">
        <is>
          <t>diupt01+dn-ag-login@gmail.com</t>
        </is>
      </c>
      <c r="C10" s="15" t="inlineStr">
        <is>
          <t>TAI_KHOAN.email của DN An Giang</t>
        </is>
      </c>
      <c r="D10" s="15" t="inlineStr">
        <is>
          <t>to:diupt01+dn-ag-login@gmail.com</t>
        </is>
      </c>
      <c r="E10" s="15" t="inlineStr">
        <is>
          <t>TK 0209888006; khác email liên hệ DN</t>
        </is>
      </c>
    </row>
    <row r="11">
      <c r="A11" s="15" t="inlineStr">
        <is>
          <t>MB_DN_AG_CONTACT</t>
        </is>
      </c>
      <c r="B11" s="15" t="inlineStr">
        <is>
          <t>diupt01+dn-ag-contact@gmail.com</t>
        </is>
      </c>
      <c r="C11" s="15" t="inlineStr">
        <is>
          <t>DOANH_NGHIEP.email liên hệ của DN An Giang</t>
        </is>
      </c>
      <c r="D11" s="15" t="inlineStr">
        <is>
          <t>to:diupt01+dn-ag-contact@gmail.com</t>
        </is>
      </c>
      <c r="E11" s="15" t="inlineStr">
        <is>
          <t>DN-AGG-0001; không dùng thay email TK trong workflow</t>
        </is>
      </c>
    </row>
    <row r="12">
      <c r="A12" s="15" t="inlineStr">
        <is>
          <t>MB_DN_NO_ACCOUNT</t>
        </is>
      </c>
      <c r="B12" s="15" t="inlineStr">
        <is>
          <t>diupt01+dn-no-account@gmail.com</t>
        </is>
      </c>
      <c r="C12" s="15" t="inlineStr">
        <is>
          <t>DOANH_NGHIEP.email của DN không có tài khoản</t>
        </is>
      </c>
      <c r="D12" s="15" t="inlineStr">
        <is>
          <t>to:diupt01+dn-no-account@gmail.com</t>
        </is>
      </c>
      <c r="E12" s="15" t="inlineStr">
        <is>
          <t>MST 0108051801; email-only; không tạo TAI_KHOAN</t>
        </is>
      </c>
    </row>
    <row r="13">
      <c r="A13" s="15" t="inlineStr">
        <is>
          <t>MB_DN_REGISTER</t>
        </is>
      </c>
      <c r="B13" s="15" t="inlineStr">
        <is>
          <t>diupt01+dn-register@gmail.com</t>
        </is>
      </c>
      <c r="C13" s="15" t="inlineStr">
        <is>
          <t>DN tự đăng ký: cùng giá trị ở TAI_KHOAN.email và DOANH_NGHIEP.email</t>
        </is>
      </c>
      <c r="D13" s="15" t="inlineStr">
        <is>
          <t>to:diupt01+dn-register@gmail.com</t>
        </is>
      </c>
      <c r="E13" s="15" t="inlineStr">
        <is>
          <t>Chỉ dùng case yêu cầu đồng bộ ban đầu</t>
        </is>
      </c>
    </row>
    <row r="14">
      <c r="A14" s="15" t="inlineStr">
        <is>
          <t>MB_CB_NV_A</t>
        </is>
      </c>
      <c r="B14" s="15" t="inlineStr">
        <is>
          <t>diupt01+cb-nv-a@gmail.com</t>
        </is>
      </c>
      <c r="C14" s="15" t="inlineStr">
        <is>
          <t>CB nghiệp vụ đúng đơn vị A</t>
        </is>
      </c>
      <c r="D14" s="15" t="inlineStr">
        <is>
          <t>to:diupt01+cb-nv-a@gmail.com</t>
        </is>
      </c>
      <c r="E14" s="15" t="inlineStr">
        <is>
          <t>Khác CB PD và đơn vị B</t>
        </is>
      </c>
    </row>
    <row r="15">
      <c r="A15" s="15" t="inlineStr">
        <is>
          <t>MB_CB_NV_A_2</t>
        </is>
      </c>
      <c r="B15" s="15" t="inlineStr">
        <is>
          <t>diupt01+cb-nv-a-2@gmail.com</t>
        </is>
      </c>
      <c r="C15" s="15" t="inlineStr">
        <is>
          <t>CB nghiệp vụ thứ hai cùng đơn vị A</t>
        </is>
      </c>
      <c r="D15" s="15" t="inlineStr">
        <is>
          <t>to:diupt01+cb-nv-a-2@gmail.com</t>
        </is>
      </c>
      <c r="E15" s="15" t="inlineStr">
        <is>
          <t>Tách người tạo và người được giao xử lý</t>
        </is>
      </c>
    </row>
    <row r="16">
      <c r="A16" s="15" t="inlineStr">
        <is>
          <t>MB_CB_PD_A</t>
        </is>
      </c>
      <c r="B16" s="15" t="inlineStr">
        <is>
          <t>diupt01+cb-pd-a@gmail.com</t>
        </is>
      </c>
      <c r="C16" s="15" t="inlineStr">
        <is>
          <t>CB phê duyệt đúng đơn vị A</t>
        </is>
      </c>
      <c r="D16" s="15" t="inlineStr">
        <is>
          <t>to:diupt01+cb-pd-a@gmail.com</t>
        </is>
      </c>
      <c r="E16" s="15" t="inlineStr">
        <is>
          <t>Khác CB NV và đơn vị B</t>
        </is>
      </c>
    </row>
    <row r="17">
      <c r="A17" s="15" t="inlineStr">
        <is>
          <t>MB_CB_PD_A_2</t>
        </is>
      </c>
      <c r="B17" s="15" t="inlineStr">
        <is>
          <t>diupt01+cb-pd-a-2@gmail.com</t>
        </is>
      </c>
      <c r="C17" s="15" t="inlineStr">
        <is>
          <t>CB phê duyệt thứ hai cùng đơn vị TW</t>
        </is>
      </c>
      <c r="D17" s="15" t="inlineStr">
        <is>
          <t>to:diupt01+cb-pd-a-2@gmail.com</t>
        </is>
      </c>
      <c r="E17" s="15" t="inlineStr">
        <is>
          <t>Chỉ dùng cho escalation sau khi dev xác nhận/config đúng quan hệ nhận</t>
        </is>
      </c>
    </row>
    <row r="18">
      <c r="A18" s="15" t="inlineStr">
        <is>
          <t>MB_CB_NV_B</t>
        </is>
      </c>
      <c r="B18" s="15" t="inlineStr">
        <is>
          <t>diupt01+cb-nv-b@gmail.com</t>
        </is>
      </c>
      <c r="C18" s="15" t="inlineStr">
        <is>
          <t>CB nghiệp vụ mailbox âm đơn vị B</t>
        </is>
      </c>
      <c r="D18" s="15" t="inlineStr">
        <is>
          <t>to:diupt01+cb-nv-b@gmail.com</t>
        </is>
      </c>
      <c r="E18" s="15" t="inlineStr">
        <is>
          <t>Không được nhận sự kiện của A</t>
        </is>
      </c>
    </row>
    <row r="19">
      <c r="A19" s="15" t="inlineStr">
        <is>
          <t>MB_CB_PD_B</t>
        </is>
      </c>
      <c r="B19" s="15" t="inlineStr">
        <is>
          <t>diupt01+cb-pd-b@gmail.com</t>
        </is>
      </c>
      <c r="C19" s="15" t="inlineStr">
        <is>
          <t>CB phê duyệt mailbox âm đơn vị B</t>
        </is>
      </c>
      <c r="D19" s="15" t="inlineStr">
        <is>
          <t>to:diupt01+cb-pd-b@gmail.com</t>
        </is>
      </c>
      <c r="E19" s="15" t="inlineStr">
        <is>
          <t>Không được nhận sự kiện của A</t>
        </is>
      </c>
    </row>
    <row r="20">
      <c r="A20" s="15" t="inlineStr">
        <is>
          <t>MB_CB_NV_HN</t>
        </is>
      </c>
      <c r="B20" s="15" t="inlineStr">
        <is>
          <t>diupt01+cb-nv-dn@gmail.com</t>
        </is>
      </c>
      <c r="C20" s="15" t="inlineStr">
        <is>
          <t>CB nghiệp vụ Sở Tư pháp Hà Nội</t>
        </is>
      </c>
      <c r="D20" s="15" t="inlineStr">
        <is>
          <t>to:diupt01+cb-nv-dn@gmail.com</t>
        </is>
      </c>
      <c r="E20" s="15" t="inlineStr">
        <is>
          <t>Dùng sửa/kiểm DN Hà Nội và workflow địa phương</t>
        </is>
      </c>
    </row>
    <row r="21">
      <c r="A21" s="15" t="inlineStr">
        <is>
          <t>MB_CB_PD_HN</t>
        </is>
      </c>
      <c r="B21" s="15" t="inlineStr">
        <is>
          <t>diupt01+cb-pd-dn@gmail.com</t>
        </is>
      </c>
      <c r="C21" s="15" t="inlineStr">
        <is>
          <t>CB phê duyệt Sở Tư pháp Hà Nội</t>
        </is>
      </c>
      <c r="D21" s="15" t="inlineStr">
        <is>
          <t>to:diupt01+cb-pd-dn@gmail.com</t>
        </is>
      </c>
      <c r="E21" s="15" t="inlineStr">
        <is>
          <t>Cùng đơn vị với DN 0109998887</t>
        </is>
      </c>
    </row>
    <row r="22">
      <c r="A22" s="15" t="inlineStr">
        <is>
          <t>MB_CB_NV_AG</t>
        </is>
      </c>
      <c r="B22" s="15" t="inlineStr">
        <is>
          <t>diupt01+cb-nv-ag@gmail.com</t>
        </is>
      </c>
      <c r="C22" s="15" t="inlineStr">
        <is>
          <t>CB nghiệp vụ Sở Tư pháp An Giang</t>
        </is>
      </c>
      <c r="D22" s="15" t="inlineStr">
        <is>
          <t>to:diupt01+cb-nv-ag@gmail.com</t>
        </is>
      </c>
      <c r="E22" s="15" t="inlineStr">
        <is>
          <t>Dùng lane vụ việc/chi trả An Giang</t>
        </is>
      </c>
    </row>
    <row r="23">
      <c r="A23" s="15" t="inlineStr">
        <is>
          <t>MB_CB_PD_AG</t>
        </is>
      </c>
      <c r="B23" s="15" t="inlineStr">
        <is>
          <t>diupt01+cb-pd-ag@gmail.com</t>
        </is>
      </c>
      <c r="C23" s="15" t="inlineStr">
        <is>
          <t>CB phê duyệt Sở Tư pháp An Giang</t>
        </is>
      </c>
      <c r="D23" s="15" t="inlineStr">
        <is>
          <t>to:diupt01+cb-pd-ag@gmail.com</t>
        </is>
      </c>
      <c r="E23" s="15" t="inlineStr">
        <is>
          <t>Cùng đơn vị với DN/TVV/NHT An Giang</t>
        </is>
      </c>
    </row>
    <row r="24">
      <c r="A24" s="15" t="inlineStr">
        <is>
          <t>MB_TVV_TW</t>
        </is>
      </c>
      <c r="B24" s="15" t="inlineStr">
        <is>
          <t>diupt01+tvv-tw@gmail.com</t>
        </is>
      </c>
      <c r="C24" s="15" t="inlineStr">
        <is>
          <t>Tư vấn viên thuần cấp TW</t>
        </is>
      </c>
      <c r="D24" s="15" t="inlineStr">
        <is>
          <t>to:diupt01+tvv-tw@gmail.com</t>
        </is>
      </c>
      <c r="E24" s="15" t="inlineStr">
        <is>
          <t>qa_tvv_tw_r19 / TVV-BTP-TW-0016</t>
        </is>
      </c>
    </row>
    <row r="25">
      <c r="A25" s="15" t="inlineStr">
        <is>
          <t>MB_TVV_AG</t>
        </is>
      </c>
      <c r="B25" s="15" t="inlineStr">
        <is>
          <t>diupt01+tvv-ag@gmail.com</t>
        </is>
      </c>
      <c r="C25" s="15" t="inlineStr">
        <is>
          <t>Tư vấn viên thuần An Giang</t>
        </is>
      </c>
      <c r="D25" s="15" t="inlineStr">
        <is>
          <t>to:diupt01+tvv-ag@gmail.com</t>
        </is>
      </c>
      <c r="E25" s="15" t="inlineStr">
        <is>
          <t>qa_tvv_dp_r18 / TVV-STP-AG-0001</t>
        </is>
      </c>
    </row>
    <row r="26">
      <c r="A26" s="15" t="inlineStr">
        <is>
          <t>MB_CG</t>
        </is>
      </c>
      <c r="B26" s="15" t="inlineStr">
        <is>
          <t>diupt01+cg@gmail.com</t>
        </is>
      </c>
      <c r="C26" s="15" t="inlineStr">
        <is>
          <t>Chuyên gia/người được phân công đánh giá</t>
        </is>
      </c>
      <c r="D26" s="15" t="inlineStr">
        <is>
          <t>to:diupt01+cg@gmail.com</t>
        </is>
      </c>
      <c r="E26" s="15" t="inlineStr">
        <is>
          <t>Không dùng chung TVV/NHT</t>
        </is>
      </c>
    </row>
    <row r="27">
      <c r="A27" s="15" t="inlineStr">
        <is>
          <t>MB_NHT_TW</t>
        </is>
      </c>
      <c r="B27" s="15" t="inlineStr">
        <is>
          <t>diupt01+nht-tw@gmail.com</t>
        </is>
      </c>
      <c r="C27" s="15" t="inlineStr">
        <is>
          <t>Người hỗ trợ đơn vị TW</t>
        </is>
      </c>
      <c r="D27" s="15" t="inlineStr">
        <is>
          <t>to:diupt01+nht-tw@gmail.com</t>
        </is>
      </c>
      <c r="E27" s="15" t="inlineStr">
        <is>
          <t>Không dùng chung TVV/CG</t>
        </is>
      </c>
    </row>
    <row r="28">
      <c r="A28" s="15" t="inlineStr">
        <is>
          <t>MB_NHT_AG</t>
        </is>
      </c>
      <c r="B28" s="15" t="inlineStr">
        <is>
          <t>diupt01+nht-ag@gmail.com</t>
        </is>
      </c>
      <c r="C28" s="15" t="inlineStr">
        <is>
          <t>Người hỗ trợ Sở Tư pháp An Giang</t>
        </is>
      </c>
      <c r="D28" s="15" t="inlineStr">
        <is>
          <t>to:diupt01+nht-ag@gmail.com</t>
        </is>
      </c>
      <c r="E28" s="15" t="inlineStr">
        <is>
          <t>Dùng kiểm đúng phạm vi đơn vị/địa phương</t>
        </is>
      </c>
    </row>
    <row r="29">
      <c r="A29" s="15" t="inlineStr">
        <is>
          <t>MB_HV_01</t>
        </is>
      </c>
      <c r="B29" s="15" t="inlineStr">
        <is>
          <t>diupt01+hv-01@gmail.com</t>
        </is>
      </c>
      <c r="C29" s="15" t="inlineStr">
        <is>
          <t>HOC_VIEN.email học viên 01</t>
        </is>
      </c>
      <c r="D29" s="15" t="inlineStr">
        <is>
          <t>to:diupt01+hv-01@gmail.com</t>
        </is>
      </c>
      <c r="E29" s="15" t="inlineStr">
        <is>
          <t>Dùng sự kiện hủy/bắt đầu khóa theo BR-NOTIF-01; đã set</t>
        </is>
      </c>
    </row>
    <row r="30">
      <c r="A30" s="15" t="inlineStr">
        <is>
          <t>MB_HV_02</t>
        </is>
      </c>
      <c r="B30" s="15" t="inlineStr">
        <is>
          <t>diupt01+hv-02@gmail.com</t>
        </is>
      </c>
      <c r="C30" s="15" t="inlineStr">
        <is>
          <t>HOC_VIEN.email học viên 02</t>
        </is>
      </c>
      <c r="D30" s="15" t="inlineStr">
        <is>
          <t>to:diupt01+hv-02@gmail.com</t>
        </is>
      </c>
      <c r="E30" s="15" t="inlineStr">
        <is>
          <t>Dùng kiểm gửi đủ học viên; đã set</t>
        </is>
      </c>
    </row>
    <row r="31">
      <c r="A31" s="15" t="inlineStr">
        <is>
          <t>MB_GV_01</t>
        </is>
      </c>
      <c r="B31" s="15" t="inlineStr">
        <is>
          <t>diupt01+gv-01@gmail.com</t>
        </is>
      </c>
      <c r="C31" s="15" t="inlineStr">
        <is>
          <t>GIANG_VIEN.email giảng viên của khóa</t>
        </is>
      </c>
      <c r="D31" s="15" t="inlineStr">
        <is>
          <t>to:diupt01+gv-01@gmail.com</t>
        </is>
      </c>
      <c r="E31" s="15" t="inlineStr">
        <is>
          <t>Dùng sự kiện khóa bắt đầu theo BR-NOTIF-01; đã set</t>
        </is>
      </c>
    </row>
    <row r="32">
      <c r="A32" s="15" t="inlineStr">
        <is>
          <t>MB_ORG_A</t>
        </is>
      </c>
      <c r="B32" s="15" t="inlineStr">
        <is>
          <t>diupt01+org-a@gmail.com</t>
        </is>
      </c>
      <c r="C32" s="15" t="inlineStr">
        <is>
          <t>Email liên hệ tổ chức tư vấn A/CC dương</t>
        </is>
      </c>
      <c r="D32" s="15" t="inlineStr">
        <is>
          <t>to:diupt01+org-a@gmail.com</t>
        </is>
      </c>
      <c r="E32" s="15" t="inlineStr">
        <is>
          <t>Khác ORG_B</t>
        </is>
      </c>
    </row>
    <row r="33">
      <c r="A33" s="15" t="inlineStr">
        <is>
          <t>MB_ORG_B</t>
        </is>
      </c>
      <c r="B33" s="15" t="inlineStr">
        <is>
          <t>diupt01+org-b@gmail.com</t>
        </is>
      </c>
      <c r="C33" s="15" t="inlineStr">
        <is>
          <t>Email liên hệ tổ chức tư vấn B/mailbox âm</t>
        </is>
      </c>
      <c r="D33" s="15" t="inlineStr">
        <is>
          <t>to:diupt01+org-b@gmail.com</t>
        </is>
      </c>
      <c r="E33" s="15" t="inlineStr">
        <is>
          <t>Không được nhận sự kiện của A</t>
        </is>
      </c>
    </row>
    <row r="34">
      <c r="A34" s="15" t="inlineStr">
        <is>
          <t>MB_ATTACKER</t>
        </is>
      </c>
      <c r="B34" s="15" t="inlineStr">
        <is>
          <t>diupt01+attacker@gmail.com</t>
        </is>
      </c>
      <c r="C34" s="15" t="inlineStr">
        <is>
          <t>Mailbox âm cho header injection</t>
        </is>
      </c>
      <c r="D34" s="15" t="inlineStr">
        <is>
          <t>to:diupt01+attacker@gmail.com</t>
        </is>
      </c>
      <c r="E34" s="15" t="inlineStr">
        <is>
          <t>Tuyệt đối không được nhận</t>
        </is>
      </c>
    </row>
    <row r="35">
      <c r="A35" s="15" t="inlineStr">
        <is>
          <t>PATTERN_TC</t>
        </is>
      </c>
      <c r="B35" s="15" t="inlineStr">
        <is>
          <t>diupt01+uat-{test-case-id}@gmail.com</t>
        </is>
      </c>
      <c r="C35" s="15" t="inlineStr">
        <is>
          <t>Email mới/unique theo từng TC tạo TK, đăng ký, token hoặc claim</t>
        </is>
      </c>
      <c r="D35" s="15" t="inlineStr">
        <is>
          <t>to:&lt;email cụ thể đã sinh&gt;</t>
        </is>
      </c>
      <c r="E35" s="15" t="inlineStr">
        <is>
          <t>Ví dụ EM-TK-ACT-01 → diupt01+uat-em-tk-act-01@gmail.com; không tái sử dụng</t>
        </is>
      </c>
    </row>
    <row r="36">
      <c r="A36" s="15" t="inlineStr">
        <is>
          <t>PATTERN_TC_VARIANT</t>
        </is>
      </c>
      <c r="B36" s="15" t="inlineStr">
        <is>
          <t>diupt01+uat-{test-case-id}-{old|new|dn}@gmail.com</t>
        </is>
      </c>
      <c r="C36" s="15" t="inlineStr">
        <is>
          <t>Các biến thể cần phân biệt email cũ/mới/DN trong cùng TC</t>
        </is>
      </c>
      <c r="D36" s="15" t="inlineStr">
        <is>
          <t>to:&lt;email biến thể&gt;</t>
        </is>
      </c>
      <c r="E36" s="15" t="inlineStr">
        <is>
          <t>Mỗi biến thể là một recipient logic riêng</t>
        </is>
      </c>
    </row>
    <row r="37">
      <c r="A37" s="16" t="inlineStr">
        <is>
          <t>MB_BOUNCE</t>
        </is>
      </c>
      <c r="B37" s="16" t="inlineStr">
        <is>
          <t>bounce@example.invalid</t>
        </is>
      </c>
      <c r="C37" s="16" t="inlineStr">
        <is>
          <t>SMTP failure/bounce</t>
        </is>
      </c>
      <c r="D37" s="16" t="inlineStr">
        <is>
          <t>Không có inbox</t>
        </is>
      </c>
      <c r="E37" s="16" t="inlineStr">
        <is>
          <t>Không thay bằng Gmail alias; cần SMTP stub/DSN harness</t>
        </is>
      </c>
    </row>
    <row r="38">
      <c r="A38" s="15" t="inlineStr">
        <is>
          <t>MST_RANGE</t>
        </is>
      </c>
      <c r="B38" s="15" t="inlineStr">
        <is>
          <t>0100000001..0100009999</t>
        </is>
      </c>
      <c r="C38" s="15" t="inlineStr">
        <is>
          <t>Mỗi TC một MST</t>
        </is>
      </c>
      <c r="D38" s="15" t="inlineStr">
        <is>
          <t>—</t>
        </is>
      </c>
      <c r="E38" s="15" t="inlineStr">
        <is>
          <t>Không tái sử dụng</t>
        </is>
      </c>
    </row>
  </sheetData>
  <autoFilter ref="A1:E38"/>
  <pageMargins left="0.75" right="0.7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L28"/>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52" customWidth="1" min="3" max="3"/>
    <col width="24" customWidth="1" min="4" max="4"/>
    <col width="58" customWidth="1" min="5" max="5"/>
    <col width="28" customWidth="1" min="6" max="6"/>
    <col width="46" customWidth="1" min="7" max="7"/>
    <col width="56" customWidth="1" min="8" max="8"/>
    <col width="46" customWidth="1" min="9" max="9"/>
    <col width="72" customWidth="1" min="10" max="10"/>
    <col width="52" customWidth="1" min="11" max="11"/>
    <col width="42" customWidth="1" min="12" max="12"/>
  </cols>
  <sheetData>
    <row r="1" ht="48" customHeight="1">
      <c r="A1" s="4" t="inlineStr">
        <is>
          <t>Nhóm setup</t>
        </is>
      </c>
      <c r="B1" s="4" t="inlineStr">
        <is>
          <t>Username/Mã record</t>
        </is>
      </c>
      <c r="C1" s="4" t="inlineStr">
        <is>
          <t>ID trên DEV</t>
        </is>
      </c>
      <c r="D1" s="4" t="inlineStr">
        <is>
          <t>Vai trò/Loại</t>
        </is>
      </c>
      <c r="E1" s="4" t="inlineStr">
        <is>
          <t>Đơn vị đã xác minh</t>
        </is>
      </c>
      <c r="F1" s="4" t="inlineStr">
        <is>
          <t>Trạng thái</t>
        </is>
      </c>
      <c r="G1" s="4" t="inlineStr">
        <is>
          <t>Email trước setup</t>
        </is>
      </c>
      <c r="H1" s="4" t="inlineStr">
        <is>
          <t>Email hiện tại/đã set</t>
        </is>
      </c>
      <c r="I1" s="4" t="inlineStr">
        <is>
          <t>Trường đã cập nhật</t>
        </is>
      </c>
      <c r="J1" s="4" t="inlineStr">
        <is>
          <t>Liên kết/Điều kiện</t>
        </is>
      </c>
      <c r="K1" s="4" t="inlineStr">
        <is>
          <t>Mục đích test</t>
        </is>
      </c>
      <c r="L1" s="4" t="inlineStr">
        <is>
          <t>Kết quả xác minh</t>
        </is>
      </c>
    </row>
    <row r="2">
      <c r="A2" s="9" t="inlineStr">
        <is>
          <t>TAI_KHOAN</t>
        </is>
      </c>
      <c r="B2" s="9" t="inlineStr">
        <is>
          <t>admin</t>
        </is>
      </c>
      <c r="C2" s="9" t="inlineStr">
        <is>
          <t>00000000-0000-4000-8000-000000000099</t>
        </is>
      </c>
      <c r="D2" s="9" t="inlineStr">
        <is>
          <t>QTHT</t>
        </is>
      </c>
      <c r="E2" s="9" t="inlineStr">
        <is>
          <t>Không gắn đơn vị</t>
        </is>
      </c>
      <c r="F2" s="9" t="inlineStr">
        <is>
          <t>HOAT_DONG</t>
        </is>
      </c>
      <c r="G2" s="9" t="inlineStr">
        <is>
          <t>admin@htpldn.gov.vn</t>
        </is>
      </c>
      <c r="H2" s="9" t="inlineStr">
        <is>
          <t>diupt01+qtht@gmail.com</t>
        </is>
      </c>
      <c r="I2" s="9" t="inlineStr">
        <is>
          <t>TAI_KHOAN.email</t>
        </is>
      </c>
      <c r="J2" s="9" t="inlineStr">
        <is>
          <t>Tài khoản quản trị hiện hữu</t>
        </is>
      </c>
      <c r="K2" s="9" t="inlineStr">
        <is>
          <t>Quản trị/cấp tài khoản</t>
        </is>
      </c>
      <c r="L2" s="9" t="inlineStr">
        <is>
          <t>ĐÃ SET + đọc lại API</t>
        </is>
      </c>
    </row>
    <row r="3">
      <c r="A3" s="9" t="inlineStr">
        <is>
          <t>TAI_KHOAN</t>
        </is>
      </c>
      <c r="B3" s="9" t="inlineStr">
        <is>
          <t>cbnv_tw_01</t>
        </is>
      </c>
      <c r="C3" s="9" t="inlineStr">
        <is>
          <t>6647b7bb-db9a-4a12-9535-766c77a4f04b</t>
        </is>
      </c>
      <c r="D3" s="9" t="inlineStr">
        <is>
          <t>CB_NV_TW</t>
        </is>
      </c>
      <c r="E3" s="9" t="inlineStr">
        <is>
          <t>Cục Bổ trợ tư pháp - Bộ Tư pháp</t>
        </is>
      </c>
      <c r="F3" s="9" t="inlineStr">
        <is>
          <t>HOAT_DONG</t>
        </is>
      </c>
      <c r="G3" s="9" t="inlineStr">
        <is>
          <t>cbnv_tw_01@htpldn.test</t>
        </is>
      </c>
      <c r="H3" s="9" t="inlineStr">
        <is>
          <t>diupt01+cb-nv-a@gmail.com</t>
        </is>
      </c>
      <c r="I3" s="9" t="inlineStr">
        <is>
          <t>TAI_KHOAN.email</t>
        </is>
      </c>
      <c r="J3" s="9" t="inlineStr">
        <is>
          <t>CB NV chính lane TW</t>
        </is>
      </c>
      <c r="K3" s="9" t="inlineStr">
        <is>
          <t>Hỏi đáp/đào tạo/TVV-CG/TVCS/đánh giá</t>
        </is>
      </c>
      <c r="L3" s="9" t="inlineStr">
        <is>
          <t>ĐÃ SET + OTP/login verified</t>
        </is>
      </c>
    </row>
    <row r="4">
      <c r="A4" s="9" t="inlineStr">
        <is>
          <t>TAI_KHOAN</t>
        </is>
      </c>
      <c r="B4" s="9" t="inlineStr">
        <is>
          <t>cbnv_tw_02</t>
        </is>
      </c>
      <c r="C4" s="9" t="inlineStr">
        <is>
          <t>75ef9f6b-5f5b-474d-9861-dde1c1563f50</t>
        </is>
      </c>
      <c r="D4" s="9" t="inlineStr">
        <is>
          <t>CB_NV_TW</t>
        </is>
      </c>
      <c r="E4" s="9" t="inlineStr">
        <is>
          <t>Cục Bổ trợ tư pháp - Bộ Tư pháp</t>
        </is>
      </c>
      <c r="F4" s="9" t="inlineStr">
        <is>
          <t>HOAT_DONG</t>
        </is>
      </c>
      <c r="G4" s="9" t="inlineStr">
        <is>
          <t>cbnv_tw_02@htpldn.test</t>
        </is>
      </c>
      <c r="H4" s="9" t="inlineStr">
        <is>
          <t>diupt01+cb-nv-a-2@gmail.com</t>
        </is>
      </c>
      <c r="I4" s="9" t="inlineStr">
        <is>
          <t>TAI_KHOAN.email</t>
        </is>
      </c>
      <c r="J4" s="9" t="inlineStr">
        <is>
          <t>Assignee thứ hai cùng đơn vị</t>
        </is>
      </c>
      <c r="K4" s="9" t="inlineStr">
        <is>
          <t>Phân công/chuyển xử lý</t>
        </is>
      </c>
      <c r="L4" s="9" t="inlineStr">
        <is>
          <t>ĐÃ SET + đọc lại API</t>
        </is>
      </c>
    </row>
    <row r="5">
      <c r="A5" s="9" t="inlineStr">
        <is>
          <t>TAI_KHOAN</t>
        </is>
      </c>
      <c r="B5" s="9" t="inlineStr">
        <is>
          <t>cbpd_tw_01</t>
        </is>
      </c>
      <c r="C5" s="9" t="inlineStr">
        <is>
          <t>2bd5fc7f-8b33-4427-954d-c011a7555f06</t>
        </is>
      </c>
      <c r="D5" s="9" t="inlineStr">
        <is>
          <t>CB_PD_TW</t>
        </is>
      </c>
      <c r="E5" s="9" t="inlineStr">
        <is>
          <t>Cục Bổ trợ tư pháp - Bộ Tư pháp</t>
        </is>
      </c>
      <c r="F5" s="9" t="inlineStr">
        <is>
          <t>HOAT_DONG</t>
        </is>
      </c>
      <c r="G5" s="9" t="inlineStr">
        <is>
          <t>cbpd_tw_01@htpldn.test</t>
        </is>
      </c>
      <c r="H5" s="9" t="inlineStr">
        <is>
          <t>diupt01+cb-pd-a@gmail.com</t>
        </is>
      </c>
      <c r="I5" s="9" t="inlineStr">
        <is>
          <t>TAI_KHOAN.email</t>
        </is>
      </c>
      <c r="J5" s="9" t="inlineStr">
        <is>
          <t>CB phê duyệt chính lane TW</t>
        </is>
      </c>
      <c r="K5" s="9" t="inlineStr">
        <is>
          <t>Duyệt/từ chối/đánh giá</t>
        </is>
      </c>
      <c r="L5" s="9" t="inlineStr">
        <is>
          <t>ĐÃ SET + OTP/login verified</t>
        </is>
      </c>
    </row>
    <row r="6">
      <c r="A6" s="9" t="inlineStr">
        <is>
          <t>TAI_KHOAN</t>
        </is>
      </c>
      <c r="B6" s="9" t="inlineStr">
        <is>
          <t>cbpd_tw_02</t>
        </is>
      </c>
      <c r="C6" s="9" t="inlineStr">
        <is>
          <t>305a7f9c-cfcd-41ea-8354-108f42dfca7f</t>
        </is>
      </c>
      <c r="D6" s="9" t="inlineStr">
        <is>
          <t>CB_PD_TW</t>
        </is>
      </c>
      <c r="E6" s="9" t="inlineStr">
        <is>
          <t>Cục Bổ trợ tư pháp - Bộ Tư pháp</t>
        </is>
      </c>
      <c r="F6" s="9" t="inlineStr">
        <is>
          <t>HOAT_DONG</t>
        </is>
      </c>
      <c r="G6" s="9" t="inlineStr">
        <is>
          <t>cbpd_tw_02@htpldn.test</t>
        </is>
      </c>
      <c r="H6" s="9" t="inlineStr">
        <is>
          <t>diupt01+cb-pd-a-2@gmail.com</t>
        </is>
      </c>
      <c r="I6" s="9" t="inlineStr">
        <is>
          <t>TAI_KHOAN.email</t>
        </is>
      </c>
      <c r="J6" s="9" t="inlineStr">
        <is>
          <t>Một ứng viên nhận escalation tại đơn vị cha TW; không cố định cardinality khi SRS không nêu</t>
        </is>
      </c>
      <c r="K6" s="9" t="inlineStr">
        <is>
          <t>Escalation</t>
        </is>
      </c>
      <c r="L6" s="9" t="inlineStr">
        <is>
          <t>ĐÃ SET email; đối soát recipient theo role + don_vi_cha_id</t>
        </is>
      </c>
    </row>
    <row r="7">
      <c r="A7" s="9" t="inlineStr">
        <is>
          <t>TAI_KHOAN</t>
        </is>
      </c>
      <c r="B7" s="9" t="inlineStr">
        <is>
          <t>cbnv_bn_01</t>
        </is>
      </c>
      <c r="C7" s="9" t="inlineStr">
        <is>
          <t>a2ad2192-ebaf-4971-9b36-2beca4d1c216</t>
        </is>
      </c>
      <c r="D7" s="9" t="inlineStr">
        <is>
          <t>CB_NV_BN</t>
        </is>
      </c>
      <c r="E7" s="9" t="inlineStr">
        <is>
          <t>Bộ Kế hoạch và Đầu tư</t>
        </is>
      </c>
      <c r="F7" s="9" t="inlineStr">
        <is>
          <t>HOAT_DONG</t>
        </is>
      </c>
      <c r="G7" s="9" t="inlineStr">
        <is>
          <t>cbnv_bn_01@htpldn.test</t>
        </is>
      </c>
      <c r="H7" s="9" t="inlineStr">
        <is>
          <t>diupt01+cb-nv-b@gmail.com</t>
        </is>
      </c>
      <c r="I7" s="9" t="inlineStr">
        <is>
          <t>TAI_KHOAN.email</t>
        </is>
      </c>
      <c r="J7" s="9" t="inlineStr">
        <is>
          <t>Đơn vị B</t>
        </is>
      </c>
      <c r="K7" s="9" t="inlineStr">
        <is>
          <t>Mailbox âm</t>
        </is>
      </c>
      <c r="L7" s="9" t="inlineStr">
        <is>
          <t>ĐÃ SET + đọc lại API</t>
        </is>
      </c>
    </row>
    <row r="8">
      <c r="A8" s="9" t="inlineStr">
        <is>
          <t>TAI_KHOAN</t>
        </is>
      </c>
      <c r="B8" s="9" t="inlineStr">
        <is>
          <t>cbpd_bn_01</t>
        </is>
      </c>
      <c r="C8" s="9" t="inlineStr">
        <is>
          <t>e8a57e11-77a4-40f6-8907-30a95b1e229f</t>
        </is>
      </c>
      <c r="D8" s="9" t="inlineStr">
        <is>
          <t>CB_PD_BN</t>
        </is>
      </c>
      <c r="E8" s="9" t="inlineStr">
        <is>
          <t>Bộ Kế hoạch và Đầu tư</t>
        </is>
      </c>
      <c r="F8" s="9" t="inlineStr">
        <is>
          <t>HOAT_DONG</t>
        </is>
      </c>
      <c r="G8" s="9" t="inlineStr">
        <is>
          <t>cbpd_bn_01@htpldn.test</t>
        </is>
      </c>
      <c r="H8" s="9" t="inlineStr">
        <is>
          <t>diupt01+cb-pd-b@gmail.com</t>
        </is>
      </c>
      <c r="I8" s="9" t="inlineStr">
        <is>
          <t>TAI_KHOAN.email</t>
        </is>
      </c>
      <c r="J8" s="9" t="inlineStr">
        <is>
          <t>Đơn vị B</t>
        </is>
      </c>
      <c r="K8" s="9" t="inlineStr">
        <is>
          <t>Mailbox âm</t>
        </is>
      </c>
      <c r="L8" s="9" t="inlineStr">
        <is>
          <t>ĐÃ SET + đọc lại API</t>
        </is>
      </c>
    </row>
    <row r="9">
      <c r="A9" s="9" t="inlineStr">
        <is>
          <t>TAI_KHOAN</t>
        </is>
      </c>
      <c r="B9" s="9" t="inlineStr">
        <is>
          <t>cbnv_hn</t>
        </is>
      </c>
      <c r="C9" s="9" t="inlineStr">
        <is>
          <t>87bb5785-2ab8-4fa1-847b-ce2ac61f1793</t>
        </is>
      </c>
      <c r="D9" s="9" t="inlineStr">
        <is>
          <t>CB_NV_DP</t>
        </is>
      </c>
      <c r="E9" s="9" t="inlineStr">
        <is>
          <t>Sở Tư pháp Hà Nội</t>
        </is>
      </c>
      <c r="F9" s="9" t="inlineStr">
        <is>
          <t>HOAT_DONG</t>
        </is>
      </c>
      <c r="G9" s="9" t="inlineStr">
        <is>
          <t>cbnv.hn@htpldn.test</t>
        </is>
      </c>
      <c r="H9" s="9" t="inlineStr">
        <is>
          <t>diupt01+cb-nv-dn@gmail.com</t>
        </is>
      </c>
      <c r="I9" s="9" t="inlineStr">
        <is>
          <t>TAI_KHOAN.email</t>
        </is>
      </c>
      <c r="J9" s="9" t="inlineStr">
        <is>
          <t>Lane Hà Nội</t>
        </is>
      </c>
      <c r="K9" s="9" t="inlineStr">
        <is>
          <t>DN 0109998887</t>
        </is>
      </c>
      <c r="L9" s="9" t="inlineStr">
        <is>
          <t>ĐÃ SET + OTP/login verified</t>
        </is>
      </c>
    </row>
    <row r="10">
      <c r="A10" s="9" t="inlineStr">
        <is>
          <t>TAI_KHOAN</t>
        </is>
      </c>
      <c r="B10" s="9" t="inlineStr">
        <is>
          <t>cbpd_hn</t>
        </is>
      </c>
      <c r="C10" s="9" t="inlineStr">
        <is>
          <t>82ff67b4-7702-4a6a-b4bd-0d41ddc3311d</t>
        </is>
      </c>
      <c r="D10" s="9" t="inlineStr">
        <is>
          <t>CB_PD_DP</t>
        </is>
      </c>
      <c r="E10" s="9" t="inlineStr">
        <is>
          <t>Sở Tư pháp Hà Nội</t>
        </is>
      </c>
      <c r="F10" s="9" t="inlineStr">
        <is>
          <t>HOAT_DONG</t>
        </is>
      </c>
      <c r="G10" s="9" t="inlineStr">
        <is>
          <t>cbpd.hn@htpldn.test</t>
        </is>
      </c>
      <c r="H10" s="9" t="inlineStr">
        <is>
          <t>diupt01+cb-pd-dn@gmail.com</t>
        </is>
      </c>
      <c r="I10" s="9" t="inlineStr">
        <is>
          <t>TAI_KHOAN.email</t>
        </is>
      </c>
      <c r="J10" s="9" t="inlineStr">
        <is>
          <t>Lane Hà Nội</t>
        </is>
      </c>
      <c r="K10" s="9" t="inlineStr">
        <is>
          <t>Duyệt hồ sơ Hà Nội</t>
        </is>
      </c>
      <c r="L10" s="9" t="inlineStr">
        <is>
          <t>ĐÃ SET + đọc lại API</t>
        </is>
      </c>
    </row>
    <row r="11">
      <c r="A11" s="9" t="inlineStr">
        <is>
          <t>TAI_KHOAN</t>
        </is>
      </c>
      <c r="B11" s="9" t="inlineStr">
        <is>
          <t>cbnv_dp_01</t>
        </is>
      </c>
      <c r="C11" s="9" t="inlineStr">
        <is>
          <t>e81aa51b-e132-49a4-8831-fd404512af40</t>
        </is>
      </c>
      <c r="D11" s="9" t="inlineStr">
        <is>
          <t>CB_NV_DP</t>
        </is>
      </c>
      <c r="E11" s="9" t="inlineStr">
        <is>
          <t>Sở Tư pháp An Giang</t>
        </is>
      </c>
      <c r="F11" s="9" t="inlineStr">
        <is>
          <t>HOAT_DONG</t>
        </is>
      </c>
      <c r="G11" s="9" t="inlineStr">
        <is>
          <t>cbnv_dp_01@htpldn.test</t>
        </is>
      </c>
      <c r="H11" s="9" t="inlineStr">
        <is>
          <t>diupt01+cb-nv-ag@gmail.com</t>
        </is>
      </c>
      <c r="I11" s="9" t="inlineStr">
        <is>
          <t>TAI_KHOAN.email</t>
        </is>
      </c>
      <c r="J11" s="9" t="inlineStr">
        <is>
          <t>Lane An Giang</t>
        </is>
      </c>
      <c r="K11" s="9" t="inlineStr">
        <is>
          <t>Vụ việc/chi trả</t>
        </is>
      </c>
      <c r="L11" s="9" t="inlineStr">
        <is>
          <t>ĐÃ SET + đọc lại API</t>
        </is>
      </c>
    </row>
    <row r="12">
      <c r="A12" s="9" t="inlineStr">
        <is>
          <t>TAI_KHOAN</t>
        </is>
      </c>
      <c r="B12" s="9" t="inlineStr">
        <is>
          <t>cbpd_dp_01</t>
        </is>
      </c>
      <c r="C12" s="9" t="inlineStr">
        <is>
          <t>8ed9e497-387f-4d37-ac06-8c1545b593a5</t>
        </is>
      </c>
      <c r="D12" s="9" t="inlineStr">
        <is>
          <t>CB_PD_DP</t>
        </is>
      </c>
      <c r="E12" s="9" t="inlineStr">
        <is>
          <t>Sở Tư pháp An Giang</t>
        </is>
      </c>
      <c r="F12" s="9" t="inlineStr">
        <is>
          <t>HOAT_DONG</t>
        </is>
      </c>
      <c r="G12" s="9" t="inlineStr">
        <is>
          <t>cbpd_dp_01@htpldn.test</t>
        </is>
      </c>
      <c r="H12" s="9" t="inlineStr">
        <is>
          <t>diupt01+cb-pd-ag@gmail.com</t>
        </is>
      </c>
      <c r="I12" s="9" t="inlineStr">
        <is>
          <t>TAI_KHOAN.email</t>
        </is>
      </c>
      <c r="J12" s="9" t="inlineStr">
        <is>
          <t>Lane An Giang</t>
        </is>
      </c>
      <c r="K12" s="9" t="inlineStr">
        <is>
          <t>Duyệt vụ việc/chi trả</t>
        </is>
      </c>
      <c r="L12" s="9" t="inlineStr">
        <is>
          <t>ĐÃ SET + đọc lại API</t>
        </is>
      </c>
    </row>
    <row r="13">
      <c r="A13" s="9" t="inlineStr">
        <is>
          <t>TAI_KHOAN</t>
        </is>
      </c>
      <c r="B13" s="9" t="inlineStr">
        <is>
          <t>nht_qa_tw</t>
        </is>
      </c>
      <c r="C13" s="9" t="inlineStr">
        <is>
          <t>a31689a8-019e-40ff-b084-58f55589b694</t>
        </is>
      </c>
      <c r="D13" s="9" t="inlineStr">
        <is>
          <t>NHT</t>
        </is>
      </c>
      <c r="E13" s="9" t="inlineStr">
        <is>
          <t>Cục Bổ trợ tư pháp - Bộ Tư pháp</t>
        </is>
      </c>
      <c r="F13" s="9" t="inlineStr">
        <is>
          <t>HOAT_DONG</t>
        </is>
      </c>
      <c r="G13" s="9" t="inlineStr">
        <is>
          <t>nht.qa.tw@htpldn.test</t>
        </is>
      </c>
      <c r="H13" s="9" t="inlineStr">
        <is>
          <t>diupt01+nht-tw@gmail.com</t>
        </is>
      </c>
      <c r="I13" s="9" t="inlineStr">
        <is>
          <t>TAI_KHOAN.email</t>
        </is>
      </c>
      <c r="J13" s="9" t="inlineStr">
        <is>
          <t>NHT TW</t>
        </is>
      </c>
      <c r="K13" s="9" t="inlineStr">
        <is>
          <t>Nộp hồ sơ/đăng ký học</t>
        </is>
      </c>
      <c r="L13" s="9" t="inlineStr">
        <is>
          <t>ĐÃ SET + đọc lại API</t>
        </is>
      </c>
    </row>
    <row r="14">
      <c r="A14" s="9" t="inlineStr">
        <is>
          <t>TAI_KHOAN</t>
        </is>
      </c>
      <c r="B14" s="9" t="inlineStr">
        <is>
          <t>nht_qa_01</t>
        </is>
      </c>
      <c r="C14" s="9" t="inlineStr">
        <is>
          <t>9a1fbbcd-364a-4b41-9dac-15696847caba</t>
        </is>
      </c>
      <c r="D14" s="9" t="inlineStr">
        <is>
          <t>NHT</t>
        </is>
      </c>
      <c r="E14" s="9" t="inlineStr">
        <is>
          <t>Sở Tư pháp An Giang</t>
        </is>
      </c>
      <c r="F14" s="9" t="inlineStr">
        <is>
          <t>HOAT_DONG</t>
        </is>
      </c>
      <c r="G14" s="9" t="inlineStr">
        <is>
          <t>nht_qa_01@htpldn.test</t>
        </is>
      </c>
      <c r="H14" s="9" t="inlineStr">
        <is>
          <t>diupt01+nht-ag@gmail.com</t>
        </is>
      </c>
      <c r="I14" s="9" t="inlineStr">
        <is>
          <t>TAI_KHOAN.email</t>
        </is>
      </c>
      <c r="J14" s="9" t="inlineStr">
        <is>
          <t>NHT An Giang</t>
        </is>
      </c>
      <c r="K14" s="9" t="inlineStr">
        <is>
          <t>Nộp hồ sơ/đăng ký học</t>
        </is>
      </c>
      <c r="L14" s="9" t="inlineStr">
        <is>
          <t>ĐÃ SET + đọc lại API</t>
        </is>
      </c>
    </row>
    <row r="15">
      <c r="A15" s="9" t="inlineStr">
        <is>
          <t>TAI_KHOAN + TU_VAN_VIEN</t>
        </is>
      </c>
      <c r="B15" s="9" t="inlineStr">
        <is>
          <t>qa_tvv_tw_r19 | TVV-BTP-TW-0016</t>
        </is>
      </c>
      <c r="C15" s="9" t="inlineStr">
        <is>
          <t>TK 3f9d5fc4-eac3-4229-8c2c-3f79a952ed83 | TVV aaaa1707-0000-4000-8000-000000000d01</t>
        </is>
      </c>
      <c r="D15" s="9" t="inlineStr">
        <is>
          <t>TVV thuần</t>
        </is>
      </c>
      <c r="E15" s="9" t="inlineStr">
        <is>
          <t>Cục Bổ trợ tư pháp - Bộ Tư pháp</t>
        </is>
      </c>
      <c r="F15" s="9" t="inlineStr">
        <is>
          <t>HOAT_DONG</t>
        </is>
      </c>
      <c r="G15" s="9" t="inlineStr">
        <is>
          <t>qa.tvv.tw.r19@htpldn.gov.vn</t>
        </is>
      </c>
      <c r="H15" s="9" t="inlineStr">
        <is>
          <t>diupt01+tvv-tw@gmail.com</t>
        </is>
      </c>
      <c r="I15" s="9" t="inlineStr">
        <is>
          <t>TAI_KHOAN.email + TU_VAN_VIEN.email</t>
        </is>
      </c>
      <c r="J15" s="9" t="inlineStr">
        <is>
          <t>Đã khôi phục TK; reset mật khẩu test</t>
        </is>
      </c>
      <c r="K15" s="9" t="inlineStr">
        <is>
          <t>TVV lane TW</t>
        </is>
      </c>
      <c r="L15" s="9" t="inlineStr">
        <is>
          <t>ĐÃ SET + reset/login verified</t>
        </is>
      </c>
    </row>
    <row r="16">
      <c r="A16" s="9" t="inlineStr">
        <is>
          <t>TAI_KHOAN + TU_VAN_VIEN</t>
        </is>
      </c>
      <c r="B16" s="9" t="inlineStr">
        <is>
          <t>qa_tvv_dp_r18 | TVV-STP-AG-0001</t>
        </is>
      </c>
      <c r="C16" s="9" t="inlineStr">
        <is>
          <t>TK a0529ecc-e050-4723-8b6b-5c15045cadf4 | TVV 4c1d3aab-db59-40f8-9a58-b8637c42d8ab</t>
        </is>
      </c>
      <c r="D16" s="9" t="inlineStr">
        <is>
          <t>TVV thuần</t>
        </is>
      </c>
      <c r="E16" s="9" t="inlineStr">
        <is>
          <t>Sở Tư pháp An Giang</t>
        </is>
      </c>
      <c r="F16" s="9" t="inlineStr">
        <is>
          <t>HOAT_DONG</t>
        </is>
      </c>
      <c r="G16" s="9" t="inlineStr">
        <is>
          <t>qa.tvv.dp.r18@htpldn.gov.vn</t>
        </is>
      </c>
      <c r="H16" s="9" t="inlineStr">
        <is>
          <t>diupt01+tvv-ag@gmail.com</t>
        </is>
      </c>
      <c r="I16" s="9" t="inlineStr">
        <is>
          <t>TAI_KHOAN.email + TU_VAN_VIEN.email</t>
        </is>
      </c>
      <c r="J16" s="9" t="inlineStr">
        <is>
          <t>Liên kết TC-STP-AG-0001; reset mật khẩu test</t>
        </is>
      </c>
      <c r="K16" s="9" t="inlineStr">
        <is>
          <t>TVV lane An Giang</t>
        </is>
      </c>
      <c r="L16" s="9" t="inlineStr">
        <is>
          <t>ĐÃ SET + reset/login verified</t>
        </is>
      </c>
    </row>
    <row r="17">
      <c r="A17" s="9" t="inlineStr">
        <is>
          <t>TAI_KHOAN + TU_VAN_VIEN</t>
        </is>
      </c>
      <c r="B17" s="9" t="inlineStr">
        <is>
          <t>qa_tvvseed28 | TVV-BTP-TW-0002</t>
        </is>
      </c>
      <c r="C17" s="9" t="inlineStr">
        <is>
          <t>TK 5432719c-c542-4a5d-8c3a-db1b8a918bbf | TVV 98cfd963-3cd3-4c8a-bfa9-625460824d6d</t>
        </is>
      </c>
      <c r="D17" s="9" t="inlineStr">
        <is>
          <t>TVV+CG; hồ sơ CG</t>
        </is>
      </c>
      <c r="E17" s="9" t="inlineStr">
        <is>
          <t>Cục Bổ trợ tư pháp - Bộ Tư pháp</t>
        </is>
      </c>
      <c r="F17" s="9" t="inlineStr">
        <is>
          <t>HOAT_DONG</t>
        </is>
      </c>
      <c r="G17" s="9" t="inlineStr">
        <is>
          <t>qa.tvvseed28@htpldn-uat.local</t>
        </is>
      </c>
      <c r="H17" s="9" t="inlineStr">
        <is>
          <t>diupt01+cg@gmail.com</t>
        </is>
      </c>
      <c r="I17" s="9" t="inlineStr">
        <is>
          <t>TAI_KHOAN.email + TU_VAN_VIEN.email</t>
        </is>
      </c>
      <c r="J17" s="9" t="inlineStr">
        <is>
          <t>Liên kết TCTV-SEED-0001</t>
        </is>
      </c>
      <c r="K17" s="9" t="inlineStr">
        <is>
          <t>CG fixture chính; người được phân công đánh giá</t>
        </is>
      </c>
      <c r="L17" s="9" t="inlineStr">
        <is>
          <t>ĐÃ SET + login endpoint verified</t>
        </is>
      </c>
    </row>
    <row r="18">
      <c r="A18" s="17" t="inlineStr">
        <is>
          <t>TAI_KHOAN + DOANH_NGHIEP</t>
        </is>
      </c>
      <c r="B18" s="17" t="inlineStr">
        <is>
          <t>0109998887 | DN-HNI-0001</t>
        </is>
      </c>
      <c r="C18" s="17" t="inlineStr">
        <is>
          <t>TK 996cc5db-43c5-4903-b3d1-1c21adb2ece8 | DN 829abcac-b0af-4cde-9af9-ec51bc79014c</t>
        </is>
      </c>
      <c r="D18" s="17" t="inlineStr">
        <is>
          <t>DN</t>
        </is>
      </c>
      <c r="E18" s="17" t="inlineStr">
        <is>
          <t>Sở Tư pháp Hà Nội</t>
        </is>
      </c>
      <c r="F18" s="17" t="inlineStr">
        <is>
          <t>HOAT_DONG</t>
        </is>
      </c>
      <c r="G18" s="17" t="inlineStr">
        <is>
          <t>qa.uat.dn.verify@test.htpldn.vn</t>
        </is>
      </c>
      <c r="H18" s="17" t="inlineStr">
        <is>
          <t>TK: diupt01+dn-login@gmail.com | DN: diupt01+dn-contact@gmail.com</t>
        </is>
      </c>
      <c r="I18" s="17" t="inlineStr">
        <is>
          <t>TAI_KHOAN.email + DOANH_NGHIEP.email</t>
        </is>
      </c>
      <c r="J18" s="17" t="inlineStr">
        <is>
          <t>Hai email cố ý khác nhau</t>
        </is>
      </c>
      <c r="K18" s="17" t="inlineStr">
        <is>
          <t>Routing nguồn TK/DN</t>
        </is>
      </c>
      <c r="L18" s="17" t="inlineStr">
        <is>
          <t>ĐÃ SET + OTP/login verified</t>
        </is>
      </c>
    </row>
    <row r="19">
      <c r="A19" s="17" t="inlineStr">
        <is>
          <t>TAI_KHOAN + DOANH_NGHIEP</t>
        </is>
      </c>
      <c r="B19" s="17" t="inlineStr">
        <is>
          <t>0209888006 | DN-AGG-0001</t>
        </is>
      </c>
      <c r="C19" s="17" t="inlineStr">
        <is>
          <t>TK b9c7f944-989f-48f4-8457-9d2e28875fc5 | DN c03a66bc-f584-437d-89c8-1371f6a69772</t>
        </is>
      </c>
      <c r="D19" s="17" t="inlineStr">
        <is>
          <t>DN</t>
        </is>
      </c>
      <c r="E19" s="17" t="inlineStr">
        <is>
          <t>Sở Tư pháp An Giang</t>
        </is>
      </c>
      <c r="F19" s="17" t="inlineStr">
        <is>
          <t>HOAT_DONG</t>
        </is>
      </c>
      <c r="G19" s="17" t="inlineStr">
        <is>
          <t>qa.uat.dn.angiang@test.htpldn.vn</t>
        </is>
      </c>
      <c r="H19" s="17" t="inlineStr">
        <is>
          <t>TK: diupt01+dn-ag-login@gmail.com | DN: diupt01+dn-ag-contact@gmail.com</t>
        </is>
      </c>
      <c r="I19" s="17" t="inlineStr">
        <is>
          <t>TAI_KHOAN.email + DOANH_NGHIEP.email</t>
        </is>
      </c>
      <c r="J19" s="17" t="inlineStr">
        <is>
          <t>Hai email cố ý khác nhau</t>
        </is>
      </c>
      <c r="K19" s="17" t="inlineStr">
        <is>
          <t>Vụ việc/chi trả An Giang</t>
        </is>
      </c>
      <c r="L19" s="17" t="inlineStr">
        <is>
          <t>ĐÃ SET + đọc lại API</t>
        </is>
      </c>
    </row>
    <row r="20">
      <c r="A20" s="17" t="inlineStr">
        <is>
          <t>DOANH_NGHIEP</t>
        </is>
      </c>
      <c r="B20" s="17" t="inlineStr">
        <is>
          <t>DN-01-0002 | MST 0108051801</t>
        </is>
      </c>
      <c r="C20" s="17" t="inlineStr">
        <is>
          <t>6c75f283-d560-48ca-ba7c-524e6a690ff0</t>
        </is>
      </c>
      <c r="D20" s="17" t="inlineStr">
        <is>
          <t>DN không TK</t>
        </is>
      </c>
      <c r="E20" s="17" t="inlineStr">
        <is>
          <t>Cục Bổ trợ tư pháp - Bộ Tư pháp</t>
        </is>
      </c>
      <c r="F20" s="17" t="inlineStr">
        <is>
          <t>Đang hoạt động</t>
        </is>
      </c>
      <c r="G20" s="17" t="inlineStr">
        <is>
          <t>uat.v108.tvcs@example.test</t>
        </is>
      </c>
      <c r="H20" s="17" t="inlineStr">
        <is>
          <t>diupt01+dn-no-account@gmail.com</t>
        </is>
      </c>
      <c r="I20" s="17" t="inlineStr">
        <is>
          <t>DOANH_NGHIEP.email</t>
        </is>
      </c>
      <c r="J20" s="17" t="inlineStr">
        <is>
          <t>Không có TAI_KHOAN trùng MST</t>
        </is>
      </c>
      <c r="K20" s="17" t="inlineStr">
        <is>
          <t>TVCS email-only</t>
        </is>
      </c>
      <c r="L20" s="17" t="inlineStr">
        <is>
          <t>ĐÃ SET + xác minh không có account</t>
        </is>
      </c>
    </row>
    <row r="21">
      <c r="A21" s="17" t="inlineStr">
        <is>
          <t>DOANH_NGHIEP</t>
        </is>
      </c>
      <c r="B21" s="17" t="inlineStr">
        <is>
          <t>DN-07-0001 | MST 0722072207</t>
        </is>
      </c>
      <c r="C21" s="17" t="inlineStr">
        <is>
          <t>92cdc9c1-41d1-4802-bc1f-bd7fb2e239de</t>
        </is>
      </c>
      <c r="D21" s="17" t="inlineStr">
        <is>
          <t>DN không TK</t>
        </is>
      </c>
      <c r="E21" s="17" t="inlineStr">
        <is>
          <t>Cục Bổ trợ tư pháp - Bộ Tư pháp</t>
        </is>
      </c>
      <c r="F21" s="17" t="inlineStr">
        <is>
          <t>Đang hoạt động</t>
        </is>
      </c>
      <c r="G21" s="17" t="inlineStr">
        <is>
          <t>NULL</t>
        </is>
      </c>
      <c r="H21" s="17" t="inlineStr">
        <is>
          <t>Giữ NULL</t>
        </is>
      </c>
      <c r="I21" s="17" t="inlineStr">
        <is>
          <t>Không cập nhật</t>
        </is>
      </c>
      <c r="J21" s="17" t="inlineStr">
        <is>
          <t>Không có TAI_KHOAN trùng MST</t>
        </is>
      </c>
      <c r="K21" s="17" t="inlineStr">
        <is>
          <t>Negative thiếu recipient</t>
        </is>
      </c>
      <c r="L21" s="17" t="inlineStr">
        <is>
          <t>ĐÃ xác minh giữ NULL</t>
        </is>
      </c>
    </row>
    <row r="22">
      <c r="A22" s="9" t="inlineStr">
        <is>
          <t>TO_CHUC_TU_VAN</t>
        </is>
      </c>
      <c r="B22" s="9" t="inlineStr">
        <is>
          <t>TCTV-SEED-0001</t>
        </is>
      </c>
      <c r="C22" s="9" t="inlineStr">
        <is>
          <t>5eed0004-0000-4000-8000-000000000001</t>
        </is>
      </c>
      <c r="D22" s="9" t="inlineStr">
        <is>
          <t>Tổ chức A</t>
        </is>
      </c>
      <c r="E22" s="9" t="inlineStr">
        <is>
          <t>Cục Bổ trợ tư pháp - Bộ Tư pháp</t>
        </is>
      </c>
      <c r="F22" s="9" t="inlineStr">
        <is>
          <t>HOAT_DONG</t>
        </is>
      </c>
      <c r="G22" s="9" t="inlineStr">
        <is>
          <t>NULL</t>
        </is>
      </c>
      <c r="H22" s="9" t="inlineStr">
        <is>
          <t>diupt01+org-a@gmail.com</t>
        </is>
      </c>
      <c r="I22" s="9" t="inlineStr">
        <is>
          <t>TO_CHUC_TU_VAN.email</t>
        </is>
      </c>
      <c r="J22" s="9" t="inlineStr">
        <is>
          <t>Liên kết TVV-BTP-TW-0002</t>
        </is>
      </c>
      <c r="K22" s="9" t="inlineStr">
        <is>
          <t>CC tổ chức A</t>
        </is>
      </c>
      <c r="L22" s="9" t="inlineStr">
        <is>
          <t>ĐÃ SET + đọc lại API</t>
        </is>
      </c>
    </row>
    <row r="23">
      <c r="A23" s="9" t="inlineStr">
        <is>
          <t>TO_CHUC_TU_VAN</t>
        </is>
      </c>
      <c r="B23" s="9" t="inlineStr">
        <is>
          <t>TC-STP-AG-0001</t>
        </is>
      </c>
      <c r="C23" s="9" t="inlineStr">
        <is>
          <t>d19eb64b-58ba-4993-b1d7-7762845459b6</t>
        </is>
      </c>
      <c r="D23" s="9" t="inlineStr">
        <is>
          <t>Tổ chức B</t>
        </is>
      </c>
      <c r="E23" s="9" t="inlineStr">
        <is>
          <t>Sở Tư pháp An Giang</t>
        </is>
      </c>
      <c r="F23" s="9" t="inlineStr">
        <is>
          <t>HOAT_DONG</t>
        </is>
      </c>
      <c r="G23" s="9" t="inlineStr">
        <is>
          <t>tctv.qa.dp@htpldn.test</t>
        </is>
      </c>
      <c r="H23" s="9" t="inlineStr">
        <is>
          <t>diupt01+org-b@gmail.com</t>
        </is>
      </c>
      <c r="I23" s="9" t="inlineStr">
        <is>
          <t>TO_CHUC_TU_VAN.email</t>
        </is>
      </c>
      <c r="J23" s="9" t="inlineStr">
        <is>
          <t>Liên kết TVV-STP-AG-0001</t>
        </is>
      </c>
      <c r="K23" s="9" t="inlineStr">
        <is>
          <t>CC/mailbox âm</t>
        </is>
      </c>
      <c r="L23" s="9" t="inlineStr">
        <is>
          <t>ĐÃ SET + đọc lại API</t>
        </is>
      </c>
    </row>
    <row r="24">
      <c r="A24" s="9" t="inlineStr">
        <is>
          <t>HOC_VIEN</t>
        </is>
      </c>
      <c r="B24" s="9" t="inlineStr">
        <is>
          <t>Học viên TW 01</t>
        </is>
      </c>
      <c r="C24" s="9" t="inlineStr">
        <is>
          <t>aaaa1111-0000-4000-8001-000000000001</t>
        </is>
      </c>
      <c r="D24" s="9" t="inlineStr">
        <is>
          <t>HOC_VIEN</t>
        </is>
      </c>
      <c r="E24" s="9" t="inlineStr">
        <is>
          <t>Cục Bổ trợ tư pháp - Bộ Tư pháp</t>
        </is>
      </c>
      <c r="F24" s="9" t="inlineStr">
        <is>
          <t>taiKhoanId=NULL</t>
        </is>
      </c>
      <c r="G24" s="9" t="inlineStr">
        <is>
          <t>hv.aaaa1@htpldn.local</t>
        </is>
      </c>
      <c r="H24" s="9" t="inlineStr">
        <is>
          <t>diupt01+hv-01@gmail.com</t>
        </is>
      </c>
      <c r="I24" s="9" t="inlineStr">
        <is>
          <t>HOC_VIEN.email</t>
        </is>
      </c>
      <c r="J24" s="9" t="inlineStr">
        <is>
          <t>Dùng/gắn vào khóa fixture khi chạy TC</t>
        </is>
      </c>
      <c r="K24" s="9" t="inlineStr">
        <is>
          <t>Hủy/bắt đầu khóa gửi HV</t>
        </is>
      </c>
      <c r="L24" s="9" t="inlineStr">
        <is>
          <t>ĐÃ SET + đọc lại API</t>
        </is>
      </c>
    </row>
    <row r="25">
      <c r="A25" s="9" t="inlineStr">
        <is>
          <t>HOC_VIEN</t>
        </is>
      </c>
      <c r="B25" s="9" t="inlineStr">
        <is>
          <t>Học viên TW 02</t>
        </is>
      </c>
      <c r="C25" s="9" t="inlineStr">
        <is>
          <t>aaaa1111-0000-4000-8001-000000000002</t>
        </is>
      </c>
      <c r="D25" s="9" t="inlineStr">
        <is>
          <t>HOC_VIEN</t>
        </is>
      </c>
      <c r="E25" s="9" t="inlineStr">
        <is>
          <t>Cục Bổ trợ tư pháp - Bộ Tư pháp</t>
        </is>
      </c>
      <c r="F25" s="9" t="inlineStr">
        <is>
          <t>taiKhoanId=NULL</t>
        </is>
      </c>
      <c r="G25" s="9" t="inlineStr">
        <is>
          <t>hv.aaaa2@htpldn.local</t>
        </is>
      </c>
      <c r="H25" s="9" t="inlineStr">
        <is>
          <t>diupt01+hv-02@gmail.com</t>
        </is>
      </c>
      <c r="I25" s="9" t="inlineStr">
        <is>
          <t>HOC_VIEN.email</t>
        </is>
      </c>
      <c r="J25" s="9" t="inlineStr">
        <is>
          <t>Dùng/gắn vào cùng khóa fixture khi chạy TC</t>
        </is>
      </c>
      <c r="K25" s="9" t="inlineStr">
        <is>
          <t>Kiểm gửi đủ HV</t>
        </is>
      </c>
      <c r="L25" s="9" t="inlineStr">
        <is>
          <t>ĐÃ SET + đọc lại API</t>
        </is>
      </c>
    </row>
    <row r="26">
      <c r="A26" s="9" t="inlineStr">
        <is>
          <t>GIANG_VIEN</t>
        </is>
      </c>
      <c r="B26" s="9" t="inlineStr">
        <is>
          <t>GV-QA-001 | TS. Lê Hoàng Thái</t>
        </is>
      </c>
      <c r="C26" s="9" t="inlineStr">
        <is>
          <t>f0fafafa-0000-4000-8000-000000000001</t>
        </is>
      </c>
      <c r="D26" s="9" t="inlineStr">
        <is>
          <t>GIANG_VIEN</t>
        </is>
      </c>
      <c r="E26" s="9" t="inlineStr">
        <is>
          <t>Cục Bổ trợ tư pháp - Bộ Tư pháp</t>
        </is>
      </c>
      <c r="F26" s="9" t="inlineStr">
        <is>
          <t>DANG_HOAT_DONG; taiKhoanId=NULL</t>
        </is>
      </c>
      <c r="G26" s="9" t="inlineStr">
        <is>
          <t>qa-gv-thai@htpldn.test</t>
        </is>
      </c>
      <c r="H26" s="9" t="inlineStr">
        <is>
          <t>diupt01+gv-01@gmail.com</t>
        </is>
      </c>
      <c r="I26" s="9" t="inlineStr">
        <is>
          <t>GIANG_VIEN.email</t>
        </is>
      </c>
      <c r="J26" s="9" t="inlineStr">
        <is>
          <t>Có lịch sử giảng dạy; chọn làm GV cùng khóa fixture</t>
        </is>
      </c>
      <c r="K26" s="9" t="inlineStr">
        <is>
          <t>Khóa bắt đầu gửi GV</t>
        </is>
      </c>
      <c r="L26" s="9" t="inlineStr">
        <is>
          <t>ĐÃ SET + đọc lại API</t>
        </is>
      </c>
    </row>
    <row r="27">
      <c r="A27" s="13" t="inlineStr">
        <is>
          <t>DYNAMIC</t>
        </is>
      </c>
      <c r="B27" s="13" t="inlineStr">
        <is>
          <t>DYNAMIC_NEW_ACCOUNT</t>
        </is>
      </c>
      <c r="C27" s="13" t="inlineStr">
        <is>
          <t>Không pre-seed</t>
        </is>
      </c>
      <c r="D27" s="13" t="inlineStr">
        <is>
          <t>Theo từng TC</t>
        </is>
      </c>
      <c r="E27" s="13" t="inlineStr">
        <is>
          <t>—</t>
        </is>
      </c>
      <c r="F27" s="13" t="inlineStr">
        <is>
          <t>Chưa tồn tại</t>
        </is>
      </c>
      <c r="G27" s="13" t="inlineStr">
        <is>
          <t>—</t>
        </is>
      </c>
      <c r="H27" s="13" t="inlineStr">
        <is>
          <t>diupt01+uat-{test-case-id}@gmail.com</t>
        </is>
      </c>
      <c r="I27" s="13" t="inlineStr">
        <is>
          <t>QA tạo qua UI/API</t>
        </is>
      </c>
      <c r="J27" s="13" t="inlineStr">
        <is>
          <t>Không seed trước; cleanup sau TC</t>
        </is>
      </c>
      <c r="K27" s="13" t="inlineStr">
        <is>
          <t>Activation/reset/unique/claim</t>
        </is>
      </c>
      <c r="L27" s="13" t="inlineStr">
        <is>
          <t>QA tạo khi chạy</t>
        </is>
      </c>
    </row>
    <row r="28">
      <c r="A28" s="13" t="inlineStr">
        <is>
          <t>DYNAMIC</t>
        </is>
      </c>
      <c r="B28" s="13" t="inlineStr">
        <is>
          <t>DYNAMIC_DN_REGISTER</t>
        </is>
      </c>
      <c r="C28" s="13" t="inlineStr">
        <is>
          <t>Không pre-seed</t>
        </is>
      </c>
      <c r="D28" s="13" t="inlineStr">
        <is>
          <t>DN</t>
        </is>
      </c>
      <c r="E28" s="13" t="inlineStr">
        <is>
          <t>—</t>
        </is>
      </c>
      <c r="F28" s="13" t="inlineStr">
        <is>
          <t>Chưa tồn tại</t>
        </is>
      </c>
      <c r="G28" s="13" t="inlineStr">
        <is>
          <t>—</t>
        </is>
      </c>
      <c r="H28" s="13" t="inlineStr">
        <is>
          <t>Alias theo TC; TK.email = DN.email lúc đăng ký</t>
        </is>
      </c>
      <c r="I28" s="13" t="inlineStr">
        <is>
          <t>QA tạo qua tự đăng ký</t>
        </is>
      </c>
      <c r="J28" s="13" t="inlineStr">
        <is>
          <t>MST/username/email phải chưa tồn tại</t>
        </is>
      </c>
      <c r="K28" s="13" t="inlineStr">
        <is>
          <t>DN tự đăng ký</t>
        </is>
      </c>
      <c r="L28" s="13" t="inlineStr">
        <is>
          <t>QA tạo khi chạy</t>
        </is>
      </c>
    </row>
  </sheetData>
  <autoFilter ref="A1:L28"/>
  <pageMargins left="0.75" right="0.75" top="1" bottom="1"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C181"/>
  <sheetViews>
    <sheetView showGridLines="0" workbookViewId="0">
      <pane ySplit="1" topLeftCell="A2" activePane="bottomLeft" state="frozen"/>
      <selection pane="bottomLeft" activeCell="A1" sqref="A1"/>
    </sheetView>
  </sheetViews>
  <sheetFormatPr baseColWidth="8" defaultRowHeight="15"/>
  <cols>
    <col width="55" customWidth="1" min="1" max="1"/>
    <col width="110" customWidth="1" min="2" max="2"/>
    <col width="10" customWidth="1" min="3" max="3"/>
  </cols>
  <sheetData>
    <row r="1" ht="48" customHeight="1">
      <c r="A1" s="4" t="inlineStr">
        <is>
          <t>Requirement/Reference</t>
        </is>
      </c>
      <c r="B1" s="4" t="inlineStr">
        <is>
          <t>Test Case IDs</t>
        </is>
      </c>
      <c r="C1" s="4" t="inlineStr">
        <is>
          <t>Số TC</t>
        </is>
      </c>
    </row>
    <row r="2">
      <c r="A2" s="9" t="inlineStr">
        <is>
          <t>Architecture srs-v3.5:394</t>
        </is>
      </c>
      <c r="B2" s="9" t="inlineStr">
        <is>
          <t>EM-INF-01</t>
        </is>
      </c>
      <c r="C2" s="9" t="n">
        <v>1</v>
      </c>
    </row>
    <row r="3">
      <c r="A3" s="9" t="inlineStr">
        <is>
          <t>BA 2026-08-09</t>
        </is>
      </c>
      <c r="B3" s="9" t="inlineStr">
        <is>
          <t>EM-NOT-NO-02</t>
        </is>
      </c>
      <c r="C3" s="9" t="n">
        <v>1</v>
      </c>
    </row>
    <row r="4">
      <c r="A4" s="9" t="inlineStr">
        <is>
          <t>BR-AUTH-01 canonical srs-v3.5:5582,5596 vs FR-VIII-20 srs-fr-10:901-974</t>
        </is>
      </c>
      <c r="B4" s="9" t="inlineStr">
        <is>
          <t>EM-TK-2FA-01, EM-TK-2FA-02, EM-TK-2FA-03, EM-TK-2FA-04</t>
        </is>
      </c>
      <c r="C4" s="9" t="n">
        <v>4</v>
      </c>
    </row>
    <row r="5">
      <c r="A5" s="9" t="inlineStr">
        <is>
          <t>BR-AUTH-EMAIL-01</t>
        </is>
      </c>
      <c r="B5" s="9" t="inlineStr">
        <is>
          <t>EM-TK-CHG-01, EM-TK-CHG-02, EM-TK-CHG-03, EM-TK-CHG-04, EM-TK-CHG-05, EM-TK-CHG-06, EM-DN-VAL-04, EM-DN-VAL-05, EM-DN-UPD-01, EM-DN-UPD-02, EM-DN-UPD-03, EM-DN-UPD-04, EM-DN-REG-01, EM-DN-REG-03, EM-INF-19</t>
        </is>
      </c>
      <c r="C5" s="9" t="n">
        <v>15</v>
      </c>
    </row>
    <row r="6">
      <c r="A6" s="9" t="inlineStr">
        <is>
          <t>BR-AUTH-EMAIL-01 canonical srs-v3.5:5616</t>
        </is>
      </c>
      <c r="B6" s="9" t="inlineStr">
        <is>
          <t>EM-FLD-TVV-05</t>
        </is>
      </c>
      <c r="C6" s="9" t="n">
        <v>1</v>
      </c>
    </row>
    <row r="7">
      <c r="A7" s="9" t="inlineStr">
        <is>
          <t>BR-DATA-05</t>
        </is>
      </c>
      <c r="B7" s="9" t="inlineStr">
        <is>
          <t>EM-TK-ACT-09</t>
        </is>
      </c>
      <c r="C7" s="9" t="n">
        <v>1</v>
      </c>
    </row>
    <row r="8">
      <c r="A8" s="9" t="inlineStr">
        <is>
          <t>BR-DATA/Concurrency; FR-VIII-15</t>
        </is>
      </c>
      <c r="B8" s="9" t="inlineStr">
        <is>
          <t>EM-TK-ACT-10</t>
        </is>
      </c>
      <c r="C8" s="9" t="n">
        <v>1</v>
      </c>
    </row>
    <row r="9">
      <c r="A9" s="9" t="inlineStr">
        <is>
          <t>BR-EC-11</t>
        </is>
      </c>
      <c r="B9" s="9" t="inlineStr">
        <is>
          <t>EM-INF-04, EM-INF-05</t>
        </is>
      </c>
      <c r="C9" s="9" t="n">
        <v>2</v>
      </c>
    </row>
    <row r="10">
      <c r="A10" s="9" t="inlineStr">
        <is>
          <t>BR-NOTIF-01</t>
        </is>
      </c>
      <c r="B10" s="9" t="inlineStr">
        <is>
          <t>EM-NOT-TVV-01, EM-NOT-TVV-02, EM-NOT-TVV-03, EM-NOT-TVV-04, EM-NOT-VV-01, EM-NOT-VV-02, EM-NOT-VV-03, EM-NOT-VV-04, EM-NOT-VV-05, EM-NOT-VV-06, EM-NOT-VV-07, EM-NOT-VV-11, EM-NOT-TVCS-01, EM-NOT-TVCS-02, EM-NOT-TVCS-03, EM-NOT-TVCS-04, EM-NOT-TVCS-05, EM-NOT-TVCS-06, EM-NOT-TVCS-07, EM-NOT-TVCS-08, EM-INF-18</t>
        </is>
      </c>
      <c r="C10" s="9" t="n">
        <v>21</v>
      </c>
    </row>
    <row r="11">
      <c r="A11" s="9" t="inlineStr">
        <is>
          <t>BR-NOTIF-01 TVCS</t>
        </is>
      </c>
      <c r="B11" s="9" t="inlineStr">
        <is>
          <t>EM-INF-20</t>
        </is>
      </c>
      <c r="C11" s="9" t="n">
        <v>1</v>
      </c>
    </row>
    <row r="12">
      <c r="A12" s="9" t="inlineStr">
        <is>
          <t>BR-NOTIF-01 trigger trình duyệt; srs-fr-02:1175</t>
        </is>
      </c>
      <c r="B12" s="9" t="inlineStr">
        <is>
          <t>EM-NOT-HDD-02</t>
        </is>
      </c>
      <c r="C12" s="9" t="n">
        <v>1</v>
      </c>
    </row>
    <row r="13">
      <c r="A13" s="9" t="inlineStr">
        <is>
          <t>BR-NOTIF-01(6)</t>
        </is>
      </c>
      <c r="B13" s="9" t="inlineStr">
        <is>
          <t>EM-NOT-DT-08</t>
        </is>
      </c>
      <c r="C13" s="9" t="n">
        <v>1</v>
      </c>
    </row>
    <row r="14">
      <c r="A14" s="9" t="inlineStr">
        <is>
          <t>BR-PUBLIC-04</t>
        </is>
      </c>
      <c r="B14" s="9" t="inlineStr">
        <is>
          <t>EM-FLD-API-05</t>
        </is>
      </c>
      <c r="C14" s="9" t="n">
        <v>1</v>
      </c>
    </row>
    <row r="15">
      <c r="A15" s="9" t="inlineStr">
        <is>
          <t>BR-SEC-01; srs-v3.5:5746</t>
        </is>
      </c>
      <c r="B15" s="9" t="inlineStr">
        <is>
          <t>EM-INF-12</t>
        </is>
      </c>
      <c r="C15" s="9" t="n">
        <v>1</v>
      </c>
    </row>
    <row r="16">
      <c r="A16" s="9" t="inlineStr">
        <is>
          <t>BR-SLA-03</t>
        </is>
      </c>
      <c r="B16" s="9" t="inlineStr">
        <is>
          <t>EM-NOT-HDD-05, EM-NOT-HDD-06, EM-NOT-HDD-07, EM-NOT-VV-08, EM-NOT-VV-09, EM-NOT-VV-10, EM-NOT-NO-01, EM-NOT-NO-02</t>
        </is>
      </c>
      <c r="C16" s="9" t="n">
        <v>8</v>
      </c>
    </row>
    <row r="17">
      <c r="A17" s="9" t="inlineStr">
        <is>
          <t>Concurrency</t>
        </is>
      </c>
      <c r="B17" s="9" t="inlineStr">
        <is>
          <t>EM-DN-CLAIM-06</t>
        </is>
      </c>
      <c r="C17" s="9" t="n">
        <v>1</v>
      </c>
    </row>
    <row r="18">
      <c r="A18" s="9" t="inlineStr">
        <is>
          <t>DOANH_NGHIEP.email tùy chọn srs-v3.5:1703</t>
        </is>
      </c>
      <c r="B18" s="9" t="inlineStr">
        <is>
          <t>EM-DN-CLAIM-03</t>
        </is>
      </c>
      <c r="C18" s="9" t="n">
        <v>1</v>
      </c>
    </row>
    <row r="19">
      <c r="A19" s="9" t="inlineStr">
        <is>
          <t>ERR-PWD-01 srs-fr-10:1340</t>
        </is>
      </c>
      <c r="B19" s="9" t="inlineStr">
        <is>
          <t>EM-DN-CLAIM-03</t>
        </is>
      </c>
      <c r="C19" s="9" t="n">
        <v>1</v>
      </c>
    </row>
    <row r="20">
      <c r="A20" s="9" t="inlineStr">
        <is>
          <t>FR-II-01 Inputs#5</t>
        </is>
      </c>
      <c r="B20" s="9" t="inlineStr">
        <is>
          <t>EM-FLD-HDD-01, EM-FLD-HDD-02</t>
        </is>
      </c>
      <c r="C20" s="9" t="n">
        <v>2</v>
      </c>
    </row>
    <row r="21">
      <c r="A21" s="9" t="inlineStr">
        <is>
          <t>FR-II-01 Inputs#5 max 100</t>
        </is>
      </c>
      <c r="B21" s="9" t="inlineStr">
        <is>
          <t>EM-FLD-HDD-03</t>
        </is>
      </c>
      <c r="C21" s="9" t="n">
        <v>1</v>
      </c>
    </row>
    <row r="22">
      <c r="A22" s="9" t="inlineStr">
        <is>
          <t>FR-II-01 Outputs Excel</t>
        </is>
      </c>
      <c r="B22" s="9" t="inlineStr">
        <is>
          <t>EM-FLD-HDD-04</t>
        </is>
      </c>
      <c r="C22" s="9" t="n">
        <v>1</v>
      </c>
    </row>
    <row r="23">
      <c r="A23" s="9" t="inlineStr">
        <is>
          <t>FR-II-05</t>
        </is>
      </c>
      <c r="B23" s="9" t="inlineStr">
        <is>
          <t>EM-NOT-HDD-01</t>
        </is>
      </c>
      <c r="C23" s="9" t="n">
        <v>1</v>
      </c>
    </row>
    <row r="24">
      <c r="A24" s="9" t="inlineStr">
        <is>
          <t>FR-II-08</t>
        </is>
      </c>
      <c r="B24" s="9" t="inlineStr">
        <is>
          <t>EM-NOT-HDD-03</t>
        </is>
      </c>
      <c r="C24" s="9" t="n">
        <v>1</v>
      </c>
    </row>
    <row r="25">
      <c r="A25" s="9" t="inlineStr">
        <is>
          <t>FR-II-CROSS-01</t>
        </is>
      </c>
      <c r="B25" s="9" t="inlineStr">
        <is>
          <t>EM-NOT-HDD-05, EM-NOT-HDD-06, EM-NOT-HDD-07</t>
        </is>
      </c>
      <c r="C25" s="9" t="n">
        <v>3</v>
      </c>
    </row>
    <row r="26">
      <c r="A26" s="9" t="inlineStr">
        <is>
          <t>FR-III-03</t>
        </is>
      </c>
      <c r="B26" s="9" t="inlineStr">
        <is>
          <t>EM-NOT-DT-09, EM-NOT-DT-10</t>
        </is>
      </c>
      <c r="C26" s="9" t="n">
        <v>2</v>
      </c>
    </row>
    <row r="27">
      <c r="A27" s="9" t="inlineStr">
        <is>
          <t>FR-III-04 EC-02</t>
        </is>
      </c>
      <c r="B27" s="9" t="inlineStr">
        <is>
          <t>EM-NOT-DT-07</t>
        </is>
      </c>
      <c r="C27" s="9" t="n">
        <v>1</v>
      </c>
    </row>
    <row r="28">
      <c r="A28" s="9" t="inlineStr">
        <is>
          <t>FR-III-05</t>
        </is>
      </c>
      <c r="B28" s="9" t="inlineStr">
        <is>
          <t>EM-FLD-DT-02</t>
        </is>
      </c>
      <c r="C28" s="9" t="n">
        <v>1</v>
      </c>
    </row>
    <row r="29">
      <c r="A29" s="9" t="inlineStr">
        <is>
          <t>FR-III-05 KTDGKQHT_05</t>
        </is>
      </c>
      <c r="B29" s="9" t="inlineStr">
        <is>
          <t>EM-FLD-DT-03</t>
        </is>
      </c>
      <c r="C29" s="9" t="n">
        <v>1</v>
      </c>
    </row>
    <row r="30">
      <c r="A30" s="9" t="inlineStr">
        <is>
          <t>FR-III-19</t>
        </is>
      </c>
      <c r="B30" s="9" t="inlineStr">
        <is>
          <t>EM-NOT-DT-11</t>
        </is>
      </c>
      <c r="C30" s="9" t="n">
        <v>1</v>
      </c>
    </row>
    <row r="31">
      <c r="A31" s="9" t="inlineStr">
        <is>
          <t>FR-IV-02 E7 ERR-DK-07</t>
        </is>
      </c>
      <c r="B31" s="9" t="inlineStr">
        <is>
          <t>EM-FLD-TVV-02</t>
        </is>
      </c>
      <c r="C31" s="9" t="n">
        <v>1</v>
      </c>
    </row>
    <row r="32">
      <c r="A32" s="9" t="inlineStr">
        <is>
          <t>FR-IV-02 E9 ERR-DK-09</t>
        </is>
      </c>
      <c r="B32" s="9" t="inlineStr">
        <is>
          <t>EM-FLD-TVV-03</t>
        </is>
      </c>
      <c r="C32" s="9" t="n">
        <v>1</v>
      </c>
    </row>
    <row r="33">
      <c r="A33" s="9" t="inlineStr">
        <is>
          <t>FR-IV-02 Inputs email</t>
        </is>
      </c>
      <c r="B33" s="9" t="inlineStr">
        <is>
          <t>EM-FLD-TVV-01</t>
        </is>
      </c>
      <c r="C33" s="9" t="n">
        <v>1</v>
      </c>
    </row>
    <row r="34">
      <c r="A34" s="9" t="inlineStr">
        <is>
          <t>FR-IV-06/07</t>
        </is>
      </c>
      <c r="B34" s="9" t="inlineStr">
        <is>
          <t>EM-NOT-TVV-01, EM-NOT-TVV-02, EM-NOT-TVV-03, EM-NOT-TVV-04</t>
        </is>
      </c>
      <c r="C34" s="9" t="n">
        <v>4</v>
      </c>
    </row>
    <row r="35">
      <c r="A35" s="9" t="inlineStr">
        <is>
          <t>FR-IV-07</t>
        </is>
      </c>
      <c r="B35" s="9" t="inlineStr">
        <is>
          <t>EM-TK-ACT-02</t>
        </is>
      </c>
      <c r="C35" s="9" t="n">
        <v>1</v>
      </c>
    </row>
    <row r="36">
      <c r="A36" s="9" t="inlineStr">
        <is>
          <t>FR-IV-07 W1 WRN-PD-01</t>
        </is>
      </c>
      <c r="B36" s="9" t="inlineStr">
        <is>
          <t>EM-TK-ACT-11</t>
        </is>
      </c>
      <c r="C36" s="9" t="n">
        <v>1</v>
      </c>
    </row>
    <row r="37">
      <c r="A37" s="9" t="inlineStr">
        <is>
          <t>FR-IV-10</t>
        </is>
      </c>
      <c r="B37" s="9" t="inlineStr">
        <is>
          <t>EM-FLD-TVV-04</t>
        </is>
      </c>
      <c r="C37" s="9" t="n">
        <v>1</v>
      </c>
    </row>
    <row r="38">
      <c r="A38" s="9" t="inlineStr">
        <is>
          <t>FR-IV-11 srs-fr-04:815-849</t>
        </is>
      </c>
      <c r="B38" s="9" t="inlineStr">
        <is>
          <t>EM-FLD-TVV-05</t>
        </is>
      </c>
      <c r="C38" s="9" t="n">
        <v>1</v>
      </c>
    </row>
    <row r="39">
      <c r="A39" s="9" t="inlineStr">
        <is>
          <t>FR-IV-NHT-01</t>
        </is>
      </c>
      <c r="B39" s="9" t="inlineStr">
        <is>
          <t>EM-TK-ACT-03</t>
        </is>
      </c>
      <c r="C39" s="9" t="n">
        <v>1</v>
      </c>
    </row>
    <row r="40">
      <c r="A40" s="9" t="inlineStr">
        <is>
          <t>FR-V.I</t>
        </is>
      </c>
      <c r="B40" s="9" t="inlineStr">
        <is>
          <t>EM-NOT-VV-01, EM-NOT-VV-02, EM-NOT-VV-03, EM-NOT-VV-04, EM-NOT-VV-05, EM-NOT-VV-06, EM-NOT-VV-07, EM-NOT-VV-11</t>
        </is>
      </c>
      <c r="C40" s="9" t="n">
        <v>8</v>
      </c>
    </row>
    <row r="41">
      <c r="A41" s="9" t="inlineStr">
        <is>
          <t>FR-V.I assignment</t>
        </is>
      </c>
      <c r="B41" s="9" t="inlineStr">
        <is>
          <t>EM-INF-09</t>
        </is>
      </c>
      <c r="C41" s="9" t="n">
        <v>1</v>
      </c>
    </row>
    <row r="42">
      <c r="A42" s="9" t="inlineStr">
        <is>
          <t>FR-V.I-04</t>
        </is>
      </c>
      <c r="B42" s="9" t="inlineStr">
        <is>
          <t>EM-DN-NOMAIL-02</t>
        </is>
      </c>
      <c r="C42" s="9" t="n">
        <v>1</v>
      </c>
    </row>
    <row r="43">
      <c r="A43" s="9" t="inlineStr">
        <is>
          <t>FR-V.I-05 EC-V.I-05-01</t>
        </is>
      </c>
      <c r="B43" s="9" t="inlineStr">
        <is>
          <t>EM-FLD-API-02</t>
        </is>
      </c>
      <c r="C43" s="9" t="n">
        <v>1</v>
      </c>
    </row>
    <row r="44">
      <c r="A44" s="9" t="inlineStr">
        <is>
          <t>FR-V.I-CROSS SLA</t>
        </is>
      </c>
      <c r="B44" s="9" t="inlineStr">
        <is>
          <t>EM-NOT-VV-08, EM-NOT-VV-09, EM-NOT-VV-10</t>
        </is>
      </c>
      <c r="C44" s="9" t="n">
        <v>3</v>
      </c>
    </row>
    <row r="45">
      <c r="A45" s="9" t="inlineStr">
        <is>
          <t>FR-V.II-01</t>
        </is>
      </c>
      <c r="B45" s="9" t="inlineStr">
        <is>
          <t>EM-DN-NOMAIL-03</t>
        </is>
      </c>
      <c r="C45" s="9" t="n">
        <v>1</v>
      </c>
    </row>
    <row r="46">
      <c r="A46" s="9" t="inlineStr">
        <is>
          <t>FR-V.II-07</t>
        </is>
      </c>
      <c r="B46" s="9" t="inlineStr">
        <is>
          <t>EM-NOT-CT-02</t>
        </is>
      </c>
      <c r="C46" s="9" t="n">
        <v>1</v>
      </c>
    </row>
    <row r="47">
      <c r="A47" s="9" t="inlineStr">
        <is>
          <t>FR-V.II-08</t>
        </is>
      </c>
      <c r="B47" s="9" t="inlineStr">
        <is>
          <t>EM-INF-15</t>
        </is>
      </c>
      <c r="C47" s="9" t="n">
        <v>1</v>
      </c>
    </row>
    <row r="48">
      <c r="A48" s="9" t="inlineStr">
        <is>
          <t>FR-V.II-08/10</t>
        </is>
      </c>
      <c r="B48" s="9" t="inlineStr">
        <is>
          <t>EM-NOT-CT-01</t>
        </is>
      </c>
      <c r="C48" s="9" t="n">
        <v>1</v>
      </c>
    </row>
    <row r="49">
      <c r="A49" s="9" t="inlineStr">
        <is>
          <t>FR-V.II-11</t>
        </is>
      </c>
      <c r="B49" s="9" t="inlineStr">
        <is>
          <t>EM-NOT-CT-03</t>
        </is>
      </c>
      <c r="C49" s="9" t="n">
        <v>1</v>
      </c>
    </row>
    <row r="50">
      <c r="A50" s="9" t="inlineStr">
        <is>
          <t>FR-V.II-12</t>
        </is>
      </c>
      <c r="B50" s="9" t="inlineStr">
        <is>
          <t>EM-NOT-CT-04</t>
        </is>
      </c>
      <c r="C50" s="9" t="n">
        <v>1</v>
      </c>
    </row>
    <row r="51">
      <c r="A51" s="9" t="inlineStr">
        <is>
          <t>FR-V.II-13</t>
        </is>
      </c>
      <c r="B51" s="9" t="inlineStr">
        <is>
          <t>EM-NOT-CT-05</t>
        </is>
      </c>
      <c r="C51" s="9" t="n">
        <v>1</v>
      </c>
    </row>
    <row r="52">
      <c r="A52" s="9" t="inlineStr">
        <is>
          <t>FR-V.III-02</t>
        </is>
      </c>
      <c r="B52" s="9" t="inlineStr">
        <is>
          <t>EM-DN-UI-02, EM-DN-UPD-01, EM-DN-UPD-02, EM-DN-UPD-03, EM-DN-UPD-04</t>
        </is>
      </c>
      <c r="C52" s="9" t="n">
        <v>5</v>
      </c>
    </row>
    <row r="53">
      <c r="A53" s="9" t="inlineStr">
        <is>
          <t>FR-V.III-NEW-03</t>
        </is>
      </c>
      <c r="B53" s="9" t="inlineStr">
        <is>
          <t>EM-DN-UI-01, EM-DN-NOMAIL-01</t>
        </is>
      </c>
      <c r="C53" s="9" t="n">
        <v>2</v>
      </c>
    </row>
    <row r="54">
      <c r="A54" s="9" t="inlineStr">
        <is>
          <t>FR-V.III-NEW-03 Inputs email</t>
        </is>
      </c>
      <c r="B54" s="9" t="inlineStr">
        <is>
          <t>EM-DN-VAL-02, EM-DN-VAL-03</t>
        </is>
      </c>
      <c r="C54" s="9" t="n">
        <v>2</v>
      </c>
    </row>
    <row r="55">
      <c r="A55" s="9" t="inlineStr">
        <is>
          <t>FR-V.III-NEW-03; DOANH_NGHIEP.email N</t>
        </is>
      </c>
      <c r="B55" s="9" t="inlineStr">
        <is>
          <t>EM-DN-VAL-01</t>
        </is>
      </c>
      <c r="C55" s="9" t="n">
        <v>1</v>
      </c>
    </row>
    <row r="56">
      <c r="A56" s="9" t="inlineStr">
        <is>
          <t>FR-VI-03</t>
        </is>
      </c>
      <c r="B56" s="9" t="inlineStr">
        <is>
          <t>EM-NOT-DG-01</t>
        </is>
      </c>
      <c r="C56" s="9" t="n">
        <v>1</v>
      </c>
    </row>
    <row r="57">
      <c r="A57" s="9" t="inlineStr">
        <is>
          <t>FR-VI-04</t>
        </is>
      </c>
      <c r="B57" s="9" t="inlineStr">
        <is>
          <t>EM-NOT-DG-02</t>
        </is>
      </c>
      <c r="C57" s="9" t="n">
        <v>1</v>
      </c>
    </row>
    <row r="58">
      <c r="A58" s="9" t="inlineStr">
        <is>
          <t>FR-VI-08</t>
        </is>
      </c>
      <c r="B58" s="9" t="inlineStr">
        <is>
          <t>EM-NOT-DG-03</t>
        </is>
      </c>
      <c r="C58" s="9" t="n">
        <v>1</v>
      </c>
    </row>
    <row r="59">
      <c r="A59" s="9" t="inlineStr">
        <is>
          <t>FR-VI-09</t>
        </is>
      </c>
      <c r="B59" s="9" t="inlineStr">
        <is>
          <t>EM-NOT-DG-04</t>
        </is>
      </c>
      <c r="C59" s="9" t="n">
        <v>1</v>
      </c>
    </row>
    <row r="60">
      <c r="A60" s="9" t="inlineStr">
        <is>
          <t>FR-VIII-15</t>
        </is>
      </c>
      <c r="B60" s="9" t="inlineStr">
        <is>
          <t>EM-TK-UI-01, EM-TK-UI-04, EM-TK-ACT-01, EM-TK-ACT-02, EM-TK-CHG-01, EM-TK-CHG-02, EM-TK-CHG-03, EM-TK-CHG-04, EM-TK-CHG-05, EM-TK-CHG-06</t>
        </is>
      </c>
      <c r="C60" s="9" t="n">
        <v>10</v>
      </c>
    </row>
    <row r="61">
      <c r="A61" s="9" t="inlineStr">
        <is>
          <t>FR-VIII-15 E2/format; FR-VIII-22 Inputs#14</t>
        </is>
      </c>
      <c r="B61" s="9" t="inlineStr">
        <is>
          <t>EM-TK-VAL-04, EM-TK-VAL-05, EM-TK-VAL-06, EM-TK-VAL-07, EM-TK-VAL-08</t>
        </is>
      </c>
      <c r="C61" s="9" t="n">
        <v>5</v>
      </c>
    </row>
    <row r="62">
      <c r="A62" s="9" t="inlineStr">
        <is>
          <t>FR-VIII-15 Inputs#2</t>
        </is>
      </c>
      <c r="B62" s="9" t="inlineStr">
        <is>
          <t>EM-TK-VAL-01</t>
        </is>
      </c>
      <c r="C62" s="9" t="n">
        <v>1</v>
      </c>
    </row>
    <row r="63">
      <c r="A63" s="9" t="inlineStr">
        <is>
          <t>FR-VIII-15 Inputs#2; FR-VIII-22 Inputs#14</t>
        </is>
      </c>
      <c r="B63" s="9" t="inlineStr">
        <is>
          <t>EM-TK-VAL-02</t>
        </is>
      </c>
      <c r="C63" s="9" t="n">
        <v>1</v>
      </c>
    </row>
    <row r="64">
      <c r="A64" s="9" t="inlineStr">
        <is>
          <t>FR-VIII-15 Inputs#2; SCR-VIII-03 Email RFC 5322</t>
        </is>
      </c>
      <c r="B64" s="9" t="inlineStr">
        <is>
          <t>EM-TK-VAL-03</t>
        </is>
      </c>
      <c r="C64" s="9" t="n">
        <v>1</v>
      </c>
    </row>
    <row r="65">
      <c r="A65" s="9" t="inlineStr">
        <is>
          <t>FR-VIII-22</t>
        </is>
      </c>
      <c r="B65" s="9" t="inlineStr">
        <is>
          <t>EM-TK-UI-02, EM-DN-UI-03</t>
        </is>
      </c>
      <c r="C65" s="9" t="n">
        <v>2</v>
      </c>
    </row>
    <row r="66">
      <c r="A66" s="9" t="inlineStr">
        <is>
          <t>FR-VIII-22 E2 ERR-REG-MST-EXIST</t>
        </is>
      </c>
      <c r="B66" s="9" t="inlineStr">
        <is>
          <t>EM-DN-REG-04</t>
        </is>
      </c>
      <c r="C66" s="9" t="n">
        <v>1</v>
      </c>
    </row>
    <row r="67">
      <c r="A67" s="9" t="inlineStr">
        <is>
          <t>FR-VIII-22 E3 ERR-REG-02</t>
        </is>
      </c>
      <c r="B67" s="9" t="inlineStr">
        <is>
          <t>EM-DN-REG-02</t>
        </is>
      </c>
      <c r="C67" s="9" t="n">
        <v>1</v>
      </c>
    </row>
    <row r="68">
      <c r="A68" s="9" t="inlineStr">
        <is>
          <t>FR-VIII-22 E8 ERR-REG-ACT-01</t>
        </is>
      </c>
      <c r="B68" s="9" t="inlineStr">
        <is>
          <t>EM-TK-ACT-06, EM-DN-REG-05</t>
        </is>
      </c>
      <c r="C68" s="9" t="n">
        <v>2</v>
      </c>
    </row>
    <row r="69">
      <c r="A69" s="9" t="inlineStr">
        <is>
          <t>FR-VIII-22 E9 ERR-REG-ACT-02</t>
        </is>
      </c>
      <c r="B69" s="9" t="inlineStr">
        <is>
          <t>EM-TK-ACT-07, EM-DN-REG-06</t>
        </is>
      </c>
      <c r="C69" s="9" t="n">
        <v>2</v>
      </c>
    </row>
    <row r="70">
      <c r="A70" s="9" t="inlineStr">
        <is>
          <t>FR-VIII-22 Processing#10,#12</t>
        </is>
      </c>
      <c r="B70" s="9" t="inlineStr">
        <is>
          <t>EM-TK-ACT-04</t>
        </is>
      </c>
      <c r="C70" s="9" t="n">
        <v>1</v>
      </c>
    </row>
    <row r="71">
      <c r="A71" s="9" t="inlineStr">
        <is>
          <t>FR-VIII-22 Processing#7-12</t>
        </is>
      </c>
      <c r="B71" s="9" t="inlineStr">
        <is>
          <t>EM-DN-REG-01</t>
        </is>
      </c>
      <c r="C71" s="9" t="n">
        <v>1</v>
      </c>
    </row>
    <row r="72">
      <c r="A72" s="9" t="inlineStr">
        <is>
          <t>FR-VIII-22 token 1 lần srs-fr-10:1088</t>
        </is>
      </c>
      <c r="B72" s="9" t="inlineStr">
        <is>
          <t>EM-TK-ACT-09</t>
        </is>
      </c>
      <c r="C72" s="9" t="n">
        <v>1</v>
      </c>
    </row>
    <row r="73">
      <c r="A73" s="9" t="inlineStr">
        <is>
          <t>FR-VIII-26</t>
        </is>
      </c>
      <c r="B73" s="9" t="inlineStr">
        <is>
          <t>EM-TK-UI-03, EM-DN-CLAIM-06</t>
        </is>
      </c>
      <c r="C73" s="9" t="n">
        <v>2</v>
      </c>
    </row>
    <row r="74">
      <c r="A74" s="9" t="inlineStr">
        <is>
          <t>FR-VIII-26 3a,4a; AC MST đã có TK</t>
        </is>
      </c>
      <c r="B74" s="9" t="inlineStr">
        <is>
          <t>EM-TK-PWD-02</t>
        </is>
      </c>
      <c r="C74" s="9" t="n">
        <v>1</v>
      </c>
    </row>
    <row r="75">
      <c r="A75" s="9" t="inlineStr">
        <is>
          <t>FR-VIII-26 3b,4a,5-16</t>
        </is>
      </c>
      <c r="B75" s="9" t="inlineStr">
        <is>
          <t>EM-TK-PWD-01</t>
        </is>
      </c>
      <c r="C75" s="9" t="n">
        <v>1</v>
      </c>
    </row>
    <row r="76">
      <c r="A76" s="9" t="inlineStr">
        <is>
          <t>FR-VIII-26 4b-16</t>
        </is>
      </c>
      <c r="B76" s="9" t="inlineStr">
        <is>
          <t>EM-DN-CLAIM-01</t>
        </is>
      </c>
      <c r="C76" s="9" t="n">
        <v>1</v>
      </c>
    </row>
    <row r="77">
      <c r="A77" s="9" t="inlineStr">
        <is>
          <t>FR-VIII-26 AC MST đã có TK</t>
        </is>
      </c>
      <c r="B77" s="9" t="inlineStr">
        <is>
          <t>EM-DN-CLAIM-02</t>
        </is>
      </c>
      <c r="C77" s="9" t="n">
        <v>1</v>
      </c>
    </row>
    <row r="78">
      <c r="A78" s="9" t="inlineStr">
        <is>
          <t>FR-VIII-26 E1 ERR-PWD-01</t>
        </is>
      </c>
      <c r="B78" s="9" t="inlineStr">
        <is>
          <t>EM-TK-PWD-03, EM-TK-PWD-04</t>
        </is>
      </c>
      <c r="C78" s="9" t="n">
        <v>2</v>
      </c>
    </row>
    <row r="79">
      <c r="A79" s="9" t="inlineStr">
        <is>
          <t>FR-VIII-26 E1a ERR-PWD-FORMAT</t>
        </is>
      </c>
      <c r="B79" s="9" t="inlineStr">
        <is>
          <t>EM-TK-PWD-05</t>
        </is>
      </c>
      <c r="C79" s="9" t="n">
        <v>1</v>
      </c>
    </row>
    <row r="80">
      <c r="A80" s="9" t="inlineStr">
        <is>
          <t>FR-VIII-26 E2 ERR-PWD-02</t>
        </is>
      </c>
      <c r="B80" s="9" t="inlineStr">
        <is>
          <t>EM-TK-PWD-06, EM-TK-PWD-07</t>
        </is>
      </c>
      <c r="C80" s="9" t="n">
        <v>2</v>
      </c>
    </row>
    <row r="81">
      <c r="A81" s="9" t="inlineStr">
        <is>
          <t>FR-VIII-26 E3 ERR-PWD-03</t>
        </is>
      </c>
      <c r="B81" s="9" t="inlineStr">
        <is>
          <t>EM-TK-PWD-08</t>
        </is>
      </c>
      <c r="C81" s="9" t="n">
        <v>1</v>
      </c>
    </row>
    <row r="82">
      <c r="A82" s="9" t="inlineStr">
        <is>
          <t>FR-VIII-26 E4 ERR-PWD-04</t>
        </is>
      </c>
      <c r="B82" s="9" t="inlineStr">
        <is>
          <t>EM-TK-ACT-08, EM-TK-PWD-09</t>
        </is>
      </c>
      <c r="C82" s="9" t="n">
        <v>2</v>
      </c>
    </row>
    <row r="83">
      <c r="A83" s="9" t="inlineStr">
        <is>
          <t>FR-VIII-26 E5 ERR-PWD-05</t>
        </is>
      </c>
      <c r="B83" s="9" t="inlineStr">
        <is>
          <t>EM-TK-PWD-10</t>
        </is>
      </c>
      <c r="C83" s="9" t="n">
        <v>1</v>
      </c>
    </row>
    <row r="84">
      <c r="A84" s="9" t="inlineStr">
        <is>
          <t>FR-VIII-26 E6 ERR-PWD-06</t>
        </is>
      </c>
      <c r="B84" s="9" t="inlineStr">
        <is>
          <t>EM-TK-PWD-11</t>
        </is>
      </c>
      <c r="C84" s="9" t="n">
        <v>1</v>
      </c>
    </row>
    <row r="85">
      <c r="A85" s="9" t="inlineStr">
        <is>
          <t>FR-VIII-26 E7-NEW</t>
        </is>
      </c>
      <c r="B85" s="9" t="inlineStr">
        <is>
          <t>EM-DN-CLAIM-04</t>
        </is>
      </c>
      <c r="C85" s="9" t="n">
        <v>1</v>
      </c>
    </row>
    <row r="86">
      <c r="A86" s="9" t="inlineStr">
        <is>
          <t>FR-VIII-26 Processing#4b srs-fr-10:1320</t>
        </is>
      </c>
      <c r="B86" s="9" t="inlineStr">
        <is>
          <t>EM-DN-CLAIM-03</t>
        </is>
      </c>
      <c r="C86" s="9" t="n">
        <v>1</v>
      </c>
    </row>
    <row r="87">
      <c r="A87" s="9" t="inlineStr">
        <is>
          <t>FR-VIII-26 Processing#5 srs-fr-10:1322</t>
        </is>
      </c>
      <c r="B87" s="9" t="inlineStr">
        <is>
          <t>EM-TK-ACT-09</t>
        </is>
      </c>
      <c r="C87" s="9" t="n">
        <v>1</v>
      </c>
    </row>
    <row r="88">
      <c r="A88" s="9" t="inlineStr">
        <is>
          <t>FR-VIII-26 Processing#7-14</t>
        </is>
      </c>
      <c r="B88" s="9" t="inlineStr">
        <is>
          <t>EM-TK-ACT-05</t>
        </is>
      </c>
      <c r="C88" s="9" t="n">
        <v>1</v>
      </c>
    </row>
    <row r="89">
      <c r="A89" s="9" t="inlineStr">
        <is>
          <t>FR-VIII-26 fallback AC</t>
        </is>
      </c>
      <c r="B89" s="9" t="inlineStr">
        <is>
          <t>EM-DN-CLAIM-05</t>
        </is>
      </c>
      <c r="C89" s="9" t="n">
        <v>1</v>
      </c>
    </row>
    <row r="90">
      <c r="A90" s="9" t="inlineStr">
        <is>
          <t>FR-VIII-26 srs-fr-10:1313-1323,1339</t>
        </is>
      </c>
      <c r="B90" s="9" t="inlineStr">
        <is>
          <t>EM-TK-CHG-05</t>
        </is>
      </c>
      <c r="C90" s="9" t="n">
        <v>1</v>
      </c>
    </row>
    <row r="91">
      <c r="A91" s="9" t="inlineStr">
        <is>
          <t>FR-VIII-26 srs-fr-10:1319-1323</t>
        </is>
      </c>
      <c r="B91" s="9" t="inlineStr">
        <is>
          <t>EM-FLD-TVV-05</t>
        </is>
      </c>
      <c r="C91" s="9" t="n">
        <v>1</v>
      </c>
    </row>
    <row r="92">
      <c r="A92" s="9" t="inlineStr">
        <is>
          <t>FR-VIII-28</t>
        </is>
      </c>
      <c r="B92" s="9" t="inlineStr">
        <is>
          <t>EM-TK-CHG-06</t>
        </is>
      </c>
      <c r="C92" s="9" t="n">
        <v>1</v>
      </c>
    </row>
    <row r="93">
      <c r="A93" s="9" t="inlineStr">
        <is>
          <t>FR-X.1-01/03/05</t>
        </is>
      </c>
      <c r="B93" s="9" t="inlineStr">
        <is>
          <t>EM-NOT-TVCS-01, EM-NOT-TVCS-02, EM-NOT-TVCS-03, EM-NOT-TVCS-04, EM-NOT-TVCS-05, EM-NOT-TVCS-06, EM-NOT-TVCS-07, EM-NOT-TVCS-08</t>
        </is>
      </c>
      <c r="C93" s="9" t="n">
        <v>8</v>
      </c>
    </row>
    <row r="94">
      <c r="A94" s="9" t="inlineStr">
        <is>
          <t>FR-X.1-03</t>
        </is>
      </c>
      <c r="B94" s="9" t="inlineStr">
        <is>
          <t>EM-DN-NOMAIL-04, EM-FLD-API-03</t>
        </is>
      </c>
      <c r="C94" s="9" t="n">
        <v>2</v>
      </c>
    </row>
    <row r="95">
      <c r="A95" s="9" t="inlineStr">
        <is>
          <t>FR-X.1-05</t>
        </is>
      </c>
      <c r="B95" s="9" t="inlineStr">
        <is>
          <t>EM-DN-NOMAIL-05, EM-FLD-API-04</t>
        </is>
      </c>
      <c r="C95" s="9" t="n">
        <v>2</v>
      </c>
    </row>
    <row r="96">
      <c r="A96" s="9" t="inlineStr">
        <is>
          <t>FR-XI-NEW-01</t>
        </is>
      </c>
      <c r="B96" s="9" t="inlineStr">
        <is>
          <t>EM-NOT-BC-01, EM-NOT-BC-02, EM-NOT-BC-03</t>
        </is>
      </c>
      <c r="C96" s="9" t="n">
        <v>3</v>
      </c>
    </row>
    <row r="97">
      <c r="A97" s="9" t="inlineStr">
        <is>
          <t>FR-XI-NEW-01 dedupe 24h</t>
        </is>
      </c>
      <c r="B97" s="9" t="inlineStr">
        <is>
          <t>EM-NOT-BC-04</t>
        </is>
      </c>
      <c r="C97" s="9" t="n">
        <v>1</v>
      </c>
    </row>
    <row r="98">
      <c r="A98" s="9" t="inlineStr">
        <is>
          <t>FR-XII org mapping</t>
        </is>
      </c>
      <c r="B98" s="9" t="inlineStr">
        <is>
          <t>EM-FLD-API-06</t>
        </is>
      </c>
      <c r="C98" s="9" t="n">
        <v>1</v>
      </c>
    </row>
    <row r="99">
      <c r="A99" s="9" t="inlineStr">
        <is>
          <t>FR-XII-19 Inputs email_nguoi_gui</t>
        </is>
      </c>
      <c r="B99" s="9" t="inlineStr">
        <is>
          <t>EM-FLD-API-01</t>
        </is>
      </c>
      <c r="C99" s="9" t="n">
        <v>1</v>
      </c>
    </row>
    <row r="100">
      <c r="A100" s="9" t="inlineStr">
        <is>
          <t>INT-06</t>
        </is>
      </c>
      <c r="B100" s="9" t="inlineStr">
        <is>
          <t>EM-INF-01</t>
        </is>
      </c>
      <c r="C100" s="9" t="n">
        <v>1</v>
      </c>
    </row>
    <row r="101">
      <c r="A101" s="9" t="inlineStr">
        <is>
          <t>NFR-NOTIF-01</t>
        </is>
      </c>
      <c r="B101" s="9" t="inlineStr">
        <is>
          <t>EM-INF-02</t>
        </is>
      </c>
      <c r="C101" s="9" t="n">
        <v>1</v>
      </c>
    </row>
    <row r="102">
      <c r="A102" s="9" t="inlineStr">
        <is>
          <t>SCR-II-01 row 41</t>
        </is>
      </c>
      <c r="B102" s="9" t="inlineStr">
        <is>
          <t>EM-FLD-HDD-01, EM-FLD-HDD-02</t>
        </is>
      </c>
      <c r="C102" s="9" t="n">
        <v>2</v>
      </c>
    </row>
    <row r="103">
      <c r="A103" s="9" t="inlineStr">
        <is>
          <t>SCR-V.III-02</t>
        </is>
      </c>
      <c r="B103" s="9" t="inlineStr">
        <is>
          <t>EM-DN-UI-02</t>
        </is>
      </c>
      <c r="C103" s="9" t="n">
        <v>1</v>
      </c>
    </row>
    <row r="104">
      <c r="A104" s="9" t="inlineStr">
        <is>
          <t>SCR-V.III-03</t>
        </is>
      </c>
      <c r="B104" s="9" t="inlineStr">
        <is>
          <t>EM-DN-UI-01</t>
        </is>
      </c>
      <c r="C104" s="9" t="n">
        <v>1</v>
      </c>
    </row>
    <row r="105">
      <c r="A105" s="9" t="inlineStr">
        <is>
          <t>SCR-VIII-03</t>
        </is>
      </c>
      <c r="B105" s="9" t="inlineStr">
        <is>
          <t>EM-TK-UI-01, EM-TK-UI-04, EM-TK-CHG-01, EM-TK-CHG-02, EM-TK-CHG-03, EM-TK-CHG-04, EM-TK-CHG-05, EM-TK-CHG-06</t>
        </is>
      </c>
      <c r="C105" s="9" t="n">
        <v>8</v>
      </c>
    </row>
    <row r="106">
      <c r="A106" s="9" t="inlineStr">
        <is>
          <t>SCR-VIII-03 srs-fr-10:1726</t>
        </is>
      </c>
      <c r="B106" s="9" t="inlineStr">
        <is>
          <t>EM-TK-ACT-09</t>
        </is>
      </c>
      <c r="C106" s="9" t="n">
        <v>1</v>
      </c>
    </row>
    <row r="107">
      <c r="A107" s="9" t="inlineStr">
        <is>
          <t>SCR-VIII-08</t>
        </is>
      </c>
      <c r="B107" s="9" t="inlineStr">
        <is>
          <t>EM-TK-UI-02, EM-DN-UI-03</t>
        </is>
      </c>
      <c r="C107" s="9" t="n">
        <v>2</v>
      </c>
    </row>
    <row r="108">
      <c r="A108" s="9" t="inlineStr">
        <is>
          <t>SCR-VIII-10 srs-fr-10:1370-1428,1969-1990</t>
        </is>
      </c>
      <c r="B108" s="9" t="inlineStr">
        <is>
          <t>EM-TK-CHG-06</t>
        </is>
      </c>
      <c r="C108" s="9" t="n">
        <v>1</v>
      </c>
    </row>
    <row r="109">
      <c r="A109" s="9" t="inlineStr">
        <is>
          <t>SEC-01 §3.5.1 srs-v3.5:4605</t>
        </is>
      </c>
      <c r="B109" s="9" t="inlineStr">
        <is>
          <t>EM-INF-01</t>
        </is>
      </c>
      <c r="C109" s="9" t="n">
        <v>1</v>
      </c>
    </row>
    <row r="110">
      <c r="A110" s="9" t="inlineStr">
        <is>
          <t>SM-TAIKHOAN</t>
        </is>
      </c>
      <c r="B110" s="9" t="inlineStr">
        <is>
          <t>EM-TK-ACT-01</t>
        </is>
      </c>
      <c r="C110" s="9" t="n">
        <v>1</v>
      </c>
    </row>
    <row r="111">
      <c r="A111" s="9" t="inlineStr">
        <is>
          <t>SM-TVV CHO_KICH_HOAT→VO_HIEU_HOA</t>
        </is>
      </c>
      <c r="B111" s="9" t="inlineStr">
        <is>
          <t>EM-TK-ACT-12</t>
        </is>
      </c>
      <c r="C111" s="9" t="n">
        <v>1</v>
      </c>
    </row>
    <row r="112">
      <c r="A112" s="9" t="inlineStr">
        <is>
          <t>TAI_KHOAN.email UNIQUE; FR-VIII-15 E2 ERR-TK-02</t>
        </is>
      </c>
      <c r="B112" s="9" t="inlineStr">
        <is>
          <t>EM-TK-VAL-09</t>
        </is>
      </c>
      <c r="C112" s="9" t="n">
        <v>1</v>
      </c>
    </row>
    <row r="113">
      <c r="A113" s="9" t="inlineStr">
        <is>
          <t>TAI_KHOAN.email UNIQUE; FR-VIII-22 E3 ERR-REG-02</t>
        </is>
      </c>
      <c r="B113" s="9" t="inlineStr">
        <is>
          <t>EM-TK-VAL-10</t>
        </is>
      </c>
      <c r="C113" s="9" t="n">
        <v>1</v>
      </c>
    </row>
    <row r="114">
      <c r="A114" s="9" t="inlineStr">
        <is>
          <t>TAI_KHOAN.email bắt buộc+UNIQUE srs-v3.5:2110</t>
        </is>
      </c>
      <c r="B114" s="9" t="inlineStr">
        <is>
          <t>EM-DN-CLAIM-03</t>
        </is>
      </c>
      <c r="C114" s="9" t="n">
        <v>1</v>
      </c>
    </row>
    <row r="115">
      <c r="A115" s="9" t="inlineStr">
        <is>
          <t>TAI_KHOAN.token_reset_mk srs-v3.5:2121,2127</t>
        </is>
      </c>
      <c r="B115" s="9" t="inlineStr">
        <is>
          <t>EM-TK-ACT-09</t>
        </is>
      </c>
      <c r="C115" s="9" t="n">
        <v>1</v>
      </c>
    </row>
    <row r="116">
      <c r="A116" s="9" t="inlineStr">
        <is>
          <t>THONG_BAO constraint srs-v3.5:2409</t>
        </is>
      </c>
      <c r="B116" s="9" t="inlineStr">
        <is>
          <t>EM-INF-21</t>
        </is>
      </c>
      <c r="C116" s="9" t="n">
        <v>1</v>
      </c>
    </row>
    <row r="117">
      <c r="A117" s="9" t="inlineStr">
        <is>
          <t>THONG_BAO entity srs-v3.5:2406-2407</t>
        </is>
      </c>
      <c r="B117" s="9" t="inlineStr">
        <is>
          <t>EM-INF-06</t>
        </is>
      </c>
      <c r="C117" s="9" t="n">
        <v>1</v>
      </c>
    </row>
    <row r="118">
      <c r="A118" s="9" t="inlineStr">
        <is>
          <t>[NGOÀI SRS] BR-AUTH-01 canonical srs-v3.5:5582,5596 vs FR-VIII-20 srs-fr-10:901-974; resend/rate-limit/TTL chưa đặc tả</t>
        </is>
      </c>
      <c r="B118" s="9" t="inlineStr">
        <is>
          <t>EM-TK-2FA-05</t>
        </is>
      </c>
      <c r="C118" s="9" t="n">
        <v>1</v>
      </c>
    </row>
    <row r="119">
      <c r="A119" s="9" t="inlineStr">
        <is>
          <t>[NGOÀI SRS] BR-NOTIF-01</t>
        </is>
      </c>
      <c r="B119" s="9" t="inlineStr">
        <is>
          <t>EM-INF-07, EM-INF-08</t>
        </is>
      </c>
      <c r="C119" s="9" t="n">
        <v>2</v>
      </c>
    </row>
    <row r="120">
      <c r="A120" s="9" t="inlineStr">
        <is>
          <t>[NGOÀI SRS] FR-VIII-22/26 token</t>
        </is>
      </c>
      <c r="B120" s="9" t="inlineStr">
        <is>
          <t>EM-INF-13</t>
        </is>
      </c>
      <c r="C120" s="9" t="n">
        <v>1</v>
      </c>
    </row>
    <row r="121">
      <c r="A121" s="9" t="inlineStr">
        <is>
          <t>[NGOÀI SRS] INT-06 Email HTML</t>
        </is>
      </c>
      <c r="B121" s="9" t="inlineStr">
        <is>
          <t>EM-INF-03</t>
        </is>
      </c>
      <c r="C121" s="9" t="n">
        <v>1</v>
      </c>
    </row>
    <row r="122">
      <c r="A122" s="9" t="inlineStr">
        <is>
          <t>[NGOÀI SRS] §3.5 Security; email header injection</t>
        </is>
      </c>
      <c r="B122" s="9" t="inlineStr">
        <is>
          <t>EM-TK-VAL-13</t>
        </is>
      </c>
      <c r="C122" s="9" t="n">
        <v>1</v>
      </c>
    </row>
    <row r="123">
      <c r="A123" s="9" t="inlineStr">
        <is>
          <t>phụ: SEC-03 §4.2.18 srs-v3.5:5138</t>
        </is>
      </c>
      <c r="B123" s="9" t="inlineStr">
        <is>
          <t>EM-INF-01</t>
        </is>
      </c>
      <c r="C123" s="9" t="n">
        <v>1</v>
      </c>
    </row>
    <row r="124">
      <c r="A124" s="9" t="inlineStr">
        <is>
          <t>srs-fr-02 ERR-SLA-MAIL-01</t>
        </is>
      </c>
      <c r="B124" s="9" t="inlineStr">
        <is>
          <t>EM-INF-05</t>
        </is>
      </c>
      <c r="C124" s="9" t="n">
        <v>1</v>
      </c>
    </row>
    <row r="125">
      <c r="A125" s="9" t="inlineStr">
        <is>
          <t>srs-fr-02:104,1065</t>
        </is>
      </c>
      <c r="B125" s="9" t="inlineStr">
        <is>
          <t>EM-FLD-HDD-01</t>
        </is>
      </c>
      <c r="C125" s="9" t="n">
        <v>1</v>
      </c>
    </row>
    <row r="126">
      <c r="A126" s="9" t="inlineStr">
        <is>
          <t>srs-fr-02:1181</t>
        </is>
      </c>
      <c r="B126" s="9" t="inlineStr">
        <is>
          <t>EM-NOT-HDD-04</t>
        </is>
      </c>
      <c r="C126" s="9" t="n">
        <v>1</v>
      </c>
    </row>
    <row r="127">
      <c r="A127" s="9" t="inlineStr">
        <is>
          <t>srs-fr-02:155</t>
        </is>
      </c>
      <c r="B127" s="9" t="inlineStr">
        <is>
          <t>EM-FLD-HDD-04</t>
        </is>
      </c>
      <c r="C127" s="9" t="n">
        <v>1</v>
      </c>
    </row>
    <row r="128">
      <c r="A128" s="9" t="inlineStr">
        <is>
          <t>srs-fr-02:510</t>
        </is>
      </c>
      <c r="B128" s="9" t="inlineStr">
        <is>
          <t>EM-NOT-HDD-01</t>
        </is>
      </c>
      <c r="C128" s="9" t="n">
        <v>1</v>
      </c>
    </row>
    <row r="129">
      <c r="A129" s="9" t="inlineStr">
        <is>
          <t>srs-fr-02:686,1118,1177</t>
        </is>
      </c>
      <c r="B129" s="9" t="inlineStr">
        <is>
          <t>EM-NOT-HDD-03</t>
        </is>
      </c>
      <c r="C129" s="9" t="n">
        <v>1</v>
      </c>
    </row>
    <row r="130">
      <c r="A130" s="9" t="inlineStr">
        <is>
          <t>srs-fr-03:1434</t>
        </is>
      </c>
      <c r="B130" s="9" t="inlineStr">
        <is>
          <t>EM-NOT-DT-11</t>
        </is>
      </c>
      <c r="C130" s="9" t="n">
        <v>1</v>
      </c>
    </row>
    <row r="131">
      <c r="A131" s="9" t="inlineStr">
        <is>
          <t>srs-fr-03:1939-1953</t>
        </is>
      </c>
      <c r="B131" s="9" t="inlineStr">
        <is>
          <t>EM-FLD-DT-01</t>
        </is>
      </c>
      <c r="C131" s="9" t="n">
        <v>1</v>
      </c>
    </row>
    <row r="132">
      <c r="A132" s="9" t="inlineStr">
        <is>
          <t>srs-fr-03:195</t>
        </is>
      </c>
      <c r="B132" s="9" t="inlineStr">
        <is>
          <t>EM-NOT-DT-01</t>
        </is>
      </c>
      <c r="C132" s="9" t="n">
        <v>1</v>
      </c>
    </row>
    <row r="133">
      <c r="A133" s="9" t="inlineStr">
        <is>
          <t>srs-fr-03:205</t>
        </is>
      </c>
      <c r="B133" s="9" t="inlineStr">
        <is>
          <t>EM-NOT-DT-02</t>
        </is>
      </c>
      <c r="C133" s="9" t="n">
        <v>1</v>
      </c>
    </row>
    <row r="134">
      <c r="A134" s="9" t="inlineStr">
        <is>
          <t>srs-fr-03:216</t>
        </is>
      </c>
      <c r="B134" s="9" t="inlineStr">
        <is>
          <t>EM-NOT-DT-03</t>
        </is>
      </c>
      <c r="C134" s="9" t="n">
        <v>1</v>
      </c>
    </row>
    <row r="135">
      <c r="A135" s="9" t="inlineStr">
        <is>
          <t>srs-fr-03:227</t>
        </is>
      </c>
      <c r="B135" s="9" t="inlineStr">
        <is>
          <t>EM-NOT-DT-04</t>
        </is>
      </c>
      <c r="C135" s="9" t="n">
        <v>1</v>
      </c>
    </row>
    <row r="136">
      <c r="A136" s="9" t="inlineStr">
        <is>
          <t>srs-fr-03:237</t>
        </is>
      </c>
      <c r="B136" s="9" t="inlineStr">
        <is>
          <t>EM-NOT-DT-05</t>
        </is>
      </c>
      <c r="C136" s="9" t="n">
        <v>1</v>
      </c>
    </row>
    <row r="137">
      <c r="A137" s="9" t="inlineStr">
        <is>
          <t>srs-fr-03:248</t>
        </is>
      </c>
      <c r="B137" s="9" t="inlineStr">
        <is>
          <t>EM-NOT-DT-06</t>
        </is>
      </c>
      <c r="C137" s="9" t="n">
        <v>1</v>
      </c>
    </row>
    <row r="138">
      <c r="A138" s="9" t="inlineStr">
        <is>
          <t>srs-fr-03:410-425</t>
        </is>
      </c>
      <c r="B138" s="9" t="inlineStr">
        <is>
          <t>EM-NOT-DT-09, EM-NOT-DT-10</t>
        </is>
      </c>
      <c r="C138" s="9" t="n">
        <v>2</v>
      </c>
    </row>
    <row r="139">
      <c r="A139" s="9" t="inlineStr">
        <is>
          <t>srs-fr-03:513 vs BR-NOTIF-01(5)</t>
        </is>
      </c>
      <c r="B139" s="9" t="inlineStr">
        <is>
          <t>EM-NOT-DT-07</t>
        </is>
      </c>
      <c r="C139" s="9" t="n">
        <v>1</v>
      </c>
    </row>
    <row r="140">
      <c r="A140" s="9" t="inlineStr">
        <is>
          <t>srs-fr-03:580-615</t>
        </is>
      </c>
      <c r="B140" s="9" t="inlineStr">
        <is>
          <t>EM-FLD-DT-02</t>
        </is>
      </c>
      <c r="C140" s="9" t="n">
        <v>1</v>
      </c>
    </row>
    <row r="141">
      <c r="A141" s="9" t="inlineStr">
        <is>
          <t>srs-fr-04:1214-1266</t>
        </is>
      </c>
      <c r="B141" s="9" t="inlineStr">
        <is>
          <t>EM-TK-ACT-03</t>
        </is>
      </c>
      <c r="C141" s="9" t="n">
        <v>1</v>
      </c>
    </row>
    <row r="142">
      <c r="A142" s="9" t="inlineStr">
        <is>
          <t>srs-fr-04:1597</t>
        </is>
      </c>
      <c r="B142" s="9" t="inlineStr">
        <is>
          <t>EM-TK-ACT-12</t>
        </is>
      </c>
      <c r="C142" s="9" t="n">
        <v>1</v>
      </c>
    </row>
    <row r="143">
      <c r="A143" s="9" t="inlineStr">
        <is>
          <t>srs-fr-04:302-364</t>
        </is>
      </c>
      <c r="B143" s="9" t="inlineStr">
        <is>
          <t>EM-FLD-TVV-01</t>
        </is>
      </c>
      <c r="C143" s="9" t="n">
        <v>1</v>
      </c>
    </row>
    <row r="144">
      <c r="A144" s="9" t="inlineStr">
        <is>
          <t>srs-fr-04:525-635</t>
        </is>
      </c>
      <c r="B144" s="9" t="inlineStr">
        <is>
          <t>EM-NOT-TVV-01, EM-NOT-TVV-02, EM-NOT-TVV-03, EM-NOT-TVV-04</t>
        </is>
      </c>
      <c r="C144" s="9" t="n">
        <v>4</v>
      </c>
    </row>
    <row r="145">
      <c r="A145" s="9" t="inlineStr">
        <is>
          <t>srs-fr-04:598-636</t>
        </is>
      </c>
      <c r="B145" s="9" t="inlineStr">
        <is>
          <t>EM-TK-ACT-02</t>
        </is>
      </c>
      <c r="C145" s="9" t="n">
        <v>1</v>
      </c>
    </row>
    <row r="146">
      <c r="A146" s="9" t="inlineStr">
        <is>
          <t>srs-fr-04:622-634</t>
        </is>
      </c>
      <c r="B146" s="9" t="inlineStr">
        <is>
          <t>EM-TK-ACT-11</t>
        </is>
      </c>
      <c r="C146" s="9" t="n">
        <v>1</v>
      </c>
    </row>
    <row r="147">
      <c r="A147" s="9" t="inlineStr">
        <is>
          <t>srs-fr-04:821-864</t>
        </is>
      </c>
      <c r="B147" s="9" t="inlineStr">
        <is>
          <t>EM-FLD-TVV-04</t>
        </is>
      </c>
      <c r="C147" s="9" t="n">
        <v>1</v>
      </c>
    </row>
    <row r="148">
      <c r="A148" s="9" t="inlineStr">
        <is>
          <t>srs-fr-05:1369,2503</t>
        </is>
      </c>
      <c r="B148" s="9" t="inlineStr">
        <is>
          <t>EM-FLD-API-05</t>
        </is>
      </c>
      <c r="C148" s="9" t="n">
        <v>1</v>
      </c>
    </row>
    <row r="149">
      <c r="A149" s="9" t="inlineStr">
        <is>
          <t>srs-fr-05:2449</t>
        </is>
      </c>
      <c r="B149" s="9" t="inlineStr">
        <is>
          <t>EM-NOT-VV-08, EM-NOT-VV-09, EM-NOT-VV-10</t>
        </is>
      </c>
      <c r="C149" s="9" t="n">
        <v>3</v>
      </c>
    </row>
    <row r="150">
      <c r="A150" s="9" t="inlineStr">
        <is>
          <t>srs-fr-05:317-329</t>
        </is>
      </c>
      <c r="B150" s="9" t="inlineStr">
        <is>
          <t>EM-DN-NOMAIL-02</t>
        </is>
      </c>
      <c r="C150" s="9" t="n">
        <v>1</v>
      </c>
    </row>
    <row r="151">
      <c r="A151" s="9" t="inlineStr">
        <is>
          <t>srs-fr-05:393,478</t>
        </is>
      </c>
      <c r="B151" s="9" t="inlineStr">
        <is>
          <t>EM-FLD-API-02</t>
        </is>
      </c>
      <c r="C151" s="9" t="n">
        <v>1</v>
      </c>
    </row>
    <row r="152">
      <c r="A152" s="9" t="inlineStr">
        <is>
          <t>srs-fr-05:419,750,908-956,2485</t>
        </is>
      </c>
      <c r="B152" s="9" t="inlineStr">
        <is>
          <t>EM-NOT-VV-01, EM-NOT-VV-02, EM-NOT-VV-03, EM-NOT-VV-04, EM-NOT-VV-05, EM-NOT-VV-06, EM-NOT-VV-07, EM-NOT-VV-11</t>
        </is>
      </c>
      <c r="C152" s="9" t="n">
        <v>8</v>
      </c>
    </row>
    <row r="153">
      <c r="A153" s="9" t="inlineStr">
        <is>
          <t>srs-fr-06:115-116</t>
        </is>
      </c>
      <c r="B153" s="9" t="inlineStr">
        <is>
          <t>EM-DN-NOMAIL-03</t>
        </is>
      </c>
      <c r="C153" s="9" t="n">
        <v>1</v>
      </c>
    </row>
    <row r="154">
      <c r="A154" s="9" t="inlineStr">
        <is>
          <t>srs-fr-06:595-614</t>
        </is>
      </c>
      <c r="B154" s="9" t="inlineStr">
        <is>
          <t>EM-NOT-CT-02</t>
        </is>
      </c>
      <c r="C154" s="9" t="n">
        <v>1</v>
      </c>
    </row>
    <row r="155">
      <c r="A155" s="9" t="inlineStr">
        <is>
          <t>srs-fr-06:758-790</t>
        </is>
      </c>
      <c r="B155" s="9" t="inlineStr">
        <is>
          <t>EM-NOT-CT-01</t>
        </is>
      </c>
      <c r="C155" s="9" t="n">
        <v>1</v>
      </c>
    </row>
    <row r="156">
      <c r="A156" s="9" t="inlineStr">
        <is>
          <t>srs-fr-06:795-840</t>
        </is>
      </c>
      <c r="B156" s="9" t="inlineStr">
        <is>
          <t>EM-NOT-CT-03</t>
        </is>
      </c>
      <c r="C156" s="9" t="n">
        <v>1</v>
      </c>
    </row>
    <row r="157">
      <c r="A157" s="9" t="inlineStr">
        <is>
          <t>srs-fr-06:845-911</t>
        </is>
      </c>
      <c r="B157" s="9" t="inlineStr">
        <is>
          <t>EM-NOT-CT-04</t>
        </is>
      </c>
      <c r="C157" s="9" t="n">
        <v>1</v>
      </c>
    </row>
    <row r="158">
      <c r="A158" s="9" t="inlineStr">
        <is>
          <t>srs-fr-06:917-972</t>
        </is>
      </c>
      <c r="B158" s="9" t="inlineStr">
        <is>
          <t>EM-NOT-CT-05</t>
        </is>
      </c>
      <c r="C158" s="9" t="n">
        <v>1</v>
      </c>
    </row>
    <row r="159">
      <c r="A159" s="9" t="inlineStr">
        <is>
          <t>srs-fr-07:274-327,544-601</t>
        </is>
      </c>
      <c r="B159" s="9" t="inlineStr">
        <is>
          <t>EM-DN-UI-01</t>
        </is>
      </c>
      <c r="C159" s="9" t="n">
        <v>1</v>
      </c>
    </row>
    <row r="160">
      <c r="A160" s="9" t="inlineStr">
        <is>
          <t>srs-fr-07:277-327</t>
        </is>
      </c>
      <c r="B160" s="9" t="inlineStr">
        <is>
          <t>EM-DN-NOMAIL-01</t>
        </is>
      </c>
      <c r="C160" s="9" t="n">
        <v>1</v>
      </c>
    </row>
    <row r="161">
      <c r="A161" s="9" t="inlineStr">
        <is>
          <t>srs-fr-07:344-404,529</t>
        </is>
      </c>
      <c r="B161" s="9" t="inlineStr">
        <is>
          <t>EM-DN-UI-02</t>
        </is>
      </c>
      <c r="C161" s="9" t="n">
        <v>1</v>
      </c>
    </row>
    <row r="162">
      <c r="A162" s="9" t="inlineStr">
        <is>
          <t>srs-fr-08:240-315</t>
        </is>
      </c>
      <c r="B162" s="9" t="inlineStr">
        <is>
          <t>EM-NOT-DG-01</t>
        </is>
      </c>
      <c r="C162" s="9" t="n">
        <v>1</v>
      </c>
    </row>
    <row r="163">
      <c r="A163" s="9" t="inlineStr">
        <is>
          <t>srs-fr-08:322-396</t>
        </is>
      </c>
      <c r="B163" s="9" t="inlineStr">
        <is>
          <t>EM-NOT-DG-02</t>
        </is>
      </c>
      <c r="C163" s="9" t="n">
        <v>1</v>
      </c>
    </row>
    <row r="164">
      <c r="A164" s="9" t="inlineStr">
        <is>
          <t>srs-fr-08:628-687</t>
        </is>
      </c>
      <c r="B164" s="9" t="inlineStr">
        <is>
          <t>EM-NOT-DG-03</t>
        </is>
      </c>
      <c r="C164" s="9" t="n">
        <v>1</v>
      </c>
    </row>
    <row r="165">
      <c r="A165" s="9" t="inlineStr">
        <is>
          <t>srs-fr-08:692-747</t>
        </is>
      </c>
      <c r="B165" s="9" t="inlineStr">
        <is>
          <t>EM-NOT-DG-04</t>
        </is>
      </c>
      <c r="C165" s="9" t="n">
        <v>1</v>
      </c>
    </row>
    <row r="166">
      <c r="A166" s="9" t="inlineStr">
        <is>
          <t>srs-fr-10:1024-1128,1900-1943</t>
        </is>
      </c>
      <c r="B166" s="9" t="inlineStr">
        <is>
          <t>EM-TK-UI-02</t>
        </is>
      </c>
      <c r="C166" s="9" t="n">
        <v>1</v>
      </c>
    </row>
    <row r="167">
      <c r="A167" s="9" t="inlineStr">
        <is>
          <t>srs-fr-10:1278-1369</t>
        </is>
      </c>
      <c r="B167" s="9" t="inlineStr">
        <is>
          <t>EM-TK-UI-03</t>
        </is>
      </c>
      <c r="C167" s="9" t="n">
        <v>1</v>
      </c>
    </row>
    <row r="168">
      <c r="A168" s="9" t="inlineStr">
        <is>
          <t>srs-fr-10:1726</t>
        </is>
      </c>
      <c r="B168" s="9" t="inlineStr">
        <is>
          <t>EM-TK-UI-04</t>
        </is>
      </c>
      <c r="C168" s="9" t="n">
        <v>1</v>
      </c>
    </row>
    <row r="169">
      <c r="A169" s="9" t="inlineStr">
        <is>
          <t>srs-fr-10:676-751,1707-1743</t>
        </is>
      </c>
      <c r="B169" s="9" t="inlineStr">
        <is>
          <t>EM-TK-UI-01</t>
        </is>
      </c>
      <c r="C169" s="9" t="n">
        <v>1</v>
      </c>
    </row>
    <row r="170">
      <c r="A170" s="9" t="inlineStr">
        <is>
          <t>srs-fr-10:737</t>
        </is>
      </c>
      <c r="B170" s="9" t="inlineStr">
        <is>
          <t>EM-TK-VAL-09</t>
        </is>
      </c>
      <c r="C170" s="9" t="n">
        <v>1</v>
      </c>
    </row>
    <row r="171">
      <c r="A171" s="9" t="inlineStr">
        <is>
          <t>srs-fr-12:180-250,1549-1656</t>
        </is>
      </c>
      <c r="B171" s="9" t="inlineStr">
        <is>
          <t>EM-NOT-TVCS-01, EM-NOT-TVCS-02, EM-NOT-TVCS-03, EM-NOT-TVCS-04, EM-NOT-TVCS-05, EM-NOT-TVCS-06, EM-NOT-TVCS-07, EM-NOT-TVCS-08</t>
        </is>
      </c>
      <c r="C171" s="9" t="n">
        <v>8</v>
      </c>
    </row>
    <row r="172">
      <c r="A172" s="9" t="inlineStr">
        <is>
          <t>srs-fr-12:469,483,499</t>
        </is>
      </c>
      <c r="B172" s="9" t="inlineStr">
        <is>
          <t>EM-FLD-API-03</t>
        </is>
      </c>
      <c r="C172" s="9" t="n">
        <v>1</v>
      </c>
    </row>
    <row r="173">
      <c r="A173" s="9" t="inlineStr">
        <is>
          <t>srs-fr-12:469-512</t>
        </is>
      </c>
      <c r="B173" s="9" t="inlineStr">
        <is>
          <t>EM-DN-NOMAIL-04</t>
        </is>
      </c>
      <c r="C173" s="9" t="n">
        <v>1</v>
      </c>
    </row>
    <row r="174">
      <c r="A174" s="9" t="inlineStr">
        <is>
          <t>srs-fr-12:748-782</t>
        </is>
      </c>
      <c r="B174" s="9" t="inlineStr">
        <is>
          <t>EM-DN-NOMAIL-05, EM-FLD-API-04</t>
        </is>
      </c>
      <c r="C174" s="9" t="n">
        <v>2</v>
      </c>
    </row>
    <row r="175">
      <c r="A175" s="9" t="inlineStr">
        <is>
          <t>srs-fr-15:1047-1074</t>
        </is>
      </c>
      <c r="B175" s="9" t="inlineStr">
        <is>
          <t>EM-NOT-BC-01, EM-NOT-BC-02, EM-NOT-BC-03</t>
        </is>
      </c>
      <c r="C175" s="9" t="n">
        <v>3</v>
      </c>
    </row>
    <row r="176">
      <c r="A176" s="9" t="inlineStr">
        <is>
          <t>srs-fr-15:1072</t>
        </is>
      </c>
      <c r="B176" s="9" t="inlineStr">
        <is>
          <t>EM-NOT-BC-04</t>
        </is>
      </c>
      <c r="C176" s="9" t="n">
        <v>1</v>
      </c>
    </row>
    <row r="177">
      <c r="A177" s="9" t="inlineStr">
        <is>
          <t>srs-fr-16:1169</t>
        </is>
      </c>
      <c r="B177" s="9" t="inlineStr">
        <is>
          <t>EM-FLD-API-01</t>
        </is>
      </c>
      <c r="C177" s="9" t="n">
        <v>1</v>
      </c>
    </row>
    <row r="178">
      <c r="A178" s="9" t="inlineStr">
        <is>
          <t>srs-fr-16:536,1552</t>
        </is>
      </c>
      <c r="B178" s="9" t="inlineStr">
        <is>
          <t>EM-FLD-API-06</t>
        </is>
      </c>
      <c r="C178" s="9" t="n">
        <v>1</v>
      </c>
    </row>
    <row r="179">
      <c r="A179" s="9" t="inlineStr">
        <is>
          <t>srs-v3.5:5721,5952</t>
        </is>
      </c>
      <c r="B179" s="9" t="inlineStr">
        <is>
          <t>EM-NOT-DT-08</t>
        </is>
      </c>
      <c r="C179" s="9" t="n">
        <v>1</v>
      </c>
    </row>
    <row r="180">
      <c r="A180" s="9" t="inlineStr">
        <is>
          <t>§3.5 XSS policy</t>
        </is>
      </c>
      <c r="B180" s="9" t="inlineStr">
        <is>
          <t>EM-INF-11</t>
        </is>
      </c>
      <c r="C180" s="9" t="n">
        <v>1</v>
      </c>
    </row>
    <row r="181">
      <c r="A181" s="9" t="inlineStr">
        <is>
          <t>§3.5 XSS policy srs-v3.5:4623-4639</t>
        </is>
      </c>
      <c r="B181" s="9" t="inlineStr">
        <is>
          <t>EM-INF-10</t>
        </is>
      </c>
      <c r="C181" s="9" t="n">
        <v>1</v>
      </c>
    </row>
  </sheetData>
  <autoFilter ref="A1:C181"/>
  <pageMargins left="0.75" right="0.75" top="1" bottom="1"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G8"/>
  <sheetViews>
    <sheetView showGridLines="0" workbookViewId="0">
      <pane ySplit="1" topLeftCell="A2" activePane="bottomLeft" state="frozen"/>
      <selection pane="bottomLeft" activeCell="A1" sqref="A1"/>
    </sheetView>
  </sheetViews>
  <sheetFormatPr baseColWidth="8" defaultRowHeight="15"/>
  <cols>
    <col width="16" customWidth="1" min="1" max="1"/>
    <col width="10" customWidth="1" min="2" max="2"/>
    <col width="58" customWidth="1" min="3" max="3"/>
    <col width="38" customWidth="1" min="4" max="4"/>
    <col width="38" customWidth="1" min="5" max="5"/>
    <col width="45" customWidth="1" min="6" max="6"/>
    <col width="15" customWidth="1" min="7" max="7"/>
  </cols>
  <sheetData>
    <row r="1" ht="48" customHeight="1">
      <c r="A1" s="4" t="inlineStr">
        <is>
          <t>Gap ID</t>
        </is>
      </c>
      <c r="B1" s="4" t="inlineStr">
        <is>
          <t>Priority</t>
        </is>
      </c>
      <c r="C1" s="4" t="inlineStr">
        <is>
          <t>Nội dung cần BA chốt</t>
        </is>
      </c>
      <c r="D1" s="4" t="inlineStr">
        <is>
          <t>Nguồn mâu thuẫn/thiếu</t>
        </is>
      </c>
      <c r="E1" s="4" t="inlineStr">
        <is>
          <t>TC bị ảnh hưởng</t>
        </is>
      </c>
      <c r="F1" s="4" t="inlineStr">
        <is>
          <t>Quyết định BA</t>
        </is>
      </c>
      <c r="G1" s="4" t="inlineStr">
        <is>
          <t>Ngày chốt</t>
        </is>
      </c>
    </row>
    <row r="2">
      <c r="A2" s="15" t="inlineStr">
        <is>
          <t>GAP-EMAIL-01</t>
        </is>
      </c>
      <c r="B2" s="18" t="inlineStr">
        <is>
          <t>P0</t>
        </is>
      </c>
      <c r="C2" s="15" t="inlineStr">
        <is>
          <t>FR-VIII-20:923 ghi mã TOTP sinh bởi ứng dụng xác thực có phải nội dung chưa cập nhật theo BR-AUTH-01 canonical đã chốt TOTP qua email không</t>
        </is>
      </c>
      <c r="D2" s="15" t="inlineStr">
        <is>
          <t>CHANGELOG-v3-to-v3.5:2459-2464; BR-AUTH-01 srs-v3.5:5582,5596 vs FR-VIII-20 srs-fr-10:923,936</t>
        </is>
      </c>
      <c r="E2" s="15" t="inlineStr">
        <is>
          <t>EM-TK-2FA-01 không chấm kênh; EM-TK-2FA-05 là [NGOÀI SRS]; 02-04 chấm hành vi mã/session</t>
        </is>
      </c>
      <c r="F2" s="15" t="inlineStr"/>
      <c r="G2" s="15" t="inlineStr"/>
    </row>
    <row r="3">
      <c r="A3" s="15" t="inlineStr">
        <is>
          <t>GAP-EMAIL-02</t>
        </is>
      </c>
      <c r="B3" s="16" t="inlineStr">
        <is>
          <t>P1</t>
        </is>
      </c>
      <c r="C3" s="15" t="inlineStr">
        <is>
          <t>Có yêu cầu self-service Đổi email cho chủ tài khoản không</t>
        </is>
      </c>
      <c r="D3" s="15" t="inlineStr">
        <is>
          <t>FR-VIII-15/SCR-VIII-03 chỉ đặc tả QTHT sửa</t>
        </is>
      </c>
      <c r="E3" s="15" t="inlineStr">
        <is>
          <t>Nhánh self-service chưa có TC; EM-TK-CHG-01..06 chạy bằng QTHT</t>
        </is>
      </c>
      <c r="F3" s="15" t="inlineStr"/>
      <c r="G3" s="15" t="inlineStr"/>
    </row>
    <row r="4">
      <c r="A4" s="15" t="inlineStr">
        <is>
          <t>GAP-EMAIL-03</t>
        </is>
      </c>
      <c r="B4" s="18" t="inlineStr">
        <is>
          <t>P0</t>
        </is>
      </c>
      <c r="C4" s="15" t="inlineStr">
        <is>
          <t>Đổi TU_VAN_VIEN.email có tự đồng bộ sang TAI_KHOAN.email không</t>
        </is>
      </c>
      <c r="D4" s="15" t="inlineStr">
        <is>
          <t>FR-IV-11 chỉ cập nhật TU_VAN_VIEN; BR-AUTH-EMAIL-01 chốt routing qua TAI_KHOAN.email</t>
        </is>
      </c>
      <c r="E4" s="15" t="inlineStr">
        <is>
          <t>EM-FLD-TVV-05; routing vẫn chạy và chấm độc lập</t>
        </is>
      </c>
      <c r="F4" s="15" t="inlineStr"/>
      <c r="G4" s="15" t="inlineStr"/>
    </row>
    <row r="5">
      <c r="A5" s="15" t="inlineStr">
        <is>
          <t>GAP-EMAIL-04</t>
        </is>
      </c>
      <c r="B5" s="16" t="inlineStr">
        <is>
          <t>P1</t>
        </is>
      </c>
      <c r="C5" s="15" t="inlineStr">
        <is>
          <t>Số lượng thư, UI message, rate-limit và resend reuse hay thay token cũ</t>
        </is>
      </c>
      <c r="D5" s="15" t="inlineStr">
        <is>
          <t>SCR-VIII-03 nêu hành động; SRS chỉ chốt link kích hoạt dùng một lần, không chốt token mới phải khác token cũ</t>
        </is>
      </c>
      <c r="E5" s="15" t="inlineStr">
        <is>
          <t>EM-TK-ACT-09 — phần này chỉ observation/BA clarification</t>
        </is>
      </c>
      <c r="F5" s="15" t="inlineStr"/>
      <c r="G5" s="15" t="inlineStr"/>
    </row>
    <row r="6">
      <c r="A6" s="15" t="inlineStr">
        <is>
          <t>GAP-EMAIL-05</t>
        </is>
      </c>
      <c r="B6" s="16" t="inlineStr">
        <is>
          <t>P1</t>
        </is>
      </c>
      <c r="C6" s="15" t="inlineStr">
        <is>
          <t>Mã SEC-01..SEC-06 bị dùng cho hai bộ yêu cầu khác nhau</t>
        </is>
      </c>
      <c r="D6" s="15" t="inlineStr">
        <is>
          <t>srs-v3.5 §3.5.1 và §4.2.18; trace phải kèm section+dòng</t>
        </is>
      </c>
      <c r="E6" s="15" t="inlineStr">
        <is>
          <t>EM-INF-01 và các TC security dùng SEC code</t>
        </is>
      </c>
      <c r="F6" s="15" t="inlineStr"/>
      <c r="G6" s="15" t="inlineStr"/>
    </row>
    <row r="7">
      <c r="A7" s="15" t="inlineStr">
        <is>
          <t>GAP-EMAIL-06</t>
        </is>
      </c>
      <c r="B7" s="16" t="inlineStr">
        <is>
          <t>P1</t>
        </is>
      </c>
      <c r="C7" s="15" t="inlineStr">
        <is>
          <t>Retry policy giữa các module chưa đồng nhất</t>
        </is>
      </c>
      <c r="D7" s="15" t="inlineStr">
        <is>
          <t>BR-EC-11 và ERR-SLA-MAIL-01</t>
        </is>
      </c>
      <c r="E7" s="15" t="inlineStr">
        <is>
          <t>EM-INF-04..05</t>
        </is>
      </c>
      <c r="F7" s="15" t="inlineStr"/>
      <c r="G7" s="15" t="inlineStr"/>
    </row>
    <row r="8">
      <c r="A8" s="15" t="inlineStr">
        <is>
          <t>GAP-EMAIL-08</t>
        </is>
      </c>
      <c r="B8" s="18" t="inlineStr">
        <is>
          <t>P0</t>
        </is>
      </c>
      <c r="C8" s="15" t="inlineStr">
        <is>
          <t>TVV/CG auto-username lấy local-part email nhưng regex username không nhận dấu +/./- phổ biến</t>
        </is>
      </c>
      <c r="D8" s="15" t="inlineStr">
        <is>
          <t>TAI_KHOAN.username regex vs luồng auto-create TVV/CG</t>
        </is>
      </c>
      <c r="E8" s="15" t="inlineStr">
        <is>
          <t>EM-TK-ACT-02 và dữ liệu plus alias</t>
        </is>
      </c>
      <c r="F8" s="15" t="inlineStr"/>
      <c r="G8" s="15" t="inlineStr"/>
    </row>
  </sheetData>
  <autoFilter ref="A1:G8"/>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2026-08-13T03:54:40Z</dcterms:created>
  <dcterms:modified xmlns:dcterms="http://purl.org/dc/terms/" xmlns:xsi="http://www.w3.org/2001/XMLSchema-instance" xsi:type="dcterms:W3CDTF">2026-08-13T03:54:41Z</dcterms:modified>
</cp:coreProperties>
</file>