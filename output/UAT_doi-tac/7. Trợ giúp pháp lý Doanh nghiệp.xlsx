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_TGPL Doanh Nghiệp" sheetId="1" r:id="rId5"/>
    <sheet state="visible" name="Tổng hợp tiến độ" sheetId="2" r:id="rId6"/>
  </sheets>
  <definedNames>
    <definedName hidden="1" localSheetId="0" name="_xlnm._FilterDatabase">'UAT_TGPL Doanh Nghiệp'!$A$1:$W$275</definedName>
    <definedName hidden="1" localSheetId="0" name="Z_782936E1_4790_4A09_97ED_27B8C1AB4746_.wvu.FilterData">'UAT_TGPL Doanh Nghiệp'!$A$1:$W$275</definedName>
  </definedNames>
  <calcPr/>
  <customWorkbookViews>
    <customWorkbookView activeSheetId="0" maximized="1" windowHeight="0" windowWidth="0" guid="{782936E1-4790-4A09-97ED-27B8C1AB4746}" name="Dopai_Linh"/>
  </customWorkbookViews>
</workbook>
</file>

<file path=xl/sharedStrings.xml><?xml version="1.0" encoding="utf-8"?>
<sst xmlns="http://schemas.openxmlformats.org/spreadsheetml/2006/main" count="3394" uniqueCount="1821">
  <si>
    <t>Tên</t>
  </si>
  <si>
    <t>STT</t>
  </si>
  <si>
    <t>Tuần</t>
  </si>
  <si>
    <t>Mã TC</t>
  </si>
  <si>
    <t>Tên chức năng</t>
  </si>
  <si>
    <t>Tác nhân
"cbnv_tw        Test@1234
cbnv_bn        Test@1234
cbnv_dp Test@1234
cbpd_tw Test@1234
cbpd_bn Test@1234
cbpd_dp Test@1234"</t>
  </si>
  <si>
    <t>Mô tả</t>
  </si>
  <si>
    <t>Điều kiện</t>
  </si>
  <si>
    <t>Dữ liệu đầu vào</t>
  </si>
  <si>
    <t>Các bước thực hiện</t>
  </si>
  <si>
    <t>Kết quả mong đợi</t>
  </si>
  <si>
    <t>Kết quả thực tế</t>
  </si>
  <si>
    <t>Ảnh/vieo 1</t>
  </si>
  <si>
    <t>Trạng thái 1</t>
  </si>
  <si>
    <t>TKM phản hồi lần 1</t>
  </si>
  <si>
    <t>Trạng thái dev fix 1</t>
  </si>
  <si>
    <t>DEV phản hồi lần 1</t>
  </si>
  <si>
    <t>Kết quả thực tế lần 2</t>
  </si>
  <si>
    <t>Ảnh/video 2</t>
  </si>
  <si>
    <t>Trạng thái 2</t>
  </si>
  <si>
    <t>TKM phản hồi lần 2</t>
  </si>
  <si>
    <t>Trạng thái dev fix 2</t>
  </si>
  <si>
    <t>DEV phản hồi lần 2</t>
  </si>
  <si>
    <t>I</t>
  </si>
  <si>
    <t>Dashboard</t>
  </si>
  <si>
    <t>cbnv_tw        Test@1234
cbnv_bn        Test@1234
cbnv_dp Test@1234
cbpd_tw Test@1234
cbpd_bn Test@1234
cbpd_dp Test@1234</t>
  </si>
  <si>
    <t>https://htpldn-uat.ospgroup.vn/login</t>
  </si>
  <si>
    <t>Tuần 1</t>
  </si>
  <si>
    <t>DB_01</t>
  </si>
  <si>
    <t>Cán bộ nghiệp vụ TW,BN,ĐP/Cán bộ phê duyệt TW,BN,ĐP</t>
  </si>
  <si>
    <t>Mở Dashboard thành công</t>
  </si>
  <si>
    <t>Đăng nhập hợp lệ</t>
  </si>
  <si>
    <t>Không có</t>
  </si>
  <si>
    <t>1. Đăng nhập
 2. Mở Tổng quan hệ thống</t>
  </si>
  <si>
    <t>Hiển thị Dashboard, loading các widget</t>
  </si>
  <si>
    <t>DB_01.png</t>
  </si>
  <si>
    <t>Pass</t>
  </si>
  <si>
    <t>DB_02</t>
  </si>
  <si>
    <t>Kiểm tra giá trị mặc định</t>
  </si>
  <si>
    <t>Có quyền xem</t>
  </si>
  <si>
    <t>Mở Dashboard</t>
  </si>
  <si>
    <t>Năm hiện tại, phạm vi đúng quyền, đơn vị đúng theo vai trò</t>
  </si>
  <si>
    <t>DB_03</t>
  </si>
  <si>
    <t>Người dùng TW xem toàn quốc</t>
  </si>
  <si>
    <t>TK Trung ương</t>
  </si>
  <si>
    <t>Xem được dữ liệu toàn quốc</t>
  </si>
  <si>
    <t>DB_04</t>
  </si>
  <si>
    <t>Người dùng Bộ chỉ xem đơn vị mình</t>
  </si>
  <si>
    <t>TK Bộ</t>
  </si>
  <si>
    <t>Không xem dữ liệu đơn vị khác</t>
  </si>
  <si>
    <t>DB_04.png</t>
  </si>
  <si>
    <t>DB_05</t>
  </si>
  <si>
    <t>Người dùng ĐP chỉ xem địa phương</t>
  </si>
  <si>
    <t>TK ĐP</t>
  </si>
  <si>
    <t>Không đổi được đơn vị</t>
  </si>
  <si>
    <t>DB_05.png</t>
  </si>
  <si>
    <t>DB_06</t>
  </si>
  <si>
    <t>Lọc theo năm</t>
  </si>
  <si>
    <t>Có dữ liệu</t>
  </si>
  <si>
    <t>Chọn năm-&gt;Áp dụng</t>
  </si>
  <si>
    <t>Các chỉ số cập nhật đúng</t>
  </si>
  <si>
    <t>Chức năng lọc thông tin theo năm không chính xác</t>
  </si>
  <si>
    <t>DB_06.mp4</t>
  </si>
  <si>
    <t>Fail</t>
  </si>
  <si>
    <t>DB_07</t>
  </si>
  <si>
    <t>Lọc theo tháng</t>
  </si>
  <si>
    <t>Chọn tháng-&gt;Áp dụng</t>
  </si>
  <si>
    <t>Dữ liệu đúng kỳ</t>
  </si>
  <si>
    <t>Chức năng lọc theo tháng không hoạt động  chính xác</t>
  </si>
  <si>
    <t>DB_07.mp4</t>
  </si>
  <si>
    <t>DB_08</t>
  </si>
  <si>
    <t>Đổi cấp đơn vị</t>
  </si>
  <si>
    <t>TK TW</t>
  </si>
  <si>
    <t>Chọn cấp đơn vị</t>
  </si>
  <si>
    <t>Danh sách đơn vị thay đổi</t>
  </si>
  <si>
    <t>Chức năng đổi cấp đơn vị không hoạt động</t>
  </si>
  <si>
    <t>DB_08.mp4</t>
  </si>
  <si>
    <t>DB_09</t>
  </si>
  <si>
    <t>Xóa bộ lọc</t>
  </si>
  <si>
    <t>Đã lọc</t>
  </si>
  <si>
    <t>Bấm Xóa bộ lọc</t>
  </si>
  <si>
    <t>Trở về mặc định</t>
  </si>
  <si>
    <t>DB_09.png</t>
  </si>
  <si>
    <t>DB_10</t>
  </si>
  <si>
    <t>Làm mới</t>
  </si>
  <si>
    <t>Bấm Làm mới</t>
  </si>
  <si>
    <t>Dữ liệu cập nhật</t>
  </si>
  <si>
    <t>DB_10.png</t>
  </si>
  <si>
    <t>DB_11</t>
  </si>
  <si>
    <t>Hiển thị mũi tên tăng</t>
  </si>
  <si>
    <t>Màu xanh khi tăng</t>
  </si>
  <si>
    <t>DB_11.png</t>
  </si>
  <si>
    <t>DB_12</t>
  </si>
  <si>
    <t>Hiển thị mũi tên giảm</t>
  </si>
  <si>
    <t>Màu đỏ khi giảm</t>
  </si>
  <si>
    <t>DB_13</t>
  </si>
  <si>
    <t>Không có dữ liệu kỳ trước</t>
  </si>
  <si>
    <t>Hiển thị '-'</t>
  </si>
  <si>
    <t>THHDVM_01</t>
  </si>
  <si>
    <t>Tổng hợp hỏi đáp, vướng mắc được gửi về</t>
  </si>
  <si>
    <t>Cung cấp chức năng tổng hợp số liệu và hiển thị chỉ số chính về số lượng yêu cầu hỏi đáp/vướng mắc mới đã tiếp nhận.</t>
  </si>
  <si>
    <t>Số liệu đúng DB</t>
  </si>
  <si>
    <t>THHDVM_01.png</t>
  </si>
  <si>
    <t>THHDVM_02</t>
  </si>
  <si>
    <t>Kiểm tra Hỏi đáp mới</t>
  </si>
  <si>
    <t>THHDVM_03</t>
  </si>
  <si>
    <t>Click Hỏi đáp</t>
  </si>
  <si>
    <t>Click thẻ hỏi đáp mới</t>
  </si>
  <si>
    <t>Mở DS hỏi đáp mới</t>
  </si>
  <si>
    <t>THHDVM_03.png</t>
  </si>
  <si>
    <t>THHDVM_04</t>
  </si>
  <si>
    <t>Khoảng thời gian không có dữ liệu</t>
  </si>
  <si>
    <t>Lọc</t>
  </si>
  <si>
    <t>Hiển thị 0/Không có dữ liệu, không lỗi</t>
  </si>
  <si>
    <t>THHDVM_04.png</t>
  </si>
  <si>
    <t>VVDTN_01</t>
  </si>
  <si>
    <t>Tổng hợp các vụ việc đã tiếp nhận</t>
  </si>
  <si>
    <t>Cung cấp chỉ số tổng số vụ việc đã được ghi nhận vào hệ thống (bao gồm cả đang chờ xử lý).</t>
  </si>
  <si>
    <t>VVDTN_01.png</t>
  </si>
  <si>
    <t>VVDTN_02</t>
  </si>
  <si>
    <t>Click Vụ việc tiếp nhận</t>
  </si>
  <si>
    <t>Click thẻ Vụ việc tiếp nhận</t>
  </si>
  <si>
    <t>Mở DS Vụ việc tiếp nhận</t>
  </si>
  <si>
    <t>VVDTN_02.png</t>
  </si>
  <si>
    <t>VVDTN_03</t>
  </si>
  <si>
    <t>VVDTN_03.png</t>
  </si>
  <si>
    <t>VVDHT_01</t>
  </si>
  <si>
    <t>Tổng hợp các vụ việc đang hỗ trợ</t>
  </si>
  <si>
    <t>Cung cấp chỉ số về số lượng vụ việc đang trong quá trình phân công hoặc đang được chuyên gia thực hiện hỗ trợ.</t>
  </si>
  <si>
    <t>VVDHT_01.png</t>
  </si>
  <si>
    <t>VVDHT_03</t>
  </si>
  <si>
    <t>Click Vụ việc đang xử lý</t>
  </si>
  <si>
    <t xml:space="preserve">Click thẻ vụ việc đang xử lý </t>
  </si>
  <si>
    <t>Mở DS Vụ việc đang xử lý</t>
  </si>
  <si>
    <t>VVDHT_02.png</t>
  </si>
  <si>
    <t>VVDHT_04</t>
  </si>
  <si>
    <t>VVDHT_04.png</t>
  </si>
  <si>
    <t>VVDHTHT_01</t>
  </si>
  <si>
    <t>Tổng hợp các vụ việc đã hoàn thành hỗ trợ</t>
  </si>
  <si>
    <t>Cung cấp chỉ số tổng số vụ việc đã được xử lý xong và đóng hồ sơ.</t>
  </si>
  <si>
    <t>VVDHTHT_01.png</t>
  </si>
  <si>
    <t>VVDHTHT_02</t>
  </si>
  <si>
    <t>Click Vụ việc hoàn thành</t>
  </si>
  <si>
    <t>Click thẻ Vụ việc hoàn thành</t>
  </si>
  <si>
    <t>Mở DS Vụ việc hoàn thành</t>
  </si>
  <si>
    <t>VVDHTHT_02.png</t>
  </si>
  <si>
    <t>VVDHTHT_03</t>
  </si>
  <si>
    <t>VVDHTHT_03.png</t>
  </si>
  <si>
    <t>LDTBDDDR_01</t>
  </si>
  <si>
    <t>Tổng hợp các lớp đào tạo bồi dưỡng đang diễn ra</t>
  </si>
  <si>
    <t>Hiển thị số lượng và danh sách các khóa đào tạo/tập huấn đang mở và đang diễn ra.</t>
  </si>
  <si>
    <t>LDTBDDDR_01.png</t>
  </si>
  <si>
    <t>LDTBDDDR_02</t>
  </si>
  <si>
    <t>Click Đào tạo đang diễn ra</t>
  </si>
  <si>
    <t>Click thẻ Đào tạo đang diễn ra</t>
  </si>
  <si>
    <t>Mở DS Đào tạo đang diễn ra</t>
  </si>
  <si>
    <t>LDTBDDDR_02.png</t>
  </si>
  <si>
    <t>LDTBDDDR_03</t>
  </si>
  <si>
    <t>LDTBDDDR_03.png</t>
  </si>
  <si>
    <t>LDTBDDHT_01</t>
  </si>
  <si>
    <t>Tổng hợp các lớp đào tạo bồi dưỡng đã diễn ra</t>
  </si>
  <si>
    <t>Hiển thị số lượng và danh sách các khóa đào tạo/tập huấn đã hoàn thành và có kết quả.</t>
  </si>
  <si>
    <t>LDTBDDHT_01.png</t>
  </si>
  <si>
    <t>LDTBDDHT_02</t>
  </si>
  <si>
    <t>Click Đào tạo hoàn thành</t>
  </si>
  <si>
    <t>Click thẻ Đào tạo hoàn thành</t>
  </si>
  <si>
    <t>Mở DS Đào tạo hoàn thành</t>
  </si>
  <si>
    <t>LDTBDDHT_02.png</t>
  </si>
  <si>
    <t>LDTBDDHT_03</t>
  </si>
  <si>
    <t>CGTVPL_01</t>
  </si>
  <si>
    <t>Tổng số chuyên gia tư vấn pháp luật</t>
  </si>
  <si>
    <t>Hiển thị tổng số lượng chuyên gia, tư vấn viên đã được thẩm định và công nhận trong mạng lưới.</t>
  </si>
  <si>
    <t>CGTVPL_01.png</t>
  </si>
  <si>
    <t>CGTVPL_02</t>
  </si>
  <si>
    <t>Click Chuyên gia / Tư vấn viên</t>
  </si>
  <si>
    <t>Click thẻ Chuyên gia / Tư vấn viên</t>
  </si>
  <si>
    <t>Mở DS Chuyên gia / Tư vấn viên</t>
  </si>
  <si>
    <t>CGTVPL_02.png</t>
  </si>
  <si>
    <t>CGTVPL_03</t>
  </si>
  <si>
    <t>CGTVPL_03.png</t>
  </si>
  <si>
    <t>BS</t>
  </si>
  <si>
    <t>Tỷ lệ hồ sơ bổ sung</t>
  </si>
  <si>
    <t>Kiểm tra Tỷ lệ hố sơ bổ sung</t>
  </si>
  <si>
    <t>Click Tỷ lệ hố sơ bổ sung</t>
  </si>
  <si>
    <t>Click thẻ Tỷ lệ hố sơ bổ sung</t>
  </si>
  <si>
    <t>Mở DS Tỷ lệ hố sơ bổ sung</t>
  </si>
  <si>
    <t>Thời gian xử lý trung bình</t>
  </si>
  <si>
    <t>Kiểm tra Thời gian xử lý trung bình</t>
  </si>
  <si>
    <t>Click Thời gian xử lý trung bình</t>
  </si>
  <si>
    <t>Click thẻ Thời gian xử lý trung bình</t>
  </si>
  <si>
    <t>Mở DS Thời gian xử lý trung bình</t>
  </si>
  <si>
    <t>TKDGHQHTPL_01</t>
  </si>
  <si>
    <t>Biểu đồ thống kê đánh giá hiệu quả hỗ trợ pháp lý</t>
  </si>
  <si>
    <t>Trực quan hóa dữ liệu đánh giá chất lượng hỗ trợ, bao gồm điểm hài lòng và tỷ lệ tuân thủ (thời hạn xử lý).</t>
  </si>
  <si>
    <t>Dữ liệu đúng KPI</t>
  </si>
  <si>
    <r>
      <rPr>
        <rFont val="Times New Roman"/>
        <color rgb="FF1155CC"/>
        <sz val="12.0"/>
        <u/>
      </rPr>
      <t>TKDGHQHTPL_01.jpg</t>
    </r>
  </si>
  <si>
    <t>TKDGHQHTPL_02</t>
  </si>
  <si>
    <t>Biểu đồ hiệu quả hỗ trợ pháp lý</t>
  </si>
  <si>
    <t>-Biểu đồ đúng thiết kế
- Dữ liệu đúng KPI</t>
  </si>
  <si>
    <t>Biểu đồ không giống với thiết kế</t>
  </si>
  <si>
    <r>
      <rPr>
        <rFont val="Times New Roman"/>
        <color rgb="FF1155CC"/>
        <sz val="12.0"/>
        <u/>
      </rPr>
      <t>TKDGHQHTPL_02.webm</t>
    </r>
  </si>
  <si>
    <t>TKCLDTBDPL_01</t>
  </si>
  <si>
    <t>Biểu đồ thống kê chất lượng đào tạo bồi dưỡng pháp lý</t>
  </si>
  <si>
    <t>Trực quan hóa dữ liệu về hiệu quả đào tạo (ví dụ: Tỷ lệ đạt chứng nhận, điểm trung bình kiểm tra).</t>
  </si>
  <si>
    <t>Hiển thị đúng %</t>
  </si>
  <si>
    <t>N/R</t>
  </si>
  <si>
    <t>chưa có dữ liệu test</t>
  </si>
  <si>
    <t>TKCLDTBDPL_02</t>
  </si>
  <si>
    <t>Biểu đồ tuân thủ thời hạn</t>
  </si>
  <si>
    <t>II</t>
  </si>
  <si>
    <t>Quản lý tiếp nhận hỏi đáp, vướng mắc pháp lý</t>
  </si>
  <si>
    <t>II.1</t>
  </si>
  <si>
    <t>Quản lý tổng hợp hỏi đáp, vướng mắc pháp lý</t>
  </si>
  <si>
    <t>Thêm mới hỏi đáp vướng mắc pháp lý</t>
  </si>
  <si>
    <t>Mở màn hình thêm mới</t>
  </si>
  <si>
    <t>Có quyền thao tác</t>
  </si>
  <si>
    <t>1. Mở màn hình
 2. Thực hiện theo TC
 3. Nhấn Lưu</t>
  </si>
  <si>
    <t>Hiển thị đầy đủ trường nhập</t>
  </si>
  <si>
    <t>Không nhập Nội dung</t>
  </si>
  <si>
    <t>Báo lỗi bắt buộc</t>
  </si>
  <si>
    <t>Không chọn Lĩnh vực</t>
  </si>
  <si>
    <t>Báo lỗi</t>
  </si>
  <si>
    <t>Không chọn Kênh</t>
  </si>
  <si>
    <t>Không chọn Mức độ</t>
  </si>
  <si>
    <t>Nội dung 1 ký tự</t>
  </si>
  <si>
    <t>Lưu thành công</t>
  </si>
  <si>
    <t>Nội dung 5000 ký tự</t>
  </si>
  <si>
    <t>Nội dung &gt;5000 ký tự</t>
  </si>
  <si>
    <t>Không cho lưu</t>
  </si>
  <si>
    <t>Email hợp lệ</t>
  </si>
  <si>
    <t>Email sai</t>
  </si>
  <si>
    <t>SĐT hợp lệ</t>
  </si>
  <si>
    <t>SĐT sai</t>
  </si>
  <si>
    <t>Chọn doanh nghiệp</t>
  </si>
  <si>
    <t>Lưu đúng</t>
  </si>
  <si>
    <t>Kênh Từ tư vấn nhanh</t>
  </si>
  <si>
    <t>Không cho chọn</t>
  </si>
  <si>
    <t>Mức Thường</t>
  </si>
  <si>
    <t>Deadline 15 ngày</t>
  </si>
  <si>
    <t>Mức Phức tạp</t>
  </si>
  <si>
    <t>Deadline 30 ngày</t>
  </si>
  <si>
    <t>Đơn vị mặc định</t>
  </si>
  <si>
    <t>Đúng user</t>
  </si>
  <si>
    <t>Upload PDF</t>
  </si>
  <si>
    <t>Thành công</t>
  </si>
  <si>
    <t>Upload Word</t>
  </si>
  <si>
    <t>Upload Excel</t>
  </si>
  <si>
    <t>Upload JPG</t>
  </si>
  <si>
    <t>File &gt;20MB</t>
  </si>
  <si>
    <t>10 file</t>
  </si>
  <si>
    <t>11 file</t>
  </si>
  <si>
    <t>Tổng &gt;100MB</t>
  </si>
  <si>
    <t>Lưu hợp lệ</t>
  </si>
  <si>
    <t>Tạo mới thành công</t>
  </si>
  <si>
    <t>Nhấn Hủy</t>
  </si>
  <si>
    <t>Không lưu</t>
  </si>
  <si>
    <t>Double click Lưu</t>
  </si>
  <si>
    <t>Chỉ tạo 1 bản ghi</t>
  </si>
  <si>
    <t>Sửa hỏi đáp vướng mắc pháp lý</t>
  </si>
  <si>
    <t>Mở màn sửa</t>
  </si>
  <si>
    <t>1. Mở màn hình
 2. Thực hiện theo TC
 3. Nhấn Lưu/Xóa</t>
  </si>
  <si>
    <t>Hiển thị dữ liệu</t>
  </si>
  <si>
    <t>Sửa nội dung</t>
  </si>
  <si>
    <t>Cập nhật thành công</t>
  </si>
  <si>
    <t>Xóa nội dung</t>
  </si>
  <si>
    <t>Đổi lĩnh vực</t>
  </si>
  <si>
    <t>Đổi mức độ</t>
  </si>
  <si>
    <t>Deadline cập nhật</t>
  </si>
  <si>
    <t>Thêm file</t>
  </si>
  <si>
    <t>Upload thành công</t>
  </si>
  <si>
    <t>Xóa file</t>
  </si>
  <si>
    <t>Xóa thành công</t>
  </si>
  <si>
    <t>Quá 10 file</t>
  </si>
  <si>
    <t>Chỉ cập nhật 1 lần</t>
  </si>
  <si>
    <t>Xóa hỏi đáp vướng mắc pháp lý</t>
  </si>
  <si>
    <t>Xóa 1 câu hỏi</t>
  </si>
  <si>
    <t>Chọn Không</t>
  </si>
  <si>
    <t>Không xóa</t>
  </si>
  <si>
    <t>Chọn Có</t>
  </si>
  <si>
    <t>Không có quyền</t>
  </si>
  <si>
    <t>Không được xóa</t>
  </si>
  <si>
    <t>Double click Xóa</t>
  </si>
  <si>
    <t>Chỉ xóa 1 lần</t>
  </si>
  <si>
    <t>Quản lý thông tin hỏi đáp, vướng mắc pháp lý</t>
  </si>
  <si>
    <t>Cán  bộ 
 TW,BN,ĐP</t>
  </si>
  <si>
    <t>Quản lý các trường dữ liệu chi tiết của từng yêu cầu (nội dung, người gửi, lĩnh vực, thời gian gửi...).</t>
  </si>
  <si>
    <t>· Đã đăng nhập, có quyền Quản lý hỏi đáp.</t>
  </si>
  <si>
    <t>1. Vào menu Trang chủ &gt; Hỏi đáp pháp lý</t>
  </si>
  <si>
    <r>
      <rPr>
        <rFont val="Times New Roman"/>
        <color rgb="FF1155CC"/>
        <sz val="12.0"/>
        <u/>
      </rPr>
      <t>QLTTHDVMPL_01.jpg</t>
    </r>
  </si>
  <si>
    <t>Kiểm tra truy cập màn hình danh sách hỏi đáp</t>
  </si>
  <si>
    <t>Tài khoản Cán bộ TW/BN/ĐP đã đăng nhập và có quyền xem màn hình</t>
  </si>
  <si>
    <t>Tài khoản hợp lệ</t>
  </si>
  <si>
    <t>1. Đăng nhập hệ thống
 2. Vào menu Trang chủ &gt; Hỏi đáp pháp lý</t>
  </si>
  <si>
    <t>Hiển thị đúng màn hình 'Quản lý hỏi đáp, vướng mắc pháp lý'; có breadcrumb, tiêu đề màn hình, bộ lọc, tab trạng thái, bảng danh sách và phân trang</t>
  </si>
  <si>
    <r>
      <rPr>
        <rFont val="Times New Roman"/>
        <color rgb="FF1155CC"/>
        <sz val="12.0"/>
        <u/>
      </rPr>
      <t>QLTTHDVMPL_02.jpg</t>
    </r>
  </si>
  <si>
    <t>Kiểm tra các cột thông tin hiển thị trên bảng</t>
  </si>
  <si>
    <t>Có dữ liệu hỏi đáp</t>
  </si>
  <si>
    <t>Danh sách có ít nhất 1 bản ghi</t>
  </si>
  <si>
    <t>1. Truy cập màn hình
 2. Quan sát header bảng</t>
  </si>
  <si>
    <t>Bảng hiển thị đủ các cột: checkbox, Mã HĐ, Nội dung, Lĩnh vực PL, Người gửi, Kênh, Trạng thái, Mức độ, SLA/Thời hạn, Ngày tạo, Hành động</t>
  </si>
  <si>
    <r>
      <rPr>
        <rFont val="Times New Roman"/>
        <color rgb="FF1155CC"/>
        <sz val="12.0"/>
        <u/>
      </rPr>
      <t>QLTTHDVMPL_03.jpg</t>
    </r>
  </si>
  <si>
    <t>Kiểm tra dữ liệu từng dòng hiển thị đúng thông tin chi tiết theo yêu cầu đề bài</t>
  </si>
  <si>
    <t>Có dữ liệu hỏi đáp đã tạo</t>
  </si>
  <si>
    <t>Bản ghi có mã, nội dung, lĩnh vực, người gửi, kênh, trạng thái, mức độ, SLA, ngày tạo</t>
  </si>
  <si>
    <t>1. Truy cập danh sách
 2. Đối chiếu thông tin 1 bản ghi với dữ liệu trong hệ thống/DB/API</t>
  </si>
  <si>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</si>
  <si>
    <t>Thông tin cột SLA/Thời hạn hiển thị không rõ ràng, khó tiếp cận</t>
  </si>
  <si>
    <r>
      <rPr>
        <rFont val="Times New Roman"/>
        <color rgb="FF1155CC"/>
        <sz val="12.0"/>
        <u/>
      </rPr>
      <t>QLTTHDVMPL_04.png</t>
    </r>
  </si>
  <si>
    <t>Kiểm tra nội dung câu hỏi dài được rút gọn trên danh sách</t>
  </si>
  <si>
    <t>Có bản ghi có nội dung dài</t>
  </si>
  <si>
    <t>Nội dung câu hỏi &gt; độ rộng cột</t>
  </si>
  <si>
    <t>1. Truy cập danh sách
 2. Quan sát cột Nội dung</t>
  </si>
  <si>
    <t>Nội dung dài được hiển thị dạng rút gọn/dấu '...' và không làm vỡ giao diện bảng</t>
  </si>
  <si>
    <r>
      <rPr>
        <rFont val="Times New Roman"/>
        <color rgb="FF1155CC"/>
        <sz val="12.0"/>
        <u/>
      </rPr>
      <t>QLTTHDVMPL_05.jpg</t>
    </r>
  </si>
  <si>
    <t>Kiểm tra mã hỏi đáp hiển thị dạng link có thể bấm</t>
  </si>
  <si>
    <t>Có bản ghi trong danh sách</t>
  </si>
  <si>
    <t>Mã HĐ bất kỳ</t>
  </si>
  <si>
    <t>1. Truy cập danh sách
 2. Bấm vào Mã HĐ</t>
  </si>
  <si>
    <t>Điều hướng/mở màn hình chi tiết hỏi đáp tương ứng với đúng bản ghi đã chọn</t>
  </si>
  <si>
    <r>
      <rPr>
        <rFont val="Times New Roman"/>
        <color rgb="FF1155CC"/>
        <sz val="12.0"/>
        <u/>
      </rPr>
      <t>QLTTHDVMPL_06.jpg</t>
    </r>
  </si>
  <si>
    <t>Kiểm tra các tab trạng thái và số lượng hiển thị</t>
  </si>
  <si>
    <t>Có dữ liệu ở các trạng thái</t>
  </si>
  <si>
    <t>Tất cả, Mới, Đang xử lý, Chờ phê duyệt, Đã duyệt, Công khai, Hoàn thành</t>
  </si>
  <si>
    <t>1. Truy cập màn hình
 2. Quan sát các tab và badge số lượng</t>
  </si>
  <si>
    <t>Hiển thị đủ tab trạng thái theo thiết kế; badge số lượng khớp với dữ liệu tương ứng</t>
  </si>
  <si>
    <r>
      <rPr>
        <rFont val="Times New Roman"/>
        <color rgb="FF1155CC"/>
        <sz val="12.0"/>
        <u/>
      </rPr>
      <t>QLTTHDVMPL_07.jpg</t>
    </r>
  </si>
  <si>
    <t>Kiểm tra bấm tab Mới</t>
  </si>
  <si>
    <t>Có bản ghi trạng thái Mới</t>
  </si>
  <si>
    <t>Tab Mới</t>
  </si>
  <si>
    <t>1. Bấm tab Mới</t>
  </si>
  <si>
    <t>Danh sách chỉ hiển thị bản ghi trạng thái Mới; tab Mới được active; số lượng hiển thị đúng</t>
  </si>
  <si>
    <r>
      <rPr>
        <rFont val="Times New Roman"/>
        <color rgb="FF1155CC"/>
        <sz val="12.0"/>
        <u/>
      </rPr>
      <t>QLTTHDVMPL_08.jpg</t>
    </r>
  </si>
  <si>
    <t>Kiểm tra bấm tab Đang xử lý</t>
  </si>
  <si>
    <t>Có bản ghi trạng thái Đang xử lý</t>
  </si>
  <si>
    <t>Tab Đang xử lý</t>
  </si>
  <si>
    <t>1. Bấm tab Đang xử lý</t>
  </si>
  <si>
    <t>Danh sách chỉ hiển thị bản ghi trạng thái Đang xử lý; tab được active</t>
  </si>
  <si>
    <r>
      <rPr>
        <rFont val="Times New Roman"/>
        <color rgb="FF1155CC"/>
        <sz val="12.0"/>
        <u/>
      </rPr>
      <t>QLTTHDVMPL_09.jpg</t>
    </r>
  </si>
  <si>
    <t>Kiểm tra sắp xếp theo Ngày tạo</t>
  </si>
  <si>
    <t>Có nhiều bản ghi khác ngày tạo</t>
  </si>
  <si>
    <t>Cột Ngày tạo</t>
  </si>
  <si>
    <t>1. Bấm biểu tượng sắp xếp ở cột Ngày tạo
 2. Bấm lại lần nữa</t>
  </si>
  <si>
    <t>Lần 1 danh sách sắp xếp tăng/giảm theo ngày tạo; lần 2 đảo chiều sắp xếp; dữ liệu đúng thứ tự</t>
  </si>
  <si>
    <t>Danh sách không cập nhật lại thứ tự khi nhấn vào cột Ngày tạo</t>
  </si>
  <si>
    <r>
      <rPr>
        <rFont val="Times New Roman"/>
        <color rgb="FF1155CC"/>
        <sz val="12.0"/>
        <u/>
      </rPr>
      <t>QLTTHDVMPL_10.webm</t>
    </r>
  </si>
  <si>
    <t>Kiểm tra hiển thị số lượng bản ghi và phân trang</t>
  </si>
  <si>
    <t>Có nhiều hơn 20 bản ghi</t>
  </si>
  <si>
    <t>Dữ liệu 44 bản ghi</t>
  </si>
  <si>
    <t>1. Truy cập màn hình
 2. Quan sát dòng 'Hiển thị 1-20 / 44 kết quả' và các nút trang</t>
  </si>
  <si>
    <t>Hiển thị đúng khoảng bản ghi hiện tại, tổng số kết quả và các nút trang</t>
  </si>
  <si>
    <r>
      <rPr>
        <rFont val="Times New Roman"/>
        <color rgb="FF1155CC"/>
        <sz val="12.0"/>
        <u/>
      </rPr>
      <t>QLTTHDVMPL_11.jpg</t>
    </r>
  </si>
  <si>
    <t>Kiểm tra chuyển sang trang tiếp theo</t>
  </si>
  <si>
    <t>Có nhiều hơn 1 trang dữ liệu</t>
  </si>
  <si>
    <t>Bấm trang 2 hoặc nút &gt;</t>
  </si>
  <si>
    <t>1. Bấm trang 2 hoặc nút chuyển trang</t>
  </si>
  <si>
    <t>Danh sách tải dữ liệu trang 2; không trùng dữ liệu trang 1; chỉ số hiển thị cập nhật đúng</t>
  </si>
  <si>
    <r>
      <rPr>
        <rFont val="Times New Roman"/>
        <color rgb="FF1155CC"/>
        <sz val="12.0"/>
        <u/>
      </rPr>
      <t>QLTTHDVMPL_12.jpg</t>
    </r>
  </si>
  <si>
    <t>Kiểm tra thay đổi số bản ghi/trang</t>
  </si>
  <si>
    <t>Có nhiều bản ghi</t>
  </si>
  <si>
    <t>Chọn 10/trang, 20/trang nếu hệ thống hỗ trợ</t>
  </si>
  <si>
    <t>1. Mở dropdown số dòng/trang
 2. Chọn giá trị khác</t>
  </si>
  <si>
    <t>Danh sách cập nhật số dòng theo lựa chọn; phân trang và tổng số kết quả cập nhật đúng</t>
  </si>
  <si>
    <r>
      <rPr>
        <rFont val="Times New Roman"/>
        <color rgb="FF1155CC"/>
        <sz val="12.0"/>
        <u/>
      </rPr>
      <t>QLTTHDVMPL_13.jpg</t>
    </r>
  </si>
  <si>
    <t>Kiểm tra icon Xem chi tiết</t>
  </si>
  <si>
    <t>Icon mắt tại cột Hành động</t>
  </si>
  <si>
    <t>1. Bấm icon Xem của 1 bản ghi</t>
  </si>
  <si>
    <t>Mở màn hình chi tiết đúng bản ghi; thông tin chi tiết khớp với dòng đã chọn</t>
  </si>
  <si>
    <r>
      <rPr>
        <rFont val="Times New Roman"/>
        <color rgb="FF1155CC"/>
        <sz val="12.0"/>
        <u/>
      </rPr>
      <t>QLTTHDVMPL_14.jpg</t>
    </r>
  </si>
  <si>
    <t>Kiểm tra chọn từng bản ghi bằng checkbox</t>
  </si>
  <si>
    <t>Checkbox từng dòng</t>
  </si>
  <si>
    <t>1. Tick checkbox 1 dòng
 2. Bỏ tick checkbox</t>
  </si>
  <si>
    <t>Dòng được chọn/bỏ chọn đúng; trạng thái checkbox phản ánh chính xác</t>
  </si>
  <si>
    <r>
      <rPr>
        <rFont val="Times New Roman"/>
        <color rgb="FF1155CC"/>
        <sz val="12.0"/>
        <u/>
      </rPr>
      <t>QLTTHDVMPL_15.jpg</t>
    </r>
  </si>
  <si>
    <t>Kiểm tra checkbox chọn tất cả trên trang hiện tại</t>
  </si>
  <si>
    <t>Có nhiều bản ghi trên trang</t>
  </si>
  <si>
    <t>Checkbox header</t>
  </si>
  <si>
    <t>1. Tick checkbox ở header
 2. Bỏ tick checkbox ở header</t>
  </si>
  <si>
    <t>Tất cả bản ghi trên trang hiện tại được chọn/bỏ chọn; không ảnh hưởng dữ liệu trang khác nếu chưa tải</t>
  </si>
  <si>
    <r>
      <rPr>
        <rFont val="Times New Roman"/>
        <color rgb="FF1155CC"/>
        <sz val="12.0"/>
        <u/>
      </rPr>
      <t>QLTTHDVMPL_16.jpg</t>
    </r>
  </si>
  <si>
    <t>Kiểm tra xuất Excel danh sách hiện tại</t>
  </si>
  <si>
    <t>Có dữ liệu danh sách</t>
  </si>
  <si>
    <t>Nút Xuất Excel</t>
  </si>
  <si>
    <t>1. Lọc dữ liệu nếu cần
 2. Bấm Xuất Excel
 3. Mở file tải về</t>
  </si>
  <si>
    <t>File Excel được tải về thành công; dữ liệu trong file khớp với danh sách/điều kiện lọc; đúng các cột cần xuất</t>
  </si>
  <si>
    <r>
      <rPr>
        <rFont val="Times New Roman"/>
        <color rgb="FF1155CC"/>
        <sz val="12.0"/>
        <u/>
      </rPr>
      <t>QLTTHDVMPL_17.jpg</t>
    </r>
  </si>
  <si>
    <t>Kiểm tra nút Làm mới</t>
  </si>
  <si>
    <t>Danh sách đang hiển thị</t>
  </si>
  <si>
    <t>Nút Làm mới</t>
  </si>
  <si>
    <t>1. Bấm Làm mới</t>
  </si>
  <si>
    <t>Danh sách được tải lại; dữ liệu mới nhất hiển thị; không làm lỗi giao diện</t>
  </si>
  <si>
    <r>
      <rPr>
        <rFont val="Times New Roman"/>
        <color rgb="FF1155CC"/>
        <sz val="12.0"/>
        <u/>
      </rPr>
      <t>QLTTHDVMPL_18.jpg</t>
    </r>
  </si>
  <si>
    <t>Kiểm tra giao diện khi màn hình nhỏ/zoom</t>
  </si>
  <si>
    <t>Có quyền truy cập</t>
  </si>
  <si>
    <t>Zoom 125%, màn hình laptop</t>
  </si>
  <si>
    <t>1. Mở màn hình ở kích thước nhỏ hoặc zoom trình duyệt
 2. Quan sát bảng và bộ lọc</t>
  </si>
  <si>
    <t>Giao diện không vỡ; bảng có scroll ngang nếu cần; nút chức năng vẫn thao tác được</t>
  </si>
  <si>
    <r>
      <rPr>
        <rFont val="Times New Roman"/>
        <color rgb="FF1155CC"/>
        <sz val="12.0"/>
        <u/>
      </rPr>
      <t>QLTTHDVMPL_19.jpg</t>
    </r>
  </si>
  <si>
    <t>Tìm kiếm hỏi đáp, vướng mắc được tổng hợp</t>
  </si>
  <si>
    <t>Cung cấp công cụ tìm kiếm toàn văn, nâng cao theo lĩnh vực, thời gian đối với các yêu cầu hỏi đáp đã tổng hợp.</t>
  </si>
  <si>
    <t>Lưu ý uc 11.14.19 sẽ trùng chức năng tìm kiếm</t>
  </si>
  <si>
    <r>
      <rPr>
        <rFont val="Times New Roman"/>
        <color rgb="FF1155CC"/>
        <sz val="12.0"/>
        <u/>
      </rPr>
      <t>TKHDVMTH_01.jpg</t>
    </r>
  </si>
  <si>
    <t>Kiểm tra tìm kiếm theo nội dung câu hỏi</t>
  </si>
  <si>
    <t>Có dữ liệu chứa từ khóa cần tìm</t>
  </si>
  <si>
    <t>Từ khóa: 'Doanh nghiệp'</t>
  </si>
  <si>
    <t>1. Nhập từ khóa vào ô tìm kiếm
 2. Bấm Tìm kiếm</t>
  </si>
  <si>
    <t>Danh sách chỉ hiển thị các bản ghi có nội dung/mã/người gửi phù hợp với từ khóa; số lượng kết quả được cập nhật đúng</t>
  </si>
  <si>
    <r>
      <rPr>
        <rFont val="Times New Roman"/>
        <color rgb="FF1155CC"/>
        <sz val="12.0"/>
        <u/>
      </rPr>
      <t>TKHDVMTH_02.jpg</t>
    </r>
  </si>
  <si>
    <t>Kiểm tra tìm kiếm theo mã hỏi đáp</t>
  </si>
  <si>
    <t>Có bản ghi có mã HĐ cụ thể</t>
  </si>
  <si>
    <t>Mã HĐ: HD-20260624-001</t>
  </si>
  <si>
    <t>1. Nhập mã HĐ vào ô tìm kiếm
 2. Bấm Tìm kiếm</t>
  </si>
  <si>
    <t>Hiển thị đúng bản ghi có mã HĐ tương ứng; không hiển thị bản ghi không liên quan</t>
  </si>
  <si>
    <r>
      <rPr>
        <rFont val="Times New Roman"/>
        <color rgb="FF1155CC"/>
        <sz val="12.0"/>
        <u/>
      </rPr>
      <t>TKHDVMTH_03.jpg</t>
    </r>
  </si>
  <si>
    <t>Kiểm tra tìm kiếm theo người gửi</t>
  </si>
  <si>
    <t>Có bản ghi người gửi cụ thể</t>
  </si>
  <si>
    <t>Người gửi: Nguyễn Văn A</t>
  </si>
  <si>
    <t>1. Nhập tên người gửi vào ô tìm kiếm
 2. Bấm Tìm kiếm</t>
  </si>
  <si>
    <t>Danh sách hiển thị các bản ghi của người gửi phù hợp</t>
  </si>
  <si>
    <r>
      <rPr>
        <rFont val="Times New Roman"/>
        <color rgb="FF1155CC"/>
        <sz val="12.0"/>
        <u/>
      </rPr>
      <t>TKHDVMTH_04.jpg</t>
    </r>
  </si>
  <si>
    <t>Kiểm tra tìm kiếm khi không có kết quả</t>
  </si>
  <si>
    <t>Có quyền truy cập màn hình</t>
  </si>
  <si>
    <t>Từ khóa không tồn tại: xyz999</t>
  </si>
  <si>
    <t>1. Nhập từ khóa không tồn tại
 2. Bấm Tìm kiếm</t>
  </si>
  <si>
    <t>Hiển thị trạng thái không có dữ liệu/kết quả; không lỗi giao diện; phân trang hiển thị phù hợp</t>
  </si>
  <si>
    <r>
      <rPr>
        <rFont val="Times New Roman"/>
        <color rgb="FF1155CC"/>
        <sz val="12.0"/>
        <u/>
      </rPr>
      <t>TKHDVMTH_05.jpg</t>
    </r>
  </si>
  <si>
    <t>Kiểm tra lọc theo Lĩnh vực PL</t>
  </si>
  <si>
    <t>Có dữ liệu thuộc nhiều lĩnh vực</t>
  </si>
  <si>
    <t>Lĩnh vực: Thuế</t>
  </si>
  <si>
    <t>1. Chọn Lĩnh vực pháp luật = Thuế
 2. Bấm Tìm kiếm</t>
  </si>
  <si>
    <t>Danh sách chỉ hiển thị bản ghi thuộc lĩnh vực Thuế; số lượng kết quả đúng</t>
  </si>
  <si>
    <r>
      <rPr>
        <rFont val="Times New Roman"/>
        <color rgb="FF1155CC"/>
        <sz val="12.0"/>
        <u/>
      </rPr>
      <t>TKHDVMTH_06.jpg</t>
    </r>
  </si>
  <si>
    <t>Kiểm tra lọc theo trạng thái</t>
  </si>
  <si>
    <t>Có dữ liệu nhiều trạng thái</t>
  </si>
  <si>
    <t>Trạng thái: Mới</t>
  </si>
  <si>
    <t>1. Chọn Trạng thái = Mới
 2. Bấm Tìm kiếm</t>
  </si>
  <si>
    <t>Danh sách chỉ hiển thị các bản ghi có trạng thái Mới</t>
  </si>
  <si>
    <t>- Tổng số bản ghi trên các tab hiển thị không đúng số lượng</t>
  </si>
  <si>
    <r>
      <rPr>
        <rFont val="Times New Roman"/>
        <color rgb="FF1155CC"/>
        <sz val="12.0"/>
        <u/>
      </rPr>
      <t>TKHDVMTH_07.webm</t>
    </r>
  </si>
  <si>
    <t>Kiểm tra lọc theo kênh tiếp nhận</t>
  </si>
  <si>
    <t>Có dữ liệu nhiều kênh</t>
  </si>
  <si>
    <t>Kênh: Trực tiếp/Hệ thống khác/Cổng PLQG</t>
  </si>
  <si>
    <t>1. Chọn Kênh tiếp nhận
 2. Bấm Tìm kiếm</t>
  </si>
  <si>
    <t>Danh sách chỉ hiển thị bản ghi đúng kênh tiếp nhận đã chọn</t>
  </si>
  <si>
    <r>
      <rPr>
        <rFont val="Times New Roman"/>
        <color rgb="FF1155CC"/>
        <sz val="12.0"/>
        <u/>
      </rPr>
      <t>TKHDVMTH_08.jpg</t>
    </r>
  </si>
  <si>
    <t>Kiểm tra lọc theo mức độ phức tạp</t>
  </si>
  <si>
    <t>Có dữ liệu nhiều mức độ</t>
  </si>
  <si>
    <t>Mức độ: Thường</t>
  </si>
  <si>
    <t>1. Chọn Mức độ phức tạp = Thường
 2. Bấm Tìm kiếm</t>
  </si>
  <si>
    <t>Danh sách chỉ hiển thị bản ghi có mức độ Thường</t>
  </si>
  <si>
    <r>
      <rPr>
        <rFont val="Times New Roman"/>
        <color rgb="FF1155CC"/>
        <sz val="12.0"/>
        <u/>
      </rPr>
      <t>TKHDVMTH_09.jpg</t>
    </r>
  </si>
  <si>
    <t>Kiểm tra lọc theo khoảng ngày hợp lệ</t>
  </si>
  <si>
    <t>Có dữ liệu trong khoảng ngày</t>
  </si>
  <si>
    <t>Từ ngày 22/06/2026, Đến ngày 24/06/2026</t>
  </si>
  <si>
    <t>1. Nhập Từ ngày
 2. Nhập Đến ngày
 3. Bấm Tìm kiếm</t>
  </si>
  <si>
    <t>Danh sách chỉ hiển thị bản ghi có ngày tạo nằm trong khoảng đã chọn, bao gồm ngày bắt đầu và ngày kết thúc nếu có dữ liệu</t>
  </si>
  <si>
    <r>
      <rPr>
        <rFont val="Times New Roman"/>
        <color rgb="FF1155CC"/>
        <sz val="12.0"/>
        <u/>
      </rPr>
      <t>TKHDVMTH_10.jpg</t>
    </r>
  </si>
  <si>
    <t>Kiểm tra nhập Từ ngày lớn hơn Đến ngày</t>
  </si>
  <si>
    <t>Từ ngày 25/06/2026, Đến ngày 24/06/2026</t>
  </si>
  <si>
    <t>1. Nhập Từ ngày &gt; Đến ngày
 2. Bấm Tìm kiếm</t>
  </si>
  <si>
    <t>Hệ thống hiển thị thông báo lỗi hợp lệ, không thực hiện tìm kiếm sai dữ liệu</t>
  </si>
  <si>
    <r>
      <rPr>
        <rFont val="Times New Roman"/>
        <color rgb="FF1155CC"/>
        <sz val="12.0"/>
        <u/>
      </rPr>
      <t>TKHDVMTH_11.jpg</t>
    </r>
  </si>
  <si>
    <t>Kiểm tra kết hợp nhiều điều kiện lọc</t>
  </si>
  <si>
    <t>Có dữ liệu thỏa mãn nhiều điều kiện</t>
  </si>
  <si>
    <t>Từ khóa + Lĩnh vực Thuế + Trạng thái Mới + Kênh Hệ thống khác</t>
  </si>
  <si>
    <t>1. Nhập/chọn các điều kiện lọc
 2. Bấm Tìm kiếm</t>
  </si>
  <si>
    <t>Danh sách hiển thị đúng các bản ghi thỏa mãn đồng thời tất cả điều kiện lọc</t>
  </si>
  <si>
    <r>
      <rPr>
        <rFont val="Times New Roman"/>
        <color rgb="FF1155CC"/>
        <sz val="12.0"/>
        <u/>
      </rPr>
      <t>TKHDVMTH_12.jpg</t>
    </r>
  </si>
  <si>
    <t>Kiểm tra nút Xóa bộ lọc</t>
  </si>
  <si>
    <t>Đang có điều kiện lọc được nhập/chọn</t>
  </si>
  <si>
    <t>Có ít nhất 1 bộ lọc đã set</t>
  </si>
  <si>
    <t>1. Nhập/chọn bộ lọc
 2. Bấm Xóa bộ lọc</t>
  </si>
  <si>
    <t>Toàn bộ điều kiện lọc được reset về mặc định; danh sách quay về trạng thái ban đầu</t>
  </si>
  <si>
    <r>
      <rPr>
        <rFont val="Times New Roman"/>
        <color rgb="FF1155CC"/>
        <sz val="12.0"/>
        <u/>
      </rPr>
      <t>TKHDVMTH_13.jpg</t>
    </r>
  </si>
  <si>
    <t>II.2</t>
  </si>
  <si>
    <t>Quản lý tiếp nhận xử lý hỏi đáp, vướng mắc pháp lý</t>
  </si>
  <si>
    <t>Tiếp nhận xử lý hỏi đáp, vướng mắc pháp lý</t>
  </si>
  <si>
    <t>Thực hiện thao tác tiếp nhận và chuyển yêu cầu vào quy trình phân công xử lý.</t>
  </si>
  <si>
    <t>- User CB_NV đã đăng nhập.
 - Tồn tại bản ghi ở trạng thái Mới có đơn vị xử lý thuộc tài khoản đang đăng nhập.</t>
  </si>
  <si>
    <t>1. Vào menu Trang chủ &gt; Hỏi đáp pháp lý
2/ Mở danh sách tab "Mới".
3. Chọn bản ghi ở trạng thái Mới có đơn vị xử lý thuộc tài khoản đang đăng nhập..
4. Nhấn [Tiếp nhận].
5. Xác nhận tiếp nhận</t>
  </si>
  <si>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</si>
  <si>
    <r>
      <rPr>
        <rFont val="Times New Roman"/>
        <color rgb="FF1155CC"/>
        <sz val="12.0"/>
        <u/>
      </rPr>
      <t>TNXLHDVMPL_01.jpg</t>
    </r>
  </si>
  <si>
    <t>Tiếp nhận và mở chi tiết — Stepper hiển thị đúng</t>
  </si>
  <si>
    <t>- User CB_NV đã đăng nhập.
- Tiếp nhận bản ghi ở uc TNXLHDVMPL_01 thành công.</t>
  </si>
  <si>
    <t>1. Click vào bản ghi đã tiếp nhận.
2. Kiểm tra SCR-II-02 (Chi tiết).</t>
  </si>
  <si>
    <t>- Stepper 6 bước hiển thị, bước "Tiếp nhận" được highlight active.
 - Accordion Thông tin câu hỏi hiển thị đầy đủ.</t>
  </si>
  <si>
    <r>
      <rPr>
        <rFont val="Times New Roman"/>
        <color rgb="FF1155CC"/>
        <sz val="12.0"/>
        <u/>
      </rPr>
      <t>TNXLHDVMPL_02.jpg</t>
    </r>
  </si>
  <si>
    <t>Tiếp nhận vào Thứ 6 — deadline tính đúng ngày làm việc</t>
  </si>
  <si>
    <t>- User CB_NV đã đăng nhập.
 - HD-011 ở trạng thái MOI.
 - Hôm nay là Thứ 6.</t>
  </si>
  <si>
    <t>1. Tiếp nhận HD-011 vào Thứ 6 (18/04/2026).
 2. Kiểm tra deadline.</t>
  </si>
  <si>
    <t>- Deadline = Thứ 6 (18/04) + 5 ngày làm việc = skip Thứ 7+CN → Thứ 5 (24/04/2026) hoặc muộn hơn nếu có NGAY_LE.
 - SLA chỉ đếm T2-T6, trừ nghỉ lễ.</t>
  </si>
  <si>
    <r>
      <rPr>
        <rFont val="Times New Roman"/>
        <color rgb="FF1155CC"/>
        <sz val="12.0"/>
        <u/>
      </rPr>
      <t>TNXLHDVMPL_03.jpg</t>
    </r>
  </si>
  <si>
    <t>Tiếp nhận bản ghi đã bị xóa → lỗi</t>
  </si>
  <si>
    <t>- User CB_NV đã đăng nhập.
 - HD-013 ở MOI trên danh sách.
 - CB khác đã xóa mềm HD-013 (is_deleted=1).</t>
  </si>
  <si>
    <t>1. CB_NV nhấn [Tiếp nhận] HD-013 (đã bị xóa nhưng danh sách chưa refresh).</t>
  </si>
  <si>
    <t>- Lỗi **ERR-TN-02**: "Hỏi đáp không tồn tại hoặc đã bị xóa".
 - Không thay đổi trạng thái.</t>
  </si>
  <si>
    <r>
      <rPr>
        <rFont val="Times New Roman"/>
        <color rgb="FF1155CC"/>
        <sz val="12.0"/>
        <u/>
      </rPr>
      <t>TNXLHDVMPL_04.jpg</t>
    </r>
  </si>
  <si>
    <t>Tiếp nhận bản ghi ở trạng thái TIEP_NHAN → bị chặn</t>
  </si>
  <si>
    <t>- User CB_NV đã đăng nhập.
 - HD-015 đã ở TIEP_NHAN.</t>
  </si>
  <si>
    <t>1. Thử nhấn [Tiếp nhận] cho HD-015.</t>
  </si>
  <si>
    <t xml:space="preserve">- Nút [Tiếp nhận] bị ẩn cho bản ghi không ở trạng thái MOI.
</t>
  </si>
  <si>
    <r>
      <rPr>
        <rFont val="Times New Roman"/>
        <color rgb="FF1155CC"/>
        <sz val="12.0"/>
        <u/>
      </rPr>
      <t>TNXLHDVMPL_05.jpg</t>
    </r>
  </si>
  <si>
    <t>CB NV BN tiếp nhận bản ghi thuộc đơn vị khác → bị chặn</t>
  </si>
  <si>
    <t>- User CB_NV_BN (Bộ KH&amp;ĐT) đã đăng nhập.
 - Bản ghi thuộc đơn vị TW ở MOI.</t>
  </si>
  <si>
    <t>1. Thử truy cập/tiếp nhận bản ghi (thuộc TW).</t>
  </si>
  <si>
    <t>- Bản ghi KHÔNG xuất hiện trong danh sách CB_NV_BN (BR-AUTH-08).</t>
  </si>
  <si>
    <r>
      <rPr>
        <rFont val="Times New Roman"/>
        <color rgb="FF1155CC"/>
        <sz val="12.0"/>
        <u/>
      </rPr>
      <t>TNXLHDVMPL_06.jpg</t>
    </r>
  </si>
  <si>
    <t>Quản lý thông tin tiếp nhận xử lý hỏi đáp, vướng mắc pháp lý</t>
  </si>
  <si>
    <t>Quản lý các thông tin liên quan đến quá trình xử lý (người phân công, thời hạn xử lý, trạng thái luân chuyển).</t>
  </si>
  <si>
    <t>Lưu ý uc 13 và 18 gần tương tự nhau</t>
  </si>
  <si>
    <t>Xem danh sách đang xử lý — hard filter đúng trạng thái</t>
  </si>
  <si>
    <t>- User CB_NV đã đăng nhập.
 - Tồn tại bản ghi ở TIEP_NHAN, DA_PHAN_CONG, DANG_XU_LY, và DA_DUYET.</t>
  </si>
  <si>
    <t>1. Mở tab "Đang xử lý".
 2. Kiểm tra danh sách.</t>
  </si>
  <si>
    <t xml:space="preserve">- Chỉ hiển thị `trang_thai IN (TIEP_NHAN, DA_PHAN_CONG, DANG_XU_LY)`.
 - KHÔNG hiển thị MOI, DA_DUYET, CONG_KHAI, HOAN_THANH.
 </t>
  </si>
  <si>
    <r>
      <rPr>
        <rFont val="Times New Roman"/>
        <color rgb="FF1155CC"/>
        <sz val="12.0"/>
        <u/>
      </rPr>
      <t>QLTNXLHDVM_01.jpg</t>
    </r>
  </si>
  <si>
    <t>Cập nhật thời hạn xử lý kèm lý do thành công</t>
  </si>
  <si>
    <t>- User CB_NV đã đăng nhập.
 - Bản ghi ở **DANG_XU_LY**</t>
  </si>
  <si>
    <t>1. Mở chi tiết Bản ghi.
 2. Nhập thời hạn mới
 3. Nhập lý do thay đổi.
 4. Click [Lưu].</t>
  </si>
  <si>
    <t>Cập nhật thành công, hệ thống hiển thị thông báo "Đã cập nhật thời hạn" và tải lại thông tin trên màn hình.</t>
  </si>
  <si>
    <r>
      <rPr>
        <rFont val="Times New Roman"/>
        <color rgb="FF1155CC"/>
        <sz val="12.0"/>
        <u/>
      </rPr>
      <t>QLTNXLHDVM_02.jpg</t>
    </r>
  </si>
  <si>
    <t>Xem lịch sử Timeline (AUDIT_LOG)</t>
  </si>
  <si>
    <t>- User CB_NV đã đăng nhập.
 - Bản ghi có lịch sử: MOI → TIEP_NHAN → DA_PHAN_CONG → DANG_XU_LY.</t>
  </si>
  <si>
    <t>1. Mở chi tiết bản ghi vừa cập nhật.
 2. Mở Accordion "lịch sử xử lý" (Timeline).</t>
  </si>
  <si>
    <t>Hệ thống hiển thị dòng thời gian liệt kê toàn bộ các thao tác đã thực hiện trên hỏi đáp theo thứ tự thời gian, gồm các cột: thời điểm, người thực hiện, hành động, giá trị cũ → giá trị mới.</t>
  </si>
  <si>
    <r>
      <rPr>
        <rFont val="Times New Roman"/>
        <color rgb="FF1155CC"/>
        <sz val="12.0"/>
        <u/>
      </rPr>
      <t>QLTNXLHDVM_03.jpg</t>
    </r>
  </si>
  <si>
    <t>Cập nhật thời hạn — thiếu lý do → bị chặn</t>
  </si>
  <si>
    <t>- User CB_NV đã đăng nhập.
 - HD-022 ở DANG_XU_LY.</t>
  </si>
  <si>
    <t>1. Mở chi tiết HD-022.
 2. Nhập thời hạn mới.
 3. Bỏ trống lý do.
 4. Click [Lưu].</t>
  </si>
  <si>
    <t>- Không cho phép lưu khi lý do trống.</t>
  </si>
  <si>
    <r>
      <rPr>
        <rFont val="Times New Roman"/>
        <color rgb="FF1155CC"/>
        <sz val="12.0"/>
        <u/>
      </rPr>
      <t>QLTNXLHDVM_04.jpg</t>
    </r>
  </si>
  <si>
    <t>CB NV ĐP xem timeline bản ghi thuộc đơn vị khác → bị chặn</t>
  </si>
  <si>
    <t>- User CB_NV_DP (Sở TP HN) đã đăng nhập.
 - Bản ghi thuộc đơn vị TW ở DANG_XU_LY.</t>
  </si>
  <si>
    <t>1. Thử truy cập chi tiết bản ghi (đơn vị TW).</t>
  </si>
  <si>
    <t xml:space="preserve">- Bản ghi KHÔNG xuất hiện trong danh sách tab "Đang xử lý" của CB_NV_DP.
</t>
  </si>
  <si>
    <r>
      <rPr>
        <rFont val="Times New Roman"/>
        <color rgb="FF1155CC"/>
        <sz val="12.0"/>
        <u/>
      </rPr>
      <t>QLTNXLHDVM_05.jpg</t>
    </r>
  </si>
  <si>
    <t>Xem danh sách đã xử lý — Read-only</t>
  </si>
  <si>
    <t>- User CB_NV đã đăng nhập.
 - Tồn tại bản ghi ở DA_DUYET, CONG_KHAI, HOAN_THANH.</t>
  </si>
  <si>
    <t>1. Mở tab "Hoàn thành" 
 2. Kiểm tra danh sách.</t>
  </si>
  <si>
    <t>- Chỉ hiển thị `trang_thai IN (DA_DUYET, CONG_KHAI, HOAN_THANH)`.
 - Read-only: KHÔNG có nút [Thêm mới], [Sửa], [Xóa].
 - Cột bổ sung: `nguoi_duyet`, `ngay_duyet`.</t>
  </si>
  <si>
    <t>Không có cột bổ sung Người duyệt, Ngày duyệt</t>
  </si>
  <si>
    <r>
      <rPr>
        <rFont val="Times New Roman"/>
        <color rgb="FF1155CC"/>
        <sz val="12.0"/>
        <u/>
      </rPr>
      <t>QLTNXLHDVM_06.jpg</t>
    </r>
  </si>
  <si>
    <t>Xem chi tiết đã xử lý — hiển thị toàn bộ lịch sử</t>
  </si>
  <si>
    <t>- User CB_NV đã đăng nhập.
 - Bản ghi ở HOAN_THANH.</t>
  </si>
  <si>
    <t>1. Click vào Bản ghi.
 2. Xem SCR-II-02 (Chi tiết).</t>
  </si>
  <si>
    <t>- Hiển thị nội dung phản hồi cuối cùng.
 - Thông tin người duyệt + ngày duyệt.
 - Timeline đầy đủ từ MOI → ... → HOAN_THANH.
 - Tất cả trường bị disabled/locked (BR-FLOW-03).</t>
  </si>
  <si>
    <r>
      <rPr>
        <rFont val="Times New Roman"/>
        <color rgb="FF1155CC"/>
        <sz val="12.0"/>
        <u/>
      </rPr>
      <t>QLTNXLHDVM_07.jpg</t>
    </r>
  </si>
  <si>
    <t>CB_PD_TW xem data cấp BN/ĐP — xem được nhưng KHÔNG duyệt được</t>
  </si>
  <si>
    <t>- User CB_PD_TW đã đăng nhập.
 - HD-090 thuộc cấp BN ở DANG_XU_LY.</t>
  </si>
  <si>
    <t>1. Mở tab "Đang xử lý".
 2. Xác nhận HD-090 (cấp BN) CÓ hiển thị.
 3. Click vào HD-090.</t>
  </si>
  <si>
    <t>- BR-AUTH-04: CB_PD_TW CÓ quyền XEM toàn bộ TW + BN + ĐP.
 - HD-090 hiển thị trong danh sách.
 - Nhưng khi chuyển CHO_PHE_DUYET, nút [Phê duyệt] sẽ bị chặn (BR-AUTH-05: phê duyệt cùng cấp).</t>
  </si>
  <si>
    <r>
      <rPr>
        <rFont val="Times New Roman"/>
        <color rgb="FF1155CC"/>
        <sz val="12.0"/>
        <u/>
      </rPr>
      <t>QLTNXLHDVM_08.jpg</t>
    </r>
  </si>
  <si>
    <t>Cập nhật thời hạn — thời hạn mới &lt; ngày hiện tại → kiểm tra ràng buộc</t>
  </si>
  <si>
    <t>- User CB_NV đã đăng nhập.
 - Bản ghi ở DANG_XU_LY</t>
  </si>
  <si>
    <t>1. Mở chi tiết bản ghi.
 2. Nhập thời hạn mới &lt; ngày hiện tại.
 3. Click [Lưu].</t>
  </si>
  <si>
    <t xml:space="preserve">- Hệ thống chặn không cho cập nhật ngày &lt; thời hạn hiện tại
</t>
  </si>
  <si>
    <r>
      <rPr>
        <rFont val="Times New Roman"/>
        <color rgb="FF1155CC"/>
        <sz val="12.0"/>
        <u/>
      </rPr>
      <t>QLTNXLHDVM_09.jpg</t>
    </r>
  </si>
  <si>
    <t>Tìm kiếm thông tin hỏi đáp, vướng mắc pháp lý đã tiếp 
 nhận xử lý</t>
  </si>
  <si>
    <t>Tìm kiếm các yêu cầu đang nằm trong hàng đợi chờ xử lý hoặc đã được phân công xử lý.</t>
  </si>
  <si>
    <r>
      <rPr>
        <rFont val="Times New Roman"/>
        <color rgb="FF1155CC"/>
        <sz val="12.0"/>
        <u/>
      </rPr>
      <t>TKHDVMPLDTNXL_01.jpg</t>
    </r>
  </si>
  <si>
    <r>
      <rPr>
        <rFont val="Times New Roman"/>
        <color rgb="FF1155CC"/>
        <sz val="12.0"/>
        <u/>
      </rPr>
      <t>TKHDVMPLDTNXL_02.jpg</t>
    </r>
  </si>
  <si>
    <r>
      <rPr>
        <rFont val="Times New Roman"/>
        <color rgb="FF1155CC"/>
        <sz val="12.0"/>
        <u/>
      </rPr>
      <t>TKHDVMPLDTNXL_03.jpg</t>
    </r>
  </si>
  <si>
    <r>
      <rPr>
        <rFont val="Times New Roman"/>
        <color rgb="FF1155CC"/>
        <sz val="12.0"/>
        <u/>
      </rPr>
      <t>TKHDVMPLDTNXL_04.jpg</t>
    </r>
  </si>
  <si>
    <r>
      <rPr>
        <rFont val="Times New Roman"/>
        <color rgb="FF1155CC"/>
        <sz val="12.0"/>
        <u/>
      </rPr>
      <t>TKHDVMPLDTNXL_05.jpg</t>
    </r>
  </si>
  <si>
    <t>- Các bản ghi của các trạng thái khác vẫn hiển thị
- Số lượng bản ghi ở tab Tất cả hiển thị không đúng với số lượng bản ghi tìm kiếm</t>
  </si>
  <si>
    <r>
      <rPr>
        <rFont val="Times New Roman"/>
        <color rgb="FF1155CC"/>
        <sz val="12.0"/>
        <u/>
      </rPr>
      <t>TKHDVMPLDTNXL_06.webm</t>
    </r>
  </si>
  <si>
    <r>
      <rPr>
        <rFont val="Times New Roman"/>
        <color rgb="FF1155CC"/>
        <sz val="12.0"/>
        <u/>
      </rPr>
      <t>TKHDVMPLDTNXL_07.jpg</t>
    </r>
  </si>
  <si>
    <r>
      <rPr>
        <rFont val="Times New Roman"/>
        <color rgb="FF1155CC"/>
        <sz val="12.0"/>
        <u/>
      </rPr>
      <t>TKHDVMPLDTNXL_08.jpg</t>
    </r>
  </si>
  <si>
    <r>
      <rPr>
        <rFont val="Times New Roman"/>
        <color rgb="FF1155CC"/>
        <sz val="12.0"/>
        <u/>
      </rPr>
      <t>TKHDVMPLDTNXL_09.jpg</t>
    </r>
  </si>
  <si>
    <r>
      <rPr>
        <rFont val="Times New Roman"/>
        <color rgb="FF1155CC"/>
        <sz val="12.0"/>
        <u/>
      </rPr>
      <t>TKHDVMPLDTNXL_10.jpg</t>
    </r>
  </si>
  <si>
    <r>
      <rPr>
        <rFont val="Times New Roman"/>
        <color rgb="FF1155CC"/>
        <sz val="12.0"/>
        <u/>
      </rPr>
      <t>TKHDVMPLDTNXL_11.jpg</t>
    </r>
  </si>
  <si>
    <r>
      <rPr>
        <rFont val="Times New Roman"/>
        <color rgb="FF1155CC"/>
        <sz val="12.0"/>
        <u/>
      </rPr>
      <t>TKHDVMPLDTNXL_12.jpg</t>
    </r>
  </si>
  <si>
    <t>Phân công xử lý câu hỏi, vướng mắc</t>
  </si>
  <si>
    <t>Cung cấp công cụ cho CB Nghiệp vụ gán/chuyển yêu cầu hỏi đáp đến Người hỗ trợ/Tổ chức tư vấn phù hợp.</t>
  </si>
  <si>
    <t>Kiểm tra hiển thị màn hình phân công</t>
  </si>
  <si>
    <t>1. Cán  bộ TW,BN,ĐP đăng nhập thành công
2. Tồn tại bản ghi có trạng thái Tiếp nhận</t>
  </si>
  <si>
    <t>1. Chọn "Hỏi đáp pháp lý" 
2. Chọn bản ghi có trạng thái Tiếp nhận
3. Nhấn "Phân công"
4. Kiểm tra popup phân công được hiển thị</t>
  </si>
  <si>
    <t>Popup/màn hình phân công hiển thị đúng với thiết kế</t>
  </si>
  <si>
    <t>Popup/màn hình phân công không giống với thiết kế</t>
  </si>
  <si>
    <r>
      <rPr>
        <rFont val="Times New Roman"/>
        <color rgb="FF1155CC"/>
        <sz val="12.0"/>
        <u/>
      </rPr>
      <t>PCXLCHVM_02.jpg</t>
    </r>
  </si>
  <si>
    <t xml:space="preserve">Phân công xử lý thành công </t>
  </si>
  <si>
    <t>1. Cán  bộ TW,BN,ĐP đăng nhập thành công
2. Tồn tại bản ghi có trạng thái Đang xử lý</t>
  </si>
  <si>
    <t>1. Chọn "Hỏi đáp pháp lý" 
2. Chọn bản ghi có trạng thái Đang xử lý
3. Nhấn "Phân công"
4. Chọn cán bộ, nhập ghi chú và nhấn Phân công</t>
  </si>
  <si>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</si>
  <si>
    <r>
      <rPr>
        <rFont val="Times New Roman"/>
        <color rgb="FF1155CC"/>
        <sz val="12.0"/>
        <u/>
      </rPr>
      <t>PCXLCHVM_01.webm</t>
    </r>
  </si>
  <si>
    <t>Phân công lại (re-assign) — thay đổi người xử lý</t>
  </si>
  <si>
    <t>- User CB_NV đã đăng nhập.
 - HD-031 ở DA_PHAN_CONG, `nguoi_xu_ly = CB_A`.</t>
  </si>
  <si>
    <t>1. Mở chi tiết HD-031.
 2. Nhấn [Phân công].
 3. Chọn CB_B thay CB_A.
 4. Click [Xác nhận].</t>
  </si>
  <si>
    <t>- Cập nhật người xử lý
 - Gửi thông báo cho CB_B.
 - AUDIT_LOG ghi thay đổi (CB_A → CB_B).</t>
  </si>
  <si>
    <r>
      <rPr>
        <rFont val="Times New Roman"/>
        <color rgb="FF1155CC"/>
        <sz val="12.0"/>
        <u/>
      </rPr>
      <t>PCXLCHVM_03.jpg</t>
    </r>
  </si>
  <si>
    <t>Phân công cho CB có workload quá tải — cảnh báo nhưng vẫn cho phép</t>
  </si>
  <si>
    <t>- User CB_NV đã đăng nhập.
 - HD-032 ở TIEP_NHAN.
 - CB_C đang xử lý 15 yêu cầu (vượt ngưỡng).</t>
  </si>
  <si>
    <t>1. Mở phân công HD-032.
 2. Danh sách gợi ý hiện CB_C với nhãn cảnh báo đỏ.
 3. Chọn CB_C.
 4. Click [Xác nhận].</t>
  </si>
  <si>
    <t>- **WRN-PC-01**: "CB {CB_C} đang xử lý {15} yêu cầu. Xác nhận phân công?".
 - Nhãn cảnh báo đỏ hiển thị trên dòng CB_C.
 - Cho phép lưu sau khi xác nhận (WARNING, KHÔNG block).</t>
  </si>
  <si>
    <r>
      <rPr>
        <rFont val="Times New Roman"/>
        <color rgb="FF1155CC"/>
        <sz val="12.0"/>
        <u/>
      </rPr>
      <t>PCXLCHVM_04.jpg</t>
    </r>
  </si>
  <si>
    <t>Phân công khi trạng thái không hợp lệ (HOAN_THANH) → lỗi</t>
  </si>
  <si>
    <t>- User CB_NV đã đăng nhập.
 - HD-034 ở HOAN_THANH.</t>
  </si>
  <si>
    <t>1. Thử nhấn [Phân công] cho HD-034.</t>
  </si>
  <si>
    <t>- Nút [Phân công] bị ẩn cho HOAN_THANH.
 - Nếu API: **ERR-PC-02**: "Hỏi đáp ở trạng thái 'HOAN_THANH' không thể phân công".</t>
  </si>
  <si>
    <r>
      <rPr>
        <rFont val="Times New Roman"/>
        <color rgb="FF1155CC"/>
        <sz val="12.0"/>
        <u/>
      </rPr>
      <t>PCXLCHVM_05.jpg</t>
    </r>
  </si>
  <si>
    <t>Phân công mà không chọn người xử lý → bị chặn</t>
  </si>
  <si>
    <t>- User CB_NV đã đăng nhập.
 - HD-035 ở TIEP_NHAN.</t>
  </si>
  <si>
    <t>1. Mở phân công HD-035.
 2. Không chọn người xử lý.
 3. Click [Xác nhận].</t>
  </si>
  <si>
    <t>- Hệ thống yêu cầu chọn người xử lý.
 - Nút [Xác nhận] bị disabled hoặc báo lỗi validation.</t>
  </si>
  <si>
    <r>
      <rPr>
        <rFont val="Times New Roman"/>
        <color rgb="FF1155CC"/>
        <sz val="12.0"/>
        <u/>
      </rPr>
      <t>PCXLCHVM_06.jpg</t>
    </r>
  </si>
  <si>
    <t>CB NV BN phân công — danh sách gợi ý chỉ hiện CB cùng đơn vị</t>
  </si>
  <si>
    <t>- User CB_NV_BN đã đăng nhập.
 - HD-037 ở TIEP_NHAN, thuộc đơn vị BN.</t>
  </si>
  <si>
    <t>1. Mở phân công HD-037.
 2. Kiểm tra danh sách CB gợi ý.</t>
  </si>
  <si>
    <t>- Chỉ hiện CB thuộc cùng đơn vị BN (Row-Level Security).
 - KHÔNG hiện CB TW, BN khác, ĐP.</t>
  </si>
  <si>
    <r>
      <rPr>
        <rFont val="Times New Roman"/>
        <color rgb="FF1155CC"/>
        <sz val="12.0"/>
        <u/>
      </rPr>
      <t>PCXLCHVM_07.jpg</t>
    </r>
  </si>
  <si>
    <t>Phân công + đặt thời hạn tùy chỉnh (override SLA default)</t>
  </si>
  <si>
    <t>- User CB_NV đã đăng nhập.
 - HD-038 ở TIEP_NHAN.
 - SLA mặc định = 5 ngày.</t>
  </si>
  <si>
    <t>1. Mở phân công HD-038.
 2. Ô thời hạn hiện mặc định theo SLA.
 3. Sửa thời hạn = 10 ngày.
 4. Click [Xác nhận].</t>
  </si>
  <si>
    <t>- Phân công thành công với thời hạn = 10 ngày (override SLA default).
 - Deadline tính theo giá trị tùy chỉnh.</t>
  </si>
  <si>
    <r>
      <rPr>
        <rFont val="Times New Roman"/>
        <color rgb="FF1155CC"/>
        <sz val="12.0"/>
        <u/>
      </rPr>
      <t>PCXLCHVM_08.jpg</t>
    </r>
  </si>
  <si>
    <t>Phản hồi câu hỏi, vướng mắc</t>
  </si>
  <si>
    <t>Cung cấp công cụ cho Người hỗ trợ/CB Nghiệp vụ soạn thảo và gửi nội dung phản hồi chính thức cho người gửi.</t>
  </si>
  <si>
    <t>Kiểm tra hiển thị màn hình/popup phản hồi</t>
  </si>
  <si>
    <t xml:space="preserve">- User CB_NV đã đăng nhập.
- Tồn tại bản ghi tài khoản đăng nhập được phân công xử lý </t>
  </si>
  <si>
    <t>1. Chọn "Hỏi đáp pháp lý" 
2. Chọn bản ghi có trạng thái Đang xử lý hoặc đã tiếp nhận
3. Nhấn trực tiếp vào bản ghi
4. Kiểm tra popup/màn hình phản hồi được hiển thị</t>
  </si>
  <si>
    <t>- Màn hình/popup phản hồi hiển thị các trường thông tin giống với thiết kế</t>
  </si>
  <si>
    <t>- Hệ thống hiển thị thiếu trường thông tin "Tệp đính kèm phản hồi"
- Nội dung phản hồi tối đa 5000 ký tự nhưng hệ thống cho phép tối đa 20000 ký tự</t>
  </si>
  <si>
    <r>
      <rPr>
        <rFont val="Times New Roman"/>
        <color rgb="FF1155CC"/>
        <sz val="12.0"/>
        <u/>
      </rPr>
      <t>PHCHVM_02.jpg</t>
    </r>
  </si>
  <si>
    <t>Soạn phản hồi và lưu nháp thành công</t>
  </si>
  <si>
    <t>1. Chọn "Hỏi đáp pháp lý" 
2. Chọn bản ghi có trạng thái Đang xử lý
3. Nhấn trực tiếp vào bản ghi
4. Nhập thông tin phản hồi hợp lệ và nhấn Lưu nháp</t>
  </si>
  <si>
    <t>Hệ thống lưu hoặc cập nhật nội dung phản hồi hiện tại và giữ nguyên trạng thái hỏi đáp là "Đang xử lý". Không kích hoạt chuyển trạng thái.</t>
  </si>
  <si>
    <r>
      <rPr>
        <rFont val="Times New Roman"/>
        <color rgb="FF1155CC"/>
        <sz val="12.0"/>
        <u/>
      </rPr>
      <t>PHCHVM_01.webm</t>
    </r>
  </si>
  <si>
    <t>Đính kèm tài liệu VBPL khi phản hồi</t>
  </si>
  <si>
    <t>1. Chọn "Hỏi đáp pháp lý" 
2. Chọn bản ghi có trạng thái Đang xử lý
3. Nhấn trực tiếp vào bản ghi
4. Đính kèm tài liệu hợp lệ và nhấn Lưu nháp</t>
  </si>
  <si>
    <t>- File hiển thị trong danh sách đính kèm.
- Lưu nháp thành công.</t>
  </si>
  <si>
    <t>Hệ thống hiển thị thiếu trường thông tin "Tệp đính kèm phản hồi"</t>
  </si>
  <si>
    <r>
      <rPr>
        <rFont val="Times New Roman"/>
        <color rgb="FF1155CC"/>
        <sz val="12.0"/>
        <u/>
      </rPr>
      <t>PHCHVM_03.webm</t>
    </r>
  </si>
  <si>
    <t>Gửi phản hồi — nội dung trống → lỗi</t>
  </si>
  <si>
    <t>1. Chọn "Hỏi đáp pháp lý" -&gt; Chọn bản ghi có trạng thái Đang xử lý
 2. Bỏ trống nội dung.
 3. Tick "Đã trả lời".
 4. Click [Gửi].</t>
  </si>
  <si>
    <t>- Lỗi **ERR-PH-01**: "Nội dung phản hồi là bắt buộc".
 - KHÔNG chuyển trạng thái.</t>
  </si>
  <si>
    <r>
      <rPr>
        <rFont val="Times New Roman"/>
        <color rgb="FF1155CC"/>
        <sz val="12.0"/>
        <u/>
      </rPr>
      <t>PHCHVM_04.jpg</t>
    </r>
  </si>
  <si>
    <t>Phản hồi khi trạng thái không hợp lệ (DA_DUYET) → lỗi</t>
  </si>
  <si>
    <t>- User CB_NV đã đăng nhập.
- Tồn tại bản ghi tcó trạng thái Đã duyệt</t>
  </si>
  <si>
    <t>1. Chọn "Hỏi đáp pháp lý" -&gt; Chọn bản ghi có trạng thái Đã duyệt
 2. Thử soạn phản hồi.</t>
  </si>
  <si>
    <t xml:space="preserve">- Khu vực soạn phản hồi bị disabled/ẩn.
 </t>
  </si>
  <si>
    <r>
      <rPr>
        <rFont val="Times New Roman"/>
        <color rgb="FF1155CC"/>
        <sz val="12.0"/>
        <u/>
      </rPr>
      <t>PHCHVM_05.jpg</t>
    </r>
  </si>
  <si>
    <t>Phản hồi nội dung vượt 5000 ký tự → lỗi</t>
  </si>
  <si>
    <t>1. Soạn phản hồi 5001 ký tự.
 2. Click [Gửi].</t>
  </si>
  <si>
    <t>- Lỗi: Nội dung phản hồi tối đa 5000 ký tự (tương tự ERR-HD-02).</t>
  </si>
  <si>
    <t>Hệ thống cho phép nhập tối đa 20000 ký tự</t>
  </si>
  <si>
    <r>
      <rPr>
        <rFont val="Times New Roman"/>
        <color rgb="FF1155CC"/>
        <sz val="12.0"/>
        <u/>
      </rPr>
      <t>PHCHVM_06.jpg</t>
    </r>
  </si>
  <si>
    <t>Người soạn KHÔNG phải người được phân công → cảnh báo</t>
  </si>
  <si>
    <t xml:space="preserve">- User CB_NV đã đăng nhập.
- Tồn tại bản ghi tài khoản đăng nhập không được phân công xử lý </t>
  </si>
  <si>
    <t>1. Chọn "Hỏi đáp pháp lý" -&gt; Chọn bản ghi không được phân công xử lý
 2. Soạn phản hồi và nhấn Gửi</t>
  </si>
  <si>
    <t>- **WRN-PH-01**: "Bạn không phải người được phân công. Vẫn muốn phản hồi?".
 - Cho phép tiếp tục nếu xác nhận (WARNING, không block).</t>
  </si>
  <si>
    <r>
      <rPr>
        <rFont val="Times New Roman"/>
        <color rgb="FF1155CC"/>
        <sz val="12.0"/>
        <u/>
      </rPr>
      <t>PHCHVM_07.jpg</t>
    </r>
  </si>
  <si>
    <t>Gửi phản hồi → thông báo gửi đúng CB PD cùng cấp</t>
  </si>
  <si>
    <t>- User CB_NV_BN đã đăng nhập (cấp BN).
 - HD-049 ở DANG_XU_LY.</t>
  </si>
  <si>
    <t>1. Soạn phản hồi hoàn chỉnh.
 2. Nhấn Gửi.
 3. Kiểm tra CB PD nhận thông báo.</t>
  </si>
  <si>
    <t xml:space="preserve">- Lưu phản hồi hiện tại.
- Tự động chuyển trạng thái hỏi đáp: "Đang xử lý" → "Chờ phê duyệt".
- Gửi thông báo trong phần mềm đến Cán bộ phê duyệt cùng cấp đơn vị.
- Lưu vết thao tác theo quy định.
</t>
  </si>
  <si>
    <r>
      <rPr>
        <rFont val="Times New Roman"/>
        <color rgb="FF1155CC"/>
        <sz val="12.0"/>
        <u/>
      </rPr>
      <t>PHCHVM_08.jpg</t>
    </r>
  </si>
  <si>
    <t>Phản hồi chính xác 5000 ký tự → boundary accept</t>
  </si>
  <si>
    <t>- User CB_NV đã đăng nhập.
 - HD-050 ở DANG_XU_LY.</t>
  </si>
  <si>
    <t>1. Soạn phản hồi đúng 5000 ký tự.
 2. Click [Gửi].</t>
  </si>
  <si>
    <t>Xác nhận thành công, hệ thống hiển thị "Đã gửi phản hồi đi phê duyệt".</t>
  </si>
  <si>
    <t>Hệ thống hiển thị đồng thời 2 thông báo "Đã lưu nháp phản hồi" và "Đã gửi phản hồi đi phê duyệt". khi nhấn Gửi</t>
  </si>
  <si>
    <r>
      <rPr>
        <rFont val="Times New Roman"/>
        <color rgb="FF1155CC"/>
        <sz val="12.0"/>
        <u/>
      </rPr>
      <t>PHCHVM_09.jpg</t>
    </r>
  </si>
  <si>
    <t>Chọn mẫu → pre-fill → chọn mẫu khác → confirm ghi đè</t>
  </si>
  <si>
    <t>- User CB_NV đã đăng nhập.
 - HD-112 ở DANG_XU_LY.
 - Đang soạn nội dung (có text).</t>
  </si>
  <si>
    <t>1. Chọn mẫu M1 → nội dung pre-fill.
 2. Sửa một phần nội dung.
 3. Chọn mẫu M2 (khác M1).</t>
  </si>
  <si>
    <t>- Confirm dialog: "Nội dung hiện tại sẽ bị thay thế. Xác nhận?".
 - Nếu confirm → ghi đè bằng M2.
 - Nếu hủy → giữ nguyên nội dung đang soạn.</t>
  </si>
  <si>
    <t>Hệ thống không cập nhật lại Nội dung phản hồi khi người dùng thay đổi mẫu</t>
  </si>
  <si>
    <r>
      <rPr>
        <rFont val="Times New Roman"/>
        <color rgb="FF1155CC"/>
        <sz val="12.0"/>
        <u/>
      </rPr>
      <t>PHCHVM_10.webm</t>
    </r>
  </si>
  <si>
    <t>Lĩnh vực không có MAU_PHAN_HOI → dropdown mẫu trống</t>
  </si>
  <si>
    <t>- User CB_NV đã đăng nhập.
 - HD-113 ở DANG_XU_LY, lĩnh vực "Thuế" (chưa có mẫu).</t>
  </si>
  <si>
    <t>1. Mở soạn phản hồi HD-113.
 2. Kiểm tra dropdown mẫu phản hồi.</t>
  </si>
  <si>
    <t>- Dropdown trống hoặc disabled: "Chưa có mẫu cho lĩnh vực này".
 - CB NV vẫn có thể soạn thủ công.</t>
  </si>
  <si>
    <r>
      <rPr>
        <rFont val="Times New Roman"/>
        <color rgb="FF1155CC"/>
        <sz val="12.0"/>
        <u/>
      </rPr>
      <t>PHCHVM_11.jpg</t>
    </r>
  </si>
  <si>
    <t>Phản hồi khi CB PD đang duyệt — form phải bị KHÓA ở CHO_PHE_DUYET</t>
  </si>
  <si>
    <t>- CB_NV_A đã đăng nhập.
 - HD-114 ở CHO_PHE_DUYET (A đã gửi).</t>
  </si>
  <si>
    <t>1. A quay lại chi tiết HD-114 (CHO_PHE_DUYET).
 2. Kiểm tra form soạn phản hồi.</t>
  </si>
  <si>
    <t>- Form soạn phản hồi BỊ KHÓA khi trạng thái = CHO_PHE_DUYET.
 - CB NV chỉ thao tác được ở DA_PHAN_CONG / DANG_XU_LY.
 - Nếu KHÔNG khóa → lỗ hổng: phản hồi mới ghi đè bản đang chờ duyệt.</t>
  </si>
  <si>
    <r>
      <rPr>
        <rFont val="Times New Roman"/>
        <color rgb="FF1155CC"/>
        <sz val="12.0"/>
        <u/>
      </rPr>
      <t>PHCHVM_12.jpg</t>
    </r>
  </si>
  <si>
    <t>Quản lý công khai phản hồi câu hỏi, vướng mắc</t>
  </si>
  <si>
    <t>Quản lý quy trình kiểm duyệt và xuất bản công khai các câu trả lời.</t>
  </si>
  <si>
    <t>Phê duyệt phản hồi thành công — CB PD cùng cấp</t>
  </si>
  <si>
    <t>- User **CB_PD_TW** đã đăng nhập.
 - HD-050 ở CHO_PHE_DUYET, do CB_NV_TW tạo/xử lý.</t>
  </si>
  <si>
    <t>1. Mở tab "Chờ duyệt".
 2. Click HD-050.
 3. Xem nội dung phản hồi.
 4. Nhấn [Phê duyệt].</t>
  </si>
  <si>
    <t>- Trạng thái: CHO_PHE_DUYET → **DA_DUYET**.
 - AUDIT_LOG ghi APPROVE.
 - Thông báo gửi cho CB_NV_TW (người soạn).
 - BR-AUTH-05: CB PD TW duyệt cho bản ghi TW → hợp lệ.</t>
  </si>
  <si>
    <t>Thông báo không được gửi cho cbnv_tw</t>
  </si>
  <si>
    <r>
      <rPr>
        <rFont val="Times New Roman"/>
        <color rgb="FF1155CC"/>
        <sz val="12.0"/>
        <u/>
      </rPr>
      <t>QLCKPHCHVM_02.webm</t>
    </r>
  </si>
  <si>
    <t>Phê duyệt hàng loạt (Batch Approve) thành công</t>
  </si>
  <si>
    <t>- User CB_PD đã đăng nhập.
 - 5 bản ghi ở CHO_PHE_DUYET cùng cấp.</t>
  </si>
  <si>
    <t>1. Mở tab "Chờ duyệt".
 2. Tick chọn 5 bản ghi.
 3. Click [Phê duyệt hàng loạt].</t>
  </si>
  <si>
    <t>- Xử lý per-record.
 - Tất cả 5 chuyển CHO_PHE_DUYET → DA_DUYET.
 - Kết quả: "5 duyệt thành công, 0 lỗi".
 - AUDIT_LOG ghi 5 entries.</t>
  </si>
  <si>
    <t>Hệ thống không ghi lại lịch sử phê duyệt của các bản ghi</t>
  </si>
  <si>
    <r>
      <rPr>
        <rFont val="Times New Roman"/>
        <color rgb="FF1155CC"/>
        <sz val="12.0"/>
        <u/>
      </rPr>
      <t>QLCKPHCHVM_01.webm</t>
    </r>
  </si>
  <si>
    <t>Từ chối phê duyệt kèm lý do hợp lệ (≥10 ký tự)</t>
  </si>
  <si>
    <t>- User CB_PD đã đăng nhập.
 - HD-051 ở CHO_PHE_DUYET.</t>
  </si>
  <si>
    <t>1. Mở chi tiết HD-051.
 2. Nhấn [Từ chối].
 3. Nhập lý do từ chối.
 4. Click [Xác nhận].</t>
  </si>
  <si>
    <t>- Trạng thái: CHO_PHE_DUYET → DANG_XU_LY (trả lại CB NV sửa).
 - Lý do từ chối hiển thị cho CB NV.
 - Gửi thông báo in-app + email cho CB NV.
 - AUDIT_LOG ghi REJECT + lý do.</t>
  </si>
  <si>
    <r>
      <rPr>
        <rFont val="Times New Roman"/>
        <color rgb="FF1155CC"/>
        <sz val="12.0"/>
        <u/>
      </rPr>
      <t>QLCKPHCHVM_03.jpg</t>
    </r>
  </si>
  <si>
    <t>Từ chối — lý do trống → lỗi</t>
  </si>
  <si>
    <t>- User CB_PD đã đăng nhập.
 - HD-052 ở CHO_PHE_DUYET.</t>
  </si>
  <si>
    <t>1. Nhấn [Từ chối].
 2. Bỏ trống lý do.
 3. Click [Xác nhận].</t>
  </si>
  <si>
    <t>- Lỗi **ERR-PD-02**: "Vui lòng nhập lý do từ chối".
 - KHÔNG chuyển trạng thái.</t>
  </si>
  <si>
    <r>
      <rPr>
        <rFont val="Times New Roman"/>
        <color rgb="FF1155CC"/>
        <sz val="12.0"/>
        <u/>
      </rPr>
      <t>QLCKPHCHVM_04.jpg</t>
    </r>
  </si>
  <si>
    <t>Từ chối — lý do &lt; 10 ký tự → lỗi</t>
  </si>
  <si>
    <t>- User CB_PD đã đăng nhập.
 - HD-053 ở CHO_PHE_DUYET.</t>
  </si>
  <si>
    <t>1. Nhấn [Từ chối].
 2. Nhập "Thiếu" (5 ký tự).
 3. Click [Xác nhận].</t>
  </si>
  <si>
    <t>- Lỗi **ERR-PD-02** (min 10 ký tự theo BR-FLOW-04).
 - KHÔNG chuyển trạng thái.</t>
  </si>
  <si>
    <r>
      <rPr>
        <rFont val="Times New Roman"/>
        <color rgb="FF1155CC"/>
        <sz val="12.0"/>
        <u/>
      </rPr>
      <t>QLCKPHCHVM_05.jpg</t>
    </r>
  </si>
  <si>
    <t>Từ chối — CB PD phê duyệt xuyên cấp → lỗi</t>
  </si>
  <si>
    <t>- User **CB_PD_BN** đã đăng nhập.
 - HD-054 ở CHO_PHE_DUYET, thuộc đơn vị TW (hoặc ĐP khác cấp).</t>
  </si>
  <si>
    <t>1. Thử [Từ chối] hoặc [Phê duyệt] HD-054.</t>
  </si>
  <si>
    <t xml:space="preserve">- Bản ghi KHÔNG hiển thị trong danh sách CB_PD_BN.
</t>
  </si>
  <si>
    <r>
      <rPr>
        <rFont val="Times New Roman"/>
        <color rgb="FF1155CC"/>
        <sz val="12.0"/>
        <u/>
      </rPr>
      <t>QLCKPHCHVM_06.jpg</t>
    </r>
  </si>
  <si>
    <t>Phê duyệt bản ghi KHÔNG ở CHO_PHE_DUYET → lỗi</t>
  </si>
  <si>
    <t>- User CB_PD đã đăng nhập.
 - HD-055 ở DA_DUYET (đã duyệt rồi).</t>
  </si>
  <si>
    <t>1. Thử nhấn [Phê duyệt] HD-055.</t>
  </si>
  <si>
    <t xml:space="preserve">- Nút [Phê duyệt] bị ẩn cho DA_DUYET.
</t>
  </si>
  <si>
    <r>
      <rPr>
        <rFont val="Times New Roman"/>
        <color rgb="FF1155CC"/>
        <sz val="12.0"/>
        <u/>
      </rPr>
      <t>QLCKPHCHVM_07.jpg</t>
    </r>
  </si>
  <si>
    <t>Đóng hồ sơ thủ công OK — DA_DUYET → HOAN_THANH</t>
  </si>
  <si>
    <t>- User CB NV cùng đơn vị HOẶC CB PD cùng cấp đã đăng nhập.
 - HD-059 ở DA_DUYET.</t>
  </si>
  <si>
    <t>1. Mở chi tiết HD-059.
 2. Nhấn [Đóng hồ sơ].
 3. Confirm dialog: "Đóng hồ sơ? Hồ sơ sẽ không thể chỉnh sửa."
 4. Click [Xác nhận].</t>
  </si>
  <si>
    <t xml:space="preserve">- Trạng thái: DA_DUYET → **HOAN_THANH** 
 - Bản ghi bị khóa vĩnh viễn 
 - AUDIT_LOG ghi CLOSE.
 </t>
  </si>
  <si>
    <r>
      <rPr>
        <rFont val="Times New Roman"/>
        <color rgb="FF1155CC"/>
        <sz val="12.0"/>
        <u/>
      </rPr>
      <t>QLCKPHCHVM_08.jpg</t>
    </r>
  </si>
  <si>
    <t>Đóng hồ sơ từ CONG_KHAI → HOAN_THANH (skip DA_DUYET)</t>
  </si>
  <si>
    <t>- User CB NV / CB PD cùng cấp đã đăng nhập.
 - HD-062 ở CONG_KHAI.</t>
  </si>
  <si>
    <t>1. Mở chi tiết HD-062.
 2. Nhấn [Đóng hồ sơ].
 3. Xác nhận.</t>
  </si>
  <si>
    <t>- Trạng thái: CONG_KHAI → **HOAN_THANH** (luồng kết thúc từ CONG_KHAI).
 - Bản ghi bị khóa (BR-FLOW-03).
 - AUDIT_LOG ghi CLOSE.</t>
  </si>
  <si>
    <r>
      <rPr>
        <rFont val="Times New Roman"/>
        <color rgb="FF1155CC"/>
        <sz val="12.0"/>
        <u/>
      </rPr>
      <t>QLCKPHCHVM_09.jpg</t>
    </r>
  </si>
  <si>
    <t>CB PD xem nội dung phản hồi — Read-only (KHÔNG có nút sửa trên UI)</t>
  </si>
  <si>
    <t>- User CB_PD đã đăng nhập.
 - HD-121 ở CHO_PHE_DUYET.</t>
  </si>
  <si>
    <t>1. Mở chi tiết HD-121.
 2. Kiểm tra section phản hồi.</t>
  </si>
  <si>
    <t xml:space="preserve">- Nội dung phản hồi hiển thị read-only (KHÔNG có Rich-text editor).
 - CB_PD KHÔNG có form sửa trực tiếp PHAN_HOI </t>
  </si>
  <si>
    <r>
      <rPr>
        <rFont val="Times New Roman"/>
        <color rgb="FF1155CC"/>
        <sz val="12.0"/>
        <u/>
      </rPr>
      <t>QLCKPHCHVM_10.jpg</t>
    </r>
  </si>
  <si>
    <t>Confirm dialog: Phê duyệt đơn lẻ phải hiện confirm</t>
  </si>
  <si>
    <t>- User CB_PD đã đăng nhập.
 - HD-122 ở CHO_PHE_DUYET.</t>
  </si>
  <si>
    <t>1. Nhấn [Phê duyệt].
 2. Kiểm tra confirm dialog.</t>
  </si>
  <si>
    <t>- Confirm dialog BẮT BUỘC hiện trước khi phê duyệt (SCR-II-02 C12).
 - Nội dung: "Xác nhận phê duyệt?".
 - [Xác nhận] → thực hiện. [Hủy] → quay lại.</t>
  </si>
  <si>
    <r>
      <rPr>
        <rFont val="Times New Roman"/>
        <color rgb="FF1155CC"/>
        <sz val="12.0"/>
        <u/>
      </rPr>
      <t>QLCKPHCHVM_11.jpg</t>
    </r>
  </si>
  <si>
    <t>II.3</t>
  </si>
  <si>
    <t>Quản lý danh sách câu hỏi, vướng mắc đã xử lý</t>
  </si>
  <si>
    <t>Quản lý câu hỏi, vướng mắc đã xử lý</t>
  </si>
  <si>
    <t>Quản lý các trường dữ liệu chi tiết của từng yêu cầu đã hoàn thành xử lý.</t>
  </si>
  <si>
    <t>1. Chọn "Hỏi đáp pháp lý" -&gt; Mở tab "Đang xử lý".
 2. Kiểm tra danh sách.</t>
  </si>
  <si>
    <t>- Chỉ hiển thị `trang_thai IN (TIEP_NHAN, DA_PHAN_CONG, DANG_XU_LY)`.
 - KHÔNG hiển thị MOI, DA_DUYET, CONG_KHAI, HOAN_THANH.
 - Không có nút [Thêm mới] / [Xóa].</t>
  </si>
  <si>
    <t>Hệ thống hiển thị nút "Xóa"</t>
  </si>
  <si>
    <r>
      <rPr>
        <rFont val="Times New Roman"/>
        <color rgb="FF1155CC"/>
        <sz val="12.0"/>
        <u/>
      </rPr>
      <t>QLCHVMDXL_01.jpg</t>
    </r>
  </si>
  <si>
    <t>1. Mở chi tiết
 2. Nhập thời hạn mới 
 3. Nhập lý do thay đổi.
 4. Click [Lưu].</t>
  </si>
  <si>
    <t>- Cập nhật thành công, thời hạn mới 
 - AUDIT_LOG ghi UPDATE (thời hạn cũ → mới + lý do).
 - Thông báo gửi cho người được phân công.</t>
  </si>
  <si>
    <r>
      <rPr>
        <rFont val="Times New Roman"/>
        <color rgb="FF1155CC"/>
        <sz val="12.0"/>
        <u/>
      </rPr>
      <t>QLCHVMDXL_02.jpg</t>
    </r>
  </si>
  <si>
    <t>1. Mở chi tiết bản ghi
 2. Mở Lịch sử xử lý.</t>
  </si>
  <si>
    <t>- Hiển thị đầy đủ dòng thời gian các thao tác đã thực hiện trên hỏi đáp.</t>
  </si>
  <si>
    <r>
      <rPr>
        <rFont val="Times New Roman"/>
        <color rgb="FF1155CC"/>
        <sz val="12.0"/>
        <u/>
      </rPr>
      <t>QLCHVMDXL_03.jpg</t>
    </r>
  </si>
  <si>
    <t>- Hệ thống yêu cầu nhập lý do thay đổi.
 - Không cho phép lưu khi lý do trống.</t>
  </si>
  <si>
    <r>
      <rPr>
        <rFont val="Times New Roman"/>
        <color rgb="FF1155CC"/>
        <sz val="12.0"/>
        <u/>
      </rPr>
      <t>QLCHVMDXL_04.jpg</t>
    </r>
  </si>
  <si>
    <t>- User CB_NV_DP (Sở TP HN) đã đăng nhập.
 - HD-023 thuộc đơn vị TW ở DANG_XU_LY.</t>
  </si>
  <si>
    <t>1. Thử truy cập chi tiết HD-023 (đơn vị TW).</t>
  </si>
  <si>
    <t>- HD-023 KHÔNG xuất hiện trong danh sách tab "Đang xử lý" của CB_NV_DP.
 - Row-Level Security (BR-AUTH-08) chặn ở tầng data.</t>
  </si>
  <si>
    <r>
      <rPr>
        <rFont val="Times New Roman"/>
        <color rgb="FF1155CC"/>
        <sz val="12.0"/>
        <u/>
      </rPr>
      <t>QLCHVMDXL_05.jpg</t>
    </r>
  </si>
  <si>
    <t>- Không có cột bổ sung Người duyệt, Ngày duyệt</t>
  </si>
  <si>
    <r>
      <rPr>
        <rFont val="Times New Roman"/>
        <color rgb="FF1155CC"/>
        <sz val="12.0"/>
        <u/>
      </rPr>
      <t>QLCHVMDXL_06.jpg</t>
    </r>
  </si>
  <si>
    <t>- User CB_NV đã đăng nhập.
 - HD-024 ở HOAN_THANH.</t>
  </si>
  <si>
    <t>1. Click vào HD-024.
 2. Xem SCR-II-02 (Chi tiết).</t>
  </si>
  <si>
    <r>
      <rPr>
        <rFont val="Times New Roman"/>
        <color rgb="FF1155CC"/>
        <sz val="12.0"/>
        <u/>
      </rPr>
      <t>QLCHVMDXL_07.jpg</t>
    </r>
  </si>
  <si>
    <t>Thử sửa bản ghi HOAN_THANH → bị khóa</t>
  </si>
  <si>
    <t>- User CB_NV đã đăng nhập.
 - HD-025 ở HOAN_THANH.</t>
  </si>
  <si>
    <t>1. Mở chi tiết HD-025.
 2. Thử sửa nội dung.</t>
  </si>
  <si>
    <t>- Nút [Sửa] bị ẩn/disabled.
 - BR-FLOW-03: bản ghi ở HOAN_THANH bị khóa hoàn toàn.</t>
  </si>
  <si>
    <r>
      <rPr>
        <rFont val="Times New Roman"/>
        <color rgb="FF1155CC"/>
        <sz val="12.0"/>
        <u/>
      </rPr>
      <t>QLCHVMDXL_08.jpg</t>
    </r>
  </si>
  <si>
    <r>
      <rPr>
        <rFont val="Times New Roman"/>
        <color rgb="FF1155CC"/>
        <sz val="12.0"/>
        <u/>
      </rPr>
      <t>QLCHVMDXL_09.jpg</t>
    </r>
  </si>
  <si>
    <t>1. Mở chi tiết bản ghi và cập nhật thời hạn
 3. Click [Lưu].</t>
  </si>
  <si>
    <t>- Hệ thống không cho phép chọn hạn mới &lt; ngày hiện tại hoặc chặn: "Thời hạn phải lớn hơn ngày hiện tại".
- Nếu chấp nhận: bản ghi lập tức chuyển badge ĐỎ/ĐEN.</t>
  </si>
  <si>
    <r>
      <rPr>
        <rFont val="Times New Roman"/>
        <color rgb="FF1155CC"/>
        <sz val="12.0"/>
        <u/>
      </rPr>
      <t>QLCHVMDXL_10.jpg</t>
    </r>
  </si>
  <si>
    <t>Tìm kiếm thông tin câu hỏi, vướng mắc đã xử lý</t>
  </si>
  <si>
    <t>Tìm kiếm trong kho dữ liệu các câu hỏi và câu trả lời đã được xử lý xong.</t>
  </si>
  <si>
    <r>
      <rPr>
        <rFont val="Times New Roman"/>
        <color rgb="FF1155CC"/>
        <sz val="12.0"/>
        <u/>
      </rPr>
      <t>TKCHVMDXL_01.jpg</t>
    </r>
  </si>
  <si>
    <r>
      <rPr>
        <rFont val="Times New Roman"/>
        <color rgb="FF1155CC"/>
        <sz val="12.0"/>
        <u/>
      </rPr>
      <t>TKCHVMDXL_02.jpg</t>
    </r>
  </si>
  <si>
    <r>
      <rPr>
        <rFont val="Times New Roman"/>
        <color rgb="FF1155CC"/>
        <sz val="12.0"/>
        <u/>
      </rPr>
      <t>TKCHVMDXL_03.jpg</t>
    </r>
  </si>
  <si>
    <r>
      <rPr>
        <rFont val="Times New Roman"/>
        <color rgb="FF1155CC"/>
        <sz val="12.0"/>
        <u/>
      </rPr>
      <t>TKCHVMDXL_04.jpg</t>
    </r>
  </si>
  <si>
    <r>
      <rPr>
        <rFont val="Times New Roman"/>
        <color rgb="FF1155CC"/>
        <sz val="12.0"/>
        <u/>
      </rPr>
      <t>TKCHVMDXL_05.jpg</t>
    </r>
  </si>
  <si>
    <t>Hệ thống hiển thị toàn bộ bản ghi</t>
  </si>
  <si>
    <r>
      <rPr>
        <rFont val="Times New Roman"/>
        <color rgb="FF1155CC"/>
        <sz val="12.0"/>
        <u/>
      </rPr>
      <t>TKCHVMDXL_06.webm</t>
    </r>
  </si>
  <si>
    <r>
      <rPr>
        <rFont val="Times New Roman"/>
        <color rgb="FF1155CC"/>
        <sz val="12.0"/>
        <u/>
      </rPr>
      <t>TKCHVMDXL_07.jpg</t>
    </r>
  </si>
  <si>
    <r>
      <rPr>
        <rFont val="Times New Roman"/>
        <color rgb="FF1155CC"/>
        <sz val="12.0"/>
        <u/>
      </rPr>
      <t>TKCHVMDXL_08.jpg</t>
    </r>
  </si>
  <si>
    <r>
      <rPr>
        <rFont val="Times New Roman"/>
        <color rgb="FF1155CC"/>
        <sz val="12.0"/>
        <u/>
      </rPr>
      <t>TKCHVMDXL_09.jpg</t>
    </r>
  </si>
  <si>
    <r>
      <rPr>
        <rFont val="Times New Roman"/>
        <color rgb="FF1155CC"/>
        <sz val="12.0"/>
        <u/>
      </rPr>
      <t>TKCHVMDXL_10.jpg</t>
    </r>
  </si>
  <si>
    <t>Tab "Tất cả" hiển thị số lượng bản ghi phù hợp với tiêu chí tìm kiếm nhưng bảng danh sách không hiển thị bản ghi nào</t>
  </si>
  <si>
    <r>
      <rPr>
        <rFont val="Times New Roman"/>
        <color rgb="FF1155CC"/>
        <sz val="12.0"/>
        <u/>
      </rPr>
      <t>TKCHVMDXL_11.webm</t>
    </r>
  </si>
  <si>
    <r>
      <rPr>
        <rFont val="Times New Roman"/>
        <color rgb="FF1155CC"/>
        <sz val="12.0"/>
        <u/>
      </rPr>
      <t>TKCHVMDXL_12.jpg</t>
    </r>
  </si>
  <si>
    <t>III</t>
  </si>
  <si>
    <t>Quản lý thông tin chương trình đào tạo, tập huấn</t>
  </si>
  <si>
    <t>Quản lý chương trình đào tạo, tập huấn</t>
  </si>
  <si>
    <t>Cán  bộ  nghiệp  vụ 
 TW,BN,ĐP</t>
  </si>
  <si>
    <t>Tổng hợp và quản lý danh sách các chương trình đào tạo/tập huấn đã, đang và sẽ diễn ra.</t>
  </si>
  <si>
    <t>Mở màn danh sách</t>
  </si>
  <si>
    <t>Đăng nhập</t>
  </si>
  <si>
    <t>-</t>
  </si>
  <si>
    <t>1.Mở menu Đào tạo&gt;Chương trình đào tạo</t>
  </si>
  <si>
    <t>Hiển thị đầy đủ danh sách, cột: Mã,Tên,Lĩnh vực,Ngân sách,Số khóa,Trạng thái,Hành động</t>
  </si>
  <si>
    <r>
      <rPr>
        <rFont val="Times New Roman"/>
        <color rgb="FF1155CC"/>
        <sz val="12.0"/>
        <u/>
      </rPr>
      <t>TTCTDTTH_02.jpg</t>
    </r>
  </si>
  <si>
    <t>Kiểm tra phân trang</t>
  </si>
  <si>
    <t>Có &gt;20 bản ghi</t>
  </si>
  <si>
    <t>Chuyển trang</t>
  </si>
  <si>
    <t>Hiển thị đúng dữ liệu trang tiếp theo</t>
  </si>
  <si>
    <r>
      <rPr>
        <rFont val="Times New Roman"/>
        <color rgb="FF1155CC"/>
        <sz val="12.0"/>
        <u/>
      </rPr>
      <t>TTCTDTTH_01.jpg</t>
    </r>
  </si>
  <si>
    <t>Theo tên CT</t>
  </si>
  <si>
    <t>Tên hợp lệ</t>
  </si>
  <si>
    <t>Nhập tên và bấm Tìm kiếm</t>
  </si>
  <si>
    <t>Chỉ hiển thị bản ghi phù hợp</t>
  </si>
  <si>
    <r>
      <rPr>
        <rFont val="Times New Roman"/>
        <color rgb="FF1155CC"/>
        <sz val="12.0"/>
        <u/>
      </rPr>
      <t>TTCTDTTH_03.jpg</t>
    </r>
  </si>
  <si>
    <t>Theo mã CT</t>
  </si>
  <si>
    <t>Mã hợp lệ</t>
  </si>
  <si>
    <t>Nhập mã và tìm</t>
  </si>
  <si>
    <t>Trả đúng bản ghi</t>
  </si>
  <si>
    <r>
      <rPr>
        <rFont val="Times New Roman"/>
        <color rgb="FF1155CC"/>
        <sz val="12.0"/>
        <u/>
      </rPr>
      <t>TTCTDTTH_04.jpg</t>
    </r>
  </si>
  <si>
    <t>Không có kết quả</t>
  </si>
  <si>
    <t>abcxyz</t>
  </si>
  <si>
    <t>Nhập từ khóa không tồn tại</t>
  </si>
  <si>
    <t>Hiển thị không có dữ liệu</t>
  </si>
  <si>
    <r>
      <rPr>
        <rFont val="Times New Roman"/>
        <color rgb="FF1155CC"/>
        <sz val="12.0"/>
        <u/>
      </rPr>
      <t>TTCTDTTH_05.jpg</t>
    </r>
  </si>
  <si>
    <t>Theo lĩnh vực</t>
  </si>
  <si>
    <t>Lao động</t>
  </si>
  <si>
    <t>Chọn lĩnh vực&gt;Tìm kiếm</t>
  </si>
  <si>
    <t>Chỉ hiển thị lĩnh vực đã chọn</t>
  </si>
  <si>
    <r>
      <rPr>
        <rFont val="Times New Roman"/>
        <color rgb="FF1155CC"/>
        <sz val="12.0"/>
        <u/>
      </rPr>
      <t>TTCTDTTH_06.jpg</t>
    </r>
  </si>
  <si>
    <t>Theo khoảng ngày</t>
  </si>
  <si>
    <t>Hợp lệ</t>
  </si>
  <si>
    <t>Chọn từ ngày-đến ngày</t>
  </si>
  <si>
    <t>Hiển thị đúng kết quả</t>
  </si>
  <si>
    <r>
      <rPr>
        <rFont val="Times New Roman"/>
        <color rgb="FF1155CC"/>
        <sz val="12.0"/>
        <u/>
      </rPr>
      <t>TTCTDTTH_07.jpg</t>
    </r>
  </si>
  <si>
    <t>Từ ngày &gt; Đến ngày</t>
  </si>
  <si>
    <t>Chọn sai khoảng ngày</t>
  </si>
  <si>
    <t>Hiển thị cảnh báo hoặc không cho tìm</t>
  </si>
  <si>
    <r>
      <rPr>
        <rFont val="Times New Roman"/>
        <color rgb="FF1155CC"/>
        <sz val="12.0"/>
        <u/>
      </rPr>
      <t>TTCTDTTH_08.jpg</t>
    </r>
  </si>
  <si>
    <t>Reset điều kiện</t>
  </si>
  <si>
    <t>Đã nhập điều kiện</t>
  </si>
  <si>
    <t>Toàn bộ điều kiện được xóa, danh sách mặc định</t>
  </si>
  <si>
    <r>
      <rPr>
        <rFont val="Times New Roman"/>
        <color rgb="FF1155CC"/>
        <sz val="12.0"/>
        <u/>
      </rPr>
      <t>TTCTDTTH_09.jpg</t>
    </r>
  </si>
  <si>
    <t>Refresh</t>
  </si>
  <si>
    <t>Danh sách tải lại</t>
  </si>
  <si>
    <r>
      <rPr>
        <rFont val="Times New Roman"/>
        <color rgb="FF1155CC"/>
        <sz val="12.0"/>
        <u/>
      </rPr>
      <t>TTCTDTTH_10.jpg</t>
    </r>
  </si>
  <si>
    <t>Tất cả</t>
  </si>
  <si>
    <t>Chọn tab Tất cả</t>
  </si>
  <si>
    <t>Hiển thị toàn bộ</t>
  </si>
  <si>
    <r>
      <rPr>
        <rFont val="Times New Roman"/>
        <color rgb="FF1155CC"/>
        <sz val="12.0"/>
        <u/>
      </rPr>
      <t>TTCTDTTH_11.jpg</t>
    </r>
  </si>
  <si>
    <t>Dự thảo</t>
  </si>
  <si>
    <t>Chọn tab Dự thảo</t>
  </si>
  <si>
    <t>Chỉ hiển thị Dự thảo</t>
  </si>
  <si>
    <r>
      <rPr>
        <rFont val="Times New Roman"/>
        <color rgb="FF1155CC"/>
        <sz val="12.0"/>
        <u/>
      </rPr>
      <t>TTCTDTTH_12.jpg</t>
    </r>
  </si>
  <si>
    <t>Chờ duyệt</t>
  </si>
  <si>
    <t>Chọn tab Chờ duyệt</t>
  </si>
  <si>
    <t>Chỉ hiển thị Chờ duyệt</t>
  </si>
  <si>
    <r>
      <rPr>
        <rFont val="Times New Roman"/>
        <color rgb="FF1155CC"/>
        <sz val="12.0"/>
        <u/>
      </rPr>
      <t>TTCTDTTH_13.jpg</t>
    </r>
  </si>
  <si>
    <t>Đã duyệt</t>
  </si>
  <si>
    <t>Chọn tab Đã duyệt</t>
  </si>
  <si>
    <t>Chỉ hiển thị Đã duyệt</t>
  </si>
  <si>
    <r>
      <rPr>
        <rFont val="Times New Roman"/>
        <color rgb="FF1155CC"/>
        <sz val="12.0"/>
        <u/>
      </rPr>
      <t>TTCTDTTH_14.jpg</t>
    </r>
  </si>
  <si>
    <t>Đã hủy</t>
  </si>
  <si>
    <t>Chọn tab Đã hủy</t>
  </si>
  <si>
    <t>Chỉ hiển thị Đã hủy</t>
  </si>
  <si>
    <r>
      <rPr>
        <rFont val="Times New Roman"/>
        <color rgb="FF1155CC"/>
        <sz val="12.0"/>
        <u/>
      </rPr>
      <t>TTCTDTTH_15.jpg</t>
    </r>
  </si>
  <si>
    <t>Đang thực hiện</t>
  </si>
  <si>
    <t>Chọn tab Đang thực hiện</t>
  </si>
  <si>
    <t>Chỉ hiển thị Đang thực hiện</t>
  </si>
  <si>
    <t>Hoàn thành</t>
  </si>
  <si>
    <t>Chọn tab Hoàn thành</t>
  </si>
  <si>
    <t>Chỉ hiển thị Hoàn thành</t>
  </si>
  <si>
    <t>Icon mắt</t>
  </si>
  <si>
    <t>Bấm icon mắt</t>
  </si>
  <si>
    <t>Mở màn chi tiết đúng CT</t>
  </si>
  <si>
    <r>
      <rPr>
        <rFont val="Times New Roman"/>
        <color rgb="FF1155CC"/>
        <sz val="12.0"/>
        <u/>
      </rPr>
      <t>TTCTDTTH_18.jpg</t>
    </r>
  </si>
  <si>
    <t>Icon bút</t>
  </si>
  <si>
    <t>Có quyền sửa</t>
  </si>
  <si>
    <t>Bấm icon sửa</t>
  </si>
  <si>
    <t>Mở màn chỉnh sửa</t>
  </si>
  <si>
    <r>
      <rPr>
        <rFont val="Times New Roman"/>
        <color rgb="FF1155CC"/>
        <sz val="12.0"/>
        <u/>
      </rPr>
      <t>TTCTDTTH_19.jpg</t>
    </r>
  </si>
  <si>
    <t>Nút Thêm mới</t>
  </si>
  <si>
    <t>Có quyền</t>
  </si>
  <si>
    <t>Bấm Thêm mới</t>
  </si>
  <si>
    <t>Đi tới màn tạo mới</t>
  </si>
  <si>
    <r>
      <rPr>
        <rFont val="Times New Roman"/>
        <color rgb="FF1155CC"/>
        <sz val="12.0"/>
        <u/>
      </rPr>
      <t>TTCTDTTH_20.jpg</t>
    </r>
  </si>
  <si>
    <t>Export</t>
  </si>
  <si>
    <t>Bấm Xuất Excel</t>
  </si>
  <si>
    <t>Tải file thành công, dữ liệu đúng</t>
  </si>
  <si>
    <r>
      <rPr>
        <rFont val="Times New Roman"/>
        <color rgb="FF1155CC"/>
        <sz val="12.0"/>
        <u/>
      </rPr>
      <t>TTCTDTTH_21.jpg</t>
    </r>
  </si>
  <si>
    <t>Kiểm tra footer</t>
  </si>
  <si>
    <t>Quan sát footer</t>
  </si>
  <si>
    <t>Hiển thị đúng x-y/tổng kết quả</t>
  </si>
  <si>
    <r>
      <rPr>
        <rFont val="Times New Roman"/>
        <color rgb="FF1155CC"/>
        <sz val="12.0"/>
        <u/>
      </rPr>
      <t>TTCTDTTH_22.jpg</t>
    </r>
  </si>
  <si>
    <t>20/trang</t>
  </si>
  <si>
    <t>Đổi 20-&gt;50</t>
  </si>
  <si>
    <t>Hiển thị đúng số dòng</t>
  </si>
  <si>
    <r>
      <rPr>
        <rFont val="Times New Roman"/>
        <color rgb="FF1155CC"/>
        <sz val="12.0"/>
        <u/>
      </rPr>
      <t>TTCTDTTH_23.jpg</t>
    </r>
  </si>
  <si>
    <t>Tìm kiếm chương trình đào tạo, tập huấn</t>
  </si>
  <si>
    <t>Cán bộ nghiệp vụ TW,BN,ĐP/Cán bộ phê duyệt TW,BN,ĐP/Doanh nghiệp/Người hỗ trợ</t>
  </si>
  <si>
    <t>Cung cấp công cụ tìm kiếm khóa học theo tên, thời gian, lĩnh vực.</t>
  </si>
  <si>
    <t>Kiểm tra placeholder ô tìm kiếm</t>
  </si>
  <si>
    <t>User đã đăng nhập và ở màn danh sách CTĐT</t>
  </si>
  <si>
    <t>Không nhập dữ liệu</t>
  </si>
  <si>
    <t>Quan sát ô tìm kiếm bên trái bộ lọc</t>
  </si>
  <si>
    <t>Hiển thị placeholder 'Tìm theo tên/mã CTĐT' đúng UI, không che khuất nội dung</t>
  </si>
  <si>
    <r>
      <rPr>
        <rFont val="Times New Roman"/>
        <color rgb="FF1155CC"/>
        <sz val="12.0"/>
        <u/>
      </rPr>
      <t>TKCTDTTH_01.jpg</t>
    </r>
  </si>
  <si>
    <t>Tìm kiếm theo tên chương trình</t>
  </si>
  <si>
    <t>Có dữ liệu chương trình trong danh sách</t>
  </si>
  <si>
    <t>Chương trình đào tạo luật lao động năm 2026</t>
  </si>
  <si>
    <t>1. Nhập tên chương trình
 2. Bấm Tìm kiếm</t>
  </si>
  <si>
    <t>Danh sách chỉ hiển thị các chương trình có tên khớp điều kiện tìm kiếm</t>
  </si>
  <si>
    <r>
      <rPr>
        <rFont val="Times New Roman"/>
        <color rgb="FF1155CC"/>
        <sz val="12.0"/>
        <u/>
      </rPr>
      <t>TKCTDTTH_02.jpg</t>
    </r>
  </si>
  <si>
    <t xml:space="preserve">Tìm kiếm theo mã CTĐT </t>
  </si>
  <si>
    <t>Có dữ liệu phù hợp</t>
  </si>
  <si>
    <t>CTDT-BTP-TW-2026-0008</t>
  </si>
  <si>
    <t>1. Nhập mã CTĐT
 2. Bấm Tìm kiếm</t>
  </si>
  <si>
    <t>Hiển thị đúng chương trình có mã tương ứng</t>
  </si>
  <si>
    <r>
      <rPr>
        <rFont val="Times New Roman"/>
        <color rgb="FF1155CC"/>
        <sz val="12.0"/>
        <u/>
      </rPr>
      <t>TKCTDTTH_03.jpg</t>
    </r>
  </si>
  <si>
    <t>Tìm kiếm không phân biệt hoa thường</t>
  </si>
  <si>
    <t>LUẬT LAO ĐỘNG</t>
  </si>
  <si>
    <t>1. Nhập từ khóa khác kiểu chữ
 2. Bấm Tìm kiếm</t>
  </si>
  <si>
    <t>Kết quả vẫn trả về đúng như khi nhập chữ thường</t>
  </si>
  <si>
    <r>
      <rPr>
        <rFont val="Times New Roman"/>
        <color rgb="FF1155CC"/>
        <sz val="12.0"/>
        <u/>
      </rPr>
      <t>TKCTDTTH_04.jpg</t>
    </r>
  </si>
  <si>
    <t>Tìm kiếm có khoảng trắng đầu/cuối</t>
  </si>
  <si>
    <t>luật lao động</t>
  </si>
  <si>
    <t>1. Nhập từ khóa có khoảng trắng
 2. Bấm Tìm kiếm</t>
  </si>
  <si>
    <t>Hệ thống tự trim khoảng trắng và trả về kết quả đúng</t>
  </si>
  <si>
    <r>
      <rPr>
        <rFont val="Times New Roman"/>
        <color rgb="FF1155CC"/>
        <sz val="12.0"/>
        <u/>
      </rPr>
      <t>TKCTDTTH_05.jpg</t>
    </r>
  </si>
  <si>
    <t>Tìm kiếm ký tự không tồn tại</t>
  </si>
  <si>
    <t>Không có dữ liệu khớp</t>
  </si>
  <si>
    <t>abcxyz123</t>
  </si>
  <si>
    <t>Hiển thị trạng thái không có dữ liệu/kết quả; không lỗi giao diện</t>
  </si>
  <si>
    <r>
      <rPr>
        <rFont val="Times New Roman"/>
        <color rgb="FF1155CC"/>
        <sz val="12.0"/>
        <u/>
      </rPr>
      <t>TKCTDTTH_06.jpg</t>
    </r>
  </si>
  <si>
    <t>Tìm kiếm ký tự đặc biệt</t>
  </si>
  <si>
    <t>@#$%^&amp;*</t>
  </si>
  <si>
    <t>1. Nhập ký tự đặc biệt
 2. Bấm Tìm kiếm</t>
  </si>
  <si>
    <t>Không phát sinh lỗi; hệ thống xử lý an toàn và trả kết quả rỗng nếu không khớp</t>
  </si>
  <si>
    <r>
      <rPr>
        <rFont val="Times New Roman"/>
        <color rgb="FF1155CC"/>
        <sz val="12.0"/>
        <u/>
      </rPr>
      <t>TKCTDTTH_07.jpg</t>
    </r>
  </si>
  <si>
    <t>Mở dropdown lĩnh vực</t>
  </si>
  <si>
    <t>Có dữ liệu danh mục lĩnh vực</t>
  </si>
  <si>
    <t>1. Click ô Lĩnh vực</t>
  </si>
  <si>
    <t>Dropdown hiển thị danh sách lĩnh vực: Thuế, Lao động, Đất đai, Dân sự, Thương mại, Hình sự, Hành chính, Sở hữu trí tuệ...</t>
  </si>
  <si>
    <r>
      <rPr>
        <rFont val="Times New Roman"/>
        <color rgb="FF1155CC"/>
        <sz val="12.0"/>
        <u/>
      </rPr>
      <t>TKCTDTTH_08.jpg</t>
    </r>
  </si>
  <si>
    <t>Chọn một lĩnh vực và tìm kiếm</t>
  </si>
  <si>
    <t>Có bản ghi thuộc lĩnh vực được chọn</t>
  </si>
  <si>
    <t>1. Chọn Lĩnh vực = Lao động
 2. Bấm Tìm kiếm</t>
  </si>
  <si>
    <t>Danh sách chỉ hiển thị các chương trình có lĩnh vực Lao động</t>
  </si>
  <si>
    <r>
      <rPr>
        <rFont val="Times New Roman"/>
        <color rgb="FF1155CC"/>
        <sz val="12.0"/>
        <u/>
      </rPr>
      <t>TKCTDTTH_09.jpg</t>
    </r>
  </si>
  <si>
    <t>Chọn Từ ngày bằng date picker</t>
  </si>
  <si>
    <t>1. Click ô Từ ngày
 2. Chọn ngày</t>
  </si>
  <si>
    <t>Ngày được điền đúng định dạng trong ô Từ ngày</t>
  </si>
  <si>
    <r>
      <rPr>
        <rFont val="Times New Roman"/>
        <color rgb="FF1155CC"/>
        <sz val="12.0"/>
        <u/>
      </rPr>
      <t>TKCTDTTH_10.jpg</t>
    </r>
  </si>
  <si>
    <t>Chọn Đến ngày bằng date picker</t>
  </si>
  <si>
    <t>1. Click ô Đến ngày
 2. Chọn ngày</t>
  </si>
  <si>
    <t>Ngày được điền đúng định dạng trong ô Đến ngày</t>
  </si>
  <si>
    <r>
      <rPr>
        <rFont val="Times New Roman"/>
        <color rgb="FF1155CC"/>
        <sz val="12.0"/>
        <u/>
      </rPr>
      <t>TKCTDTTH_11.jpg</t>
    </r>
  </si>
  <si>
    <t>Lọc theo khoảng thời gian hợp lệ</t>
  </si>
  <si>
    <t>01/01/2026 - 31/12/2026</t>
  </si>
  <si>
    <t>1. Chọn Từ ngày
 2. Chọn Đến ngày
 3. Bấm Tìm kiếm</t>
  </si>
  <si>
    <t>Danh sách chỉ hiển thị chương trình có thời gian thuộc khoảng đã chọn</t>
  </si>
  <si>
    <r>
      <rPr>
        <rFont val="Times New Roman"/>
        <color rgb="FF1155CC"/>
        <sz val="12.0"/>
        <u/>
      </rPr>
      <t>TKCTDTTH_12.jpg</t>
    </r>
  </si>
  <si>
    <t>Chỉ nhập Từ ngày</t>
  </si>
  <si>
    <t>Có dữ liệu từ ngày trở đi</t>
  </si>
  <si>
    <t>1. Chọn Từ ngày
 2. Để trống Đến ngày
 3. Bấm Tìm kiếm</t>
  </si>
  <si>
    <t>Hiển thị chương trình có thời gian từ ngày đã chọn trở đi</t>
  </si>
  <si>
    <r>
      <rPr>
        <rFont val="Times New Roman"/>
        <color rgb="FF1155CC"/>
        <sz val="12.0"/>
        <u/>
      </rPr>
      <t>TKCTDTTH_13.jpg</t>
    </r>
  </si>
  <si>
    <t>Chỉ nhập Đến ngày</t>
  </si>
  <si>
    <t>Có dữ liệu trước ngày</t>
  </si>
  <si>
    <t>1. Để trống Từ ngày
 2. Chọn Đến ngày
 3. Bấm Tìm kiếm</t>
  </si>
  <si>
    <t>Hiển thị chương trình có thời gian đến ngày đã chọn</t>
  </si>
  <si>
    <r>
      <rPr>
        <rFont val="Times New Roman"/>
        <color rgb="FF1155CC"/>
        <sz val="12.0"/>
        <u/>
      </rPr>
      <t>TKCTDTTH_14.jpg</t>
    </r>
  </si>
  <si>
    <t>Từ ngày lớn hơn Đến ngày</t>
  </si>
  <si>
    <t>31/12/2026 - 01/01/2026</t>
  </si>
  <si>
    <t>1. Chọn Từ ngày sau Đến ngày
 2. Bấm Tìm kiếm</t>
  </si>
  <si>
    <t>Hiển thị cảnh báo hợp lệ, ví dụ 'Từ ngày không được lớn hơn Đến ngày'; không thực hiện tìm kiếm sai</t>
  </si>
  <si>
    <r>
      <rPr>
        <rFont val="Times New Roman"/>
        <color rgb="FF1155CC"/>
        <sz val="12.0"/>
        <u/>
      </rPr>
      <t>TKCTDTTH_15.jpg</t>
    </r>
  </si>
  <si>
    <t>Lọc khoảng ngày không có dữ liệu</t>
  </si>
  <si>
    <t>Không có bản ghi trong khoảng</t>
  </si>
  <si>
    <t>01/01/2030 - 31/12/2030</t>
  </si>
  <si>
    <t>1. Chọn khoảng ngày không có dữ liệu
 2. Bấm Tìm kiếm</t>
  </si>
  <si>
    <t>Hiển thị không có dữ liệu/kết quả phù hợp</t>
  </si>
  <si>
    <r>
      <rPr>
        <rFont val="Times New Roman"/>
        <color rgb="FF1155CC"/>
        <sz val="12.0"/>
        <u/>
      </rPr>
      <t>TKCTDTTH_16.jpg</t>
    </r>
  </si>
  <si>
    <t xml:space="preserve">Kết hợp điều kiện </t>
  </si>
  <si>
    <t>1. Nhập từ khóa
 2. Chọn lĩnh vực
 3. Chọn khoảng ngày
 4. Bấm Tìm kiếm</t>
  </si>
  <si>
    <t>Hiển thị các bản ghi phù hợp với tiêu chí tìm kiếm</t>
  </si>
  <si>
    <r>
      <rPr>
        <rFont val="Times New Roman"/>
        <color rgb="FF1155CC"/>
        <sz val="12.0"/>
        <u/>
      </rPr>
      <t>TKCTDTTH_17.jpg</t>
    </r>
  </si>
  <si>
    <t>Bấm Tìm kiếm khi không nhập bộ lọc</t>
  </si>
  <si>
    <t>Trống</t>
  </si>
  <si>
    <t>1. Để trống tất cả điều kiện
 2. Bấm Tìm kiếm</t>
  </si>
  <si>
    <t>Hiển thị danh sách mặc định/toàn bộ dữ liệu theo tab hiện tại</t>
  </si>
  <si>
    <r>
      <rPr>
        <rFont val="Times New Roman"/>
        <color rgb="FF1155CC"/>
        <sz val="12.0"/>
        <u/>
      </rPr>
      <t>TKCTDTTH_18.jpg</t>
    </r>
  </si>
  <si>
    <t>Xóa toàn bộ điều kiện tìm kiếm</t>
  </si>
  <si>
    <t>Đã nhập từ khóa, lĩnh vực, ngày</t>
  </si>
  <si>
    <t>1. Bấm Xóa bộ lọc</t>
  </si>
  <si>
    <t>Các ô tìm kiếm, lĩnh vực, từ ngày, đến ngày được làm trống; danh sách về trạng thái mặc định</t>
  </si>
  <si>
    <r>
      <rPr>
        <rFont val="Times New Roman"/>
        <color rgb="FF1155CC"/>
        <sz val="12.0"/>
        <u/>
      </rPr>
      <t>TKCTDTTH_19.jpg</t>
    </r>
  </si>
  <si>
    <t>Tìm kiếm trong tab trạng thái đang chọn</t>
  </si>
  <si>
    <t>1. Chọn tab Đã duyệt
 2. Nhập điều kiện tìm kiếm
 3. Bấm Tìm kiếm</t>
  </si>
  <si>
    <t>Kết quả chỉ nằm trong tab Đã duyệt và thỏa điều kiện tìm kiếm</t>
  </si>
  <si>
    <r>
      <rPr>
        <rFont val="Times New Roman"/>
        <color rgb="FF1155CC"/>
        <sz val="12.0"/>
        <u/>
      </rPr>
      <t>TKCTDTTH_20.jpg</t>
    </r>
  </si>
  <si>
    <t>Đổi tab sau khi đã lọc</t>
  </si>
  <si>
    <t>Đã áp dụng bộ lọc</t>
  </si>
  <si>
    <t>1. Lọc dữ liệu
 2. Chuyển sang tab khác</t>
  </si>
  <si>
    <t>Hệ thống xử lý đúng theo thiết kế: giữ bộ lọc hoặc reset bộ lọc; dữ liệu không sai trạng thái</t>
  </si>
  <si>
    <r>
      <rPr>
        <rFont val="Times New Roman"/>
        <color rgb="FF1155CC"/>
        <sz val="12.0"/>
        <u/>
      </rPr>
      <t>TKCTDTTH_21.jpg</t>
    </r>
  </si>
  <si>
    <t>Quản lý đăng ký đào tạo, tập huấn</t>
  </si>
  <si>
    <t>Quản lý danh sách người đăng ký tham gia các khóa đào tạo và trạng thái phê duyệt đăng ký.</t>
  </si>
  <si>
    <t>Truy cập màn hình</t>
  </si>
  <si>
    <t>1. Đăng nhập tài khoản thuộc phân quyền thực hiện chức năng</t>
  </si>
  <si>
    <t>1. Chọn menu "Đào tạo, tập huấn" -&gt; "Khóa học"</t>
  </si>
  <si>
    <t>Hệ thống truy cập màn hình thành công</t>
  </si>
  <si>
    <r>
      <rPr>
        <rFont val="Times New Roman"/>
        <color rgb="FF1155CC"/>
        <sz val="12.0"/>
        <u/>
      </rPr>
      <t>QLDKDTTH_01.jpg</t>
    </r>
  </si>
  <si>
    <t>Tiêu đề màn hình</t>
  </si>
  <si>
    <t>1. Chọn menu "Đào tạo, tập huấn" -&gt; "Khóa học"
2. Kiểm tra hiển thị tiêu đề</t>
  </si>
  <si>
    <t>Tiêu đề hiển thị đúng với màn hình chức năng</t>
  </si>
  <si>
    <r>
      <rPr>
        <rFont val="Times New Roman"/>
        <color rgb="FF1155CC"/>
        <sz val="12.0"/>
        <u/>
      </rPr>
      <t>QLDKDTTH_02.jpg</t>
    </r>
  </si>
  <si>
    <t>Kiểm tra hiển thị bảng danh sách Khóa học</t>
  </si>
  <si>
    <t>1. Chọn menu "Đào tạo, tập huấn" -&gt; "Khóa học"
2. Kiểm tra hiển thị bảng danh sách</t>
  </si>
  <si>
    <t>- Bảng danh sách hiển thị dữ liệu ứng với các cột thông tin
- Dữ liệu hiển thị không bị tràn/đè lên nhau
- Mỗi trạng thái có màu phân biệt.
- Chỉ các khóa học có trạng thái Dự thảo mới được sửa/xóa</t>
  </si>
  <si>
    <r>
      <rPr>
        <rFont val="Times New Roman"/>
        <color rgb="FF1155CC"/>
        <sz val="12.0"/>
        <u/>
      </rPr>
      <t>QLDKDTTH_03.jpg</t>
    </r>
  </si>
  <si>
    <t>Kiểm tra hiển thị bảng danh sách Học viên</t>
  </si>
  <si>
    <t>1. Chọn menu "Đào tạo, tập huấn" -&gt; "Khóa học"
2. Nhấn xem chi tiết khóa học
3. Chọn tab "Học viên"</t>
  </si>
  <si>
    <t>- Tại bước 2: Hệ thống hiển thị màn hình xem chi tiết thành công
- Tại bước 3: Hệ thống hiển thị danh sách học viên thành công</t>
  </si>
  <si>
    <t>Tại bước 3: Hệ thống không hiển thị thông tin danh sách học viên mặc dù tồn tại dữ liệu</t>
  </si>
  <si>
    <r>
      <rPr>
        <rFont val="Times New Roman"/>
        <color rgb="FF1155CC"/>
        <sz val="12.0"/>
        <u/>
      </rPr>
      <t>QLDKDTTH_04.jpg</t>
    </r>
  </si>
  <si>
    <t>Duyệt học viên khi khoá học còn mở đăng ký</t>
  </si>
  <si>
    <t>1. Đăng nhập tài khoản thuộc phân quyền thực hiện chức năng
2. Hồ sơ đăng ký ở trạng thái "Chờ duyệt" và khóa học còn mở đăng ký.</t>
  </si>
  <si>
    <t>1. Chọn menu "Đào tạo, tập huấn" -&gt; "Khóa học"
2. Nhấn xem chi tiết khóa học
3. Chọn tab "Học viên"
4. Nhấn "Duyệt"</t>
  </si>
  <si>
    <t xml:space="preserve">- Hệ thống hiển thị thông báo "Đã duyệt đăng ký".
- Cập nhật trạng thái hồ sơ đăng ký: "Chờ duyệt" → "Đã duyệt".
- Gửi thông báo cho học viên về kết quả duyệt.
- Lưu vết thao tác theo quy định.
</t>
  </si>
  <si>
    <t>uc QLDKDTTH_04 lỗi</t>
  </si>
  <si>
    <t>Duyệt học viên khi khoá học đã đóng đăng ký</t>
  </si>
  <si>
    <t>1. Đăng nhập tài khoản thuộc phân quyền thực hiện chức năng
2. Hồ sơ đăng ký ở trạng thái "Chờ duyệt" và khóa học đã đóng đăng ký</t>
  </si>
  <si>
    <t>Hệ thống từ chối thao tác và hiển thị thông báo "Khóa học đã đóng đăng ký".</t>
  </si>
  <si>
    <t>Kiểm tra form từ chối học viên</t>
  </si>
  <si>
    <t xml:space="preserve">1. Đăng nhập tài khoản thuộc phân quyền thực hiện chức năng
2. Hồ sơ đăng ký ở trạng thái "Chờ Duyệt" </t>
  </si>
  <si>
    <t>1. Chọn menu "Đào tạo, tập huấn" -&gt; "Khóa học"
2. Nhấn xem chi tiết khóa học
3. Chọn tab "Học viên"
4. Nhấn "Từ chối"</t>
  </si>
  <si>
    <t>- Hệ thống hiển thị form từ chối gồm textbox nhập Lý do từ chối, 2 button Xác nhận và Hủy
- Form hiển thị đồng nhất về phông chữ, cỡ chữ, ngôn ngữ
- Thông tin và dữ liệu hiển thị không bị tràn/đè lên nhau</t>
  </si>
  <si>
    <t>- Form chưa đồng nhất về ngôn ngữ
- Thông tin hiển thị bị đè lên nhau</t>
  </si>
  <si>
    <t>QLDKDTTH_07.png</t>
  </si>
  <si>
    <t>Từ chối học viên khi nhập lý do hợp lệ</t>
  </si>
  <si>
    <t>1. Chọn menu "Đào tạo, tập huấn" -&gt; "Khóa học"
2. Nhấn xem chi tiết khóa học
3. Chọn tab "Học viên"
4. Nhập lý do và Nhấn "Từ chối"</t>
  </si>
  <si>
    <t xml:space="preserve">- Hệ thống hiển thị thông báo "Đã Từ chối đăng ký".
- Cập nhật trạng thái hồ sơ đăng ký: "Chờ duyệt" → "Từ chối" kèm lý do.
- Gửi thông báo cho học viên kèm lý do từ chối.
- Lưu vết thao tác theo quy định.
</t>
  </si>
  <si>
    <t>Từ chối học viên khi không nhập lý do</t>
  </si>
  <si>
    <t>Hệ thống hiển thị thông báo "Lý do từ chối là bắt buộc" và yêu cầu NSD nhập hoặc disable nút xác nhận khi lý do để trống.</t>
  </si>
  <si>
    <t>QLDKDTTH_09.jpg</t>
  </si>
  <si>
    <t>Tuần 2</t>
  </si>
  <si>
    <t>Đăng ký tham gia học tập</t>
  </si>
  <si>
    <t>Doanh nghiệp/Người hỗ trợ</t>
  </si>
  <si>
    <t>Đăng ký tham gia các khóa học.</t>
  </si>
  <si>
    <r>
      <rPr>
        <rFont val="Times New Roman"/>
        <color rgb="FF1155CC"/>
        <sz val="12.0"/>
        <u/>
      </rPr>
      <t xml:space="preserve">https://uat.phapluat.gov.vn/ke-hoach-dao-tao-cua-toi
</t>
    </r>
    <r>
      <rPr>
        <rFont val="Times New Roman"/>
        <color rgb="FF1F1F1F"/>
        <sz val="12.0"/>
      </rPr>
      <t>Tài khoản 026191004271
mật khẩu 123456aB@
mã xác minh lần 1 123456
mã xác minh lần 2 111111</t>
    </r>
  </si>
  <si>
    <t>Không phê duyệt được khóa học nên không thực hiện đăng ký được trên Chuyên trang
DKTGKH_01.jpg</t>
  </si>
  <si>
    <t>Kiểm tra màn hình hiển thị danh sách các khóa học</t>
  </si>
  <si>
    <t>1. Đăng nhập tài khoản có phân quyền thực hiện chức năng</t>
  </si>
  <si>
    <t>1. Chọn menu "Diễn đàn, hỗ trợ pháp lý" -&gt; Chương trình hỗ trợ pháp lý DN
2. Tại mục "Danh mục", chọn Đào tạo
3. Kiểm tra danh sách khóa học</t>
  </si>
  <si>
    <t>- Hệ thống hiển thị danh sách khóa học thành công 
- Thông tin/dữ liệu hiển thị không bị lỗi font, tràn hoặc đè lên nhau
- Ngôn ngữ hiển thị đồng nhất với ngôn ngữ hiện tại của toàn hệ thống</t>
  </si>
  <si>
    <t>Kiểm tra hiển thị form đăng ký tham gia trên Chuyên trang</t>
  </si>
  <si>
    <t>1. Chọn menu "Diễn đàn, hỗ trợ pháp lý" -&gt; Chương trình hỗ trợ pháp lý DN
2. Tại mục "Danh mục", chọn Đào tạo
3. Đăng ký khóa học đang diễn ra</t>
  </si>
  <si>
    <t>- Hệ thống hiển thị form đăng ký thành công
- Các trường bắt buộc được đánh dấu
- Thông tin/dữ liệu hiển thị không bị lỗi font, tràn hoặc đè lên nhau
- Ngôn ngữ hiển thị đồng nhất với ngôn ngữ hiện tại của toàn hệ thống</t>
  </si>
  <si>
    <t>Đăng ký trùng khóa học đã đăng ký trước đó.</t>
  </si>
  <si>
    <t>1. Tài khoản đăng nhập đã đăng ký khóa học</t>
  </si>
  <si>
    <t>1. Chọn menu "Diễn đàn, hỗ trợ pháp lý" -&gt; Chương trình hỗ trợ pháp lý DN
2. Tại mục "Danh mục", chọn Đào tạo
3. Đăng ký khóa học đã đăng ký trước đó</t>
  </si>
  <si>
    <t>Đã có đăng ký trùng, hệ thống từ chối và hiển thị thông báo "Bạn đã đăng ký khóa học này".</t>
  </si>
  <si>
    <t xml:space="preserve">Đăng ký khóa học đã đóng đăng ký </t>
  </si>
  <si>
    <t>1. Đăng nhập tài khoản
2. Khóa học đã đóng đăng ký</t>
  </si>
  <si>
    <t>1. Chọn menu "Diễn đàn, hỗ trợ pháp lý" -&gt; Chương trình hỗ trợ pháp lý DN
2. Tại mục "Danh mục", chọn Đào tạo
3. Đăng ký khóa học đã đóng</t>
  </si>
  <si>
    <t>Khóa học đã đóng đăng ký, hệ thống từ chối và hiển thị thông báo "Khóa học chưa mở đăng ký hoặc đã đóng đăng ký".</t>
  </si>
  <si>
    <t>Đăng ký khóa học đã đã đủ số lượng</t>
  </si>
  <si>
    <t>1. Đăng nhập tài khoản
2. Khóa học đã đã đủ số lượng</t>
  </si>
  <si>
    <t>1. Chọn menu "Diễn đàn, hỗ trợ pháp lý" -&gt; Chương trình hỗ trợ pháp lý DN
2. Tại mục "Danh mục", chọn Đào tạo
3. Đăng ký khóa học đã đã đủ số lượng</t>
  </si>
  <si>
    <t>Lớp đã đủ số lượng, hệ thống từ chối và hiển thị thông báo "Lớp học đã đủ số lượng học viên".</t>
  </si>
  <si>
    <t>Nhập đăng ký thủ công</t>
  </si>
  <si>
    <t>1. Đăng nhập tài khoản Cán bộ nghiệp vụ
2. Khóa học còn mở đăng ký</t>
  </si>
  <si>
    <t>1. Chọn menu "Đào tạo, tập huấn" -&gt; "Khóa học"
2. Nhấn xem chi tiết khóa học
3. Chọn tab "Học viên"
4. Thêm mới thủ công</t>
  </si>
  <si>
    <t>Dữ liệu hợp lệ, hệ thống tạo hồ sơ đăng ký ở trạng thái "Chờ duyệt" với nguồn đăng ký là "Nhập thủ công" và hiển thị thông báo "Đã tạo đăng ký thành công".</t>
  </si>
  <si>
    <t>Hệ thống hiển thị thông báo thêm mới thành công nhưng lỗi hiển thị dữ liệu của bản ghi được thêm mới lên màn hình danh sách</t>
  </si>
  <si>
    <t xml:space="preserve"> DKTGKH_07.webm</t>
  </si>
  <si>
    <t>Nhập đăng ký thủ công Thiếu trường bắt buộc</t>
  </si>
  <si>
    <t>1. Chọn menu "Đào tạo, tập huấn" -&gt; "Khóa học"
2. Nhấn xem chi tiết khóa học
3. Chọn tab "Học viên"
4. Thêm mới thủ công thiếu trường bắt buộc</t>
  </si>
  <si>
    <t>Thiếu trường bắt buộc, hệ thống đánh dấu trường lỗi và hiển thị thông báo tương ứng.</t>
  </si>
  <si>
    <r>
      <rPr>
        <rFont val="Times New Roman"/>
        <color rgb="FF1155CC"/>
        <sz val="12.0"/>
        <u/>
      </rPr>
      <t>DKTGKH_08.jpg</t>
    </r>
  </si>
  <si>
    <t>Nhập đăng ký thủ công dữ liệu không hợp lệ</t>
  </si>
  <si>
    <t>1. Chọn menu "Đào tạo, tập huấn" -&gt; "Khóa học"
2. Nhấn xem chi tiết khóa học
3. Chọn tab "Học viên"
4. Thêm mới thủ công với dữ liệu không hợp lệ</t>
  </si>
  <si>
    <t>Hệ thống đánh dấu trường lỗi và hiển thị thông báo tương ứng.</t>
  </si>
  <si>
    <r>
      <rPr>
        <rFont val="Times New Roman"/>
        <color rgb="FF1155CC"/>
        <sz val="12.0"/>
        <u/>
      </rPr>
      <t>DKTGKH_09.jpg</t>
    </r>
  </si>
  <si>
    <t>Nhập đăng ký thủ công học viên đã tồn tại</t>
  </si>
  <si>
    <t>1. Đăng nhập tài khoản Cán bộ nghiệp vụ
2. Khóa học còn mở đăng ký
3. Học viên đã tồn tại</t>
  </si>
  <si>
    <t>Hệ thống hiển thị thông báo tương ứng.</t>
  </si>
  <si>
    <r>
      <rPr>
        <rFont val="Times New Roman"/>
        <color rgb="FF1155CC"/>
        <sz val="12.0"/>
        <u/>
      </rPr>
      <t>DKTGKH_10.jpg</t>
    </r>
  </si>
  <si>
    <t>Tải lên tệp Excel sai định dạng</t>
  </si>
  <si>
    <t>1. Chọn menu "Đào tạo, tập huấn" -&gt; "Khóa học"
2. Nhấn xem chi tiết khóa học
3. Chọn tab "Học viên"
4. Tải lên tệp Excel sai định dạng</t>
  </si>
  <si>
    <t>Hệ thống hiển thị thông báo lỗi</t>
  </si>
  <si>
    <r>
      <rPr>
        <rFont val="Times New Roman"/>
        <color rgb="FF1155CC"/>
        <sz val="12.0"/>
        <u/>
      </rPr>
      <t>DKTGKH_11.jpg</t>
    </r>
  </si>
  <si>
    <t>Tải lên tệp Excel</t>
  </si>
  <si>
    <t>1. Chọn menu "Đào tạo, tập huấn" -&gt; "Khóa học"
2. Nhấn xem chi tiết khóa học
3. Chọn tab "Học viên"
4. Tải lên tệp Excel</t>
  </si>
  <si>
    <t>- Hệ thống hiển thị hộp thoại yêu cầu chọn tệp Excel (XLS, XLSX) theo mẫu chuẩn của hệ thống
- Hiển thị bản xem trước kết quả (số dòng hợp lệ, số dòng lỗi và lý do từng dòng lỗi).
- Khi xác nhận nạp dữ liệu, hệ thống tạo các hồ sơ đăng ký hợp lệ ở trạng thái "Chờ duyệt" với nguồn đăng ký là "Tải lên Excel".
- Nạp thành công, hệ thống hiển thị báo cáo kết quả "Đã nạp {số thành công} đăng ký thành công, {số lỗi} đăng ký không hợp lệ".</t>
  </si>
  <si>
    <t>Hệ thống không hiển thị bản xem trước kết quả (số dòng hợp lệ, số dòng lỗi và lý do từng dòng lỗi) theo thiết kế.</t>
  </si>
  <si>
    <r>
      <rPr>
        <rFont val="Times New Roman"/>
        <color rgb="FF1155CC"/>
        <sz val="12.0"/>
        <u/>
      </rPr>
      <t>DKTGKH_12.webm</t>
    </r>
  </si>
  <si>
    <t>Quản lý kiểm tra, đánh giá kết quả học tập</t>
  </si>
  <si>
    <t>Quản lý điểm danh, điểm kiểm tra/đánh giá cuối khóa của học viên.</t>
  </si>
  <si>
    <t>1. Đăng nhập tài khoản</t>
  </si>
  <si>
    <t>1. Chọn menu "Đào tạo, tập huấn" -&gt; "Khóa học"
2. Nhấn xem chi tiết khóa học
3. Chọn tab "Điểm danh", "Kết quả kiểm tra"</t>
  </si>
  <si>
    <t>Hệ thống hiển thị màn hình mỗi tab giống với thiết kế</t>
  </si>
  <si>
    <t>Hệ thống hiển thị màn hình các tab không giống với thiết kế</t>
  </si>
  <si>
    <t xml:space="preserve"> KTDGKQHT_01.webm</t>
  </si>
  <si>
    <t>Kiểm tra dữ liệu hiển thị trong mỗi tab</t>
  </si>
  <si>
    <t>- Dữ liệu hiển thị đúng với trường thông tin và định dạng 
- Dữ liệu không lỗi hiển thị, đồng nhất về mặt ngôn ngữ
- Không bị tràn/đè dữ liệu giữa các cột
- Đồng bộ về căn lề</t>
  </si>
  <si>
    <t>Nhập điểm danh thủ công</t>
  </si>
  <si>
    <t>1. Đăng nhập tài khoản
2. Khóa học ở trạng thái "Đang diễn ra" hoặc "Đã kết thúc" và đã có lịch học.</t>
  </si>
  <si>
    <t>1. Chọn menu "Đào tạo, tập huấn" -&gt; "Khóa học"
2. Nhấn xem chi tiết khóa học
3. Chọn tab "Điểm danh" 
4. Chọn buổi học từ danh sách và chọn trạng thái điểm danh cho từng học viên
5. Nhấn Lưu</t>
  </si>
  <si>
    <t>Hệ thống ghi nhận và hiển thị thông báo "Đã lưu điểm danh".</t>
  </si>
  <si>
    <t>Hệ thống không hiển thị bảng danh sách học viên mặc dù tồn tại dữ liệu học viên</t>
  </si>
  <si>
    <t xml:space="preserve"> KTDGKQHT_03.webm</t>
  </si>
  <si>
    <t>Tải lên tệp điểm danh  không đúng định dạng</t>
  </si>
  <si>
    <t>1. Chọn menu "Đào tạo, tập huấn" -&gt; "Khóa học"
2. Nhấn xem chi tiết khóa học
3. Chọn tab "Điểm danh" 
4. Tải lên tệp không đúng định dạng</t>
  </si>
  <si>
    <t>Hệ thống hiển thị thông báo "Tệp không đúng định dạng mẫu".</t>
  </si>
  <si>
    <t xml:space="preserve">Tải lên tệp Excel điểm danh </t>
  </si>
  <si>
    <t xml:space="preserve">1. Chọn menu "Đào tạo, tập huấn" -&gt; "Khóa học"
2. Nhấn xem chi tiết khóa học
3. Chọn tab "Điểm danh" 
4. Tải lên tệp Excel </t>
  </si>
  <si>
    <t>- Hiển thị bản xem trước kết quả (số dòng hợp lệ, số dòng lỗi và lý do từng dòng). 
- Nạp thành công, hệ thống hiển thị thông báo "Đã nạp {số thành công} bản ghi thành công, {số lỗi} bản ghi không hợp lệ".</t>
  </si>
  <si>
    <t>Xuất Excel kết quả</t>
  </si>
  <si>
    <t>1. Chọn menu "Đào tạo, tập huấn" -&gt; "Khóa học"
2. Nhấn xem chi tiết khóa học
3. Chọn tab "Điểm danh" 
4. Nhấn Xuất exel</t>
  </si>
  <si>
    <t>Hệ thống xuất bảng kết quả học tập của khóa ra tệp Excel (bao gồm điểm danh tổng hợp và điểm kiểm tra từng học viên).</t>
  </si>
  <si>
    <t>Kiểm tra không được điểm danh khi bản ghi ở trạng thái không hợp lệ</t>
  </si>
  <si>
    <t>1. Đăng nhập tài khoản
2. Khóa học ở trạng thái "Chờ duyệt" hoặc "Dự thảo"</t>
  </si>
  <si>
    <t>1. Chọn menu "Đào tạo, tập huấn" -&gt; "Khóa học"
2. Nhấn xem chi tiết khóa học
3. Chọn tab "Điểm danh" 
4. Kiểm tra hiển thị chức năng điểm danh</t>
  </si>
  <si>
    <t>Hệ thống ẩn hoặc không cho phép thực hiện chức năng điểm danh</t>
  </si>
  <si>
    <t>Nhập điểm kiểm tra thủ công không hợp lệ</t>
  </si>
  <si>
    <t>1. Đăng nhập tài khoản
2. Khóa học ở trạng thái "Đang diễn ra" hoặc "Đã kết thúc".</t>
  </si>
  <si>
    <t>1. Chọn menu "Đào tạo, tập huấn" -&gt; "Khóa học"
2. Nhấn xem chi tiết khóa học
3. Chọn tab "Kết quả kiểm tra" 
4. Nhập điểm không hợp lệ
5. Nhấn Lưu</t>
  </si>
  <si>
    <t>Hệ thống từ chối và hiển thị thông báo "Điểm kiểm tra phải từ 0 đến 10".</t>
  </si>
  <si>
    <t>Hệ thống không hiển thị danh sách học viên mặc dù tồn tại dữ liệu</t>
  </si>
  <si>
    <t xml:space="preserve"> KTDGKQHT_08.webm</t>
  </si>
  <si>
    <t>Nhập điểm kiểm tra thủ công hợp lệ</t>
  </si>
  <si>
    <t>1. Chọn menu "Đào tạo, tập huấn" -&gt; "Khóa học"
2. Nhấn xem chi tiết khóa học
3. Chọn tab "Kết quả kiểm tra" 
4. Nhập điểm hợp lệ
5. Nhấn Lưu</t>
  </si>
  <si>
    <t>Hệ thống ghi nhận và hiển thị thông báo "Đã lưu điểm kiểm tra".</t>
  </si>
  <si>
    <t>Tải lên tệp không đúng định dạng</t>
  </si>
  <si>
    <t>1. Chọn menu "Đào tạo, tập huấn" -&gt; "Khóa học"
2. Nhấn xem chi tiết khóa học
3. Chọn tab "Kết quả kiểm tra" 
4. Tải lên tệp không đúng định dạng</t>
  </si>
  <si>
    <t xml:space="preserve">Tải lên tệp Excel Kết quả kiểm tra </t>
  </si>
  <si>
    <t xml:space="preserve">1. Chọn menu "Đào tạo, tập huấn" -&gt; "Khóa học"
2. Nhấn xem chi tiết khóa học
3. Chọn tab "Kết quả kiểm tra" 
4. Tải lên tệp Excel </t>
  </si>
  <si>
    <t>1. Chọn menu "Đào tạo, tập huấn" -&gt; "Khóa học"
2. Nhấn xem chi tiết khóa học
3. Chọn tab "Kết quả kiểm tra" 
4. Nhấn Xuất exel</t>
  </si>
  <si>
    <t>Hệ thống xuất bảng kết quả học tập của khóa ra tệp Excel (bao gồm Kết quả kiểm tra tổng hợp và điểm kiểm tra từng học viên).</t>
  </si>
  <si>
    <t>Kiểm tra không được nhập điểm khi bản ghi ở trạng thái không hợp lệ</t>
  </si>
  <si>
    <t>1. Chọn menu "Đào tạo, tập huấn" -&gt; "Khóa học"
2. Nhấn xem chi tiết khóa học
3. Chọn tab "Kết quả kiểm tra" 
4. Kiểm tra hiển thị chức năng nhập điểm</t>
  </si>
  <si>
    <t>Hệ thống ẩn hoặc không cho phép thực hiện chức năng nhập điểm</t>
  </si>
  <si>
    <t>Tìm kiếm thông tin kiểm tra, đánh giá kết quả học tập</t>
  </si>
  <si>
    <t>Tìm kiếm kết quả học tập theo tên học viên, mã khóa học.</t>
  </si>
  <si>
    <t xml:space="preserve">1. Đăng nhập tài khoản
</t>
  </si>
  <si>
    <t>1. Chọn menu "Đào tạo, tập huấn" -&gt; "Khóa học"
2. Nhấn xem chi tiết khóa học
3. Chọn tab "Kết quả kiểm tra" 
4. Kiểm tra các tiêu chí và thực hiện tìm kiếm</t>
  </si>
  <si>
    <t>Hệ thống không hiển thị các trường thông tin tìm kiếm</t>
  </si>
  <si>
    <t>TTKTDGKQHT_01.jpg</t>
  </si>
  <si>
    <t>Kiểm tra bảng danh sách kết quả</t>
  </si>
  <si>
    <t>1. Chọn menu "Đào tạo, tập huấn" -&gt; "Khóa học"
2. Nhấn xem chi tiết khóa học
3. Chọn tab "Kết quả kiểm tra" 
4. Thực hiện tìm kiếm</t>
  </si>
  <si>
    <t>Hệ thống hiển thị danh sách kết quả học tập phù hợp, phân trang 20 bản ghi mỗi trang.</t>
  </si>
  <si>
    <t>Kiểm tra điều kiện lọc</t>
  </si>
  <si>
    <t>1. Chọn menu "Đào tạo, tập huấn" -&gt; "Khóa học"
2. Nhấn xem chi tiết khóa học
3. Chọn tab "Kết quả kiểm tra" 
4. Kiểm tra điều kiện lọc</t>
  </si>
  <si>
    <t>- Giá trị mặc định là Tất cả
- Các điều kiện lọc theo thời gian, trạng thái, lĩnh vực hoặc đơn vị.</t>
  </si>
  <si>
    <t>Tìm kiếm theo bộ lọc</t>
  </si>
  <si>
    <t>1. Chọn menu "Đào tạo, tập huấn" -&gt; "Khóa học"
2. Nhấn xem chi tiết khóa học
3. Chọn tab "Kết quả kiểm tra" 
4. Tìm kiếm theo bộ lọc</t>
  </si>
  <si>
    <t>Danh sách kết quả phù hợp với điều kiện tìm kiếm.</t>
  </si>
  <si>
    <t>Tìm kiếm theo bộ lọc + từ khóa</t>
  </si>
  <si>
    <t>1. Chọn menu "Đào tạo, tập huấn" -&gt; "Khóa học"
2. Nhấn xem chi tiết khóa học
3. Chọn tab "Kết quả kiểm tra" 
4. Tìm kiếm theo bộ lọc + từ khóa</t>
  </si>
  <si>
    <t>Tìm kiếm không có kết quả</t>
  </si>
  <si>
    <t>1. Chọn menu "Đào tạo, tập huấn" -&gt; "Khóa học"
2. Nhấn xem chi tiết khóa học
3. Chọn tab "Kết quả kiểm tra" 
4. Tìm kiếm không có kết quả</t>
  </si>
  <si>
    <t>Hiển thị thông báo "Không tìm thấy kết quả phù hợp".</t>
  </si>
  <si>
    <t>Quản lý kho tài liệu, bài giảng</t>
  </si>
  <si>
    <t>Quản lý việc lưu trữ, phân loại và truy cập các tài liệu, bài giảng liên quan đến khóa học.</t>
  </si>
  <si>
    <t>1. Chọn menu "Đào tạo, tập huấn" -&gt; "Kho tài liệu / Bài giảng"</t>
  </si>
  <si>
    <t>Kiểm tra hiển thị bảng danh sách</t>
  </si>
  <si>
    <t>- Hệ thống hiển thị bảng danh sách giống với thiết kế thành công
- Dữ liệu hiển thị đúng định dạng và trường thông tin
- Dữ liệu hiển thị không bị tràn/đè lên nhau, đồng nhất ngôn ngữ hiển thị
- Mặc định: 20 bản ghi/trang.</t>
  </si>
  <si>
    <t>Hệ thống hiển thị thông báo lỗi "Lỗi hệ thống, vui lòng thử lại sau."</t>
  </si>
  <si>
    <r>
      <rPr>
        <rFont val="Times New Roman"/>
        <color rgb="FF1155CC"/>
        <sz val="12.0"/>
        <u/>
      </rPr>
      <t>QLKTLBG_02.jpg</t>
    </r>
  </si>
  <si>
    <t>Kiểm tra nút chức năng Thêm mới</t>
  </si>
  <si>
    <t>1. Chọn menu "Đào tạo, tập huấn" -&gt; "Kho tài liệu / Bài giảng"
2. Nhấn Thêm mới</t>
  </si>
  <si>
    <t>Hệ thống mở biểu mẫu "Thêm mới bài giảng" với các trường giống với thiết kế</t>
  </si>
  <si>
    <t>Thiếu trường thông tin "Ảnh đại diện"</t>
  </si>
  <si>
    <r>
      <rPr>
        <rFont val="Times New Roman"/>
        <color rgb="FF1155CC"/>
        <sz val="12.0"/>
        <u/>
      </rPr>
      <t>QLKTLBG_03.jpg</t>
    </r>
  </si>
  <si>
    <t>Thêm mới thiếu trường bắt buộc</t>
  </si>
  <si>
    <t>1. Chọn menu "Đào tạo, tập huấn" -&gt; "Kho tài liệu / Bài giảng"
2. Nhấn Thêm mới
3. Bỏ trống trường bắt buộc</t>
  </si>
  <si>
    <t>Hệ thống đánh dấu trường lỗi.</t>
  </si>
  <si>
    <r>
      <rPr>
        <rFont val="Times New Roman"/>
        <color rgb="FF1155CC"/>
        <sz val="12.0"/>
        <u/>
      </rPr>
      <t>QLKTLBG_04.jpg</t>
    </r>
  </si>
  <si>
    <t>Thêm mới tệp vượt dung lượng</t>
  </si>
  <si>
    <t>1. Chọn menu "Đào tạo, tập huấn" -&gt; "Kho tài liệu / Bài giảng"
2. Nhấn Thêm mới
3. Tệp vượt dung lượng</t>
  </si>
  <si>
    <t>Hệ thống hiển thị thông báo lỗi.</t>
  </si>
  <si>
    <r>
      <rPr>
        <rFont val="Times New Roman"/>
        <color rgb="FF1155CC"/>
        <sz val="12.0"/>
        <u/>
      </rPr>
      <t>QLKTLBG_05.jpg</t>
    </r>
  </si>
  <si>
    <t>Thêm mới sai định dạng tệp</t>
  </si>
  <si>
    <t>1. Chọn menu "Đào tạo, tập huấn" -&gt; "Kho tài liệu / Bài giảng"
2. Nhấn Thêm mới
3. Sai định dạng tệp</t>
  </si>
  <si>
    <t>Hệ thống hiển thị thông báo "Chỉ chấp nhận tệp Slide hoặc PDF".</t>
  </si>
  <si>
    <r>
      <rPr>
        <rFont val="Times New Roman"/>
        <color rgb="FF1155CC"/>
        <sz val="12.0"/>
        <u/>
      </rPr>
      <t>QLKTLBG_06.jpg</t>
    </r>
  </si>
  <si>
    <t>Thêm mới đường dẫn YouTube không hợp lệ</t>
  </si>
  <si>
    <t>1. Chọn menu "Đào tạo, tập huấn" -&gt; "Kho tài liệu / Bài giảng"
2. Nhấn Thêm mới
3. Đường dẫn YouTube không hợp lệ</t>
  </si>
  <si>
    <t>Hệ thống hiển thị thông báo "Đường dẫn YouTube không hợp lệ".</t>
  </si>
  <si>
    <r>
      <rPr>
        <rFont val="Times New Roman"/>
        <color rgb="FF1155CC"/>
        <sz val="12.0"/>
        <u/>
      </rPr>
      <t>QLKTLBG_07.jpg</t>
    </r>
  </si>
  <si>
    <t>Thêm mới hợp lệ</t>
  </si>
  <si>
    <t>1. Chọn menu "Đào tạo, tập huấn" -&gt; "Kho tài liệu / Bài giảng"
2. Nhấn Thêm mới
3. Nhập thông tin hợp lệ và nhấn Lưu</t>
  </si>
  <si>
    <t>Hệ thống lưu bản ghi và hiển thị thông báo "Đã thêm bài giảng".</t>
  </si>
  <si>
    <t>Hệ thống hiển thị thông báo "Lỗi hệ thống, vui lòng thử lại sau.</t>
  </si>
  <si>
    <r>
      <rPr>
        <rFont val="Times New Roman"/>
        <color rgb="FF1155CC"/>
        <sz val="12.0"/>
        <u/>
      </rPr>
      <t>QLKTLBG_08.jpg</t>
    </r>
  </si>
  <si>
    <t>Xem bài giảng/tài liệu chứa Slide</t>
  </si>
  <si>
    <t>1. Chọn menu "Đào tạo, tập huấn" -&gt; "Kho tài liệu / Bài giảng"
2. Xem bài giảng/tài liệu chứa Slide</t>
  </si>
  <si>
    <t>Hệ thống mở khu vực xem trước nội dung với Slide: trình chiếu inline</t>
  </si>
  <si>
    <t>Xem bài giảng/tài liệu chứa PDF</t>
  </si>
  <si>
    <t>1. Chọn menu "Đào tạo, tập huấn" -&gt; "Kho tài liệu / Bài giảng"
2. Xem bài giảng/tài liệu chứa PDF</t>
  </si>
  <si>
    <t>Hệ thống mở khu vực xem trước nội dung với PDF: hiển thị nội dung PDF inline</t>
  </si>
  <si>
    <t>Xem bài giảng/tài liệu chứa Video</t>
  </si>
  <si>
    <t>1. Chọn menu "Đào tạo, tập huấn" -&gt; "Kho tài liệu / Bài giảng"
2. Xem bài giảng/tài liệu chứa Video</t>
  </si>
  <si>
    <t>Hệ thống mở khu vực xem trước nội dung với Video: nhúng trình phát YouTube</t>
  </si>
  <si>
    <t>Kiểm tra hiển thị chức năng tải tài liệu</t>
  </si>
  <si>
    <t>1. Chọn menu "Đào tạo, tập huấn" -&gt; "Kho tài liệu / Bài giảng"
2. Kiểm tra hiển thị chức năng tải tài liệu</t>
  </si>
  <si>
    <t>- Chỉ hiển thị đối với Slide và PDF
- Không hiển thị với video</t>
  </si>
  <si>
    <t>Tải về bài giảng Silde và PDF</t>
  </si>
  <si>
    <t>1. Chọn menu "Đào tạo, tập huấn" -&gt; "Kho tài liệu / Bài giảng"
2. Tải về bài giảng Silde và PDF</t>
  </si>
  <si>
    <t>Hệ thống tải tệp bài giảng về máy người dùng.</t>
  </si>
  <si>
    <t>Kiểm tra chức năng nút Sửa</t>
  </si>
  <si>
    <t>1. Chọn menu "Đào tạo, tập huấn" -&gt; "Kho tài liệu / Bài giảng"
2. Bấm nút "Sửa" trên dòng bài giảng</t>
  </si>
  <si>
    <t>Hệ thống mở biểu mẫu hiển thị dữ liệu hiện tại</t>
  </si>
  <si>
    <t>Sửa thiếu hoặc sai dữ liệu</t>
  </si>
  <si>
    <t>1. Chọn menu "Đào tạo, tập huấn" -&gt; "Kho tài liệu / Bài giảng"
2. Bấm nút "Sửa" trên dòng bài giảng
3. Sửa thiếu hoặc sai dữ liệu</t>
  </si>
  <si>
    <t>Sửa thông tin hợp lệ</t>
  </si>
  <si>
    <t>1. Chọn menu "Đào tạo, tập huấn" -&gt; "Kho tài liệu / Bài giảng"
2. Bấm nút "Sửa" trên dòng bài giảng
3. Sửa thông tin hợp lệ</t>
  </si>
  <si>
    <t>Hệ thống cập nhật bản ghi và hiển thị thông báo "Đã cập nhật bài giảng".</t>
  </si>
  <si>
    <t>Kiểm tra chức năng nút Xóa</t>
  </si>
  <si>
    <t>1. Chọn menu "Đào tạo, tập huấn" -&gt; "Kho tài liệu / Bài giảng"
2. Bấm nút "Xóa" trên dòng bài giảng</t>
  </si>
  <si>
    <t>Hệ thống hiển thị hộp xác nhận.</t>
  </si>
  <si>
    <t>Xóa bản ghi thành công</t>
  </si>
  <si>
    <t>1. Chọn menu "Đào tạo, tập huấn" -&gt; "Kho tài liệu / Bài giảng"
2. Bấm nút "Xóa" trên dòng bài giảng
3. Xác nhận</t>
  </si>
  <si>
    <t>Hệ thống xóa mềm bản ghi và hiển thị thông báo "Đã xóa bài giảng".</t>
  </si>
  <si>
    <t>Công khai / Hủy công khai</t>
  </si>
  <si>
    <t>1. Chọn menu "Đào tạo, tập huấn" -&gt; "Kho tài liệu / Bài giảng"
2. Bật/tắt ô chuyển "Công khai" trên dòng bài giảng</t>
  </si>
  <si>
    <t xml:space="preserve">Hệ thống:
+ Khi bật: đẩy bài giảng lên chuyên trang Pháp luật quốc gia.
+ Khi tắt: gỡ bài giảng khỏi chuyên trang Pháp luật quốc gia.
- Hệ thống hiển thị thông báo "Đã cập nhật trạng thái công khai".
</t>
  </si>
  <si>
    <t>Xuất Excel với điều kiện lọc</t>
  </si>
  <si>
    <t>1. Chọn menu "Đào tạo, tập huấn" -&gt; "Kho tài liệu / Bài giảng"
2. Nhập tiêu chí lọc và nhấn Xuất excel</t>
  </si>
  <si>
    <t>Hệ thống xuất danh sách bài giảng theo điều kiện lọc hiện tại ra tệp Excel.</t>
  </si>
  <si>
    <t>Xuất excel không có điều kiện lọc</t>
  </si>
  <si>
    <t>1. Chọn menu "Đào tạo, tập huấn" -&gt; "Kho tài liệu / Bài giảng"
2. Nhấn Xuất excel</t>
  </si>
  <si>
    <t>Hệ thống xuất toàn bộ danh sách hiện có trên bảng danh sách</t>
  </si>
  <si>
    <t>Xuất Excel với điều kiện lọc không có kết quả</t>
  </si>
  <si>
    <t>1. Chọn menu "Đào tạo, tập huấn" -&gt; "Kho tài liệu / Bài giảng"
2. Nhập tiêu chí lọc không có kết quả và nhấn Xuất excel</t>
  </si>
  <si>
    <t>Hệ thống xuất danh sách rỗng hoặc hiển thị thông báo không có dữ liệu</t>
  </si>
  <si>
    <t>1. Đăng nhập tài khoản
2. Tổng số bản ghi lớn hơn số bản ghi mỗi trang</t>
  </si>
  <si>
    <t>1. Chọn menu "Đào tạo, tập huấn" -&gt; "Kho tài liệu / Bài giảng"
2. Bấm số trang hoặc nút "‹" / "›" để chuyển trang.</t>
  </si>
  <si>
    <t>- Hệ thống hiển thị thanh phân trang
- Hệ thống chuyển trang thành công, bản ghi trong bảng danh sách được cập nhật</t>
  </si>
  <si>
    <t>Chọn số bản ghi / trang</t>
  </si>
  <si>
    <t>1. Chọn menu "Đào tạo, tập huấn" -&gt; "Kho tài liệu / Bài giảng"
2. Chọn 1 trong các giá trị: 10, 20, 50, 100</t>
  </si>
  <si>
    <t xml:space="preserve">Hệ thống tải lại danh sách với số bản ghi mỗi trang tương ứng. </t>
  </si>
  <si>
    <t>Tìm kiếm thông tin kho tài liệu, bài giảng</t>
  </si>
  <si>
    <t>Tìm kiếm tài liệu, bài giảng theo từ khóa, tên khóa học.</t>
  </si>
  <si>
    <t>1. Đăng nhập tài khoản
2. Tồn tại bản ghi phù hợp với tiêu chí tìm kiếm</t>
  </si>
  <si>
    <t>1. Chọn menu "Đào tạo, tập huấn" -&gt; "Kho tài liệu / Bài giảng"
2. Tìm kiếm tài liệu, bài giảng theo từ khóa, tên khóa học.</t>
  </si>
  <si>
    <t>Hệ thống hiển thị danh sách bài giảng phù hợp, phân trang 20 bản ghi mỗi trang.</t>
  </si>
  <si>
    <t>TTKTLBG_01.jpg</t>
  </si>
  <si>
    <t>Kiểm tra hiển thị các tiêu chí tìm kiếm</t>
  </si>
  <si>
    <t>1. Chọn menu "Đào tạo, tập huấn" -&gt; "Kho tài liệu / Bài giảng"
2. Kiểm tra hiển thị các tiêu chí tìm kiếm</t>
  </si>
  <si>
    <t>Hệ thống hiển thị các tiêu chí tìm kiếm giống với thiết kế</t>
  </si>
  <si>
    <t>Thiếu trường tìm kiếm theo tiêu chí "Lĩnh vực pháp lý"</t>
  </si>
  <si>
    <t xml:space="preserve"> TTKTLBG_02.webm</t>
  </si>
  <si>
    <t>1. Chọn menu "Đào tạo, tập huấn" -&gt; "Kho tài liệu / Bài giảng"
2. Tìm kiếm theo bộ lọc</t>
  </si>
  <si>
    <t>Tìm kiếm kết hợp bộ lọc và từ khóa</t>
  </si>
  <si>
    <t>1. Chọn menu "Đào tạo, tập huấn" -&gt; "Kho tài liệu / Bài giảng"
2. Tìm kiếm kết hợp bộ lọc và từ khóa</t>
  </si>
  <si>
    <t>1. Đăng nhập tài khoản
2. Không tồn tại bản ghi phù hợp với tiêu chí tìm kiếm</t>
  </si>
  <si>
    <t>1. Chọn menu "Đào tạo, tập huấn" -&gt; "Kho tài liệu / Bài giảng"
2. Tìm kiếm không có kết quả</t>
  </si>
  <si>
    <t>Không có kết quả, hiển thị thông báo "Không tìm thấy bài giảng phù hợp".</t>
  </si>
  <si>
    <t>1. Chọn menu "Đào tạo, tập huấn" -&gt; "Kho tài liệu / Bài giảng"
2. Bấm nút "↻ Xóa bộ lọc"</t>
  </si>
  <si>
    <t>Hệ thống xóa toàn bộ giá trị ở các ô lọc và ô từ khóa, tải lại danh sách theo mặc định.</t>
  </si>
  <si>
    <t>Quản lý ngân hàng câu hỏi</t>
  </si>
  <si>
    <t>Quản lý việc tạo, chỉnh sửa, phân loại các câu hỏi được sử dụng trong bài kiểm tra/đánh giá.</t>
  </si>
  <si>
    <t>1. Chọn menu "Đào tạo, tập huấn" -&gt; "Ngân hàng câu hỏi &amp; Đề kiểm tra"</t>
  </si>
  <si>
    <t>Hệ thống hiển thị các chức năng tạo, chỉnh sửa, phân loại các câu hỏi được sử dụng trong bài kiểm tra/đánh giá.</t>
  </si>
  <si>
    <t>Kiểm tra hiển thị Thẻ thống kê tổng quan</t>
  </si>
  <si>
    <t>- Hệ thống hiển thị Thẻ thống kê tổng quan giống với thiết kế 
- Dữ liệu hiển thị đúng định dạng và trường thông tin
- Dữ liệu hiển thị không bị tràn/đè lên nhau, đồng nhất ngôn ngữ hiển thị</t>
  </si>
  <si>
    <t>Hệ thống không hiển thị Thẻ thống kê tổng quan theo thiết kế</t>
  </si>
  <si>
    <t>- Hệ thống hiển thị bảng danh sách giống với thiết kế thành công
- Dữ liệu hiển thị đúng định dạng và trường thông tin
- Dữ liệu hiển thị không bị tràn/đè lên nhau, đồng nhất ngôn ngữ hiển thị</t>
  </si>
  <si>
    <t>1. Chọn menu "Đào tạo, tập huấn" -&gt; "Ngân hàng câu hỏi &amp; Đề kiểm tra"
2. Nhấn Thêm mới</t>
  </si>
  <si>
    <t>Hệ thống mở biểu mẫu với các trường giống với thiết kế</t>
  </si>
  <si>
    <t>Trường thông tin Trạng thái hiển thị danh sách chọn không đúng với thiết kế</t>
  </si>
  <si>
    <t>1. Chọn menu "Đào tạo, tập huấn" -&gt; "Ngân hàng câu hỏi &amp; Đề kiểm tra"
2. Nhấn Thêm mới
3. Bỏ trống trường bắt buộc</t>
  </si>
  <si>
    <t>Thêm mới đáp án không hợp lệ</t>
  </si>
  <si>
    <t>1. Chọn menu "Đào tạo, tập huấn" -&gt; "Ngân hàng câu hỏi &amp; Đề kiểm tra"
2. Nhấn Thêm mới
3. Đáp án không hợp lệ</t>
  </si>
  <si>
    <t>1. Chọn menu "Đào tạo, tập huấn" -&gt; "Ngân hàng câu hỏi &amp; Đề kiểm tra"
2. Nhấn Thêm mới
3. Nhập thông tin hợp lệ và nhấn Lưu</t>
  </si>
  <si>
    <t>Hệ thống lưu bản ghi và hiển thị thông báo thành công</t>
  </si>
  <si>
    <t>Xem chi tiết</t>
  </si>
  <si>
    <t>1. Chọn menu "Đào tạo, tập huấn" -&gt; "Ngân hàng câu hỏi &amp; Đề kiểm tra"
2. Xem chi tiết</t>
  </si>
  <si>
    <t>Hệ thống mở cửa sổ hiển thị đầy đủ nội dung câu hỏi, các lựa chọn và đáp án đúng.</t>
  </si>
  <si>
    <t>Màn hình không có nút chức năng Xem</t>
  </si>
  <si>
    <t>1. Chọn menu "Đào tạo, tập huấn" -&gt; "Ngân hàng câu hỏi &amp; Đề kiểm tra"
2. Bấm nút "Sửa" trên dòng bài giảng</t>
  </si>
  <si>
    <t>1. Chọn menu "Đào tạo, tập huấn" -&gt; "Ngân hàng câu hỏi &amp; Đề kiểm tra"
2. Bấm nút "Sửa" trên dòng bài giảng
3. Sửa thiếu hoặc sai dữ liệu</t>
  </si>
  <si>
    <t>1. Chọn menu "Đào tạo, tập huấn" -&gt; "Ngân hàng câu hỏi &amp; Đề kiểm tra"
2. Bấm nút "Sửa" trên dòng bài giảng
3. Sửa thông tin hợp lệ</t>
  </si>
  <si>
    <t>Hệ thống cập nhật bản ghi và hiển thị thông báo "Đã cập nhật câu hỏi".</t>
  </si>
  <si>
    <t>1. Chọn menu "Đào tạo, tập huấn" -&gt; "Ngân hàng câu hỏi &amp; Đề kiểm tra"
2. Bấm nút "Xóa" trên dòng bài giảng</t>
  </si>
  <si>
    <t>Xóa bản ghi Câu hỏi chưa dùng trong đề nào</t>
  </si>
  <si>
    <t>1. Đăng nhập tài khoản
2. Câu hỏi chưa dùng trong đề nào</t>
  </si>
  <si>
    <t>1. Chọn menu "Đào tạo, tập huấn" -&gt; "Ngân hàng câu hỏi &amp; Đề kiểm tra"
2. Bấm nút "Xóa" trên dòng câu hỏi
3. Xác nhận</t>
  </si>
  <si>
    <t>Hệ thống xóa mềm bản ghi và hiển thị thông báo "Đã xóa câu hỏi".</t>
  </si>
  <si>
    <t>Xóa bản ghi Câu hỏi đang dùng trong các đề kiểm tra</t>
  </si>
  <si>
    <t>1. Đăng nhập tài khoản
2. Câu hỏi đang dùng trong các đề kiểm tra</t>
  </si>
  <si>
    <t>Hệ thống hiển thị cảnh báo "Câu hỏi đang dùng trong {số lượng} đề kiểm tra" và yêu cầu NSD xác nhận trước khi xóa.</t>
  </si>
  <si>
    <t>Nhập excel</t>
  </si>
  <si>
    <t>1. Chọn menu "Đào tạo, tập huấn" -&gt; "Ngân hàng câu hỏi &amp; Đề kiểm tra"
2. Bấm nút "Nhập Excel"</t>
  </si>
  <si>
    <t xml:space="preserve">- Hệ thống yêu cầu chọn tệp Excel theo mẫu chuẩn.
- Sau khi nạp, hệ thống hiển thị báo cáo số câu hỏi nhập thành công và số dòng lỗi.
</t>
  </si>
  <si>
    <t>Tìm kiếm ngân hàng câu hỏi</t>
  </si>
  <si>
    <t>Tìm kiếm câu hỏi kiểm tra theo lĩnh vực, mức độ khó.</t>
  </si>
  <si>
    <t>1. Chọn menu "Đào tạo, tập huấn" -&gt; "Ngân hàng câu hỏi &amp; Đề kiểm tra"
2. Tìm kiếm câu hỏi kiểm tra theo lĩnh vực, mức độ khó.</t>
  </si>
  <si>
    <t>Hệ thống hiển thị danh sách câu hỏi phù hợp, phân trang.</t>
  </si>
  <si>
    <t>1. Chọn menu "Đào tạo, tập huấn" -&gt; "Ngân hàng câu hỏi &amp; Đề kiểm tra"
2. Kiểm tra hiển thị các tiêu chí tìm kiếm</t>
  </si>
  <si>
    <t>1. Chọn menu "Đào tạo, tập huấn" -&gt; "Ngân hàng câu hỏi &amp; Đề kiểm tra"
2. Tìm kiếm theo bộ lọc</t>
  </si>
  <si>
    <t>1. Chọn menu "Đào tạo, tập huấn" -&gt; "Ngân hàng câu hỏi &amp; Đề kiểm tra"
2. Tìm kiếm kết hợp bộ lọc và từ khóa</t>
  </si>
  <si>
    <t>1. Chọn menu "Đào tạo, tập huấn" -&gt; "Ngân hàng câu hỏi &amp; Đề kiểm tra"
2. Tìm kiếm không có kết quả</t>
  </si>
  <si>
    <t>1. Chọn menu "Đào tạo, tập huấn" -&gt; "Ngân hàng câu hỏi &amp; Đề kiểm tra"
2. Bấm nút "↻ Xóa bộ lọc"</t>
  </si>
  <si>
    <t>Quản lý giảng viên, trợ giảng</t>
  </si>
  <si>
    <t>Quản lý hồ sơ, năng lực chuyên môn và lịch sử tham gia giảng dạy của giảng viên/trợ giảng.</t>
  </si>
  <si>
    <t xml:space="preserve">1. Chọn menu "Đào tạo, tập huấn" -&gt; "Giảng viên / Trợ giảng"
</t>
  </si>
  <si>
    <t>1. Chọn menu "Đào tạo, tập huấn" -&gt; "Giảng viên / Trợ giảng"</t>
  </si>
  <si>
    <t>1. Chọn menu "Đào tạo, tập huấn" -&gt; "Giảng viên / Trợ giảng"
2. Nhấn Thêm mới</t>
  </si>
  <si>
    <t>1. Chọn menu "Đào tạo, tập huấn" -&gt; "Giảng viên / Trợ giảng"
2. Nhấn Thêm mới
3. Bỏ trống trường bắt buộc</t>
  </si>
  <si>
    <t>1. Chọn menu "Đào tạo, tập huấn" -&gt; "Giảng viên / Trợ giảng"
2. Nhấn Thêm mới
3. Nhập thông tin hợp lệ và nhấn Lưu</t>
  </si>
  <si>
    <t>Hệ thống lưu bản ghi và hiển thị thông báo "Đã thêm giảng viên".</t>
  </si>
  <si>
    <t>Hủy thêm mới</t>
  </si>
  <si>
    <t>1. Chọn menu "Đào tạo, tập huấn" -&gt; "Giảng viên / Trợ giảng"
2. Nhấn Thêm mới
3. Nhập thông tin hợp lệ và nhấn Hủy</t>
  </si>
  <si>
    <t>Hệ thống không lưu thông tin và quay lại màn hình danh sách</t>
  </si>
  <si>
    <t>1. Chọn menu "Đào tạo, tập huấn" -&gt; "Giảng viên / Trợ giảng"
2. Bấm nút "⊙ Xem" trên thẻ giảng viên</t>
  </si>
  <si>
    <t>Hệ thống mở màn hình Chi tiết giảng viên hiển thị 2 tab: "Thông tin" (đầy đủ thông tin cá nhân và năng lực) và "Lịch sử giảng dạy" (danh sách các khóa đã tham gia tại STT 20–23).</t>
  </si>
  <si>
    <t>1. Chọn menu "Đào tạo, tập huấn" -&gt; "Giảng viên / Trợ giảng"
2. Bấm nút "Sửa" trên thẻ giảng viên</t>
  </si>
  <si>
    <t>1. Chọn menu "Đào tạo, tập huấn" -&gt; "Giảng viên / Trợ giảng"
2. Bấm nút "Sửa" trên thẻ giảng viên
3. Sửa thiếu hoặc sai dữ liệu</t>
  </si>
  <si>
    <t>1. Chọn menu "Đào tạo, tập huấn" -&gt; "Giảng viên / Trợ giảng"
2. Bấm nút "Sửa" trên thẻ giảng viên
3. Sửa thông tin hợp lệ</t>
  </si>
  <si>
    <t>Hệ thống cập nhật bản ghi và hiển thị thông báo "Đã cập nhật giảng viên".</t>
  </si>
  <si>
    <t>Hủy sửa thông tin</t>
  </si>
  <si>
    <t>1. Chọn menu "Đào tạo, tập huấn" -&gt; "Giảng viên / Trợ giảng"
2. Bấm nút "Sửa" trên thẻ giảng viên
3. Sửa thông tin hợp lệ và nhấn Hủy</t>
  </si>
  <si>
    <t>Xóa Giảng viên không được phân công khóa nào</t>
  </si>
  <si>
    <t>1. Đăng nhập tài khoản
2. Giảng viên không được phân công khóa nào</t>
  </si>
  <si>
    <t>1. Chọn menu "Đào tạo, tập huấn" -&gt; "Giảng viên / Trợ giảng"
2. Bấm nút "Xóa" trên thẻ giảng viên
3. Xác nhận</t>
  </si>
  <si>
    <t>Hệ thống hiển thị hộp xác nhận, sau khi xác nhận thì xóa mềm bản ghi và hiển thị thông báo "Đã xóa giảng viên".</t>
  </si>
  <si>
    <t>Xóa Giảng viên đang được phân công dạy một số khóa học</t>
  </si>
  <si>
    <t>1. Đăng nhập tài khoản
2. Giảng viên đang được phân công dạy một số khóa học</t>
  </si>
  <si>
    <t>Hệ thống hiển thị cảnh báo "Giảng viên đang được phân công dạy {số lượng} khóa" và yêu cầu xác nhận trước khi xóa.</t>
  </si>
  <si>
    <t>Hủy xóa bản ghi</t>
  </si>
  <si>
    <t>1. Chọn menu "Đào tạo, tập huấn" -&gt; "Giảng viên / Trợ giảng"
2. Bấm nút "Xóa" trên thẻ giảng viên
3. Hủy</t>
  </si>
  <si>
    <t>Hệ thống giữ nguyên bản ghi hiện tại</t>
  </si>
  <si>
    <t>Tìm kiếm giảng viên, trợ giảng</t>
  </si>
  <si>
    <t>Tìm kiếm giảng viên/trợ giảng theo tên, lĩnh vực chuyên môn.</t>
  </si>
  <si>
    <t>1. Chọn menu "Đào tạo, tập huấn" -&gt; "Giảng viên / Trợ giảng"
2. Tìm kiếm giảng viên/trợ giảng theo tên, lĩnh vực chuyên môn.</t>
  </si>
  <si>
    <t>Hệ thống hiển thị danh sách các thẻ giảng viên phù hợp.</t>
  </si>
  <si>
    <t>1. Chọn menu "Đào tạo, tập huấn" -&gt; "Giảng viên / Trợ giảng"
2. Kiểm tra hiển thị các tiêu chí tìm kiếm</t>
  </si>
  <si>
    <t>1. Chọn menu "Đào tạo, tập huấn" -&gt; "Giảng viên / Trợ giảng"
2. Tìm kiếm theo bộ lọc</t>
  </si>
  <si>
    <t>1. Chọn menu "Đào tạo, tập huấn" -&gt; "Giảng viên / Trợ giảng"
2. Tìm kiếm kết hợp bộ lọc và từ khóa</t>
  </si>
  <si>
    <t>1. Chọn menu "Đào tạo, tập huấn" -&gt; "Giảng viên / Trợ giảng"
2. Tìm kiếm không có kết quả</t>
  </si>
  <si>
    <t>Không có kết quả, hiển thị thông báo "Không tìm thấy giảng viên phù hợp".</t>
  </si>
  <si>
    <t>1. Chọn menu "Đào tạo, tập huấn" -&gt; "Giảng viên / Trợ giảng"
2. Bấm nút "↻ Xóa bộ lọc"</t>
  </si>
  <si>
    <t>Sắp xếp theo tiêu chí</t>
  </si>
  <si>
    <t xml:space="preserve">1. Chọn menu "Đào tạo, tập huấn" -&gt; "Giảng viên / Trợ giảng"
2. Chọn tiêu chí sắp xếp </t>
  </si>
  <si>
    <t>Hệ thống sắp xếp danh sách theo tiêu chí đó, luân phiên tăng dần / giảm dần qua mỗi lần chọn.</t>
  </si>
  <si>
    <t>Quản lý đề xuất đào tạo, tập huấn</t>
  </si>
  <si>
    <t>Quản lý các đề xuất tổ chức đào tạo/tập huấn từ các đơn vị/cá nhân khác nhau.</t>
  </si>
  <si>
    <t>1. Chọn menu "Diễn đàn, hỗ trợ pháp lý" -&gt; Chương trình hỗ trợ pháp lý DN
2. Tại mục "Danh mục", chọn Đào tạo -&gt; Kế hoạch đào tạo của tôi</t>
  </si>
  <si>
    <t>Xem chi tiết đề xuất</t>
  </si>
  <si>
    <t>1. Chọn menu "Đào tạo, tập huấn" -&gt; "Chương trình đào tạo"
2. Mở tab "Đề xuất đào tạo"
3. Bấm nút "Xem" trên dòng đề xuất</t>
  </si>
  <si>
    <t>Hệ thống mở màn hình chi tiết hiển thị đầy đủ thông tin đề xuất.</t>
  </si>
  <si>
    <t>Chỉnh sửa đề xuất ở trạng thái "Mới" và do chính Doanh nghiệp hoặc Người hỗ trợ đang đăng nhập đã tạo</t>
  </si>
  <si>
    <t>1. Đăng nhập tài khoản
2. Tồn tại đề xuất ở trạng thái Mới</t>
  </si>
  <si>
    <t>1. Chọn menu "Diễn đàn, hỗ trợ pháp lý" -&gt; Chương trình hỗ trợ pháp lý DN
2. Tại mục "Danh mục", chọn Đào tạo -&gt; Kế hoạch đào tạo của tôi
3. Bấm nút "Sửa" tại đề xuất có trạng thái Mới</t>
  </si>
  <si>
    <t>- Hệ thống mở biểu mẫu hiển thị dữ liệu hiện tại.
- Hệ thống cập nhật và hiển thị thông báo "Đã cập nhật đề xuất".</t>
  </si>
  <si>
    <t>Chỉnh sửa Đề xuất đã tiếp nhận</t>
  </si>
  <si>
    <t>1. Đăng nhập tài khoản
2. Tồn tại Đề xuất đã tiếp nhận</t>
  </si>
  <si>
    <t>1. Chọn menu "Diễn đàn, hỗ trợ pháp lý" -&gt; Chương trình hỗ trợ pháp lý DN
2. Tại mục "Danh mục", chọn Đào tạo -&gt; Kế hoạch đào tạo của tôi
3. Bấm nút "Sửa" tại đề xuất có trạng thái Tiếp nhận</t>
  </si>
  <si>
    <t>Hệ thống từ chối và hiển thị thông báo "Không thể sửa đề xuất đã tiếp nhận".</t>
  </si>
  <si>
    <t>Xóa đề xuất ở trạng thái "Mới" và do chính Doanh nghiệp hoặc Người hỗ trợ đang đăng nhập đã tạo</t>
  </si>
  <si>
    <t>1. Chọn menu "Diễn đàn, hỗ trợ pháp lý" -&gt; Chương trình hỗ trợ pháp lý DN
2. Tại mục "Danh mục", chọn Đào tạo -&gt; Kế hoạch đào tạo của tôi
3. Bấm nút "Xóa" tại đề xuất có trạng thái Mới</t>
  </si>
  <si>
    <t>- Hệ thống hiển thị hộp xác nhận.
- Hệ thống xóa mềm đề xuất và hiển thị thông báo "Đã xóa đề xuất".</t>
  </si>
  <si>
    <t>Xóa Đề xuất đã tiếp nhận</t>
  </si>
  <si>
    <t>1. Chọn menu "Diễn đàn, hỗ trợ pháp lý" -&gt; Chương trình hỗ trợ pháp lý DN
2. Tại mục "Danh mục", chọn Đào tạo -&gt; Kế hoạch đào tạo của tôi
3. Bấm nút "Xóa" tại đề xuất có trạng thái Tiếp nhận</t>
  </si>
  <si>
    <t>- Hệ thống hiển thị hộp xác nhận.
- Hệ thống từ chối và hiển thị thông báo "Đề xuất đã tiếp nhận không thể xóa".</t>
  </si>
  <si>
    <t>Cán bộ nghiệp vụ Tiếp nhận đề xuất</t>
  </si>
  <si>
    <t>1. Đăng nhập tài khoản Cán bộ nghiệp vụ
2. Tồn tại Đề xuất ở trạng thái Mới</t>
  </si>
  <si>
    <t>1. Chọn menu "Đào tạo, tập huấn" -&gt; "Chương trình đào tạo"
2. Mở tab "Đề xuất đào tạo"
3. Bấm nút "Tiếp nhận" trên dòng đề xuất</t>
  </si>
  <si>
    <t xml:space="preserve">- Cập nhật trạng thái đề xuất: "Mới" → "Đã tiếp nhận".
- Gửi thông báo cho người gửi.
- Lưu vết thao tác theo quy định.
- Hệ thống hiển thị thông báo "Đã tiếp nhận đề xuất".
</t>
  </si>
  <si>
    <t>Kiểm tra Doanh nghiệp/Người hỗ trợ nhận thông báo</t>
  </si>
  <si>
    <t>1. Cán bộ nghiệp vụ cập nhật trạng thái đề xuất
2. Đăng nhập tài khoản Doanh nghiệp/Người hỗ trợ trực tiếp tạo đề xuất được phê duyệt</t>
  </si>
  <si>
    <t>1. Chọn menu "Diễn đàn, hỗ trợ pháp lý" -&gt; Chương trình hỗ trợ pháp lý DN
2. Tại mục "Danh mục", chọn Đào tạo -&gt; Kế hoạch đào tạo của tôi
3. Kiểm tra thông báo và đề xuất được phê duyệt</t>
  </si>
  <si>
    <t>- Doanh nghiệp/Người hỗ trợ nhận thông báo thành công
- Đề xuất được cập nhật trạng thái thành công</t>
  </si>
  <si>
    <t>Quản lý lập kế hoạch đào tạo bồi dưỡng</t>
  </si>
  <si>
    <t>Cung cấp công cụ để CB Nghiệp vụ xây dựng kế hoạch chi tiết (ngân sách, thời gian, nguồn lực) cho các khóa đào tạo.</t>
  </si>
  <si>
    <t xml:space="preserve">1. Chọn menu "Đào tạo, tập huấn" -&gt; "Kế hoạch đào tạo"
</t>
  </si>
  <si>
    <t>1. Chọn menu "Đào tạo, tập huấn" -&gt; "Kế hoạch đào tạo"
2. Nhấn Thêm mới</t>
  </si>
  <si>
    <t>1. Chọn menu "Đào tạo, tập huấn" -&gt; "Kế hoạch đào tạo"
2. Nhấn Thêm mới
3. Bỏ trống trường bắt buộc</t>
  </si>
  <si>
    <t>1. Chọn menu "Đào tạo, tập huấn" -&gt; "Kế hoạch đào tạo"
2. Nhấn Thêm mới
3. Nhập thông tin hợp lệ và nhấn Lưu</t>
  </si>
  <si>
    <t>Hợp lệ, hệ thống lưu bản ghi ở trạng thái "Nháp" và hiển thị thông báo "Đã tạo kế hoạch đào tạo".</t>
  </si>
  <si>
    <t>1. Chọn menu "Đào tạo, tập huấn" -&gt; "Kế hoạch đào tạo"
2. Nhấn Thêm mới
3. Nhập thông tin hợp lệ và nhấn Hủy</t>
  </si>
  <si>
    <t>1. Đăng nhập tài khoản
2. Kế hoạch ở trạng thái "Nháp" hoặc "Từ chối".</t>
  </si>
  <si>
    <t xml:space="preserve">1. Chọn menu "Đào tạo, tập huấn" -&gt; "Kế hoạch đào tạo"
2. Kiểm tra hiển thị nút Sửa
3. Bấm nút "Sửa" </t>
  </si>
  <si>
    <t>- Chỉ enable nút sửa Kế hoạch ở trạng thái "Nháp" hoặc "Từ chối", các trạng thái khác disable.
- Hệ thống mở biểu mẫu hiển thị dữ liệu hiện tại</t>
  </si>
  <si>
    <t>1. Chọn menu "Đào tạo, tập huấn" -&gt; "Kế hoạch đào tạo"
2. Bấm nút "Sửa" 
3. Sửa thiếu hoặc sai dữ liệu</t>
  </si>
  <si>
    <t>1. Chọn menu "Đào tạo, tập huấn" -&gt; "Kế hoạch đào tạo"
2. Bấm nút "Sửa" 
3. Sửa thông tin hợp lệ</t>
  </si>
  <si>
    <t>Hợp lệ, hệ thống cập nhật bản ghi và hiển thị thông báo "Đã cập nhật kế hoạch".</t>
  </si>
  <si>
    <t>1. Chọn menu "Đào tạo, tập huấn" -&gt; "Kế hoạch đào tạo"
2. Bấm nút "Sửa" 
3. Sửa thông tin hợp lệ và nhấn Hủy</t>
  </si>
  <si>
    <t>Gửi phê duyệt Kế hoạch ở trạng thái "Nháp".</t>
  </si>
  <si>
    <t>1. Đăng nhập tài khoản
2. Kế hoạch ở trạng thái "Nháp"</t>
  </si>
  <si>
    <t>1. Chọn menu "Đào tạo, tập huấn" -&gt; "Kế hoạch đào tạo"
2. Bấm nút "Gửi phê duyệt"</t>
  </si>
  <si>
    <t xml:space="preserve">- Cập nhật trạng thái: "Nháp" → "Chờ phê duyệt".
- Gửi thông báo cho Cán bộ phê duyệt cùng cấp.
- Lưu vết thao tác theo quy định.
- Hệ thống hiển thị thông báo "Đã gửi phê duyệt".
</t>
  </si>
  <si>
    <t>Gửi phê duyệt Kế hoạch ở trạng thái "Chờ phê duyệt".</t>
  </si>
  <si>
    <t>1. Đăng nhập tài khoản
2. Kế hoạch ở trạng thái "Chờ phê duyệt"</t>
  </si>
  <si>
    <t xml:space="preserve">- Hệ thống hiển thị thông báo "Kế hoạch đã ở trạng thái chờ duyệt".
</t>
  </si>
  <si>
    <t>1. Chọn menu "Đào tạo, tập huấn" -&gt; "Kế hoạch đào tạo"
2. Bấm nút "Gửi phê duyệt"
3. Nhập tiêu chí lọc và nhấn Xuất excel</t>
  </si>
  <si>
    <t>1. Chọn menu "Đào tạo, tập huấn" -&gt; "Kế hoạch đào tạo"
2. Bấm nút "Gửi phê duyệt"
3. Nhấn Xuất excel</t>
  </si>
  <si>
    <t>1. Chọn menu "Đào tạo, tập huấn" -&gt; "Kế hoạch đào tạo"
2. Bấm nút "Gửi phê duyệt"
3. Nhập tiêu chí lọc không có kết quả và nhấn Xuất excel</t>
  </si>
  <si>
    <t>Phê duyệt kế hoạch đào tạo bồi dưỡng</t>
  </si>
  <si>
    <t>Cung cấp quy trình để CB Phê duyệt xem xét và phê duyệt kế hoạch đào tạo đã lập.</t>
  </si>
  <si>
    <t>1. Đăng nhập tài khoản Cán bộ phê duyệt thuộc cùng đơn vị với người lập ở UC 33.</t>
  </si>
  <si>
    <t>1. Chọn menu "Đào tạo, tập huấn" -&gt; "Kế hoạch đào tạo"</t>
  </si>
  <si>
    <t>- Hệ thống hiển thị bảng danh sách giống với thiết kế
- Dữ liệu hiển thị đúng định dạng và trường thông tin
- Dữ liệu hiển thị không bị tràn/đè lên nhau, đồng nhất ngôn ngữ hiển thị</t>
  </si>
  <si>
    <t>Phê duyệt kế hoạch hợp lệ</t>
  </si>
  <si>
    <t xml:space="preserve">1. Đăng nhập tài khoản
2. Kế hoạch ở trạng thái "Chờ phê duyệt" </t>
  </si>
  <si>
    <t>1. Chọn menu "Đào tạo, tập huấn" -&gt; "Kế hoạch đào tạo"
2. Bấm nút "Phê duyệt"</t>
  </si>
  <si>
    <t xml:space="preserve">- Hệ thống hiển thị thông báo "Đã phê duyệt kế hoạch đào tạo".
- Cập nhật trạng thái kế hoạch: "Chờ phê duyệt" → "Đã duyệt".
- Ghi thông tin người phê duyệt và thời điểm phê duyệt.
- Gửi thông báo cho Cán bộ nghiệp vụ lập kế hoạch.
- Lưu vết thao tác theo quy định.
</t>
  </si>
  <si>
    <t>Phê duyệt Kế hoạch không ở trạng thái chờ phê duyệt</t>
  </si>
  <si>
    <t xml:space="preserve">1. Đăng nhập tài khoản
2. Kế hoạch không ở trạng thái "Chờ phê duyệt" </t>
  </si>
  <si>
    <t>Hệ thống từ chối và hiển thị thông báo "Kế hoạch không ở trạng thái chờ phê duyệt".</t>
  </si>
  <si>
    <t>Cán bộ phê duyệt khác cấp với người lập</t>
  </si>
  <si>
    <t>1. Đăng nhập tài khoản Cán bộ phê duyệt khác cấp với người lập</t>
  </si>
  <si>
    <t>Hệ thống từ chối và hiển thị thông báo "Không có quyền phê duyệt kế hoạch này".</t>
  </si>
  <si>
    <t>Kiểm tra hiển thị hộp thoại yêu cầu nhập lý do từ chối</t>
  </si>
  <si>
    <t xml:space="preserve">1. Đăng nhập tài khoản Cán bộ phê duyệt thuộc cùng đơn vị với người lập.
2. Kế hoạch ở trạng thái "Chờ phê duyệt" </t>
  </si>
  <si>
    <t>1. Chọn menu "Đào tạo, tập huấn" -&gt; "Kế hoạch đào tạo"
2. Bấm nút "Từ chối"</t>
  </si>
  <si>
    <t>Hệ thống mở hộp thoại yêu cầu nhập lý do từ chối.</t>
  </si>
  <si>
    <t>Từ chối kế hoạch Không nhập lý do</t>
  </si>
  <si>
    <t>Hệ thống hiển thị thông báo "Lý do từ chối là bắt buộc".</t>
  </si>
  <si>
    <t>Từ chối kế hoạch thành công</t>
  </si>
  <si>
    <t>1. Chọn menu "Đào tạo, tập huấn" -&gt; "Kế hoạch đào tạo"
2. Bấm nút "Từ chối"
3. Nhập lý do hợp lệ</t>
  </si>
  <si>
    <t xml:space="preserve">- Hệ thống hiển thị thông báo "Đã từ chối kế hoạch đào tạo".
-  Cập nhật trạng thái kế hoạch: "Chờ phê duyệt" → "Từ chối" kèm lý do.
- Gửi thông báo cho Cán bộ nghiệp vụ lập kế hoạch kèm lý do từ chối.
- Lưu vết thao tác theo quy định.
</t>
  </si>
  <si>
    <t>Công khai kế hoạch đào tạo bồi dưỡng</t>
  </si>
  <si>
    <t>Đăng tải kế hoạch đào tạo đã được phê duyệt lên Cổng để các đối tượng theo dõi.</t>
  </si>
  <si>
    <t>1. Đăng nhập tài khoản 
2. Kế hoạch ở trạng thái "Đã duyệt".</t>
  </si>
  <si>
    <t>1. Chọn menu "Đào tạo, tập huấn" -&gt; "Kế hoạch đào tạo"
2. Bấm nút "Công khai"</t>
  </si>
  <si>
    <t xml:space="preserve">- Hệ thống hiển thị thông báo "Đã công khai kế hoạch đào tạo".
+ Gọi giao diện tích hợp với chuyên trang Pháp luật quốc gia để đẩy Kế hoạch đào tạo lên chuyên trang.
+ Cập nhật trạng thái kế hoạch: "Đã duyệt" → "Đã công khai".
+ Ghi thời điểm công khai.
+ Lưu vết thao tác theo quy định.
</t>
  </si>
  <si>
    <t>Công khai kế hoạch không ở trạng thái cho phép công khai</t>
  </si>
  <si>
    <t>1. Đăng nhập tài khoản 
2. Kế hoạch không ở trạng thái cho phép công khai</t>
  </si>
  <si>
    <t>Hệ thống hiển thị thông báo "Kế hoạch không ở trạng thái cho phép công khai hoặc hủy công khai".</t>
  </si>
  <si>
    <t>Công khai kế hoạch khi Giao diện tích hợp với chuyên trang Pháp luật quốc gia gặp lỗi kết nối</t>
  </si>
  <si>
    <t>1. Đăng nhập tài khoản 
2. Giao diện tích hợp với chuyên trang Pháp luật quốc gia gặp lỗi kết nối</t>
  </si>
  <si>
    <t>Hệ thống giữ trạng thái kế hoạch và hiển thị thông báo "Lỗi kết nối chuyên trang Pháp luật quốc gia, vui lòng thử lại".</t>
  </si>
  <si>
    <t>Hủy công khai kế hoạch</t>
  </si>
  <si>
    <t>1. Đăng nhập tài khoản 
2. Kế hoạch ở trạng thái "Đã công khai".</t>
  </si>
  <si>
    <t>1. Chọn menu "Đào tạo, tập huấn" -&gt; "Kế hoạch đào tạo"
2. Bấm nút "Hủy công khai"</t>
  </si>
  <si>
    <t xml:space="preserve">- Hủy công khai thành công, hệ thống hiển thị thông báo "Đã hủy công khai kế hoạch đào tạo".
+ Gọi giao diện tích hợp với chuyên trang Pháp luật quốc gia để gỡ Kế hoạch đào tạo khỏi chuyên trang.
+ Cập nhật trạng thái kế hoạch: "Đã công khai" → "Đã duyệt".
+ Lưu vết thao tác theo quy định.
</t>
  </si>
  <si>
    <t>Hủy công khai kế hoạch khi Giao diện tích hợp với chuyên trang Pháp luật quốc gia gặp lỗi kết nối</t>
  </si>
  <si>
    <t>Ghi nhận kết quả đào tạo bồi dưỡng</t>
  </si>
  <si>
    <t>Thực hiện thao tác cập nhật kết quả kiểm tra/đánh giá sau khi khóa học kết thúc.</t>
  </si>
  <si>
    <t>1. Đăng nhập tài khoản
2. Khóa học ở trạng thái "Đã kết thúc" và đã nhập đủ kết quả cho tất cả học viên.</t>
  </si>
  <si>
    <t>1. Chọn menu "Đào tạo, tập huấn" -&gt; "Khóa học"
2. Nhấn xem chi tiết khóa học
3. Bấm nút "Trình duyệt kết quả"</t>
  </si>
  <si>
    <t xml:space="preserve">- Hệ thống hiển thị thông báo "Đã trình duyệt kết quả đào tạo".
+ Kiểm tra đã có dữ liệu kết quả cho tất cả học viên.
+ Cập nhật trạng thái khóa học: "Đã kết thúc" → "Chờ duyệt kết quả".
+ Gửi thông báo cho Cán bộ phê duyệt cùng cấp.
+ Lưu vết thao tác theo quy định.
</t>
  </si>
  <si>
    <t>Tab "Điểm danh"  Bảng dữ liệu điểm danh theo buổi học</t>
  </si>
  <si>
    <t>1. Chọn menu "Đào tạo, tập huấn" -&gt; "Khóa học"
2. Nhấn xem chi tiết khóa học
3. Chọn tab "Điểm danh"</t>
  </si>
  <si>
    <t>Hệ thống hiển thị màn hình giống với thiết kế</t>
  </si>
  <si>
    <t>Tab "Kết quả kiểm tra" Bảng dữ liệu kết quả học tập theo học viên</t>
  </si>
  <si>
    <t>1. Chọn menu "Đào tạo, tập huấn" -&gt; "Khóa học"
2. Nhấn xem chi tiết khóa học
3. Chọn tab "Kết quả kiểm tra"</t>
  </si>
  <si>
    <t xml:space="preserve">Trình duyệt kết quả khi Chưa đủ kết quả </t>
  </si>
  <si>
    <t>1. Đăng nhập tài khoản
2. Chưa đủ kết quả</t>
  </si>
  <si>
    <t>Chưa đủ kết quả, hệ thống hiển thị thông báo "Chưa nhập đủ kết quả cho tất cả học viên".</t>
  </si>
  <si>
    <t>Phê duyệt kết quả đào tạo bồi dưỡng</t>
  </si>
  <si>
    <t>CB Phê duyệt xem xét và phê duyệt kết quả đào tạo bồi dưỡng.</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</si>
  <si>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</si>
  <si>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"Phê duyệt"</t>
  </si>
  <si>
    <t xml:space="preserve">- Hệ thống hiển thị thông báo "Đã phê duyệt kết quả đào tạo".
+ Kiểm tra đã có đầy đủ dữ liệu kết quả đào tạo.
+ Cập nhật trạng thái khóa học: "Chờ duyệt kết quả" → "Hoàn thành".
+ Ghi thời điểm phê duyệt và người phê duyệt.
+ Gửi thông báo cho Cán bộ nghiệp vụ.
+ Lưu vết thao tác theo quy định.
</t>
  </si>
  <si>
    <t>Phê duyệt kết quả khi Chưa có dữ liệu kết quả</t>
  </si>
  <si>
    <t>1. Đăng nhập tài khoản
2. Chưa có dữ liệu kết quả</t>
  </si>
  <si>
    <t>Chưa có dữ liệu kết quả, hệ thống hiển thị thông báo "Chưa có kết quả đào tạo để phê duyệt".</t>
  </si>
  <si>
    <t>Phê duyệt kết quả khi Khóa học không ở trạng thái chờ phê duyệt</t>
  </si>
  <si>
    <t>1. Đăng nhập tài khoản
2. Khóa học không ở trạng thái chờ phê duyệt</t>
  </si>
  <si>
    <t>Khóa học không ở trạng thái chờ phê duyệt, hệ thống hiển thị thông báo "Khóa học không ở trạng thái chờ phê duyệt kết quả".</t>
  </si>
  <si>
    <t>Phê duyệt kết quả khi Cán bộ phê duyệt khác cấp</t>
  </si>
  <si>
    <t>1. Đăng nhập tài khoản Cán bộ phê duyệt khác cấp</t>
  </si>
  <si>
    <t>Cán bộ phê duyệt khác cấp, hệ thống hiển thị thông báo "Không có quyền phê duyệt kết quả khóa học này".</t>
  </si>
  <si>
    <t>Từ chối kết quả</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</si>
  <si>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</si>
  <si>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"Từ chối"
4. Nhập lý do hợp lệ và xác nhận</t>
  </si>
  <si>
    <t xml:space="preserve">- Tại bước 3: Hệ thống mở hộp thoại yêu cầu nhập lý do từ chối
- Tại bước 4:
+ Cập nhật trạng thái khóa học: "Chờ duyệt kết quả" → "Đã kết thúc" kèm lý do từ chối.
+ Gửi thông báo cho Cán bộ nghiệp vụ kèm lý do để rà soát, bổ sung.
+ Lưu vết thao tác theo quy định.
- Hệ thống hiển thị thông báo "Đã từ chối kết quả đào tạo".
</t>
  </si>
  <si>
    <t>Công bố kết quả đào tạo bồi dưỡng</t>
  </si>
  <si>
    <t>Cung cấp chức năng công bố kết quả, cập nhật kết quả vào tài khoản của học viên.</t>
  </si>
  <si>
    <t>1. Đăng nhập tài khoản 
2. Khóa học ở trạng thái "Hoàn thành".</t>
  </si>
  <si>
    <t>1. Chọn menu "Đào tạo, tập huấn" -&gt; "Khóa học"
2. Nhấn xem chi tiết khóa học
3. Chọn danh sách học viên và bấm nút "Công bố và sinh chứng nhận"</t>
  </si>
  <si>
    <t xml:space="preserve">- Hệ thống hiển thị thông báo "Đã phát hành chứng nhận cho {số lượng} học viên".
+ Kiểm tra các học viên được chọn có kết quả "Đạt".
+ Tự sinh số chứng nhận cho từng học viên theo định dạng chuẩn.
+ Sinh tệp chứng nhận điện tử (PDF có ký số) cho từng học viên theo hình thức tạo hàng loạt.
+ Lưu tệp vào hệ thống và liên kết với bản ghi học viên.
+ Lưu vết thao tác theo quy định.
</t>
  </si>
  <si>
    <t>Tải về chứng nhận</t>
  </si>
  <si>
    <t>1. Chọn menu "Đào tạo, tập huấn" -&gt; "Khóa học"
2. Nhấn xem chi tiết khóa học
3. Bấm nút "Tải về" trên dòng học viên có chứng nhận</t>
  </si>
  <si>
    <t>Hệ thống tải tệp PDF chứng nhận về máy người dùng.</t>
  </si>
  <si>
    <t>Xem trước chứng nhận</t>
  </si>
  <si>
    <t>1. Chọn menu "Đào tạo, tập huấn" -&gt; "Khóa học"
2. Nhấn xem chi tiết khóa học
3. Bấm nút "Xem" trên dòng học viên có chứng nhận</t>
  </si>
  <si>
    <t>Hệ thống mở cửa sổ xem trước nội dung chứng nhận điện tử.</t>
  </si>
  <si>
    <t>IV</t>
  </si>
  <si>
    <t>Quản lý thông tin chuyên gia, tư vấn viên pháp lý</t>
  </si>
  <si>
    <t>Quản lý tư vấn viên</t>
  </si>
  <si>
    <t>Tổng hợp và quản lý danh sách các tư vấn viên đã được công nhận hoặc đang chờ thẩm định.</t>
  </si>
  <si>
    <t>Tìm kiếm thông tin tư vấn viên</t>
  </si>
  <si>
    <t>Cung cấp công cụ tìm kiếm Tư vấn viên theo tên, lĩnh vực, địa bàn.</t>
  </si>
  <si>
    <t>Quản lý đăng ký tham gia mạng lưới tư vấn viên</t>
  </si>
  <si>
    <t>Người hỗ trợ</t>
  </si>
  <si>
    <t>Quản lý các hồ sơ đăng ký tham gia mạng lưới tư vấn viên từ các ứng viên.</t>
  </si>
  <si>
    <t>Quản lý cập nhật hồ sơ năng lực của tư vấn viên</t>
  </si>
  <si>
    <t>Cung cấp công cụ cho Tư vấn viên tự cập nhật thông tin cá nhân, kinh nghiệm và chứng chỉ của mình.</t>
  </si>
  <si>
    <t>Quản lý hồ sơ tư vấn viên</t>
  </si>
  <si>
    <t>Quản lý các trường dữ liệu chi tiết của từng hồ sơ tư vấn viên.</t>
  </si>
  <si>
    <t>Thẩm định hồ sơ tư vấn viên</t>
  </si>
  <si>
    <t>Cung cấp quy trình để CB Nghiệp vụ xem xét, xác minh tính hợp lệ và năng lực của hồ sơ đăng ký.</t>
  </si>
  <si>
    <t>Phê duyệt hồ sơ tư vấn viên</t>
  </si>
  <si>
    <t>Cán  bộ  phê  duyệt 
 TW,BN,ĐP</t>
  </si>
  <si>
    <t>CB Phê duyệt xem xét và phê duyệt hồ sơ đã thẩm định để công nhận Tư vấn viên.</t>
  </si>
  <si>
    <t>Cập nhật danh sách mạng lưới tư vấn viên</t>
  </si>
  <si>
    <t>Thực hiện cập nhật danh sách các tư vấn viên đã được phê duyệt lên Cổng công khai.</t>
  </si>
  <si>
    <t>Đánh giá tư vấn viên</t>
  </si>
  <si>
    <t>Cán bộ nghiệp vụ TW,BN,ĐP/Cán bộ phê duyệt TW,BN,ĐP/Doanh nghiệp</t>
  </si>
  <si>
    <t>Cung cấp công cụ để CB Nghiệp vụ, Lãnh đạo, hoặc DNNVV đánh giá chất lượng và hiệu quả hỗ trợ của từng Tư vấn viên.</t>
  </si>
  <si>
    <t>Quản lý lịch sử hỗ trợ của tư vấn viên</t>
  </si>
  <si>
    <t>Ghi nhận và theo dõi lịch sử tham gia hỗ trợ vụ việc của từng Tư vấn viên.</t>
  </si>
  <si>
    <t>Cập nhật thông tin tư vấn viên</t>
  </si>
  <si>
    <t>Thực hiện chỉnh sửa thông tin chi tiết của Tư vấn viên (địa chỉ, số điện thoại, lĩnh vực chuyên môn).</t>
  </si>
  <si>
    <t>Cập nhật trang thái hoạt động của tư vấn viên</t>
  </si>
  <si>
    <t>Thay đổi trạng thái hoạt động (Đang hoạt động, Tạm dừng, Vô hiệu hóa) của Tư vấn viên.</t>
  </si>
  <si>
    <t>V</t>
  </si>
  <si>
    <t>Quản lý vụ việc trợ giúp pháp lý</t>
  </si>
  <si>
    <t>V.I</t>
  </si>
  <si>
    <t>Quản lý tiếp nhận vụ việc</t>
  </si>
  <si>
    <t>Quản lý hồ sơ yêu cầu hỗ trợ pháp lý</t>
  </si>
  <si>
    <t>Quản lý các trường dữ liệu và tài liệu đính kèm của hồ sơ yêu cầu hỗ trợ pháp lý từ DNNVV.</t>
  </si>
  <si>
    <t>Gửi hồ sơ yêu cầu hỗ trợ pháp lý</t>
  </si>
  <si>
    <t>Doanh nghiệp</t>
  </si>
  <si>
    <t>Cung cấp giao diện cho DNNVV gửi hồ sơ yêu cầu hỗ trợ pháp lý trực tuyến.</t>
  </si>
  <si>
    <t>Tiếp nhận hồ sơ qua dịch vụ công</t>
  </si>
  <si>
    <t>Hệ thống giải quyết thủ tục hành chính BTP</t>
  </si>
  <si>
    <t>Quản lý quy trình và giao diện tiếp nhận hồ sơ yêu cầu hỗ trợ pháp lý thông qua hệ thống Dịch vụ công trực tuyến.</t>
  </si>
  <si>
    <t>Nhập hồ sơ yêu cầu</t>
  </si>
  <si>
    <t>Cung cấp giao diện cho CB Nghiệp vụ nhập hồ sơ yêu cầu hỗ trợ pháp lý thủ công (từ văn bản giấy, điện thoại...).</t>
  </si>
  <si>
    <t>Tiếp nhận hồ sơ qua email</t>
  </si>
  <si>
    <t>Quản lý quy trình tiếp nhận hồ sơ yêu cầu hỗ trợ pháp lý gửi qua email.</t>
  </si>
  <si>
    <t>Kiểm tra hồ sơ yêu cầu hỗ trợ pháp lý</t>
  </si>
  <si>
    <t>Cung cấp công cụ để CB Nghiệp vụ kiểm tra tính đầy đủ, hợp lệ của hồ sơ yêu cầu.</t>
  </si>
  <si>
    <t>Quản lý hồ sơ vụ việc</t>
  </si>
  <si>
    <t>Quản lý toàn bộ hồ sơ vụ việc, bao gồm hồ sơ yêu cầu, tài liệu bổ sung và kết quả xử lý.</t>
  </si>
  <si>
    <t>Tìm kiếm hồ sơ yêu cầu hỗ trợ pháp lý</t>
  </si>
  <si>
    <t>Tìm kiếm hồ sơ yêu cầu hỗ trợ pháp lý theo mã hồ sơ, tên doanh nghiệp, lĩnh vực.</t>
  </si>
  <si>
    <t>Lựa chọn người hỗ trợ cho vụ việc</t>
  </si>
  <si>
    <t>Cán  bộ  nghiệp 
 TW,BN,ĐP</t>
  </si>
  <si>
    <t>Cung cấp công cụ cho CB Nghiệp vụ để chọn Tư vấn viên hoặc Tổ chức tư vấn phù hợp cho vụ việc.</t>
  </si>
  <si>
    <t>Xác nhận tham gia hỗ trợ vụ việc</t>
  </si>
  <si>
    <t>Cung cấp chức năng để Người hỗ trợ xác nhận tiếp nhận và tham gia hỗ trợ vụ việc được phân công.</t>
  </si>
  <si>
    <t>Trình phê duyệt hồ sơ vụ việc</t>
  </si>
  <si>
    <t>Cung cấp quy trình để CB Nghiệp vụ trình Lãnh đạo CQQLNN phê duyệt vụ việc.</t>
  </si>
  <si>
    <t>Thông báo kết quả tiếp nhận hồ sơ</t>
  </si>
  <si>
    <t>Cung cấp chức năng gửi thông báo kết quả kiểm tra hồ sơ (Đạt/Không đạt) cho DNNVV.</t>
  </si>
  <si>
    <t>Phê duyệt hồ sơ vụ việc</t>
  </si>
  <si>
    <t>Cán  bộ  phê 
 TW,BN,ĐP</t>
  </si>
  <si>
    <t>Cung cấp chức năng để Lãnh đạo CQQLNN xem xét và phê duyệt hồ sơ vụ việc.</t>
  </si>
  <si>
    <t>Nhận thông báo kết quả tiếp nhận hồ sơ</t>
  </si>
  <si>
    <t>Cung cấp giao diện cho DNNVV nhận thông báo kết quả kiểm tra/tiếp nhận hồ sơ.</t>
  </si>
  <si>
    <t>Cập nhật kết quả hỗ trợ vụ việc</t>
  </si>
  <si>
    <t>Cung cấp công cụ cho Người hỗ trợ cập nhật kết quả, tài liệu, và báo cáo cuối cùng của quá trình hỗ trợ.</t>
  </si>
  <si>
    <t>Cập nhật kết quả vụ việc</t>
  </si>
  <si>
    <t>Cung cấp chức năng để CB Nghiệp vụ cập nhật trạng thái kết thúc và kết quả cuối cùng của vụ việc.</t>
  </si>
  <si>
    <t>Đánh giá kết quả hỗ trợ vụ việc</t>
  </si>
  <si>
    <t>Cán  bộ  nghiệp  vụ 
 TW,BN,ĐP/Doanh nghiệp</t>
  </si>
  <si>
    <t>Cung cấp chức năng để CB Nghiệp vụ hoặc DNNVV đánh giá chất lượng của quá trình hỗ trợ và kết quả vụ việc.</t>
  </si>
  <si>
    <t>V.II</t>
  </si>
  <si>
    <t>Quản lý chi trả chi phí tư vấn pháp luật</t>
  </si>
  <si>
    <t>Tiếp nhận hồ sơ đề nghị hỗ trợ chi phí từ DVC trực tuyến</t>
  </si>
  <si>
    <t>Quản lý quy trình tiếp nhận hồ sơ đề nghị hỗ trợ chi phí qua hệ thống Dịch vụ công.</t>
  </si>
  <si>
    <t>Quản lý hồ sơ đề nghị hỗ trợ chi phí</t>
  </si>
  <si>
    <t>Quản lý toàn bộ hồ sơ đề nghị hỗ trợ chi phí từ các Tư vấn viên/Tổ chức tư vấn.</t>
  </si>
  <si>
    <t>Kiểm tra hồ sơ hồ sơ đề nghị hỗ trợ chi phí</t>
  </si>
  <si>
    <t>Cung cấp công cụ để CB Nghiệp vụ kiểm tra tính hợp lệ, đầy đủ của hồ sơ đề nghị hỗ trợ chi phí.</t>
  </si>
  <si>
    <t>Thông báo kết quả kiểm tra hồ sơ qua DVC trực tuyến</t>
  </si>
  <si>
    <t>Cung cấp chức năng gửi thông báo kết quả kiểm tra hồ sơ đề nghị hỗ trợ chi phí cho người đề nghị qua hệ thống Dịch vụ công.</t>
  </si>
  <si>
    <t>Đánh giá hồ sơ theo các tiêu chí</t>
  </si>
  <si>
    <t>Cung cấp công cụ để CB Nghiệp vụ đánh giá hồ sơ theo các tiêu chí định mức, định lượng chi phí hỗ trợ.</t>
  </si>
  <si>
    <t>Quản lý hồ sơ đề nghị thanh toán</t>
  </si>
  <si>
    <t>Quản lý hồ sơ đề nghị thanh toán chính thức sau khi hồ sơ hỗ trợ chi phí đã được đánh giá.</t>
  </si>
  <si>
    <t>Gửi hồ sơ đề nghị thanh toán</t>
  </si>
  <si>
    <t>Cung cấp chức năng gửi hồ sơ đề nghị thanh toán cho bộ phận Kế toán/Tài chính.</t>
  </si>
  <si>
    <t>Nhận thông báo kết quả xử lý hồ sơ đề nghị thanh toán</t>
  </si>
  <si>
    <t>Cung cấp giao diện cho Tư vấn viên nhận thông báo về kết quả xử lý hồ sơ đề nghị thanh toán.</t>
  </si>
  <si>
    <t>Thẩm định hồ sơ đề nghị thanh toán</t>
  </si>
  <si>
    <t>Cung cấp quy trình để CB Nghiệp vụ/Bộ phận Kế toán thẩm định tính hợp lệ của hồ sơ đề nghị thanh toán.</t>
  </si>
  <si>
    <t>Thông báo kết quả thẩm định hồ sơ đề nghị thanh toán</t>
  </si>
  <si>
    <t>Gửi thông báo kết quả thẩm định hồ sơ đề nghị thanh toán cho Tư vấn viên.</t>
  </si>
  <si>
    <t>Trình phê duyệt hồ sơ đề nghị thanh toán</t>
  </si>
  <si>
    <t>Cung cấp quy trình để CB Nghiệp vụ trình Lãnh đạo CQQLNN phê duyệt hồ sơ đề nghị thanh toán.</t>
  </si>
  <si>
    <t>Phê duyệt hồ sơ đề nghị thanh toán</t>
  </si>
  <si>
    <t>Cung cấp chức năng cho Lãnh đạo CQQLNN xem xét và phê duyệt hồ sơ đề nghị thanh toán.</t>
  </si>
  <si>
    <t>Cập nhật kết quả xử lý hồ sơ đề nghị thanh toán</t>
  </si>
  <si>
    <t>Cập nhật trạng thái cuối cùng của hồ sơ (Đã thanh toán/Từ chối thanh toán).</t>
  </si>
  <si>
    <t>V.III</t>
  </si>
  <si>
    <t>Quản lý doanh nghiệp được hỗ trợ pháp lý</t>
  </si>
  <si>
    <t>Quản lý thông tin hồ sơ của các DNNVV đã từng nhận hỗ trợ pháp lý.</t>
  </si>
  <si>
    <t>Tìm kiếm doanh nghiệp được hỗ trợ pháp lý</t>
  </si>
  <si>
    <t>Tìm kiếm hồ sơ doanh nghiệp theo tên, mã số thuế, lĩnh vực kinh doanh.</t>
  </si>
  <si>
    <t>VI</t>
  </si>
  <si>
    <t>Quản lý kiểm tra, đánh giá hiệu quả hỗ trợ</t>
  </si>
  <si>
    <t>Lập kế hoạch đánh giá</t>
  </si>
  <si>
    <t>Cung cấp công cụ để CB Nghiệp vụ lập kế hoạch chi tiết (mục tiêu, thời gian, đối tượng) cho các đợt đánh giá chất lượng.</t>
  </si>
  <si>
    <t>Thiết lập các tiêu chí đánh giá</t>
  </si>
  <si>
    <t>Quản lý việc định nghĩa, chỉnh sửa các tiêu chí được sử dụng để đánh giá chất lượng hỗ trợ.</t>
  </si>
  <si>
    <t>Phân công người thực hiện đánh giá</t>
  </si>
  <si>
    <t>Phân công CB Nghiệp vụ hoặc chuyên gia độc lập thực hiện nhiệm vụ đánh giá.</t>
  </si>
  <si>
    <t>Phê duyệt phân công đánh giá</t>
  </si>
  <si>
    <t>Lãnh đạo CQQLNN phê duyệt danh sách người thực hiện đánh giá.</t>
  </si>
  <si>
    <t>Chọn vụ việc đánh giá</t>
  </si>
  <si>
    <t>Lựa chọn các vụ việc cụ thể để tiến hành kiểm tra, đánh giá chất lượng.</t>
  </si>
  <si>
    <t>Thực hiện đánh giá</t>
  </si>
  <si>
    <t>Cung cấp giao diện để nhập kết quả đánh giá (điểm số, nhận xét) theo các tiêu chí đã thiết lập.</t>
  </si>
  <si>
    <t>Lập báo cáo đánh giá</t>
  </si>
  <si>
    <t>Cung cấp công cụ để tổng hợp kết quả và lập báo cáo đánh giá chất lượng/hiệu quả hỗ trợ.</t>
  </si>
  <si>
    <t>Trình phê duyệt báo cáo đánh giá</t>
  </si>
  <si>
    <t>Cung cấp quy trình để CB Nghiệp vụ trình Lãnh đạo CQQLNN phê duyệt báo cáo đánh giá.</t>
  </si>
  <si>
    <t>Phê duyệt báo cáo đánh giá</t>
  </si>
  <si>
    <t>Lãnh đạo CQQLNN xem xét và phê duyệt báo cáo đánh giá.</t>
  </si>
  <si>
    <t>VII</t>
  </si>
  <si>
    <t>Quản lý Thư viện biểu mẫu, hợp đồng</t>
  </si>
  <si>
    <t>VII.1</t>
  </si>
  <si>
    <t>Quản lý thư mục biểu mẫu</t>
  </si>
  <si>
    <t>Quản lý thư mục biểu mẫu, hợp đồng</t>
  </si>
  <si>
    <t>Quản lý việc tạo, chỉnh sửa, phân loại các thư mục chứa biểu mẫu/hợp đồng.</t>
  </si>
  <si>
    <t>Tìm kiếm thư mục biểu mẫu, hợp đồng</t>
  </si>
  <si>
    <t>Tìm kiếm thư mục theo tên, lĩnh vực.</t>
  </si>
  <si>
    <t>Công khai thư mục biểu mẫu, hợp đồng lên cổng thông tin</t>
  </si>
  <si>
    <t>Đăng tải các thư mục đã được phê duyệt lên Cổng để DNNVV truy cập.</t>
  </si>
  <si>
    <t>VII.2</t>
  </si>
  <si>
    <t>Quản lý danh sách biểu mẫu</t>
  </si>
  <si>
    <t>Quản lý biểu mẫu, hợp đồng</t>
  </si>
  <si>
    <t>Quản lý việc tải lên, chỉnh sửa, phân loại chi tiết từng biểu mẫu/hợp đồng.</t>
  </si>
  <si>
    <t>Tìm kiếm biểu mẫu, hợp đồng</t>
  </si>
  <si>
    <t>Tìm kiếm biểu mẫu, hợp đồng theo từ khóa, lĩnh vực, loại hình.</t>
  </si>
  <si>
    <t>Công khai biểu mẫu, hợp đồng lên cổng thông tin</t>
  </si>
  <si>
    <t>Đăng tải các biểu mẫu/hợp đồng đã được phê duyệt lên Cổng.</t>
  </si>
  <si>
    <t>Import biểu mẫu, hợp đồng</t>
  </si>
  <si>
    <t>Cung cấp chức năng tải lên và nhập hàng loạt biểu mẫu, hợp đồng vào hệ thống.</t>
  </si>
  <si>
    <t>VIII</t>
  </si>
  <si>
    <t>Quản trị hệ thống</t>
  </si>
  <si>
    <t>Quản lý danh mục lĩnh vực pháp lý</t>
  </si>
  <si>
    <t>Quan trị hệ thống</t>
  </si>
  <si>
    <t>Quản lý danh sách các lĩnh vực pháp lý (Ví dụ: Thuế, Lao động) được sử dụng thống nhất trong toàn hệ thống.</t>
  </si>
  <si>
    <t>Quản lý danh mục loại hình hỗ trợ</t>
  </si>
  <si>
    <t>Quản lý các loại hình hỗ trợ (Tư vấn, Tố tụng, Đào tạo...)</t>
  </si>
  <si>
    <t>Quản lý danh mục chương 
 trình hỗ trợ</t>
  </si>
  <si>
    <t>Quản lý danh sách các Chương trình hỗ trợ đang được triển khai.</t>
  </si>
  <si>
    <t>Quản lý danh mục tình trạng vụ việc</t>
  </si>
  <si>
    <t>Quản lý các trạng thái xử lý vụ việc (Mới tiếp nhận, Đang xử lý, Đã hoàn thành...).</t>
  </si>
  <si>
    <t>Quản lý danh mục cơ quan đơn vị quản lý</t>
  </si>
  <si>
    <t>Quản lý danh sách các Cơ quan/Đơn vị tham gia hệ thống (Sở Tư pháp, Bộ ngành...).</t>
  </si>
  <si>
    <t>Quản lý danh mục Tổ chức tư vấn</t>
  </si>
  <si>
    <t>Quản lý danh sách các Tổ chức tư vấn tham gia mạng lưới.</t>
  </si>
  <si>
    <t>Quản lý danh mục loại doanh nghiệp</t>
  </si>
  <si>
    <t>Quản lý các loại hình doanh nghiệp (DNNVV, DN lớn, Hộ kinh doanh...).</t>
  </si>
  <si>
    <t>Quản lý danh mục hồ sơ đề nghị hỗ trợ</t>
  </si>
  <si>
    <t>Quản lý các loại hồ sơ/biểu mẫu đề nghị hỗ trợ.</t>
  </si>
  <si>
    <t>Quản lý danh mục hồ sơ đề nghị thanh toán</t>
  </si>
  <si>
    <t>Quản lý các loại hồ sơ/biểu mẫu đề nghị thanh toán chi phí.</t>
  </si>
  <si>
    <t>Quản lý cấu hình thời hạn xử lý hồ sơ</t>
  </si>
  <si>
    <t>Cho phép thiết lập thời hạn xử lý mặc định cho từng loại vụ việc hoặc từng trạng thái hồ sơ.</t>
  </si>
  <si>
    <t>Quản lý danh mục tiêu chí đánh giá hiệu quả</t>
  </si>
  <si>
    <t>Quản lý các tiêu chí được sử dụng để đánh giá hiệu quả hỗ trợ.</t>
  </si>
  <si>
    <t>Quản lý danh mục tiêu chí đánh giá hỗ trợ chi phí</t>
  </si>
  <si>
    <t>Quản lý các tiêu chí định mức để đánh giá hồ sơ đề nghị hỗ trợ chi phí.</t>
  </si>
  <si>
    <t>Quản lý danh mục loại tài khoản</t>
  </si>
  <si>
    <t>Quản lý các loại tài khoản người dùng (CB Nghiệp vụ, Lãnh đạo, Tư vấn viên...).</t>
  </si>
  <si>
    <t>Quản lý vai trò</t>
  </si>
  <si>
    <t>Quản lý các nhóm quyền (Vai trò) trong hệ thống.</t>
  </si>
  <si>
    <t>Quản lý tài khoản người dùng</t>
  </si>
  <si>
    <t>Tạo, chỉnh sửa, vô hiệu hóa tài khoản người dùng.</t>
  </si>
  <si>
    <t>Quản lý phân quyền truy cập dữ liệu</t>
  </si>
  <si>
    <t>Thiết lập quyền truy cập dữ liệu theo cấp độ (Ví dụ: chỉ xem vụ việc của đơn vị mình).</t>
  </si>
  <si>
    <t>Quản lý phân quyền chức năng</t>
  </si>
  <si>
    <t>Gán/hủy quyền sử dụng chức năng (menu) cho từng vai trò người dùng.</t>
  </si>
  <si>
    <t>Quản lý loại hình tiếp nhận hồ sơ</t>
  </si>
  <si>
    <t>Quản lý các phương thức tiếp nhận hồ sơ (Trực tuyến, Trực tiếp, Email...).</t>
  </si>
  <si>
    <t>Quản lý danh mục kênh tiếp nhận hồ sơ</t>
  </si>
  <si>
    <t>Quản lý các kênh tiếp nhận hồ sơ.</t>
  </si>
  <si>
    <t>Quản lý đăng nhập</t>
  </si>
  <si>
    <t>Cán bộ nghiệp vụ TW,BN,ĐP/Cán bộ phê duyệt TW,BN,ĐP/Doanh nghiệp/Người hỗ trợ/Quản 
 trị hệ thống</t>
  </si>
  <si>
    <t>Quản lý quy trình xác thực và đăng nhập người dùng.</t>
  </si>
  <si>
    <t>Quản lý đăng xuất</t>
  </si>
  <si>
    <t>Quản lý quy trình kết thúc phiên làm việc của người dùng.</t>
  </si>
  <si>
    <t>Quản lý đăng ký tài khoản</t>
  </si>
  <si>
    <t>Quản lý đăng ký tài khoản trên hệ thống</t>
  </si>
  <si>
    <t>Quản lý đăng nhập bằng 
 VneID</t>
  </si>
  <si>
    <t>Hệ thống Vneid</t>
  </si>
  <si>
    <t>Đăng nhập bằng tài khoản Vneid</t>
  </si>
  <si>
    <t>Quản lý đăng xuất bằng VneID</t>
  </si>
  <si>
    <t>Đăng xuất bằng tài khoản Vneid</t>
  </si>
  <si>
    <t>Quản lý đồng bộ tài khoản 
 VNeID</t>
  </si>
  <si>
    <t>Cấu hình đồng bộ giữa tài khoản đăng ký và tài khoản 
 Vneid</t>
  </si>
  <si>
    <t>IX</t>
  </si>
  <si>
    <t>Báo cáo thống kê</t>
  </si>
  <si>
    <t>Báo cáo thống kê số lượng hỏi đáp, vướng mắc</t>
  </si>
  <si>
    <t>Thống kê số lượng yêu cầu hỏi đáp/vướng mắc theo thời gian, lĩnh vực.</t>
  </si>
  <si>
    <t>Báo cáo thống kê vụ việc đã tiếp nhận</t>
  </si>
  <si>
    <t>Thống kê số lượng vụ việc đã tiếp nhận theo thời gian, đơn vị quản lý.</t>
  </si>
  <si>
    <t>Báo cáo thống kê vụ việc đang hỗ trợ</t>
  </si>
  <si>
    <t>Thống kê số lượng vụ việc đang được xử lý theo đơn vị, chuyên gia.</t>
  </si>
  <si>
    <t>Báo cáo thống kê vụ việc đã hoàn thành hỗ trợ</t>
  </si>
  <si>
    <t>Thống kê số lượng vụ việc đã hoàn thành theo đơn vị, thời gian.</t>
  </si>
  <si>
    <t>Báo cáo thống kê vụ việc theo thời gian</t>
  </si>
  <si>
    <t>Thống kê diễn biến số lượng vụ việc theo các mốc thời gian (ngày, tuần, tháng, quý).</t>
  </si>
  <si>
    <t>Báo cáo thống kê các lớp đào tạo bồi dưỡng đang diễn ra</t>
  </si>
  <si>
    <t>Thống kê chi tiết các lớp đào tạo đang được triển khai.</t>
  </si>
  <si>
    <t>Báo cáo thống kê các lớp đào tạo bồi dưỡng đã diễn ra</t>
  </si>
  <si>
    <t>Thống kê chi tiết các lớp đào tạo đã kết thúc và kết quả.</t>
  </si>
  <si>
    <t>Báo cáo thống kê số lượng chuyên gia tư vấn pháp luật</t>
  </si>
  <si>
    <t>Thống kê số lượng chuyên gia/tư vấn viên theo lĩnh vực chuyên môn, địa bàn.</t>
  </si>
  <si>
    <t>Báo cáo thống kê đánh giá hiệu quả hỗ trợ pháp lý</t>
  </si>
  <si>
    <t>Thống kê kết quả đánh giá chất lượng hỗ trợ (điểm số, tỷ lệ hài lòng).</t>
  </si>
  <si>
    <t>Báo cáo thống kê chất lượng đào tạo bồi dưỡng pháp lý</t>
  </si>
  <si>
    <t>Thống kê kết quả kiểm tra, tỷ lệ học viên đạt yêu cầu của các khóa bồi dưỡng.</t>
  </si>
  <si>
    <t>Báo cáo thông kê vụ việc theo đơn vị quản lý</t>
  </si>
  <si>
    <t>Thống kê số lượng vụ việc theo từng đơn vị quản lý (Sở Tư pháp, Bộ ngành...).</t>
  </si>
  <si>
    <t>Báo cáo thông kê vụ việc theo lĩnh vực</t>
  </si>
  <si>
    <t>Thống kê số lượng vụ việc theo từng lĩnh vực pháp lý (Lao động, Thuế, Đất đai...).</t>
  </si>
  <si>
    <t>Báo cáo thống kê vụ việc theo loại hình doanh nghiệp</t>
  </si>
  <si>
    <t>Thống kê số lượng vụ việc được hỗ trợ theo loại hình doanh nghiệp.</t>
  </si>
  <si>
    <t>Thống kê chi tiết diễn biến số lượng vụ việc theo các khoảng thời gian cụ thể.</t>
  </si>
  <si>
    <t>Báo cáo thống kê chi chi phí chi trả hỗ trợ</t>
  </si>
  <si>
    <t>Tổng hợp chi phí chi trả hỗ trợ pháp lý đã được thanh toán.</t>
  </si>
  <si>
    <t>Báo cáo thống kê chi chi phí chi trả hỗ trợ theo đơn vị quản lý</t>
  </si>
  <si>
    <t>Thống kê chi phí chi trả hỗ trợ pháp lý theo từng đơn vị quản lý.</t>
  </si>
  <si>
    <t>Báo cáo thống kê chi chi phí chi trả hỗ trợ theo lĩnh vực</t>
  </si>
  <si>
    <t>Thống kê chi phí chi trả hỗ trợ pháp lý theo từng lĩnh vực pháp lý.</t>
  </si>
  <si>
    <t>Báo cáo thống kê chi chi phí chi trả hỗ trợ theo loại hình doanh nghiệp</t>
  </si>
  <si>
    <t>Thống kê chi phí chi trả hỗ trợ pháp lý theo loại hình doanh nghiệp.</t>
  </si>
  <si>
    <t>Báo cáo thống kê chi chi phí chi trả hỗ trợ theo thời gian</t>
  </si>
  <si>
    <t>Thống kê chi phí chi trả hỗ trợ pháp lý theo thời gian.</t>
  </si>
  <si>
    <t>Báo cáo thống kê số lượng chương trình hỗ trợ</t>
  </si>
  <si>
    <t>Thống kê số lượng các chương trình hỗ trợ pháp lý đã và đang triển khai.</t>
  </si>
  <si>
    <t>Báo cáo thống kê chương trình theo đơn vị quản lý</t>
  </si>
  <si>
    <t>Thống kê số lượng chương trình hỗ trợ theo đơn vị quản lý.</t>
  </si>
  <si>
    <t>Báo cáo thống kê chương trình theo lĩnh vực</t>
  </si>
  <si>
    <t>Thống kê số lượng chương trình hỗ trợ theo lĩnh vực pháp lý.</t>
  </si>
  <si>
    <t>Báo cáo thống kê chương trình theo thời gian</t>
  </si>
  <si>
    <t>Thống kê số lượng chương trình hỗ trợ theo thời gian.</t>
  </si>
  <si>
    <t>X</t>
  </si>
  <si>
    <t>Quản lý tư vấn chuyên sâu với chuyên gia</t>
  </si>
  <si>
    <t>X.1</t>
  </si>
  <si>
    <t>Quản lý nội dung tư vấn chuyên sâu</t>
  </si>
  <si>
    <t>Quản lý nội dung tư vấn với chuyên gia</t>
  </si>
  <si>
    <t>Tổng hợp và quản lý các nội dung tư vấn chuyên sâu từ DNNVV với cho chuyên gia.</t>
  </si>
  <si>
    <t>Tìm kiếm nội dung tư vấn với chuyên gia</t>
  </si>
  <si>
    <t>Cán  bộ  nghiệp  vụ 
 TW,BN,ĐP/Người hỗ trợ</t>
  </si>
  <si>
    <t>Tìm kiếm các nội dung tư vấn đang được xử lý bởi chuyên gia.</t>
  </si>
  <si>
    <t>Tiếp nhận nội dung tư vấn với chuyên gia</t>
  </si>
  <si>
    <t>Cổng Pháp luật quốc gia</t>
  </si>
  <si>
    <t>Ghi nhận nội dung tư vấn chuyên sâu và đưa vào cơ sở dữ liệu</t>
  </si>
  <si>
    <t>Quản lý hồ sơ pháp lý doanh nghiệp</t>
  </si>
  <si>
    <t>Quản lý các tài liệu, hồ sơ pháp lý liên quan của DNNVV trong quá trình tư vấn.</t>
  </si>
  <si>
    <t>Tiếp nhận hồ sơ pháp lý doanh nghiệp</t>
  </si>
  <si>
    <t>Tiếp nhận hồ sơ pháp lý của doanh nghiệp được gửi từ 
 Cổng Pháp luật quốc gia</t>
  </si>
  <si>
    <t>Quản lý tư liệu pháp lý của vụ việc</t>
  </si>
  <si>
    <t>Quản lý các văn bản, tài liệu, nghiên cứu được chuyên gia sử dụng để tư vấn cho vụ việc.</t>
  </si>
  <si>
    <t>Tiếp nhận đánh giá chất lượng tư vấn với chuyên gia</t>
  </si>
  <si>
    <t>Quản lý việc thiết lập và thu thập phản hồi khảo sát về chất lượng tư vấn.</t>
  </si>
  <si>
    <t>X.2</t>
  </si>
  <si>
    <t>Quản lý tư vấn nhanh</t>
  </si>
  <si>
    <t>Quản lý kho câu hỏi, tư vấn</t>
  </si>
  <si>
    <t>Quản lý ngân hàng dữ liệu câu hỏi và câu trả lời đã được xử lý.</t>
  </si>
  <si>
    <t>Phê duyệt nội dung câu hỏi, tư vấn</t>
  </si>
  <si>
    <t>Quản lý phê duyệt câu hỏi.</t>
  </si>
  <si>
    <t>Quản lý công khai câu hỏi, tư vấn</t>
  </si>
  <si>
    <t>Tìm kiếm câu hỏi, tư vấn</t>
  </si>
  <si>
    <t>Cung cấp công cụ tìm kiếm phản hồi trong kho câu hỏi/tư vấn nhanh.</t>
  </si>
  <si>
    <t>Tiếp nhận đánh giá chất lượng tư vấn nhanh</t>
  </si>
  <si>
    <t>Tiếp nhận đánh giá mức độ hữu ích của câu trả lời từ hệ thống tư vấn nhanh của DNNVV từ Cổng Pháp luật quốc gia</t>
  </si>
  <si>
    <t>X.3</t>
  </si>
  <si>
    <t>Quản lý hợp đồng tư vấn</t>
  </si>
  <si>
    <t>Quản lý hợp đồng tư vấn với chuyên gia</t>
  </si>
  <si>
    <t>Quản lý các hợp đồng dịch vụ tư vấn chuyên sâu giữa DNNVV và chuyên gia.</t>
  </si>
  <si>
    <t>XI</t>
  </si>
  <si>
    <t>Quản lý kế hoạch thực hiện chương trình hỗ trợ pháp lý doanh nghiệp</t>
  </si>
  <si>
    <t>Quản lý kế hoạch thực hiện chương trình hỗ trợ pháp lý</t>
  </si>
  <si>
    <t>Tổng hợp và quản lý các kế hoạch thực hiện chương trình hỗ trợ pháp lý (cấp TW và địa phương).</t>
  </si>
  <si>
    <t>Tìm kiếm kế hoạch thực hiện chương trình hỗ trợ pháp lý</t>
  </si>
  <si>
    <t>Tìm kiếm kế hoạch thực hiện chương trình hỗ trợ theo tên, đơn vị quản lý, thời gian, lĩnh vực.</t>
  </si>
  <si>
    <t>Trình phê duyệt kế hoạch thực hiện chương trình hỗ trợ pháp lý</t>
  </si>
  <si>
    <t>Cung cấp quy trình để trình Lãnh đạo CQQLNN phê duyệt kế hoạch thực hiện chương trình hỗ trợ.</t>
  </si>
  <si>
    <t>Phê duyệt kế hoạch thực hiện chương trình hỗ trợ pháp lý</t>
  </si>
  <si>
    <t>Lãnh đạo CQQLNN xem xét và phê duyệt kế hoạch thực hiện chương trình hỗ trợ.</t>
  </si>
  <si>
    <t>Công bố kế hoạch thực hiện chương trình hỗ trợ pháp lý</t>
  </si>
  <si>
    <t>Đăng tải kế hoạch chi tiết của chương trình đã phê duyệt lên Cổng TTĐT.</t>
  </si>
  <si>
    <t>Lập báo cáo kết quả thực hiện chương trình</t>
  </si>
  <si>
    <t>Cung cấp công cụ để CB Nghiệp vụ lập báo cáo kết quả thực hiện chương trình.</t>
  </si>
  <si>
    <t>Trình phê duyệt báo cáo kết quả thực hiện chương trình</t>
  </si>
  <si>
    <t>Trình Lãnh đạo CQQLNN phê duyệt báo cáo kết quả thực hiện chương trình.</t>
  </si>
  <si>
    <t>Gửi kết quả thực hiện chương trình hỗ trợ pháp lý</t>
  </si>
  <si>
    <t>Cán bộ nghiệp vụ BN,ĐP</t>
  </si>
  <si>
    <t>Gửi báo cáo kết quả thực hiện chương trình cho các bên liên quan.</t>
  </si>
  <si>
    <t>Tổng hợp báo cáo thực hiện chương trình hỗ trợ pháp lý</t>
  </si>
  <si>
    <t>Cán bộ nghiệp vụ TW</t>
  </si>
  <si>
    <t>Tổng hợp báo cáo thực hiện chương trình từ nhiều đơn vị.</t>
  </si>
  <si>
    <t>XII</t>
  </si>
  <si>
    <t>API kết nối chia sẻ dữ liệu</t>
  </si>
  <si>
    <t>API chia sẻ thông tin hỏi đáp, vướng mắc pháp lý</t>
  </si>
  <si>
    <t>Hệ thống khác</t>
  </si>
  <si>
    <t>Cung cấp API để các hệ thống bên ngoài truy vấn/nhận thông tin hỏi đáp đã công khai.</t>
  </si>
  <si>
    <t>API tìm kiếm thông tin hỏi đáp, vướng mắc pháp lý</t>
  </si>
  <si>
    <t>Cung cấp API để các hệ thống bên ngoài tìm kiếm trong kho dữ liệu hỏi đáp.</t>
  </si>
  <si>
    <t>API chia sẻ thông tin đào tạo, bồi dưỡng cán bộ</t>
  </si>
  <si>
    <t>Cung cấp API để chia sẻ thông tin về các khóa đào tạo/bồi dưỡng.</t>
  </si>
  <si>
    <t>API tìm kiếm thông tin đào tạo, bồi dưỡng cán bộ</t>
  </si>
  <si>
    <t>Cung cấp API để tìm kiếm thông tin về các khóa đào tạo.</t>
  </si>
  <si>
    <t>API chia sẻ thông tin chuyên gia, tư vấn viên pháp lý</t>
  </si>
  <si>
    <t>Cung cấp API để chia sẻ thông tin về mạng lưới tư vấn viên (hồ sơ công khai).</t>
  </si>
  <si>
    <t>API tìm kiếm thông tin chuyên gia, tư vấn viên pháp lý</t>
  </si>
  <si>
    <t>Cung cấp API để các hệ thống ngoài tìm kiếm chuyên gia theo lĩnh vực/địa bàn.</t>
  </si>
  <si>
    <t>API chia sẻ vụ việc hỗ trợ pháp lý cho doanh nghiệp</t>
  </si>
  <si>
    <t>Cung cấp API để chia sẻ thông tin vụ việc hỗ trợ pháp lý cho doanh nghiệp (ví dụ: cho các hệ thống giám sát).</t>
  </si>
  <si>
    <t>API tìm kiếm vụ việc hỗ trợ pháp lý cho doanh nghiệp</t>
  </si>
  <si>
    <t>Cung cấp API để tìm kiếm vụ việc hỗ trợ pháp lý cho doanh nghiệp theo các tiêu chí.</t>
  </si>
  <si>
    <t>API chia sẻ kiểm tra, đánh giá hiệu quả hỗ trợ pháp lý</t>
  </si>
  <si>
    <t>Cung cấp API để chia sẻ kết quả kiểm tra, đánh giá hiệu quả hỗ trợ pháp lý cho doanh nghiệp.</t>
  </si>
  <si>
    <t>API tìm kiếm kiểm tra, đánh giá hiệu quả hỗ trợ pháp lý</t>
  </si>
  <si>
    <t>Cung cấp API để tìm kiếm kết quả đánh giá hỗ trợ pháp lý cho doanh nghiệp.</t>
  </si>
  <si>
    <t>API chia sẻ thư viện biểu mẫu, hợp đồng</t>
  </si>
  <si>
    <t>Cung cấp API để chia sẻ dữ liệu từ kho thư viện biểu mẫu, hợp đồng.</t>
  </si>
  <si>
    <t>API tìm kiếm thư viện biểu mẫu, hợp đồng</t>
  </si>
  <si>
    <t>Cung cấp API để tìm kiếm trong kho thư viện.</t>
  </si>
  <si>
    <t>API chia sẻ tư vấn chuyên sâu với chuyên gia</t>
  </si>
  <si>
    <t>Cung cấp API để chia sẻ thông tin liên quan đến các phiên tư vấn chuyên sâu.</t>
  </si>
  <si>
    <t>API tìm kiếm tư vấn chuyên sâu với chuyên gia</t>
  </si>
  <si>
    <t>Cung cấp API để tìm kiếm thông tin tư vấn chuyên sâu.</t>
  </si>
  <si>
    <t>API chia sẻ kế hoạch thực hiện chương trình hỗ trợ pháp lý doanh nghiệp</t>
  </si>
  <si>
    <t>Cung cấp API để chia sẻ thông tin các kế hoạch thực hiện chương trình hỗ trợ pháp lý cho doanh nghiệp.</t>
  </si>
  <si>
    <t>API tìm kiếm kế hoạch thực hiện chương trình hỗ trợ pháp lý doanh nghiệp</t>
  </si>
  <si>
    <t>Cung cấp API để tìm kiếm thông tin các kế hoạch thực hiện chương trình hỗ trợ pháp lý cho doanh nghiệp.</t>
  </si>
  <si>
    <t>API chia sẻ hồ sơ pháp lý doanh nghiệp</t>
  </si>
  <si>
    <t>Cung cấp API để chia sẻ thông tin các hồ sơ pháp lý doanh nghiệp.</t>
  </si>
  <si>
    <t>API tìm kiếm hồ sơ pháp lý doanh nghiệp</t>
  </si>
  <si>
    <t>Cung cấp API để tìm kiếm thông tin các hồ sơ pháp lý doanh nghiệp.</t>
  </si>
  <si>
    <t>Tên PM</t>
  </si>
  <si>
    <t>Tổng</t>
  </si>
  <si>
    <t>TGPL DN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</si>
</sst>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16">
    <font>
      <sz val="10.0"/>
      <color rgb="FF000000"/>
      <name val="Arial"/>
      <scheme val="minor"/>
    </font>
    <font>
      <b/>
      <sz val="12.0"/>
      <color theme="1"/>
      <name val="Times New Roman"/>
    </font>
    <font>
      <sz val="12.0"/>
      <color theme="1"/>
      <name val="Times New Roman"/>
    </font>
    <font>
      <u/>
      <sz val="12.0"/>
      <color rgb="FF0000FF"/>
      <name val="Times New Roman"/>
    </font>
    <font>
      <sz val="12.0"/>
      <color rgb="FF000000"/>
      <name val="Times New Roman"/>
    </font>
    <font>
      <u/>
      <sz val="12.0"/>
      <color theme="1"/>
      <name val="Times New Roman"/>
    </font>
    <font>
      <u/>
      <sz val="12.0"/>
      <color rgb="FF0000FF"/>
      <name val="Times New Roman"/>
    </font>
    <font>
      <sz val="11.0"/>
      <color rgb="FF000000"/>
      <name val="Calibri"/>
    </font>
    <font>
      <u/>
      <sz val="12.0"/>
      <color rgb="FF0000FF"/>
      <name val="Times New Roman"/>
    </font>
    <font>
      <u/>
      <sz val="12.0"/>
      <color theme="1"/>
      <name val="Times New Roman"/>
    </font>
    <font>
      <u/>
      <sz val="12.0"/>
      <color rgb="FF0000FF"/>
      <name val="Times New Roman"/>
    </font>
    <font>
      <color theme="1"/>
      <name val="Arial"/>
    </font>
    <font/>
    <font>
      <b/>
      <sz val="14.0"/>
      <color theme="1"/>
      <name val="Times New Roman"/>
    </font>
    <font>
      <sz val="14.0"/>
      <color theme="1"/>
      <name val="Times New Roman"/>
    </font>
    <font>
      <color theme="1"/>
      <name val="Arial"/>
      <scheme val="minor"/>
    </font>
  </fonts>
  <fills count="10">
    <fill>
      <patternFill patternType="none"/>
    </fill>
    <fill>
      <patternFill patternType="lightGray"/>
    </fill>
    <fill>
      <patternFill patternType="solid">
        <fgColor rgb="FFEA9999"/>
        <bgColor rgb="FFEA9999"/>
      </patternFill>
    </fill>
    <fill>
      <patternFill patternType="solid">
        <fgColor rgb="FFB6D7A8"/>
        <bgColor rgb="FFB6D7A8"/>
      </patternFill>
    </fill>
    <fill>
      <patternFill patternType="solid">
        <fgColor rgb="FF9FC5E8"/>
        <bgColor rgb="FF9FC5E8"/>
      </patternFill>
    </fill>
    <fill>
      <patternFill patternType="solid">
        <fgColor rgb="FFFFFFFF"/>
        <bgColor rgb="FFFFFFFF"/>
      </patternFill>
    </fill>
    <fill>
      <patternFill patternType="solid">
        <fgColor rgb="FFFFE599"/>
        <bgColor rgb="FFFFE599"/>
      </patternFill>
    </fill>
    <fill>
      <patternFill patternType="solid">
        <fgColor rgb="FFFF0000"/>
        <bgColor rgb="FFFF0000"/>
      </patternFill>
    </fill>
    <fill>
      <patternFill patternType="solid">
        <fgColor theme="0"/>
        <bgColor theme="0"/>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2" numFmtId="0" xfId="0" applyAlignment="1" applyBorder="1" applyFont="1">
      <alignment shrinkToFit="0" vertical="center" wrapText="1"/>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1"/>
    </xf>
    <xf borderId="0" fillId="0" fontId="2" numFmtId="164" xfId="0" applyAlignment="1" applyFont="1" applyNumberForma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readingOrder="0" shrinkToFit="0" vertical="center" wrapText="1"/>
    </xf>
    <xf borderId="0" fillId="3" fontId="2" numFmtId="0" xfId="0" applyAlignment="1" applyFill="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readingOrder="0" shrinkToFit="0" vertical="center" wrapText="1"/>
    </xf>
    <xf borderId="1" fillId="4" fontId="2" numFmtId="0" xfId="0" applyAlignment="1" applyBorder="1" applyFill="1" applyFont="1">
      <alignment readingOrder="0" shrinkToFit="0" vertical="center" wrapText="1"/>
    </xf>
    <xf borderId="0" fillId="5" fontId="2" numFmtId="0" xfId="0" applyAlignment="1" applyFill="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2" numFmtId="0" xfId="0" applyAlignment="1" applyBorder="1" applyFont="1">
      <alignment readingOrder="0" shrinkToFit="0" vertical="center" wrapText="1"/>
    </xf>
    <xf borderId="1" fillId="3" fontId="2" numFmtId="0" xfId="0" applyAlignment="1" applyBorder="1" applyFont="1">
      <alignment horizontal="left" readingOrder="0"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4" fontId="2" numFmtId="0" xfId="0" applyAlignment="1" applyBorder="1" applyFont="1">
      <alignment horizontal="left" readingOrder="0" shrinkToFit="0" vertical="center" wrapText="1"/>
    </xf>
    <xf borderId="1" fillId="5" fontId="2" numFmtId="0" xfId="0" applyAlignment="1" applyBorder="1" applyFont="1">
      <alignment horizontal="left" readingOrder="0" shrinkToFit="0" vertical="center" wrapText="1"/>
    </xf>
    <xf borderId="0" fillId="6" fontId="2" numFmtId="0" xfId="0" applyAlignment="1" applyFill="1" applyFont="1">
      <alignment horizontal="center" readingOrder="0" shrinkToFit="0" vertical="center" wrapText="1"/>
    </xf>
    <xf borderId="1" fillId="6" fontId="2" numFmtId="0" xfId="0" applyAlignment="1" applyBorder="1" applyFont="1">
      <alignment horizontal="center" readingOrder="0" shrinkToFit="0" vertical="center" wrapText="1"/>
    </xf>
    <xf borderId="1" fillId="6" fontId="2"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1" fillId="0" fontId="2" numFmtId="0" xfId="0" applyAlignment="1" applyBorder="1" applyFont="1">
      <alignment horizontal="left" shrinkToFit="0" vertical="center" wrapText="1"/>
    </xf>
    <xf borderId="1" fillId="0" fontId="7" numFmtId="0" xfId="0" applyAlignment="1" applyBorder="1" applyFont="1">
      <alignment horizontal="left" readingOrder="0" shrinkToFit="0" vertical="center" wrapText="0"/>
    </xf>
    <xf borderId="1" fillId="5" fontId="2" numFmtId="165" xfId="0" applyAlignment="1" applyBorder="1" applyFont="1" applyNumberFormat="1">
      <alignment horizontal="center" readingOrder="0" shrinkToFit="0" vertical="center" wrapText="1"/>
    </xf>
    <xf borderId="1" fillId="7" fontId="2" numFmtId="0" xfId="0" applyAlignment="1" applyBorder="1" applyFill="1" applyFont="1">
      <alignment horizontal="left" readingOrder="0" shrinkToFit="0" vertical="center" wrapText="1"/>
    </xf>
    <xf borderId="1" fillId="8" fontId="2" numFmtId="0" xfId="0" applyAlignment="1" applyBorder="1" applyFill="1" applyFont="1">
      <alignment horizontal="left" readingOrder="0" shrinkToFit="0" vertical="center" wrapText="1"/>
    </xf>
    <xf borderId="1" fillId="3" fontId="2"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0" fontId="2" numFmtId="0" xfId="0" applyAlignment="1" applyBorder="1" applyFont="1">
      <alignment horizontal="right" readingOrder="0" shrinkToFit="0" vertical="center" wrapText="1"/>
    </xf>
    <xf borderId="1" fillId="4" fontId="4" numFmtId="0" xfId="0" applyAlignment="1" applyBorder="1" applyFont="1">
      <alignment horizontal="left" readingOrder="0" shrinkToFit="0" vertical="center" wrapText="1"/>
    </xf>
    <xf borderId="1" fillId="2" fontId="1"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0" fillId="5" fontId="2" numFmtId="0" xfId="0" applyAlignment="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0" fillId="3" fontId="2" numFmtId="0" xfId="0" applyAlignment="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3" fontId="2" numFmtId="0" xfId="0" applyAlignment="1" applyBorder="1" applyFont="1">
      <alignment horizontal="left" readingOrder="0" shrinkToFit="0" vertical="center" wrapText="1"/>
    </xf>
    <xf borderId="1" fillId="4" fontId="2" numFmtId="0" xfId="0" applyAlignment="1" applyBorder="1" applyFont="1">
      <alignment horizontal="left"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5" fontId="2" numFmtId="165" xfId="0" applyAlignment="1" applyBorder="1" applyFont="1" applyNumberFormat="1">
      <alignment horizontal="center" readingOrder="0" shrinkToFit="0" vertical="center" wrapText="1"/>
    </xf>
    <xf borderId="1" fillId="8" fontId="2"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10" numFmtId="0" xfId="0" applyAlignment="1" applyBorder="1" applyFont="1">
      <alignment readingOrder="0" shrinkToFit="0" vertical="center" wrapText="1"/>
    </xf>
    <xf borderId="1" fillId="8"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0" fillId="5" fontId="1" numFmtId="0" xfId="0" applyAlignment="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5" fontId="1" numFmtId="0" xfId="0" applyAlignment="1" applyBorder="1" applyFont="1">
      <alignment horizontal="left" readingOrder="0" shrinkToFit="0" vertical="center" wrapText="1"/>
    </xf>
    <xf borderId="1" fillId="5" fontId="2" numFmtId="0" xfId="0" applyAlignment="1" applyBorder="1" applyFont="1">
      <alignment horizontal="left" shrinkToFit="0" vertical="center" wrapText="1"/>
    </xf>
    <xf borderId="1" fillId="4" fontId="2" numFmtId="0" xfId="0" applyAlignment="1" applyBorder="1" applyFont="1">
      <alignment readingOrder="0" shrinkToFit="0" vertical="center" wrapText="1"/>
    </xf>
    <xf borderId="1" fillId="0" fontId="2" numFmtId="0" xfId="0" applyAlignment="1" applyBorder="1" applyFont="1">
      <alignment horizontal="right" readingOrder="0" shrinkToFit="0" vertical="center" wrapText="1"/>
    </xf>
    <xf borderId="1" fillId="5" fontId="2" numFmtId="0" xfId="0" applyAlignment="1" applyBorder="1" applyFont="1">
      <alignment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shrinkToFit="0" vertical="center" wrapText="1"/>
    </xf>
    <xf borderId="0" fillId="5" fontId="2" numFmtId="0" xfId="0" applyAlignment="1" applyFont="1">
      <alignment horizontal="center" shrinkToFit="0" vertical="center" wrapText="1"/>
    </xf>
    <xf borderId="1" fillId="5" fontId="2" numFmtId="0" xfId="0" applyAlignment="1" applyBorder="1" applyFont="1">
      <alignment horizontal="center" shrinkToFit="0" vertical="center" wrapText="1"/>
    </xf>
    <xf borderId="2" fillId="0" fontId="11" numFmtId="0" xfId="0" applyBorder="1" applyFont="1"/>
    <xf borderId="3" fillId="0" fontId="12" numFmtId="0" xfId="0" applyBorder="1" applyFont="1"/>
    <xf borderId="2" fillId="3" fontId="13" numFmtId="0" xfId="0" applyAlignment="1" applyBorder="1" applyFont="1">
      <alignment horizontal="center" shrinkToFit="0" wrapText="1"/>
    </xf>
    <xf borderId="4" fillId="0" fontId="12" numFmtId="0" xfId="0" applyBorder="1" applyFont="1"/>
    <xf borderId="1" fillId="0" fontId="13" numFmtId="0" xfId="0" applyAlignment="1" applyBorder="1" applyFont="1">
      <alignment horizontal="center" readingOrder="0" shrinkToFit="0" wrapText="1"/>
    </xf>
    <xf borderId="2" fillId="3" fontId="13" numFmtId="0" xfId="0" applyAlignment="1" applyBorder="1" applyFont="1">
      <alignment horizontal="center" readingOrder="0" shrinkToFit="0" wrapText="1"/>
    </xf>
    <xf borderId="1" fillId="3" fontId="13" numFmtId="0" xfId="0" applyAlignment="1" applyBorder="1" applyFont="1">
      <alignment horizontal="center" shrinkToFit="0" wrapText="1"/>
    </xf>
    <xf borderId="1" fillId="9" fontId="13" numFmtId="164" xfId="0" applyAlignment="1" applyBorder="1" applyFill="1" applyFont="1" applyNumberFormat="1">
      <alignment horizontal="center" readingOrder="0" shrinkToFit="0" wrapText="1"/>
    </xf>
    <xf borderId="1" fillId="0" fontId="13" numFmtId="164" xfId="0" applyAlignment="1" applyBorder="1" applyFont="1" applyNumberFormat="1">
      <alignment horizontal="center" readingOrder="0" shrinkToFit="0" wrapText="1"/>
    </xf>
    <xf borderId="1" fillId="0" fontId="13" numFmtId="0" xfId="0" applyAlignment="1" applyBorder="1" applyFont="1">
      <alignment readingOrder="0" shrinkToFit="0" wrapText="1"/>
    </xf>
    <xf borderId="1" fillId="0" fontId="14" numFmtId="0" xfId="0" applyAlignment="1" applyBorder="1" applyFont="1">
      <alignment horizontal="center" shrinkToFit="0" wrapText="1"/>
    </xf>
    <xf borderId="1" fillId="0" fontId="15"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UAT_TGPL Doanh Nghiệ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275" displayName="Bảng_1" name="Bảng_1" id="1">
  <autoFilter ref="$A$1:$W$275">
    <filterColumn colId="13">
      <filters>
        <filter val="Fail"/>
      </filters>
    </filterColumn>
  </autoFilter>
  <tableColumns count="23">
    <tableColumn name="Tên" id="1"/>
    <tableColumn name="STT" id="2"/>
    <tableColumn name="Tuần" id="3"/>
    <tableColumn name="Mã TC" id="4"/>
    <tableColumn name="Tên chức năng" id="5"/>
    <tableColumn name="Tác nhân_x000a_&quot;cbnv_tw        Test@1234_x000a_cbnv_bn        Test@1234_x000a_cbnv_dp Test@1234_x000a_cbpd_tw Test@1234_x000a_cbpd_bn Test@1234_x000a_cbpd_dp Test@1234&quot;" id="6"/>
    <tableColumn name="Mô tả" id="7"/>
    <tableColumn name="Điều kiện" id="8"/>
    <tableColumn name="Dữ liệu đầu vào" id="9"/>
    <tableColumn name="Các bước thực hiện" id="10"/>
    <tableColumn name="Kết quả mong đợi" id="11"/>
    <tableColumn name="Kết quả thực tế" id="12"/>
    <tableColumn name="Ảnh/vieo 1" id="13"/>
    <tableColumn name="Trạng thái 1" id="14"/>
    <tableColumn name="TKM phản hồi lần 1" id="15"/>
    <tableColumn name="Trạng thái dev fix 1" id="16"/>
    <tableColumn name="DEV phản hồi lần 1" id="17"/>
    <tableColumn name="Kết quả thực tế lần 2" id="18"/>
    <tableColumn name="Ảnh/video 2" id="19"/>
    <tableColumn name="Trạng thái 2" id="20"/>
    <tableColumn name="TKM phản hồi lần 2" id="21"/>
    <tableColumn name="Trạng thái dev fix 2" id="22"/>
    <tableColumn name="DEV phản hồi lần 2" id="23"/>
  </tableColumns>
  <tableStyleInfo name="UAT_TGPL Doanh Nghiệ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KuQFDQ4UV0KLnkeOcJHxuB1gm3_VsY8m&amp;usp=drive_copy" TargetMode="External"/><Relationship Id="rId190" Type="http://schemas.openxmlformats.org/officeDocument/2006/relationships/hyperlink" Target="https://drive.google.com/open?id=1y_Rp3xlPi5qDWaYW_b9sY1eJQvKL_429&amp;usp=drive_copy" TargetMode="External"/><Relationship Id="rId42" Type="http://schemas.openxmlformats.org/officeDocument/2006/relationships/hyperlink" Target="https://drive.google.com/open?id=1QSrHT9iLktF6lRXseQFjrTV9Mm2VutZj&amp;usp=drive_copy" TargetMode="External"/><Relationship Id="rId41" Type="http://schemas.openxmlformats.org/officeDocument/2006/relationships/hyperlink" Target="https://drive.google.com/open?id=15Us4XpwhnPUBgBvj_S6MM8fk6zegnG53&amp;usp=drive_copy" TargetMode="External"/><Relationship Id="rId44" Type="http://schemas.openxmlformats.org/officeDocument/2006/relationships/hyperlink" Target="https://drive.google.com/open?id=1jtTQkWU78fFcJ1whG1WetOiZvrbTrLzJ&amp;usp=drive_copy" TargetMode="External"/><Relationship Id="rId194" Type="http://schemas.openxmlformats.org/officeDocument/2006/relationships/hyperlink" Target="https://drive.google.com/open?id=1DqfEeNdtX-D4G5NY61c1gUiIsRLuWAgZ&amp;usp=drive_copy" TargetMode="External"/><Relationship Id="rId43" Type="http://schemas.openxmlformats.org/officeDocument/2006/relationships/hyperlink" Target="https://drive.google.com/open?id=1rxZUCRKEKHbE3fEzXwNgP9sQ3pASSSpQ&amp;usp=drive_copy" TargetMode="External"/><Relationship Id="rId193" Type="http://schemas.openxmlformats.org/officeDocument/2006/relationships/hyperlink" Target="https://drive.google.com/open?id=1JQeakWFPvubncc42zNA2OxzHUObqZtMc&amp;usp=drive_copy" TargetMode="External"/><Relationship Id="rId46" Type="http://schemas.openxmlformats.org/officeDocument/2006/relationships/hyperlink" Target="https://drive.google.com/open?id=1uXhWPWD9Wy-BwFBv67xX5ICXRdMBWwoI&amp;usp=drive_copy" TargetMode="External"/><Relationship Id="rId192" Type="http://schemas.openxmlformats.org/officeDocument/2006/relationships/hyperlink" Target="https://drive.google.com/open?id=1nzZLIxVuzrNGtHz6IjYyz2tizMbueDxt&amp;usp=drive_copy" TargetMode="External"/><Relationship Id="rId45" Type="http://schemas.openxmlformats.org/officeDocument/2006/relationships/hyperlink" Target="https://drive.google.com/open?id=1usOyiXKNNTCPx1ddeQzVMY28_3jCDtlp&amp;usp=drive_copy" TargetMode="External"/><Relationship Id="rId191" Type="http://schemas.openxmlformats.org/officeDocument/2006/relationships/hyperlink" Target="https://drive.google.com/open?id=1lD7J507WneErUPPYIR6hupMh6E1FNw4V&amp;usp=drive_copy" TargetMode="External"/><Relationship Id="rId48" Type="http://schemas.openxmlformats.org/officeDocument/2006/relationships/hyperlink" Target="https://drive.google.com/open?id=1-pjOZe9zJnH52a1ipb0iCv1cEmFZGrvq&amp;usp=drive_copy" TargetMode="External"/><Relationship Id="rId187" Type="http://schemas.openxmlformats.org/officeDocument/2006/relationships/hyperlink" Target="https://drive.google.com/open?id=19Yz1IokHAUXQnf7nNqiAeldHwBy_6Snd&amp;usp=drive_copy" TargetMode="External"/><Relationship Id="rId47" Type="http://schemas.openxmlformats.org/officeDocument/2006/relationships/hyperlink" Target="https://drive.google.com/open?id=1A3JpWCifojalKYJqkxyb3lMrr_I_tHG2&amp;usp=drive_copy" TargetMode="External"/><Relationship Id="rId186" Type="http://schemas.openxmlformats.org/officeDocument/2006/relationships/hyperlink" Target="https://drive.google.com/open?id=1xBpIPXWQiALOjT2j6iNdf5gXnB03TSte&amp;usp=drive_copy" TargetMode="External"/><Relationship Id="rId185" Type="http://schemas.openxmlformats.org/officeDocument/2006/relationships/hyperlink" Target="https://drive.google.com/open?id=1qfbwRv72Lh9fln2C6TSN7ALIQcQaXbXh&amp;usp=drive_copy" TargetMode="External"/><Relationship Id="rId49" Type="http://schemas.openxmlformats.org/officeDocument/2006/relationships/hyperlink" Target="https://drive.google.com/open?id=1-vh6BULEH9bb8aTXAHB4HUqjH7s7ntFT&amp;usp=drive_copy" TargetMode="External"/><Relationship Id="rId184" Type="http://schemas.openxmlformats.org/officeDocument/2006/relationships/hyperlink" Target="https://drive.google.com/open?id=1Ku33Z7YU6JZEU1fO3S6-kcjwmIAsWz_z&amp;usp=drive_copy" TargetMode="External"/><Relationship Id="rId189" Type="http://schemas.openxmlformats.org/officeDocument/2006/relationships/hyperlink" Target="https://drive.google.com/open?id=1jkeAXNIhR-M3R9yvaqc1BJ94C0INwOdD&amp;usp=drive_copy" TargetMode="External"/><Relationship Id="rId188" Type="http://schemas.openxmlformats.org/officeDocument/2006/relationships/hyperlink" Target="https://drive.google.com/open?id=1ofuk6ZqKLeWiF4y6tK0MYxVs2ixfWKqB&amp;usp=drive_copy" TargetMode="External"/><Relationship Id="rId31" Type="http://schemas.openxmlformats.org/officeDocument/2006/relationships/hyperlink" Target="https://drive.google.com/file/d/1UVh--zb2A4deiXc13SEJXH7cmFX_hfqu/view?usp=drive_link" TargetMode="External"/><Relationship Id="rId30" Type="http://schemas.openxmlformats.org/officeDocument/2006/relationships/hyperlink" Target="https://drive.google.com/file/d/1r1iloIumKnQ7oi4FhB8FQ4EtqLKJGGYL/view?usp=drive_link" TargetMode="External"/><Relationship Id="rId33" Type="http://schemas.openxmlformats.org/officeDocument/2006/relationships/hyperlink" Target="https://drive.google.com/file/d/1riNYan8JX9IHpKQHUDReymqEPROz3mVc/view?usp=drive_link" TargetMode="External"/><Relationship Id="rId183" Type="http://schemas.openxmlformats.org/officeDocument/2006/relationships/hyperlink" Target="https://drive.google.com/open?id=1Nk-ofxZqH94oeOK65rDWmVsTBmqfEEbY&amp;usp=drive_copy" TargetMode="External"/><Relationship Id="rId32" Type="http://schemas.openxmlformats.org/officeDocument/2006/relationships/hyperlink" Target="https://drive.google.com/file/d/1riNYan8JX9IHpKQHUDReymqEPROz3mVc/view?usp=drive_link" TargetMode="External"/><Relationship Id="rId182" Type="http://schemas.openxmlformats.org/officeDocument/2006/relationships/hyperlink" Target="https://drive.google.com/open?id=1ggepdB6tFjF2lva-4V8WMPv_E5Urq1S3&amp;usp=drive_copy" TargetMode="External"/><Relationship Id="rId35" Type="http://schemas.openxmlformats.org/officeDocument/2006/relationships/hyperlink" Target="https://drive.google.com/file/d/1WB04EJu1UkFRQnzcwBhLUOWwyLCHse7a/view?usp=drive_link" TargetMode="External"/><Relationship Id="rId181" Type="http://schemas.openxmlformats.org/officeDocument/2006/relationships/hyperlink" Target="https://drive.google.com/open?id=1xwIUjxtKYd7viM2BOZ-Z0LMTFjw5CNR3&amp;usp=drive_copy" TargetMode="External"/><Relationship Id="rId34" Type="http://schemas.openxmlformats.org/officeDocument/2006/relationships/hyperlink" Target="https://drive.google.com/file/d/1RdxBxEqiE2qioMF-ybmyztyzP1FQ8_jX/view?usp=drive_link" TargetMode="External"/><Relationship Id="rId180" Type="http://schemas.openxmlformats.org/officeDocument/2006/relationships/hyperlink" Target="https://drive.google.com/open?id=1bwtX9yK7HskIQ3fF7QowSS-QBcV2P_F6&amp;usp=drive_copy" TargetMode="External"/><Relationship Id="rId37" Type="http://schemas.openxmlformats.org/officeDocument/2006/relationships/hyperlink" Target="https://drive.google.com/open?id=1lbUUJZwgyhM-nceuAMFsw_AbAU9ANFcv&amp;usp=drive_copy" TargetMode="External"/><Relationship Id="rId176" Type="http://schemas.openxmlformats.org/officeDocument/2006/relationships/hyperlink" Target="https://drive.google.com/open?id=1PxFlr5JLgxl6ytiX_QT16JGDfmpmrsrN&amp;usp=drive_copy" TargetMode="External"/><Relationship Id="rId36" Type="http://schemas.openxmlformats.org/officeDocument/2006/relationships/hyperlink" Target="https://drive.google.com/file/d/1RVjaGnXJlJk3ktdXfy-HnWMQ3x3Gu9-z/view?usp=drive_link" TargetMode="External"/><Relationship Id="rId175" Type="http://schemas.openxmlformats.org/officeDocument/2006/relationships/hyperlink" Target="https://drive.google.com/open?id=1AmZDlgoKKgUNkUZhKZuAL6waENooLdH6&amp;usp=drive_copy" TargetMode="External"/><Relationship Id="rId39" Type="http://schemas.openxmlformats.org/officeDocument/2006/relationships/hyperlink" Target="https://drive.google.com/open?id=1VxNxJdqZ66ZCzGqj19MW3wAwG4wyw54j&amp;usp=drive_copy" TargetMode="External"/><Relationship Id="rId174" Type="http://schemas.openxmlformats.org/officeDocument/2006/relationships/hyperlink" Target="https://drive.google.com/open?id=1lKZnhPG1stNCPP0ir_YD07tiw93O8J4F&amp;usp=drive_copy" TargetMode="External"/><Relationship Id="rId38" Type="http://schemas.openxmlformats.org/officeDocument/2006/relationships/hyperlink" Target="https://drive.google.com/open?id=1r4ub3g7tTKEHY8B8d5_050UrzC2J5sD0&amp;usp=drive_copy" TargetMode="External"/><Relationship Id="rId173" Type="http://schemas.openxmlformats.org/officeDocument/2006/relationships/hyperlink" Target="https://drive.google.com/open?id=1n1l3YxjaPFIPUl5biVRybrQK9XuxnXPT&amp;usp=drive_copy" TargetMode="External"/><Relationship Id="rId179" Type="http://schemas.openxmlformats.org/officeDocument/2006/relationships/hyperlink" Target="https://drive.google.com/open?id=1MOUf7Qi_gZqctSOjnpmkMs6zgevhkiMB&amp;usp=drive_copy" TargetMode="External"/><Relationship Id="rId178" Type="http://schemas.openxmlformats.org/officeDocument/2006/relationships/hyperlink" Target="https://drive.google.com/open?id=1Mp3U4dKCTXSLl61sQ_QFEyHx9WjsxKXK&amp;usp=drive_copy" TargetMode="External"/><Relationship Id="rId177" Type="http://schemas.openxmlformats.org/officeDocument/2006/relationships/hyperlink" Target="https://drive.google.com/open?id=1Q7MQil5qlJPpMZmQoKJKa20puAeG4Fcx&amp;usp=drive_copy" TargetMode="External"/><Relationship Id="rId20" Type="http://schemas.openxmlformats.org/officeDocument/2006/relationships/hyperlink" Target="https://drive.google.com/file/d/1FTxsYqGAQ8s252TQVXr3ve4cAcjBuo2a/view?usp=drive_link" TargetMode="External"/><Relationship Id="rId22" Type="http://schemas.openxmlformats.org/officeDocument/2006/relationships/hyperlink" Target="https://drive.google.com/file/d/1iDTWBtpd8Vd9FMUIg194vPg3ituC-AAH/view?usp=drive_link" TargetMode="External"/><Relationship Id="rId21" Type="http://schemas.openxmlformats.org/officeDocument/2006/relationships/hyperlink" Target="https://drive.google.com/file/d/1A6Z010Mh0KCPaaD17VH5d1B19we0eiec/view?usp=drive_link" TargetMode="External"/><Relationship Id="rId24" Type="http://schemas.openxmlformats.org/officeDocument/2006/relationships/hyperlink" Target="https://drive.google.com/file/d/1GHWE7frRaeykl3pPYp0jOQ88ixjqgtXP/view?usp=drive_link" TargetMode="External"/><Relationship Id="rId23" Type="http://schemas.openxmlformats.org/officeDocument/2006/relationships/hyperlink" Target="https://drive.google.com/file/d/1DZV6EkR0rvFSY7OSj4rJxiApDCtwXH6u/view?usp=drive_link" TargetMode="External"/><Relationship Id="rId26" Type="http://schemas.openxmlformats.org/officeDocument/2006/relationships/hyperlink" Target="https://drive.google.com/file/d/1h36vyd3TBSBLEIeMU0JsTblzIZPCkOAM/view?usp=drive_link" TargetMode="External"/><Relationship Id="rId25" Type="http://schemas.openxmlformats.org/officeDocument/2006/relationships/hyperlink" Target="https://drive.google.com/file/d/1aBbx4_LhhBeZAd88F8C6JFNswVHLgMp_/view?usp=drive_link" TargetMode="External"/><Relationship Id="rId28" Type="http://schemas.openxmlformats.org/officeDocument/2006/relationships/hyperlink" Target="https://drive.google.com/file/d/1aHTfXEpDZSP9z76lqbjT6SdL01sM-IvO/view?usp=drive_link" TargetMode="External"/><Relationship Id="rId27" Type="http://schemas.openxmlformats.org/officeDocument/2006/relationships/hyperlink" Target="https://drive.google.com/file/d/1p696YEgRSBfY00ubqUOGItM6xhXfSt13/view?usp=drive_link" TargetMode="External"/><Relationship Id="rId29" Type="http://schemas.openxmlformats.org/officeDocument/2006/relationships/hyperlink" Target="https://drive.google.com/file/d/1UFrEMFd8z0B6zR0_2x91qBM_WNKeN8Hv/view?usp=drive_link" TargetMode="External"/><Relationship Id="rId11" Type="http://schemas.openxmlformats.org/officeDocument/2006/relationships/hyperlink" Target="https://drive.google.com/file/d/1XdRE6bLPr3QLRum0ylwks7h35xMlx5-d/view?usp=drive_link" TargetMode="External"/><Relationship Id="rId10" Type="http://schemas.openxmlformats.org/officeDocument/2006/relationships/hyperlink" Target="https://drive.google.com/file/d/1H_boEiIzGqvOTvUaNhUSjM9lx9ajfl6I/view?usp=drive_link" TargetMode="External"/><Relationship Id="rId13" Type="http://schemas.openxmlformats.org/officeDocument/2006/relationships/hyperlink" Target="https://drive.google.com/file/d/13HLbvRwEBnU1zGLcslmNWJaJbPS3LMBx/view?usp=drive_link" TargetMode="External"/><Relationship Id="rId12" Type="http://schemas.openxmlformats.org/officeDocument/2006/relationships/hyperlink" Target="https://drive.google.com/file/d/13HLbvRwEBnU1zGLcslmNWJaJbPS3LMBx/view?usp=drive_link" TargetMode="External"/><Relationship Id="rId15" Type="http://schemas.openxmlformats.org/officeDocument/2006/relationships/hyperlink" Target="https://drive.google.com/file/d/1z9eH-iZeU5R3p1Xf27Dpihrl2_Y_3HMy/view?usp=drive_link" TargetMode="External"/><Relationship Id="rId198" Type="http://schemas.openxmlformats.org/officeDocument/2006/relationships/hyperlink" Target="https://drive.google.com/open?id=19oDxprQ2SjAPesG991Bp01-TUywFMVe0&amp;usp=drive_copy" TargetMode="External"/><Relationship Id="rId14" Type="http://schemas.openxmlformats.org/officeDocument/2006/relationships/hyperlink" Target="https://drive.google.com/file/d/13HLbvRwEBnU1zGLcslmNWJaJbPS3LMBx/view?usp=drive_link" TargetMode="External"/><Relationship Id="rId197" Type="http://schemas.openxmlformats.org/officeDocument/2006/relationships/hyperlink" Target="https://drive.google.com/open?id=1W44LdBQygq_faqtHFVPlmHs96SKBMIEl&amp;usp=drive_copy" TargetMode="External"/><Relationship Id="rId17" Type="http://schemas.openxmlformats.org/officeDocument/2006/relationships/hyperlink" Target="https://drive.google.com/file/d/1fblKhfVqwhzsmSw0JazomIvB4dRtfbsq/view?usp=drive_link" TargetMode="External"/><Relationship Id="rId196" Type="http://schemas.openxmlformats.org/officeDocument/2006/relationships/hyperlink" Target="https://drive.google.com/open?id=1WNUi-p8dzUhh7Ot1SbMyifQ0mrY3rMXV&amp;usp=drive_copy" TargetMode="External"/><Relationship Id="rId16" Type="http://schemas.openxmlformats.org/officeDocument/2006/relationships/hyperlink" Target="https://drive.google.com/file/d/1z9eH-iZeU5R3p1Xf27Dpihrl2_Y_3HMy/view?usp=drive_link" TargetMode="External"/><Relationship Id="rId195" Type="http://schemas.openxmlformats.org/officeDocument/2006/relationships/hyperlink" Target="https://drive.google.com/open?id=1l1ZhmFg_6oF5qfC1K3e14GBflch5hvOM&amp;usp=drive_copy" TargetMode="External"/><Relationship Id="rId19" Type="http://schemas.openxmlformats.org/officeDocument/2006/relationships/hyperlink" Target="https://drive.google.com/file/d/13wgG-KkTvelc2Q4fXjMRxU-vosFB1hv0/view?usp=drive_link" TargetMode="External"/><Relationship Id="rId18" Type="http://schemas.openxmlformats.org/officeDocument/2006/relationships/hyperlink" Target="https://drive.google.com/file/d/1yYHKV9SNRP-3e3dcssfWw6L4DRnhYGjl/view?usp=drive_link" TargetMode="External"/><Relationship Id="rId199" Type="http://schemas.openxmlformats.org/officeDocument/2006/relationships/hyperlink" Target="https://uat.phapluat.gov.vn/ke-hoach-dao-tao-cua-toi" TargetMode="External"/><Relationship Id="rId84" Type="http://schemas.openxmlformats.org/officeDocument/2006/relationships/hyperlink" Target="https://drive.google.com/open?id=1Cvv3Dn91sRcEjqqvXPf4BhHOkJRsRiP8&amp;usp=drive_copy" TargetMode="External"/><Relationship Id="rId83" Type="http://schemas.openxmlformats.org/officeDocument/2006/relationships/hyperlink" Target="https://drive.google.com/open?id=1ICx5BuB-VpUB-WnGaHjHH3mvK_lqfJBw&amp;usp=drive_copy" TargetMode="External"/><Relationship Id="rId86" Type="http://schemas.openxmlformats.org/officeDocument/2006/relationships/hyperlink" Target="https://drive.google.com/open?id=16GrUCh35bOZ3MBC3QuYpwYZaPjO_-LrW&amp;usp=drive_copy" TargetMode="External"/><Relationship Id="rId85" Type="http://schemas.openxmlformats.org/officeDocument/2006/relationships/hyperlink" Target="https://drive.google.com/open?id=1q4YB0S0hIYpCswc8l05t-B9jJcxoP0En&amp;usp=drive_copy" TargetMode="External"/><Relationship Id="rId88" Type="http://schemas.openxmlformats.org/officeDocument/2006/relationships/hyperlink" Target="https://drive.google.com/open?id=12cyp3a4RG4mE4M8ON58WaffTIc9btfhl&amp;usp=drive_copy" TargetMode="External"/><Relationship Id="rId150" Type="http://schemas.openxmlformats.org/officeDocument/2006/relationships/hyperlink" Target="https://drive.google.com/open?id=1dEOqE1QgsXcK_oaUGqSCPXIIRDrBs5xl&amp;usp=drive_copy" TargetMode="External"/><Relationship Id="rId87" Type="http://schemas.openxmlformats.org/officeDocument/2006/relationships/hyperlink" Target="https://drive.google.com/open?id=12OL9FEQOEAnV-9LhMCuc4pbTfWpMLFXl&amp;usp=drive_copy" TargetMode="External"/><Relationship Id="rId89" Type="http://schemas.openxmlformats.org/officeDocument/2006/relationships/hyperlink" Target="https://drive.google.com/open?id=1SmOSQVoUpsH7gkI3YX36dckyTrB-Vv1o&amp;usp=drive_copy" TargetMode="External"/><Relationship Id="rId80" Type="http://schemas.openxmlformats.org/officeDocument/2006/relationships/hyperlink" Target="https://drive.google.com/open?id=1rlvcNd_eb-Es4Tp2t8zHoJnXEqWAtO3J&amp;usp=drive_copy" TargetMode="External"/><Relationship Id="rId82" Type="http://schemas.openxmlformats.org/officeDocument/2006/relationships/hyperlink" Target="https://drive.google.com/open?id=1sevu59zPE-DqAq0Da9Cp7lwlxdCUktXR&amp;usp=drive_copy" TargetMode="External"/><Relationship Id="rId81" Type="http://schemas.openxmlformats.org/officeDocument/2006/relationships/hyperlink" Target="https://drive.google.com/open?id=10pYRbs5GFTeHs_QxrDMpAmZSrvyLvsRl&amp;usp=drive_copy" TargetMode="External"/><Relationship Id="rId1" Type="http://schemas.openxmlformats.org/officeDocument/2006/relationships/hyperlink" Target="https://htpldn-uat.ospgroup.vn/login" TargetMode="External"/><Relationship Id="rId2" Type="http://schemas.openxmlformats.org/officeDocument/2006/relationships/hyperlink" Target="https://drive.google.com/file/d/1RRMEIhZVZWLZak8zB7uaJeDssnhNvTeD/view?usp=drive_link" TargetMode="External"/><Relationship Id="rId3" Type="http://schemas.openxmlformats.org/officeDocument/2006/relationships/hyperlink" Target="https://drive.google.com/file/d/1RRMEIhZVZWLZak8zB7uaJeDssnhNvTeD/view?usp=drive_link" TargetMode="External"/><Relationship Id="rId149" Type="http://schemas.openxmlformats.org/officeDocument/2006/relationships/hyperlink" Target="https://drive.google.com/open?id=1Y8W2W3wOy5UHQoZNQC55BrMEMkVr5Jy3&amp;usp=drive_copy" TargetMode="External"/><Relationship Id="rId4" Type="http://schemas.openxmlformats.org/officeDocument/2006/relationships/hyperlink" Target="https://drive.google.com/file/d/1RRMEIhZVZWLZak8zB7uaJeDssnhNvTeD/view?usp=drive_link" TargetMode="External"/><Relationship Id="rId148" Type="http://schemas.openxmlformats.org/officeDocument/2006/relationships/hyperlink" Target="https://drive.google.com/open?id=1vK73HrWbYPjoV6OeqJviAB1vE1koB_Pf&amp;usp=drive_copy" TargetMode="External"/><Relationship Id="rId9" Type="http://schemas.openxmlformats.org/officeDocument/2006/relationships/hyperlink" Target="https://drive.google.com/file/d/1_sEam8ErkVzhp4--JGccDhQL6dL7PwDJ/view?usp=drive_link" TargetMode="External"/><Relationship Id="rId143" Type="http://schemas.openxmlformats.org/officeDocument/2006/relationships/hyperlink" Target="https://drive.google.com/open?id=1StNiU4vs1CeWG-016U1F6zNxCFiN8yk9&amp;usp=drive_copy" TargetMode="External"/><Relationship Id="rId142" Type="http://schemas.openxmlformats.org/officeDocument/2006/relationships/hyperlink" Target="https://drive.google.com/open?id=13g-QJsP3ExJzWXiwQJjysGt7VVMKaE65&amp;usp=drive_copy" TargetMode="External"/><Relationship Id="rId141" Type="http://schemas.openxmlformats.org/officeDocument/2006/relationships/hyperlink" Target="https://drive.google.com/open?id=1wPW4uwsk7_9VaMxHtQzIgQqZoaOj3QLQ&amp;usp=drive_copy" TargetMode="External"/><Relationship Id="rId140" Type="http://schemas.openxmlformats.org/officeDocument/2006/relationships/hyperlink" Target="https://drive.google.com/open?id=1QBQEBu2R1rBm77a4S0QbbScVMcr6Ooeh&amp;usp=drive_copy" TargetMode="External"/><Relationship Id="rId5" Type="http://schemas.openxmlformats.org/officeDocument/2006/relationships/hyperlink" Target="https://drive.google.com/file/d/1bN0Bb30SAnMBpoTuMqzAw9meYWJvVeTj/view?usp=drive_link" TargetMode="External"/><Relationship Id="rId147" Type="http://schemas.openxmlformats.org/officeDocument/2006/relationships/hyperlink" Target="https://drive.google.com/open?id=1lcP_tIPMIb3BWSoGGdLXLSGqSqEpkpAU&amp;usp=drive_copy" TargetMode="External"/><Relationship Id="rId6" Type="http://schemas.openxmlformats.org/officeDocument/2006/relationships/hyperlink" Target="https://drive.google.com/file/d/1ThkVZoHd_7WE8LTA8TrFJ79iwtqzUEJy/view?usp=drive_link" TargetMode="External"/><Relationship Id="rId146" Type="http://schemas.openxmlformats.org/officeDocument/2006/relationships/hyperlink" Target="https://drive.google.com/open?id=1Kyln3iXV7bnGlpdAVs8Lg5NtlZbM350L&amp;usp=drive_copy" TargetMode="External"/><Relationship Id="rId7" Type="http://schemas.openxmlformats.org/officeDocument/2006/relationships/hyperlink" Target="https://drive.google.com/file/d/1ot9bmUP4sYZLfu2q5mEcgUODIgo4Tefj/view?usp=drive_link" TargetMode="External"/><Relationship Id="rId145" Type="http://schemas.openxmlformats.org/officeDocument/2006/relationships/hyperlink" Target="https://drive.google.com/open?id=1dBbDQg_IR24yYKiZJyC3ScLp8lwZeaq6&amp;usp=drive_copy" TargetMode="External"/><Relationship Id="rId8" Type="http://schemas.openxmlformats.org/officeDocument/2006/relationships/hyperlink" Target="https://drive.google.com/file/d/15bN_Cz0woJ8t_yTv3DiXAPdUoGDEumoL/view?usp=drive_link" TargetMode="External"/><Relationship Id="rId144" Type="http://schemas.openxmlformats.org/officeDocument/2006/relationships/hyperlink" Target="https://drive.google.com/open?id=1npJy9RYk2GTxVEodO4i7dBRp44heq1VI&amp;usp=drive_copy" TargetMode="External"/><Relationship Id="rId73" Type="http://schemas.openxmlformats.org/officeDocument/2006/relationships/hyperlink" Target="https://drive.google.com/open?id=1jnggzQYF0h4e0pYEJRXsgrd-9BTQ-C58&amp;usp=drive_copy" TargetMode="External"/><Relationship Id="rId72" Type="http://schemas.openxmlformats.org/officeDocument/2006/relationships/hyperlink" Target="https://drive.google.com/open?id=10Mdvj_JwgABxTB8FEDMWutHar0BgAIUM&amp;usp=drive_copy" TargetMode="External"/><Relationship Id="rId75" Type="http://schemas.openxmlformats.org/officeDocument/2006/relationships/hyperlink" Target="https://drive.google.com/open?id=16Y71UfCmRxnjcaT5enLW8RWGx8QjpX4w&amp;usp=drive_copy" TargetMode="External"/><Relationship Id="rId74" Type="http://schemas.openxmlformats.org/officeDocument/2006/relationships/hyperlink" Target="https://drive.google.com/open?id=10igs877Fr2o_BnBanL6H6221jloWHKh8&amp;usp=drive_copy" TargetMode="External"/><Relationship Id="rId77" Type="http://schemas.openxmlformats.org/officeDocument/2006/relationships/hyperlink" Target="https://drive.google.com/open?id=1pSBbWRBs7c3YfuanEEmlt0eMQEPQI0P_&amp;usp=drive_copy" TargetMode="External"/><Relationship Id="rId76" Type="http://schemas.openxmlformats.org/officeDocument/2006/relationships/hyperlink" Target="https://drive.google.com/open?id=1Wbu3vpYDawE6a8jCOmqmq432D5KncCpn&amp;usp=drive_copy" TargetMode="External"/><Relationship Id="rId79" Type="http://schemas.openxmlformats.org/officeDocument/2006/relationships/hyperlink" Target="https://drive.google.com/open?id=1sMDbXNlGz7CPXSwmwF59HmIi6nVQ7eVG&amp;usp=drive_copy" TargetMode="External"/><Relationship Id="rId78" Type="http://schemas.openxmlformats.org/officeDocument/2006/relationships/hyperlink" Target="https://drive.google.com/open?id=19djlS85Q2vbd7tyqRlxHHy7fd0GSNKhS&amp;usp=drive_copy" TargetMode="External"/><Relationship Id="rId71" Type="http://schemas.openxmlformats.org/officeDocument/2006/relationships/hyperlink" Target="https://drive.google.com/open?id=1yNTjNBnVqlZSvlq0yVWBmD4575Z8N8J1&amp;usp=drive_copy" TargetMode="External"/><Relationship Id="rId70" Type="http://schemas.openxmlformats.org/officeDocument/2006/relationships/hyperlink" Target="https://drive.google.com/open?id=1cFtq3-4miUbsnUmAKBMwERqjWzAf65fm&amp;usp=drive_copy" TargetMode="External"/><Relationship Id="rId139" Type="http://schemas.openxmlformats.org/officeDocument/2006/relationships/hyperlink" Target="https://drive.google.com/open?id=14P30np_44rmLUCot4Nj6DI1weEaap4JR&amp;usp=drive_copy" TargetMode="External"/><Relationship Id="rId138" Type="http://schemas.openxmlformats.org/officeDocument/2006/relationships/hyperlink" Target="https://drive.google.com/open?id=1JjaRWKHW9TpaPc_Fz3fAqxyvqT993Z86&amp;usp=drive_copy" TargetMode="External"/><Relationship Id="rId137" Type="http://schemas.openxmlformats.org/officeDocument/2006/relationships/hyperlink" Target="https://drive.google.com/open?id=1Nmcno-e5yTHtjfLOF6lYGu760mr3F1Ju&amp;usp=drive_copy" TargetMode="External"/><Relationship Id="rId132" Type="http://schemas.openxmlformats.org/officeDocument/2006/relationships/hyperlink" Target="https://drive.google.com/open?id=1pwZGGeAsHoBu00kzetCf66U2Y_5kl9qd&amp;usp=drive_copy" TargetMode="External"/><Relationship Id="rId131" Type="http://schemas.openxmlformats.org/officeDocument/2006/relationships/hyperlink" Target="https://drive.google.com/open?id=11oPBxRds6iux7nBiMJxIUMO9q4BXGi0m&amp;usp=drive_copy" TargetMode="External"/><Relationship Id="rId130" Type="http://schemas.openxmlformats.org/officeDocument/2006/relationships/hyperlink" Target="https://drive.google.com/open?id=1w-EfVWGAkxNIAJYkjxfKjoDSWAZoBmlY&amp;usp=drive_copy" TargetMode="External"/><Relationship Id="rId136" Type="http://schemas.openxmlformats.org/officeDocument/2006/relationships/hyperlink" Target="https://drive.google.com/open?id=1U_QcrjKKZXwg2dzYTpZFM1B5bhZAyh9e&amp;usp=drive_copy" TargetMode="External"/><Relationship Id="rId135" Type="http://schemas.openxmlformats.org/officeDocument/2006/relationships/hyperlink" Target="https://drive.google.com/open?id=1qTpPGarLc1B1VKXBCoAIwgdGIJE1aEtO&amp;usp=drive_copy" TargetMode="External"/><Relationship Id="rId134" Type="http://schemas.openxmlformats.org/officeDocument/2006/relationships/hyperlink" Target="https://drive.google.com/open?id=1Fir5KOk9oaT6XVhsnn_3xv7ncaFsrKGo&amp;usp=drive_copy" TargetMode="External"/><Relationship Id="rId133" Type="http://schemas.openxmlformats.org/officeDocument/2006/relationships/hyperlink" Target="https://drive.google.com/open?id=1xg5qHF-zhaEHTDkXQ7y9F2FVf5kKhSWB&amp;usp=drive_copy" TargetMode="External"/><Relationship Id="rId62" Type="http://schemas.openxmlformats.org/officeDocument/2006/relationships/hyperlink" Target="https://drive.google.com/open?id=1ZpP-HLHp5EXkzFbVjFt3wg7xyv_Dg60Q&amp;usp=drive_copy" TargetMode="External"/><Relationship Id="rId61" Type="http://schemas.openxmlformats.org/officeDocument/2006/relationships/hyperlink" Target="https://drive.google.com/open?id=1ih8OIqdKXzyu_uAnWzZgxcKQVs2k-rdw&amp;usp=drive_copy" TargetMode="External"/><Relationship Id="rId64" Type="http://schemas.openxmlformats.org/officeDocument/2006/relationships/hyperlink" Target="https://drive.google.com/open?id=1N2n_4-uYxQV6mqmZ34kIrvFix7atsC6C&amp;usp=drive_copy" TargetMode="External"/><Relationship Id="rId63" Type="http://schemas.openxmlformats.org/officeDocument/2006/relationships/hyperlink" Target="https://drive.google.com/open?id=1jf3EPM0ekvf_1ucyHuid0TrH5MKALmbN&amp;usp=drive_copy" TargetMode="External"/><Relationship Id="rId66" Type="http://schemas.openxmlformats.org/officeDocument/2006/relationships/hyperlink" Target="https://drive.google.com/open?id=1ADyf14O9Bdws3sS3HECUg7fOfLCQZWLd&amp;usp=drive_copy" TargetMode="External"/><Relationship Id="rId172" Type="http://schemas.openxmlformats.org/officeDocument/2006/relationships/hyperlink" Target="https://drive.google.com/open?id=1m6NZOIw14QJKv0eOG__X-Rf4lCZ-LMal&amp;usp=drive_copy" TargetMode="External"/><Relationship Id="rId65" Type="http://schemas.openxmlformats.org/officeDocument/2006/relationships/hyperlink" Target="https://drive.google.com/open?id=12iX08fnniPRZAhpI9kWNPzjiMQhqMObA&amp;usp=drive_copy" TargetMode="External"/><Relationship Id="rId171" Type="http://schemas.openxmlformats.org/officeDocument/2006/relationships/hyperlink" Target="https://drive.google.com/open?id=19XVwPZpyFpRmaZrVdihGCxxCVclUo5c8&amp;usp=drive_copy" TargetMode="External"/><Relationship Id="rId68" Type="http://schemas.openxmlformats.org/officeDocument/2006/relationships/hyperlink" Target="https://drive.google.com/open?id=12Sk2bW5caJIqF9S0Ib9V7Hs0421_TKfC&amp;usp=drive_copy" TargetMode="External"/><Relationship Id="rId170" Type="http://schemas.openxmlformats.org/officeDocument/2006/relationships/hyperlink" Target="https://drive.google.com/open?id=1SJpTdLwTjx0XSTHQ4RXPa9zB9_sjOtkq&amp;usp=drive_copy" TargetMode="External"/><Relationship Id="rId67" Type="http://schemas.openxmlformats.org/officeDocument/2006/relationships/hyperlink" Target="https://drive.google.com/open?id=17eeHxhLPuoxn-t7qVsFPVkxWfDHC7rYH&amp;usp=drive_copy" TargetMode="External"/><Relationship Id="rId60" Type="http://schemas.openxmlformats.org/officeDocument/2006/relationships/hyperlink" Target="https://drive.google.com/open?id=1CBOp4G8i91nTGGPCPge41xpvsfOh-hc4&amp;usp=drive_copy" TargetMode="External"/><Relationship Id="rId165" Type="http://schemas.openxmlformats.org/officeDocument/2006/relationships/hyperlink" Target="https://drive.google.com/open?id=1d9EMtnB1Ik0SI-ndsmc_O-ZwK_8LfYfY&amp;usp=drive_copy" TargetMode="External"/><Relationship Id="rId69" Type="http://schemas.openxmlformats.org/officeDocument/2006/relationships/hyperlink" Target="https://drive.google.com/open?id=1kZJy27vzy41pPGQ-2hIs3_82qtcXXlq6&amp;usp=drive_copy" TargetMode="External"/><Relationship Id="rId164" Type="http://schemas.openxmlformats.org/officeDocument/2006/relationships/hyperlink" Target="https://drive.google.com/open?id=1EedftX7vm_-2unXSG-hVoY4T0F-AQ_QA&amp;usp=drive_copy" TargetMode="External"/><Relationship Id="rId163" Type="http://schemas.openxmlformats.org/officeDocument/2006/relationships/hyperlink" Target="https://drive.google.com/open?id=1Lb6VJDs1S8noqe9m7cUsGK6GCteTQffq&amp;usp=drive_copy" TargetMode="External"/><Relationship Id="rId162" Type="http://schemas.openxmlformats.org/officeDocument/2006/relationships/hyperlink" Target="https://drive.google.com/open?id=1-djJ1OwgRiC9Wzo6VacFISz_A9FtI9qr&amp;usp=drive_copy" TargetMode="External"/><Relationship Id="rId169" Type="http://schemas.openxmlformats.org/officeDocument/2006/relationships/hyperlink" Target="https://drive.google.com/open?id=1N5tIKeVV5XT6xcmE_PD7I3sYcK9SAzLs&amp;usp=drive_copy" TargetMode="External"/><Relationship Id="rId168" Type="http://schemas.openxmlformats.org/officeDocument/2006/relationships/hyperlink" Target="https://drive.google.com/open?id=1xiSdQEFIdz3j4gQLZVcIBwz7XWYF9AYU&amp;usp=drive_copy" TargetMode="External"/><Relationship Id="rId167" Type="http://schemas.openxmlformats.org/officeDocument/2006/relationships/hyperlink" Target="https://drive.google.com/open?id=1cSBx4BSrZhAUenSWBRkzVov5vYzRocGY&amp;usp=drive_copy" TargetMode="External"/><Relationship Id="rId166" Type="http://schemas.openxmlformats.org/officeDocument/2006/relationships/hyperlink" Target="https://drive.google.com/open?id=1utuC-5S4iBNpQxLGNTWiMRg61mG2cSl_&amp;usp=drive_copy" TargetMode="External"/><Relationship Id="rId51" Type="http://schemas.openxmlformats.org/officeDocument/2006/relationships/hyperlink" Target="https://drive.google.com/open?id=1o5rEHtESyEF4Teb9aBBr_PCFC3G_UFk5&amp;usp=drive_copy" TargetMode="External"/><Relationship Id="rId50" Type="http://schemas.openxmlformats.org/officeDocument/2006/relationships/hyperlink" Target="https://drive.google.com/open?id=1GN2NB2vZTsJ770jYAbpqKcSf-ld-jeFk&amp;usp=drive_copy" TargetMode="External"/><Relationship Id="rId53" Type="http://schemas.openxmlformats.org/officeDocument/2006/relationships/hyperlink" Target="https://drive.google.com/open?id=1nAfX3qk3_t4ZLa2cWXbs0iq_bUyPlTNX&amp;usp=drive_copy" TargetMode="External"/><Relationship Id="rId52" Type="http://schemas.openxmlformats.org/officeDocument/2006/relationships/hyperlink" Target="https://drive.google.com/open?id=1B7IJo9P7Z_yO7mBcOYe8hC4MQDSeSD7S&amp;usp=drive_copy" TargetMode="External"/><Relationship Id="rId55" Type="http://schemas.openxmlformats.org/officeDocument/2006/relationships/hyperlink" Target="https://drive.google.com/open?id=1FQOHxfEb6aKvqOsnydT4AS--jdt0RJLe&amp;usp=drive_copy" TargetMode="External"/><Relationship Id="rId161" Type="http://schemas.openxmlformats.org/officeDocument/2006/relationships/hyperlink" Target="https://drive.google.com/open?id=14sPzH8OGjN8vWA665Sh0L55robDA59ns&amp;usp=drive_copy" TargetMode="External"/><Relationship Id="rId54" Type="http://schemas.openxmlformats.org/officeDocument/2006/relationships/hyperlink" Target="https://drive.google.com/open?id=1hrEatlIxyOGw7spL0RKsTZucWHPR3hCN&amp;usp=drive_copy" TargetMode="External"/><Relationship Id="rId160" Type="http://schemas.openxmlformats.org/officeDocument/2006/relationships/hyperlink" Target="https://drive.google.com/open?id=1_kbHeOHxd8jPKkyxRhudgmdxQxZ4_kVQ&amp;usp=drive_copy" TargetMode="External"/><Relationship Id="rId57" Type="http://schemas.openxmlformats.org/officeDocument/2006/relationships/hyperlink" Target="https://drive.google.com/open?id=1XGZjCXVZMBnQ8RCNYNNxemNjY1Rb6Hmr&amp;usp=drive_copy" TargetMode="External"/><Relationship Id="rId56" Type="http://schemas.openxmlformats.org/officeDocument/2006/relationships/hyperlink" Target="https://drive.google.com/open?id=1FDQK_GPQoLszgtuxaCwmbRG-l1ioB9lw&amp;usp=drive_copy" TargetMode="External"/><Relationship Id="rId159" Type="http://schemas.openxmlformats.org/officeDocument/2006/relationships/hyperlink" Target="https://drive.google.com/open?id=1c3U3mNCHHApCYu2MKf3kYBLS31htNlUY&amp;usp=drive_copy" TargetMode="External"/><Relationship Id="rId59" Type="http://schemas.openxmlformats.org/officeDocument/2006/relationships/hyperlink" Target="https://drive.google.com/open?id=1w1PQnPMbl9t96LRgNyFx0b62ud7df0yK&amp;usp=drive_copy" TargetMode="External"/><Relationship Id="rId154" Type="http://schemas.openxmlformats.org/officeDocument/2006/relationships/hyperlink" Target="https://drive.google.com/open?id=1WHBejaLr6cVeCxtNRqHnefDVEMYFRcIc&amp;usp=drive_copy" TargetMode="External"/><Relationship Id="rId58" Type="http://schemas.openxmlformats.org/officeDocument/2006/relationships/hyperlink" Target="https://drive.google.com/open?id=131qrfvfj45RjQUN6IFZXOw9oZ9J6sILc&amp;usp=drive_copy" TargetMode="External"/><Relationship Id="rId153" Type="http://schemas.openxmlformats.org/officeDocument/2006/relationships/hyperlink" Target="https://drive.google.com/open?id=1yro5fgZmPhdyvHgULxBLlCQZWvRC5nRM&amp;usp=drive_copy" TargetMode="External"/><Relationship Id="rId152" Type="http://schemas.openxmlformats.org/officeDocument/2006/relationships/hyperlink" Target="https://drive.google.com/open?id=1_DcSivCf9tXKgoRUvU4avs3UsZaBXLvp&amp;usp=drive_copy" TargetMode="External"/><Relationship Id="rId151" Type="http://schemas.openxmlformats.org/officeDocument/2006/relationships/hyperlink" Target="https://drive.google.com/open?id=1gZo2UHvOQfjLochGwSmSkebHqIzIU4lM&amp;usp=drive_copy" TargetMode="External"/><Relationship Id="rId158" Type="http://schemas.openxmlformats.org/officeDocument/2006/relationships/hyperlink" Target="https://drive.google.com/open?id=1i4hgERZ4ezMhFdGuvz7q_B756zwlr-Ah&amp;usp=drive_copy" TargetMode="External"/><Relationship Id="rId157" Type="http://schemas.openxmlformats.org/officeDocument/2006/relationships/hyperlink" Target="https://drive.google.com/open?id=1t4S7iENXYuczAZbpaqPbz7KWtiOyADF0&amp;usp=drive_copy" TargetMode="External"/><Relationship Id="rId156" Type="http://schemas.openxmlformats.org/officeDocument/2006/relationships/hyperlink" Target="https://drive.google.com/open?id=1HYBySgdDXx7o8xth0-D4TEquuzVy3V8R&amp;usp=drive_copy" TargetMode="External"/><Relationship Id="rId155" Type="http://schemas.openxmlformats.org/officeDocument/2006/relationships/hyperlink" Target="https://drive.google.com/open?id=1bUfAKcQoa7icMLk7GoHLhNgisP9_HF8S&amp;usp=drive_copy" TargetMode="External"/><Relationship Id="rId107" Type="http://schemas.openxmlformats.org/officeDocument/2006/relationships/hyperlink" Target="https://drive.google.com/open?id=1dFmWYd0CmdmFBG2gytaO-hoPo6gyt9Cg&amp;usp=drive_copy" TargetMode="External"/><Relationship Id="rId106" Type="http://schemas.openxmlformats.org/officeDocument/2006/relationships/hyperlink" Target="https://drive.google.com/open?id=1UArb3GcZebcYdIaq9viamJ2U6WbdFFBA&amp;usp=drive_copy" TargetMode="External"/><Relationship Id="rId105" Type="http://schemas.openxmlformats.org/officeDocument/2006/relationships/hyperlink" Target="https://drive.google.com/open?id=1jakAKiNK8984od2U4Yx2rzOFGpaagqiw&amp;usp=drive_copy" TargetMode="External"/><Relationship Id="rId104" Type="http://schemas.openxmlformats.org/officeDocument/2006/relationships/hyperlink" Target="https://drive.google.com/open?id=1Ps5ol5YjisGabvSjxUVcm8ij4q4wNKDY&amp;usp=drive_copy" TargetMode="External"/><Relationship Id="rId109" Type="http://schemas.openxmlformats.org/officeDocument/2006/relationships/hyperlink" Target="https://drive.google.com/open?id=1o2VbBgQb__6WS2-0hbH98h86CkbOVyaE&amp;usp=drive_copy" TargetMode="External"/><Relationship Id="rId108" Type="http://schemas.openxmlformats.org/officeDocument/2006/relationships/hyperlink" Target="https://drive.google.com/open?id=1aPU12U_6FmcXi0sYtwbahFXNvKAoy7Td&amp;usp=drive_copy" TargetMode="External"/><Relationship Id="rId220" Type="http://schemas.openxmlformats.org/officeDocument/2006/relationships/drawing" Target="../drawings/drawing1.xml"/><Relationship Id="rId103" Type="http://schemas.openxmlformats.org/officeDocument/2006/relationships/hyperlink" Target="https://drive.google.com/open?id=1baPhGSdUhkHOgZJBGQv0WBnd9vznSPpK&amp;usp=drive_copy" TargetMode="External"/><Relationship Id="rId102" Type="http://schemas.openxmlformats.org/officeDocument/2006/relationships/hyperlink" Target="https://drive.google.com/open?id=1vECVt1uetypx-RV7P04Mwr1BVyH9Aaea&amp;usp=drive_copy" TargetMode="External"/><Relationship Id="rId101" Type="http://schemas.openxmlformats.org/officeDocument/2006/relationships/hyperlink" Target="https://drive.google.com/open?id=1CyOmHP_4nV-KpMMDmG_40TzVW6VUGA17&amp;usp=drive_copy" TargetMode="External"/><Relationship Id="rId222" Type="http://schemas.openxmlformats.org/officeDocument/2006/relationships/table" Target="../tables/table1.xml"/><Relationship Id="rId100" Type="http://schemas.openxmlformats.org/officeDocument/2006/relationships/hyperlink" Target="https://drive.google.com/open?id=1zwg6suGm5bHULmsep7OOcIzMd941btMx&amp;usp=drive_copy" TargetMode="External"/><Relationship Id="rId217" Type="http://schemas.openxmlformats.org/officeDocument/2006/relationships/hyperlink" Target="https://drive.google.com/open?id=1CbC5wJhnE6IKQMZXzzmQ2Por1WAYZyIZ&amp;usp=drive_copy" TargetMode="External"/><Relationship Id="rId216" Type="http://schemas.openxmlformats.org/officeDocument/2006/relationships/hyperlink" Target="https://drive.google.com/open?id=1YKgKFMtPQvJjh29iU_F4Qp-d8yxluq16&amp;usp=drive_copy" TargetMode="External"/><Relationship Id="rId215" Type="http://schemas.openxmlformats.org/officeDocument/2006/relationships/hyperlink" Target="https://drive.google.com/open?id=1YoSp70p8FwjVO6mGVL4Bfx14Q8h82RFN&amp;usp=drive_copy" TargetMode="External"/><Relationship Id="rId214" Type="http://schemas.openxmlformats.org/officeDocument/2006/relationships/hyperlink" Target="https://drive.google.com/open?id=15-5oorRSQJcLp0jNHgIjw0wHwHUeGpAN&amp;usp=drive_copy" TargetMode="External"/><Relationship Id="rId219" Type="http://schemas.openxmlformats.org/officeDocument/2006/relationships/hyperlink" Target="https://drive.google.com/open?id=1QzNdBfw3yCUdzbndc-3-3GXL1XHzjTVy&amp;usp=drive_copy" TargetMode="External"/><Relationship Id="rId218" Type="http://schemas.openxmlformats.org/officeDocument/2006/relationships/hyperlink" Target="https://drive.google.com/open?id=1VIJEhBnq9ysl8-k-IxsMAinn6dGQ1Dyf&amp;usp=drive_copy" TargetMode="External"/><Relationship Id="rId213" Type="http://schemas.openxmlformats.org/officeDocument/2006/relationships/hyperlink" Target="https://drive.google.com/open?id=1Kwvf-AexqdvU1eUmDSgufSGHPsprH75k&amp;usp=drive_copy" TargetMode="External"/><Relationship Id="rId212" Type="http://schemas.openxmlformats.org/officeDocument/2006/relationships/hyperlink" Target="https://drive.google.com/open?id=1IkhJErHPFUy7Zy7h23ctuNeFdvwkWO8v&amp;usp=drive_copy" TargetMode="External"/><Relationship Id="rId211" Type="http://schemas.openxmlformats.org/officeDocument/2006/relationships/hyperlink" Target="https://drive.google.com/open?id=1RmkEqO0K2VA7a2OWvqvEuxb7Z3x-Yxvu&amp;usp=drive_copy" TargetMode="External"/><Relationship Id="rId210" Type="http://schemas.openxmlformats.org/officeDocument/2006/relationships/hyperlink" Target="https://drive.google.com/open?id=1PNqlAags9eCjhAikcjSkaI8GpRDG08FL&amp;usp=drive_copy" TargetMode="External"/><Relationship Id="rId129" Type="http://schemas.openxmlformats.org/officeDocument/2006/relationships/hyperlink" Target="https://drive.google.com/open?id=1Me7IFHfvy4y4UcKogrnZKPb2Oy3ldU10&amp;usp=drive_copy" TargetMode="External"/><Relationship Id="rId128" Type="http://schemas.openxmlformats.org/officeDocument/2006/relationships/hyperlink" Target="https://drive.google.com/open?id=1vxI7jb8i2GX0wFNnWwx7OAKPxgmLMaq-&amp;usp=drive_copy" TargetMode="External"/><Relationship Id="rId127" Type="http://schemas.openxmlformats.org/officeDocument/2006/relationships/hyperlink" Target="https://drive.google.com/open?id=1jpI-4UD0die_C1t3H-q4iOT4uDTdrYFq&amp;usp=drive_copy" TargetMode="External"/><Relationship Id="rId126" Type="http://schemas.openxmlformats.org/officeDocument/2006/relationships/hyperlink" Target="https://drive.google.com/open?id=1jXRzsHg846F-YW5MayO2Oo_GI0X36_Kz&amp;usp=drive_copy" TargetMode="External"/><Relationship Id="rId121" Type="http://schemas.openxmlformats.org/officeDocument/2006/relationships/hyperlink" Target="https://drive.google.com/open?id=19d7-jxaW_1MrVdaHyadxJuy5i6z5lQSp&amp;usp=drive_copy" TargetMode="External"/><Relationship Id="rId120" Type="http://schemas.openxmlformats.org/officeDocument/2006/relationships/hyperlink" Target="https://drive.google.com/open?id=17CdqeGiTJKJH7_IwKZNOGLJxTZF22aeF&amp;usp=drive_copy" TargetMode="External"/><Relationship Id="rId125" Type="http://schemas.openxmlformats.org/officeDocument/2006/relationships/hyperlink" Target="https://drive.google.com/open?id=106I2J95m4BCsssnjIlMy7aodBgnysBXk&amp;usp=drive_copy" TargetMode="External"/><Relationship Id="rId124" Type="http://schemas.openxmlformats.org/officeDocument/2006/relationships/hyperlink" Target="https://drive.google.com/open?id=1FSqCCS6AlKnvrE6TAlaessJ0LHTgj7ge&amp;usp=drive_copy" TargetMode="External"/><Relationship Id="rId123" Type="http://schemas.openxmlformats.org/officeDocument/2006/relationships/hyperlink" Target="https://drive.google.com/open?id=1PF-GTl_XT9KHeTB0n4yrsz3fh2w59WBN&amp;usp=drive_copy" TargetMode="External"/><Relationship Id="rId122" Type="http://schemas.openxmlformats.org/officeDocument/2006/relationships/hyperlink" Target="https://drive.google.com/open?id=1D3M195VfYTE9Y6Z7rblWcePEi9isa424&amp;usp=drive_copy" TargetMode="External"/><Relationship Id="rId95" Type="http://schemas.openxmlformats.org/officeDocument/2006/relationships/hyperlink" Target="https://drive.google.com/open?id=1ubeeu-QlRR93gysAS3_uE_NPBcSajfzS&amp;usp=drive_copy" TargetMode="External"/><Relationship Id="rId94" Type="http://schemas.openxmlformats.org/officeDocument/2006/relationships/hyperlink" Target="https://drive.google.com/open?id=1BQLPm_FqNBdS35Vn4cXqV8YKphV0YIGu&amp;usp=drive_copy" TargetMode="External"/><Relationship Id="rId97" Type="http://schemas.openxmlformats.org/officeDocument/2006/relationships/hyperlink" Target="https://drive.google.com/open?id=1rQXRS2PP4ZcmGBT6qZpGZOEFD3orDllB&amp;usp=drive_copy" TargetMode="External"/><Relationship Id="rId96" Type="http://schemas.openxmlformats.org/officeDocument/2006/relationships/hyperlink" Target="https://drive.google.com/open?id=1s6HK0uWYADJlNPQ4pNLycwRb_2e0Ka7x&amp;usp=drive_copy" TargetMode="External"/><Relationship Id="rId99" Type="http://schemas.openxmlformats.org/officeDocument/2006/relationships/hyperlink" Target="https://drive.google.com/open?id=1skqixg6hq_zF2hBhTBNz5EjRIp0IKMkz&amp;usp=drive_copy" TargetMode="External"/><Relationship Id="rId98" Type="http://schemas.openxmlformats.org/officeDocument/2006/relationships/hyperlink" Target="https://drive.google.com/open?id=1SqeT1EMDweOQmO44sDUvu9Me4ZJ5bNGz&amp;usp=drive_copy" TargetMode="External"/><Relationship Id="rId91" Type="http://schemas.openxmlformats.org/officeDocument/2006/relationships/hyperlink" Target="https://drive.google.com/open?id=1bo4DFhq8LuszN1naUGCFnE55PaZWXE0q&amp;usp=drive_copy" TargetMode="External"/><Relationship Id="rId90" Type="http://schemas.openxmlformats.org/officeDocument/2006/relationships/hyperlink" Target="https://drive.google.com/open?id=104ZlxocZw9a3j6M0l3zJYSjBqaUS8xuK&amp;usp=drive_copy" TargetMode="External"/><Relationship Id="rId93" Type="http://schemas.openxmlformats.org/officeDocument/2006/relationships/hyperlink" Target="https://drive.google.com/open?id=1UjUeX-Z3hJjMEXMebAQF5FucBi8oCq-4&amp;usp=drive_copy" TargetMode="External"/><Relationship Id="rId92" Type="http://schemas.openxmlformats.org/officeDocument/2006/relationships/hyperlink" Target="https://drive.google.com/open?id=1v9ZukoBpX0KSfaQH7O2sji8c7iA2qyMg&amp;usp=drive_copy" TargetMode="External"/><Relationship Id="rId118" Type="http://schemas.openxmlformats.org/officeDocument/2006/relationships/hyperlink" Target="https://drive.google.com/open?id=1Xo0kwgkGgk5QOW5VA6lR4ENrWUAVss1I&amp;usp=drive_copy" TargetMode="External"/><Relationship Id="rId117" Type="http://schemas.openxmlformats.org/officeDocument/2006/relationships/hyperlink" Target="https://drive.google.com/open?id=18jp0qfn9RvJyM9GoPf-ietIp-sxb8sQ8&amp;usp=drive_copy" TargetMode="External"/><Relationship Id="rId116" Type="http://schemas.openxmlformats.org/officeDocument/2006/relationships/hyperlink" Target="https://drive.google.com/open?id=1kXeRfKCIUqRssk0STKq1v0DtO2nq9qb0&amp;usp=drive_copy" TargetMode="External"/><Relationship Id="rId115" Type="http://schemas.openxmlformats.org/officeDocument/2006/relationships/hyperlink" Target="https://drive.google.com/open?id=1qIWOPcyPjYRo9UwFkjcLND-fXr96hZDY&amp;usp=drive_copy" TargetMode="External"/><Relationship Id="rId119" Type="http://schemas.openxmlformats.org/officeDocument/2006/relationships/hyperlink" Target="https://drive.google.com/open?id=1nh4CUKjzQfoj21CuwYEPUkEojivoI3x9&amp;usp=drive_copy" TargetMode="External"/><Relationship Id="rId110" Type="http://schemas.openxmlformats.org/officeDocument/2006/relationships/hyperlink" Target="https://drive.google.com/open?id=1Xa6MOVFGaQrTeij271FVTLu5iEFXYhs_&amp;usp=drive_copy" TargetMode="External"/><Relationship Id="rId114" Type="http://schemas.openxmlformats.org/officeDocument/2006/relationships/hyperlink" Target="https://drive.google.com/open?id=1SBJCLKRpQg8cwqFoh16v7iX4N_9Ngj9c&amp;usp=drive_copy" TargetMode="External"/><Relationship Id="rId113" Type="http://schemas.openxmlformats.org/officeDocument/2006/relationships/hyperlink" Target="https://drive.google.com/open?id=1ZBy4hxk2RpPsB3onXQ_EdghF_d_4Wo5N&amp;usp=drive_copy" TargetMode="External"/><Relationship Id="rId112" Type="http://schemas.openxmlformats.org/officeDocument/2006/relationships/hyperlink" Target="https://drive.google.com/open?id=1RUDkoMz161mqmt81ShqTkaxBbvfFUUzL&amp;usp=drive_copy" TargetMode="External"/><Relationship Id="rId111" Type="http://schemas.openxmlformats.org/officeDocument/2006/relationships/hyperlink" Target="https://drive.google.com/open?id=1E0w12kOAVLh-fL-YjQqhJH5TSPf0V_a1&amp;usp=drive_copy" TargetMode="External"/><Relationship Id="rId206" Type="http://schemas.openxmlformats.org/officeDocument/2006/relationships/hyperlink" Target="https://drive.google.com/open?id=1CNndz0WE_TBWuRfso-OjXktqnuWqU-r5&amp;usp=drive_copy" TargetMode="External"/><Relationship Id="rId205" Type="http://schemas.openxmlformats.org/officeDocument/2006/relationships/hyperlink" Target="https://drive.google.com/open?id=1GahSMqyx2grp5VtaqC7OSB3FhwBvW0NX&amp;usp=drive_copy" TargetMode="External"/><Relationship Id="rId204" Type="http://schemas.openxmlformats.org/officeDocument/2006/relationships/hyperlink" Target="https://drive.google.com/open?id=1k02-bdk1blGnGoupYVLnDEDT1lj_qPmK&amp;usp=drive_copy" TargetMode="External"/><Relationship Id="rId203" Type="http://schemas.openxmlformats.org/officeDocument/2006/relationships/hyperlink" Target="https://drive.google.com/open?id=16mG1Xz9_ewbecDiqcLi7YhDgsilL1lgS&amp;usp=drive_copy" TargetMode="External"/><Relationship Id="rId209" Type="http://schemas.openxmlformats.org/officeDocument/2006/relationships/hyperlink" Target="https://drive.google.com/open?id=1LoDkwS19sqxSeyb3DlTeHSDoQtMoso2u&amp;usp=drive_copy" TargetMode="External"/><Relationship Id="rId208" Type="http://schemas.openxmlformats.org/officeDocument/2006/relationships/hyperlink" Target="https://drive.google.com/open?id=1X2p6wtBrHG_c-MvqAerSjACGUN2szt7F&amp;usp=drive_copy" TargetMode="External"/><Relationship Id="rId207" Type="http://schemas.openxmlformats.org/officeDocument/2006/relationships/hyperlink" Target="https://drive.google.com/open?id=1nr3lbjgheYthnohpdZMEzEP8mvzqQFEl&amp;usp=drive_copy" TargetMode="External"/><Relationship Id="rId202" Type="http://schemas.openxmlformats.org/officeDocument/2006/relationships/hyperlink" Target="https://drive.google.com/open?id=1BJfdTQ3rk9wkILya_iYnfT8qmFM7Lhsn&amp;usp=drive_copy" TargetMode="External"/><Relationship Id="rId201" Type="http://schemas.openxmlformats.org/officeDocument/2006/relationships/hyperlink" Target="https://drive.google.com/open?id=1zP6TEZtpJ3g8lRwdEbyw4gq6en_eoflq&amp;usp=drive_copy" TargetMode="External"/><Relationship Id="rId200" Type="http://schemas.openxmlformats.org/officeDocument/2006/relationships/hyperlink" Target="https://drive.google.com/open?id=1KqpAfx3eouaoRDntYZ8U1zPIRH37B-3o&amp;usp=drive_cop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10.75"/>
    <col customWidth="1" min="3" max="3" width="13.13"/>
    <col customWidth="1" min="4" max="4" width="18.63"/>
    <col customWidth="1" min="5" max="5" width="20.25"/>
    <col customWidth="1" min="6" max="6" width="20.13"/>
    <col customWidth="1" min="7" max="7" width="29.38"/>
    <col customWidth="1" min="8" max="8" width="18.75"/>
    <col customWidth="1" min="9" max="9" width="14.5"/>
    <col customWidth="1" min="10" max="10" width="24.88"/>
    <col customWidth="1" min="11" max="11" width="24.5"/>
    <col customWidth="1" min="12" max="12" width="21.25"/>
    <col customWidth="1" min="13" max="13" width="23.38"/>
    <col customWidth="1" min="15" max="15" width="14.13"/>
  </cols>
  <sheetData>
    <row r="1" ht="30.0" customHeight="1">
      <c r="A1" s="1" t="s">
        <v>0</v>
      </c>
      <c r="B1" s="2" t="s">
        <v>1</v>
      </c>
      <c r="C1" s="2" t="s">
        <v>2</v>
      </c>
      <c r="D1" s="2" t="s">
        <v>3</v>
      </c>
      <c r="E1" s="2"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c r="Y1" s="3"/>
      <c r="Z1" s="3"/>
      <c r="AA1" s="3"/>
      <c r="AB1" s="3"/>
      <c r="AC1" s="3"/>
    </row>
    <row r="2" ht="22.5" hidden="1" customHeight="1">
      <c r="A2" s="4"/>
      <c r="B2" s="5" t="s">
        <v>23</v>
      </c>
      <c r="C2" s="6"/>
      <c r="D2" s="7"/>
      <c r="E2" s="7" t="s">
        <v>24</v>
      </c>
      <c r="F2" s="8" t="s">
        <v>25</v>
      </c>
      <c r="G2" s="9" t="s">
        <v>26</v>
      </c>
      <c r="H2" s="10"/>
      <c r="I2" s="10"/>
      <c r="J2" s="10"/>
      <c r="K2" s="10"/>
      <c r="L2" s="10"/>
      <c r="M2" s="10"/>
      <c r="N2" s="11"/>
      <c r="O2" s="10"/>
      <c r="P2" s="11"/>
      <c r="Q2" s="10"/>
      <c r="R2" s="10"/>
      <c r="S2" s="10"/>
      <c r="T2" s="11"/>
      <c r="U2" s="10"/>
      <c r="V2" s="11"/>
      <c r="W2" s="10"/>
      <c r="X2" s="3"/>
      <c r="Y2" s="3"/>
      <c r="Z2" s="3"/>
      <c r="AA2" s="3"/>
      <c r="AB2" s="3"/>
      <c r="AC2" s="3"/>
    </row>
    <row r="3" ht="22.5" hidden="1" customHeight="1">
      <c r="A3" s="12"/>
      <c r="B3" s="13">
        <v>46203.0</v>
      </c>
      <c r="C3" s="14" t="s">
        <v>27</v>
      </c>
      <c r="D3" s="15" t="s">
        <v>28</v>
      </c>
      <c r="E3" s="15"/>
      <c r="F3" s="16" t="s">
        <v>29</v>
      </c>
      <c r="G3" s="16" t="s">
        <v>30</v>
      </c>
      <c r="H3" s="16" t="s">
        <v>31</v>
      </c>
      <c r="I3" s="15" t="s">
        <v>32</v>
      </c>
      <c r="J3" s="16" t="s">
        <v>33</v>
      </c>
      <c r="K3" s="16" t="s">
        <v>34</v>
      </c>
      <c r="L3" s="16" t="s">
        <v>34</v>
      </c>
      <c r="M3" s="17" t="s">
        <v>35</v>
      </c>
      <c r="N3" s="14" t="s">
        <v>36</v>
      </c>
      <c r="O3" s="10"/>
      <c r="P3" s="11"/>
      <c r="Q3" s="10"/>
      <c r="R3" s="10"/>
      <c r="S3" s="10"/>
      <c r="T3" s="11"/>
      <c r="U3" s="10"/>
      <c r="V3" s="11"/>
      <c r="W3" s="10"/>
      <c r="X3" s="3"/>
      <c r="Y3" s="3"/>
      <c r="Z3" s="3"/>
      <c r="AA3" s="3"/>
      <c r="AB3" s="3"/>
      <c r="AC3" s="3"/>
    </row>
    <row r="4" ht="22.5" hidden="1" customHeight="1">
      <c r="A4" s="12"/>
      <c r="B4" s="13">
        <v>46203.0</v>
      </c>
      <c r="C4" s="14" t="s">
        <v>27</v>
      </c>
      <c r="D4" s="15" t="s">
        <v>37</v>
      </c>
      <c r="E4" s="15"/>
      <c r="F4" s="16" t="s">
        <v>29</v>
      </c>
      <c r="G4" s="16" t="s">
        <v>38</v>
      </c>
      <c r="H4" s="16" t="s">
        <v>39</v>
      </c>
      <c r="I4" s="15" t="s">
        <v>32</v>
      </c>
      <c r="J4" s="16" t="s">
        <v>40</v>
      </c>
      <c r="K4" s="16" t="s">
        <v>41</v>
      </c>
      <c r="L4" s="16" t="s">
        <v>41</v>
      </c>
      <c r="M4" s="17" t="s">
        <v>35</v>
      </c>
      <c r="N4" s="14" t="s">
        <v>36</v>
      </c>
      <c r="O4" s="10"/>
      <c r="P4" s="11"/>
      <c r="Q4" s="10"/>
      <c r="R4" s="15"/>
      <c r="S4" s="10"/>
      <c r="T4" s="11"/>
      <c r="U4" s="10"/>
      <c r="V4" s="11"/>
      <c r="W4" s="10"/>
      <c r="X4" s="3"/>
      <c r="Y4" s="3"/>
      <c r="Z4" s="3"/>
      <c r="AA4" s="3"/>
      <c r="AB4" s="3"/>
      <c r="AC4" s="3"/>
    </row>
    <row r="5" ht="22.5" hidden="1" customHeight="1">
      <c r="A5" s="12"/>
      <c r="B5" s="13">
        <v>46203.0</v>
      </c>
      <c r="C5" s="14" t="s">
        <v>27</v>
      </c>
      <c r="D5" s="15" t="s">
        <v>42</v>
      </c>
      <c r="E5" s="15"/>
      <c r="F5" s="16" t="s">
        <v>29</v>
      </c>
      <c r="G5" s="16" t="s">
        <v>43</v>
      </c>
      <c r="H5" s="16" t="s">
        <v>44</v>
      </c>
      <c r="I5" s="15" t="s">
        <v>32</v>
      </c>
      <c r="J5" s="16" t="s">
        <v>40</v>
      </c>
      <c r="K5" s="16" t="s">
        <v>45</v>
      </c>
      <c r="L5" s="16" t="s">
        <v>45</v>
      </c>
      <c r="M5" s="17" t="s">
        <v>35</v>
      </c>
      <c r="N5" s="14" t="s">
        <v>36</v>
      </c>
      <c r="O5" s="10"/>
      <c r="P5" s="11"/>
      <c r="Q5" s="10"/>
      <c r="R5" s="10"/>
      <c r="S5" s="10"/>
      <c r="T5" s="11"/>
      <c r="U5" s="10"/>
      <c r="V5" s="11"/>
      <c r="W5" s="10"/>
      <c r="X5" s="3"/>
      <c r="Y5" s="3"/>
      <c r="Z5" s="3"/>
      <c r="AA5" s="3"/>
      <c r="AB5" s="3"/>
      <c r="AC5" s="3"/>
    </row>
    <row r="6" ht="22.5" hidden="1" customHeight="1">
      <c r="A6" s="12"/>
      <c r="B6" s="13">
        <v>46203.0</v>
      </c>
      <c r="C6" s="14" t="s">
        <v>27</v>
      </c>
      <c r="D6" s="15" t="s">
        <v>46</v>
      </c>
      <c r="E6" s="15"/>
      <c r="F6" s="16" t="s">
        <v>29</v>
      </c>
      <c r="G6" s="16" t="s">
        <v>47</v>
      </c>
      <c r="H6" s="16" t="s">
        <v>48</v>
      </c>
      <c r="I6" s="15" t="s">
        <v>32</v>
      </c>
      <c r="J6" s="16" t="s">
        <v>40</v>
      </c>
      <c r="K6" s="16" t="s">
        <v>49</v>
      </c>
      <c r="L6" s="16" t="s">
        <v>49</v>
      </c>
      <c r="M6" s="17" t="s">
        <v>50</v>
      </c>
      <c r="N6" s="14" t="s">
        <v>36</v>
      </c>
      <c r="O6" s="10"/>
      <c r="P6" s="11"/>
      <c r="Q6" s="10"/>
      <c r="R6" s="10"/>
      <c r="S6" s="10"/>
      <c r="T6" s="11"/>
      <c r="U6" s="10"/>
      <c r="V6" s="11"/>
      <c r="W6" s="10"/>
      <c r="X6" s="3"/>
      <c r="Y6" s="3"/>
      <c r="Z6" s="3"/>
      <c r="AA6" s="3"/>
      <c r="AB6" s="3"/>
      <c r="AC6" s="3"/>
    </row>
    <row r="7" ht="22.5" hidden="1" customHeight="1">
      <c r="A7" s="12"/>
      <c r="B7" s="13">
        <v>46203.0</v>
      </c>
      <c r="C7" s="14" t="s">
        <v>27</v>
      </c>
      <c r="D7" s="15" t="s">
        <v>51</v>
      </c>
      <c r="E7" s="15"/>
      <c r="F7" s="16" t="s">
        <v>29</v>
      </c>
      <c r="G7" s="16" t="s">
        <v>52</v>
      </c>
      <c r="H7" s="16" t="s">
        <v>53</v>
      </c>
      <c r="I7" s="15" t="s">
        <v>32</v>
      </c>
      <c r="J7" s="16" t="s">
        <v>40</v>
      </c>
      <c r="K7" s="16" t="s">
        <v>54</v>
      </c>
      <c r="L7" s="16" t="s">
        <v>54</v>
      </c>
      <c r="M7" s="17" t="s">
        <v>55</v>
      </c>
      <c r="N7" s="14" t="s">
        <v>36</v>
      </c>
      <c r="O7" s="10"/>
      <c r="P7" s="11"/>
      <c r="Q7" s="10"/>
      <c r="R7" s="10"/>
      <c r="S7" s="10"/>
      <c r="T7" s="11"/>
      <c r="U7" s="10"/>
      <c r="V7" s="11"/>
      <c r="W7" s="10"/>
      <c r="X7" s="3"/>
      <c r="Y7" s="3"/>
      <c r="Z7" s="3"/>
      <c r="AA7" s="3"/>
      <c r="AB7" s="3"/>
      <c r="AC7" s="3"/>
    </row>
    <row r="8" ht="22.5" customHeight="1">
      <c r="A8" s="12"/>
      <c r="B8" s="13">
        <v>46203.0</v>
      </c>
      <c r="C8" s="14" t="s">
        <v>27</v>
      </c>
      <c r="D8" s="15" t="s">
        <v>56</v>
      </c>
      <c r="E8" s="15"/>
      <c r="F8" s="16" t="s">
        <v>29</v>
      </c>
      <c r="G8" s="16" t="s">
        <v>57</v>
      </c>
      <c r="H8" s="16" t="s">
        <v>58</v>
      </c>
      <c r="I8" s="15" t="s">
        <v>32</v>
      </c>
      <c r="J8" s="16" t="s">
        <v>59</v>
      </c>
      <c r="K8" s="16" t="s">
        <v>60</v>
      </c>
      <c r="L8" s="16" t="s">
        <v>61</v>
      </c>
      <c r="M8" s="17" t="s">
        <v>62</v>
      </c>
      <c r="N8" s="14" t="s">
        <v>63</v>
      </c>
      <c r="O8" s="10"/>
      <c r="P8" s="11"/>
      <c r="Q8" s="10"/>
      <c r="R8" s="10"/>
      <c r="S8" s="10"/>
      <c r="T8" s="11"/>
      <c r="U8" s="10"/>
      <c r="V8" s="11"/>
      <c r="W8" s="10"/>
      <c r="X8" s="3"/>
      <c r="Y8" s="3"/>
      <c r="Z8" s="3"/>
      <c r="AA8" s="3"/>
      <c r="AB8" s="3"/>
      <c r="AC8" s="3"/>
    </row>
    <row r="9" ht="22.5" customHeight="1">
      <c r="A9" s="12"/>
      <c r="B9" s="13">
        <v>46203.0</v>
      </c>
      <c r="C9" s="14" t="s">
        <v>27</v>
      </c>
      <c r="D9" s="15" t="s">
        <v>64</v>
      </c>
      <c r="E9" s="15"/>
      <c r="F9" s="16" t="s">
        <v>29</v>
      </c>
      <c r="G9" s="16" t="s">
        <v>65</v>
      </c>
      <c r="H9" s="16" t="s">
        <v>58</v>
      </c>
      <c r="I9" s="15" t="s">
        <v>32</v>
      </c>
      <c r="J9" s="16" t="s">
        <v>66</v>
      </c>
      <c r="K9" s="16" t="s">
        <v>67</v>
      </c>
      <c r="L9" s="15" t="s">
        <v>68</v>
      </c>
      <c r="M9" s="17" t="s">
        <v>69</v>
      </c>
      <c r="N9" s="14" t="s">
        <v>63</v>
      </c>
      <c r="O9" s="10"/>
      <c r="P9" s="11"/>
      <c r="Q9" s="10"/>
      <c r="R9" s="10"/>
      <c r="S9" s="10"/>
      <c r="T9" s="11"/>
      <c r="U9" s="10"/>
      <c r="V9" s="11"/>
      <c r="W9" s="10"/>
      <c r="X9" s="3"/>
      <c r="Y9" s="3"/>
      <c r="Z9" s="3"/>
      <c r="AA9" s="3"/>
      <c r="AB9" s="3"/>
      <c r="AC9" s="3"/>
    </row>
    <row r="10" ht="22.5" customHeight="1">
      <c r="A10" s="12"/>
      <c r="B10" s="13">
        <v>46203.0</v>
      </c>
      <c r="C10" s="14" t="s">
        <v>27</v>
      </c>
      <c r="D10" s="15" t="s">
        <v>70</v>
      </c>
      <c r="E10" s="15"/>
      <c r="F10" s="16" t="s">
        <v>29</v>
      </c>
      <c r="G10" s="16" t="s">
        <v>71</v>
      </c>
      <c r="H10" s="16" t="s">
        <v>72</v>
      </c>
      <c r="I10" s="15" t="s">
        <v>32</v>
      </c>
      <c r="J10" s="16" t="s">
        <v>73</v>
      </c>
      <c r="K10" s="16" t="s">
        <v>74</v>
      </c>
      <c r="L10" s="15" t="s">
        <v>75</v>
      </c>
      <c r="M10" s="17" t="s">
        <v>76</v>
      </c>
      <c r="N10" s="14" t="s">
        <v>63</v>
      </c>
      <c r="O10" s="10"/>
      <c r="P10" s="11"/>
      <c r="Q10" s="10"/>
      <c r="R10" s="10"/>
      <c r="S10" s="10"/>
      <c r="T10" s="11"/>
      <c r="U10" s="10"/>
      <c r="V10" s="11"/>
      <c r="W10" s="10"/>
      <c r="X10" s="3"/>
      <c r="Y10" s="3"/>
      <c r="Z10" s="3"/>
      <c r="AA10" s="3"/>
      <c r="AB10" s="3"/>
      <c r="AC10" s="3"/>
    </row>
    <row r="11" ht="22.5" hidden="1" customHeight="1">
      <c r="A11" s="12"/>
      <c r="B11" s="13">
        <v>46203.0</v>
      </c>
      <c r="C11" s="14" t="s">
        <v>27</v>
      </c>
      <c r="D11" s="15" t="s">
        <v>77</v>
      </c>
      <c r="E11" s="15"/>
      <c r="F11" s="16" t="s">
        <v>29</v>
      </c>
      <c r="G11" s="16" t="s">
        <v>78</v>
      </c>
      <c r="H11" s="16" t="s">
        <v>79</v>
      </c>
      <c r="I11" s="15" t="s">
        <v>32</v>
      </c>
      <c r="J11" s="16" t="s">
        <v>80</v>
      </c>
      <c r="K11" s="16" t="s">
        <v>81</v>
      </c>
      <c r="L11" s="16" t="s">
        <v>81</v>
      </c>
      <c r="M11" s="17" t="s">
        <v>82</v>
      </c>
      <c r="N11" s="14" t="s">
        <v>36</v>
      </c>
      <c r="O11" s="10"/>
      <c r="P11" s="11"/>
      <c r="Q11" s="10"/>
      <c r="R11" s="10"/>
      <c r="S11" s="10"/>
      <c r="T11" s="11"/>
      <c r="U11" s="10"/>
      <c r="V11" s="11"/>
      <c r="W11" s="10"/>
      <c r="X11" s="3"/>
      <c r="Y11" s="3"/>
      <c r="Z11" s="3"/>
      <c r="AA11" s="3"/>
      <c r="AB11" s="3"/>
      <c r="AC11" s="3"/>
    </row>
    <row r="12" ht="22.5" hidden="1" customHeight="1">
      <c r="A12" s="12"/>
      <c r="B12" s="13">
        <v>46203.0</v>
      </c>
      <c r="C12" s="14" t="s">
        <v>27</v>
      </c>
      <c r="D12" s="15" t="s">
        <v>83</v>
      </c>
      <c r="E12" s="15"/>
      <c r="F12" s="16" t="s">
        <v>29</v>
      </c>
      <c r="G12" s="16" t="s">
        <v>84</v>
      </c>
      <c r="H12" s="16"/>
      <c r="I12" s="15" t="s">
        <v>32</v>
      </c>
      <c r="J12" s="16" t="s">
        <v>85</v>
      </c>
      <c r="K12" s="16" t="s">
        <v>86</v>
      </c>
      <c r="L12" s="16" t="s">
        <v>86</v>
      </c>
      <c r="M12" s="17" t="s">
        <v>87</v>
      </c>
      <c r="N12" s="14" t="s">
        <v>36</v>
      </c>
      <c r="O12" s="10"/>
      <c r="P12" s="11"/>
      <c r="Q12" s="10"/>
      <c r="R12" s="10"/>
      <c r="S12" s="10"/>
      <c r="T12" s="11"/>
      <c r="U12" s="10"/>
      <c r="V12" s="11"/>
      <c r="W12" s="10"/>
      <c r="X12" s="3"/>
      <c r="Y12" s="3"/>
      <c r="Z12" s="3"/>
      <c r="AA12" s="3"/>
      <c r="AB12" s="3"/>
      <c r="AC12" s="3"/>
    </row>
    <row r="13" ht="22.5" hidden="1" customHeight="1">
      <c r="A13" s="12"/>
      <c r="B13" s="13">
        <v>46203.0</v>
      </c>
      <c r="C13" s="14" t="s">
        <v>27</v>
      </c>
      <c r="D13" s="15" t="s">
        <v>88</v>
      </c>
      <c r="E13" s="15"/>
      <c r="F13" s="16" t="s">
        <v>29</v>
      </c>
      <c r="G13" s="16" t="s">
        <v>89</v>
      </c>
      <c r="H13" s="16" t="s">
        <v>58</v>
      </c>
      <c r="I13" s="15" t="s">
        <v>32</v>
      </c>
      <c r="J13" s="16" t="s">
        <v>40</v>
      </c>
      <c r="K13" s="16" t="s">
        <v>90</v>
      </c>
      <c r="L13" s="16" t="s">
        <v>90</v>
      </c>
      <c r="M13" s="17" t="s">
        <v>91</v>
      </c>
      <c r="N13" s="14" t="s">
        <v>36</v>
      </c>
      <c r="O13" s="10"/>
      <c r="P13" s="11"/>
      <c r="Q13" s="10"/>
      <c r="R13" s="10"/>
      <c r="S13" s="10"/>
      <c r="T13" s="11"/>
      <c r="U13" s="10"/>
      <c r="V13" s="11"/>
      <c r="W13" s="10"/>
      <c r="X13" s="3"/>
      <c r="Y13" s="3"/>
      <c r="Z13" s="3"/>
      <c r="AA13" s="3"/>
      <c r="AB13" s="3"/>
      <c r="AC13" s="3"/>
    </row>
    <row r="14" ht="22.5" hidden="1" customHeight="1">
      <c r="A14" s="12"/>
      <c r="B14" s="13">
        <v>46203.0</v>
      </c>
      <c r="C14" s="14" t="s">
        <v>27</v>
      </c>
      <c r="D14" s="15" t="s">
        <v>92</v>
      </c>
      <c r="E14" s="15"/>
      <c r="F14" s="16" t="s">
        <v>29</v>
      </c>
      <c r="G14" s="16" t="s">
        <v>93</v>
      </c>
      <c r="H14" s="16" t="s">
        <v>58</v>
      </c>
      <c r="I14" s="15" t="s">
        <v>32</v>
      </c>
      <c r="J14" s="16" t="s">
        <v>40</v>
      </c>
      <c r="K14" s="16" t="s">
        <v>94</v>
      </c>
      <c r="L14" s="16" t="s">
        <v>94</v>
      </c>
      <c r="M14" s="17" t="s">
        <v>91</v>
      </c>
      <c r="N14" s="14" t="s">
        <v>36</v>
      </c>
      <c r="O14" s="10"/>
      <c r="P14" s="11"/>
      <c r="Q14" s="10"/>
      <c r="R14" s="10"/>
      <c r="S14" s="10"/>
      <c r="T14" s="11"/>
      <c r="U14" s="10"/>
      <c r="V14" s="11"/>
      <c r="W14" s="10"/>
      <c r="X14" s="3"/>
      <c r="Y14" s="3"/>
      <c r="Z14" s="3"/>
      <c r="AA14" s="3"/>
      <c r="AB14" s="3"/>
      <c r="AC14" s="3"/>
    </row>
    <row r="15" ht="22.5" hidden="1" customHeight="1">
      <c r="A15" s="12"/>
      <c r="B15" s="13">
        <v>46203.0</v>
      </c>
      <c r="C15" s="14" t="s">
        <v>27</v>
      </c>
      <c r="D15" s="15" t="s">
        <v>95</v>
      </c>
      <c r="E15" s="15"/>
      <c r="F15" s="16" t="s">
        <v>29</v>
      </c>
      <c r="G15" s="16" t="s">
        <v>96</v>
      </c>
      <c r="H15" s="16" t="s">
        <v>58</v>
      </c>
      <c r="I15" s="15" t="s">
        <v>32</v>
      </c>
      <c r="J15" s="16" t="s">
        <v>40</v>
      </c>
      <c r="K15" s="16" t="s">
        <v>97</v>
      </c>
      <c r="L15" s="16" t="s">
        <v>97</v>
      </c>
      <c r="M15" s="17" t="s">
        <v>91</v>
      </c>
      <c r="N15" s="14" t="s">
        <v>36</v>
      </c>
      <c r="O15" s="10"/>
      <c r="P15" s="11"/>
      <c r="Q15" s="10"/>
      <c r="R15" s="10"/>
      <c r="S15" s="10"/>
      <c r="T15" s="11"/>
      <c r="U15" s="10"/>
      <c r="V15" s="11"/>
      <c r="W15" s="10"/>
      <c r="X15" s="3"/>
      <c r="Y15" s="3"/>
      <c r="Z15" s="3"/>
      <c r="AA15" s="3"/>
      <c r="AB15" s="3"/>
      <c r="AC15" s="3"/>
    </row>
    <row r="16" ht="22.5" hidden="1" customHeight="1">
      <c r="A16" s="18"/>
      <c r="B16" s="19">
        <v>1.0</v>
      </c>
      <c r="C16" s="14" t="s">
        <v>27</v>
      </c>
      <c r="D16" s="20" t="s">
        <v>98</v>
      </c>
      <c r="E16" s="20" t="s">
        <v>99</v>
      </c>
      <c r="F16" s="20" t="s">
        <v>29</v>
      </c>
      <c r="G16" s="21" t="s">
        <v>100</v>
      </c>
      <c r="H16" s="16" t="s">
        <v>58</v>
      </c>
      <c r="I16" s="16"/>
      <c r="J16" s="16" t="s">
        <v>40</v>
      </c>
      <c r="K16" s="16" t="s">
        <v>101</v>
      </c>
      <c r="L16" s="16" t="s">
        <v>101</v>
      </c>
      <c r="M16" s="17" t="s">
        <v>102</v>
      </c>
      <c r="N16" s="14" t="s">
        <v>36</v>
      </c>
      <c r="O16" s="10"/>
      <c r="P16" s="11"/>
      <c r="Q16" s="10"/>
      <c r="R16" s="10"/>
      <c r="S16" s="10"/>
      <c r="T16" s="11"/>
      <c r="U16" s="10"/>
      <c r="V16" s="11"/>
      <c r="W16" s="10"/>
      <c r="X16" s="3"/>
      <c r="Y16" s="3"/>
      <c r="Z16" s="3"/>
      <c r="AA16" s="3"/>
      <c r="AB16" s="3"/>
      <c r="AC16" s="3"/>
    </row>
    <row r="17" ht="22.5" hidden="1" customHeight="1">
      <c r="A17" s="22"/>
      <c r="B17" s="23"/>
      <c r="C17" s="14" t="s">
        <v>27</v>
      </c>
      <c r="D17" s="15" t="s">
        <v>103</v>
      </c>
      <c r="E17" s="24"/>
      <c r="F17" s="24"/>
      <c r="G17" s="16" t="s">
        <v>104</v>
      </c>
      <c r="H17" s="16" t="s">
        <v>58</v>
      </c>
      <c r="I17" s="16"/>
      <c r="J17" s="16" t="s">
        <v>40</v>
      </c>
      <c r="K17" s="16" t="s">
        <v>101</v>
      </c>
      <c r="L17" s="16" t="s">
        <v>101</v>
      </c>
      <c r="M17" s="17" t="s">
        <v>102</v>
      </c>
      <c r="N17" s="14" t="s">
        <v>36</v>
      </c>
      <c r="O17" s="10"/>
      <c r="P17" s="11"/>
      <c r="Q17" s="10"/>
      <c r="R17" s="10"/>
      <c r="S17" s="10"/>
      <c r="T17" s="11"/>
      <c r="U17" s="10"/>
      <c r="V17" s="11"/>
      <c r="W17" s="10"/>
      <c r="X17" s="3"/>
      <c r="Y17" s="3"/>
      <c r="Z17" s="3"/>
      <c r="AA17" s="3"/>
      <c r="AB17" s="3"/>
      <c r="AC17" s="3"/>
    </row>
    <row r="18" ht="22.5" hidden="1" customHeight="1">
      <c r="A18" s="22"/>
      <c r="B18" s="23"/>
      <c r="C18" s="14" t="s">
        <v>27</v>
      </c>
      <c r="D18" s="15" t="s">
        <v>105</v>
      </c>
      <c r="E18" s="24"/>
      <c r="F18" s="24"/>
      <c r="G18" s="16" t="s">
        <v>106</v>
      </c>
      <c r="H18" s="16" t="s">
        <v>58</v>
      </c>
      <c r="I18" s="16"/>
      <c r="J18" s="16" t="s">
        <v>107</v>
      </c>
      <c r="K18" s="16" t="s">
        <v>108</v>
      </c>
      <c r="L18" s="16" t="s">
        <v>108</v>
      </c>
      <c r="M18" s="17" t="s">
        <v>109</v>
      </c>
      <c r="N18" s="14" t="s">
        <v>36</v>
      </c>
      <c r="O18" s="10"/>
      <c r="P18" s="11"/>
      <c r="Q18" s="10"/>
      <c r="R18" s="10"/>
      <c r="S18" s="10"/>
      <c r="T18" s="11"/>
      <c r="U18" s="10"/>
      <c r="V18" s="11"/>
      <c r="W18" s="10"/>
      <c r="X18" s="3"/>
      <c r="Y18" s="3"/>
      <c r="Z18" s="3"/>
      <c r="AA18" s="3"/>
      <c r="AB18" s="3"/>
      <c r="AC18" s="3"/>
    </row>
    <row r="19" ht="22.5" hidden="1" customHeight="1">
      <c r="A19" s="22"/>
      <c r="B19" s="23"/>
      <c r="C19" s="14" t="s">
        <v>27</v>
      </c>
      <c r="D19" s="15" t="s">
        <v>110</v>
      </c>
      <c r="E19" s="24"/>
      <c r="F19" s="24"/>
      <c r="G19" s="16" t="s">
        <v>111</v>
      </c>
      <c r="H19" s="16"/>
      <c r="I19" s="16"/>
      <c r="J19" s="16" t="s">
        <v>112</v>
      </c>
      <c r="K19" s="16" t="s">
        <v>113</v>
      </c>
      <c r="L19" s="16" t="s">
        <v>113</v>
      </c>
      <c r="M19" s="17" t="s">
        <v>114</v>
      </c>
      <c r="N19" s="14" t="s">
        <v>36</v>
      </c>
      <c r="O19" s="10"/>
      <c r="P19" s="11"/>
      <c r="Q19" s="10"/>
      <c r="R19" s="10"/>
      <c r="S19" s="10"/>
      <c r="T19" s="11"/>
      <c r="U19" s="10"/>
      <c r="V19" s="11"/>
      <c r="W19" s="10"/>
      <c r="X19" s="3"/>
      <c r="Y19" s="3"/>
      <c r="Z19" s="3"/>
      <c r="AA19" s="3"/>
      <c r="AB19" s="3"/>
      <c r="AC19" s="3"/>
    </row>
    <row r="20" ht="22.5" hidden="1" customHeight="1">
      <c r="A20" s="18"/>
      <c r="B20" s="19">
        <v>2.0</v>
      </c>
      <c r="C20" s="14" t="s">
        <v>27</v>
      </c>
      <c r="D20" s="25" t="s">
        <v>115</v>
      </c>
      <c r="E20" s="25" t="s">
        <v>116</v>
      </c>
      <c r="F20" s="20" t="s">
        <v>29</v>
      </c>
      <c r="G20" s="21" t="s">
        <v>117</v>
      </c>
      <c r="H20" s="16" t="s">
        <v>58</v>
      </c>
      <c r="I20" s="16"/>
      <c r="J20" s="16" t="s">
        <v>40</v>
      </c>
      <c r="K20" s="16" t="s">
        <v>101</v>
      </c>
      <c r="L20" s="16" t="s">
        <v>101</v>
      </c>
      <c r="M20" s="17" t="s">
        <v>118</v>
      </c>
      <c r="N20" s="14" t="s">
        <v>36</v>
      </c>
      <c r="O20" s="10"/>
      <c r="P20" s="11"/>
      <c r="Q20" s="10"/>
      <c r="R20" s="10"/>
      <c r="S20" s="10"/>
      <c r="T20" s="11"/>
      <c r="U20" s="10"/>
      <c r="V20" s="11"/>
      <c r="W20" s="10"/>
      <c r="X20" s="3"/>
      <c r="Y20" s="3"/>
      <c r="Z20" s="3"/>
      <c r="AA20" s="3"/>
      <c r="AB20" s="3"/>
      <c r="AC20" s="3"/>
    </row>
    <row r="21" ht="22.5" hidden="1" customHeight="1">
      <c r="A21" s="26"/>
      <c r="B21" s="27"/>
      <c r="C21" s="14" t="s">
        <v>27</v>
      </c>
      <c r="D21" s="28" t="s">
        <v>119</v>
      </c>
      <c r="E21" s="28"/>
      <c r="F21" s="15"/>
      <c r="G21" s="16" t="s">
        <v>120</v>
      </c>
      <c r="H21" s="16" t="s">
        <v>58</v>
      </c>
      <c r="I21" s="16"/>
      <c r="J21" s="16" t="s">
        <v>121</v>
      </c>
      <c r="K21" s="16" t="s">
        <v>122</v>
      </c>
      <c r="L21" s="16" t="s">
        <v>122</v>
      </c>
      <c r="M21" s="17" t="s">
        <v>123</v>
      </c>
      <c r="N21" s="14" t="s">
        <v>36</v>
      </c>
      <c r="O21" s="10"/>
      <c r="P21" s="11"/>
      <c r="Q21" s="10"/>
      <c r="R21" s="10"/>
      <c r="S21" s="10"/>
      <c r="T21" s="11"/>
      <c r="U21" s="10"/>
      <c r="V21" s="11"/>
      <c r="W21" s="10"/>
      <c r="X21" s="3"/>
      <c r="Y21" s="3"/>
      <c r="Z21" s="3"/>
      <c r="AA21" s="3"/>
      <c r="AB21" s="3"/>
      <c r="AC21" s="3"/>
    </row>
    <row r="22" ht="22.5" hidden="1" customHeight="1">
      <c r="A22" s="26"/>
      <c r="B22" s="27"/>
      <c r="C22" s="14" t="s">
        <v>27</v>
      </c>
      <c r="D22" s="28" t="s">
        <v>124</v>
      </c>
      <c r="E22" s="28"/>
      <c r="F22" s="15"/>
      <c r="G22" s="16" t="s">
        <v>111</v>
      </c>
      <c r="H22" s="16"/>
      <c r="I22" s="16"/>
      <c r="J22" s="16" t="s">
        <v>112</v>
      </c>
      <c r="K22" s="16" t="s">
        <v>113</v>
      </c>
      <c r="L22" s="16" t="s">
        <v>113</v>
      </c>
      <c r="M22" s="17" t="s">
        <v>125</v>
      </c>
      <c r="N22" s="14" t="s">
        <v>36</v>
      </c>
      <c r="O22" s="10"/>
      <c r="P22" s="11"/>
      <c r="Q22" s="10"/>
      <c r="R22" s="10"/>
      <c r="S22" s="10"/>
      <c r="T22" s="11"/>
      <c r="U22" s="10"/>
      <c r="V22" s="11"/>
      <c r="W22" s="10"/>
      <c r="X22" s="3"/>
      <c r="Y22" s="3"/>
      <c r="Z22" s="3"/>
      <c r="AA22" s="3"/>
      <c r="AB22" s="3"/>
      <c r="AC22" s="3"/>
    </row>
    <row r="23" ht="22.5" hidden="1" customHeight="1">
      <c r="A23" s="18"/>
      <c r="B23" s="19">
        <v>3.0</v>
      </c>
      <c r="C23" s="14" t="s">
        <v>27</v>
      </c>
      <c r="D23" s="25" t="s">
        <v>126</v>
      </c>
      <c r="E23" s="25" t="s">
        <v>127</v>
      </c>
      <c r="F23" s="20" t="s">
        <v>29</v>
      </c>
      <c r="G23" s="21" t="s">
        <v>128</v>
      </c>
      <c r="H23" s="16" t="s">
        <v>58</v>
      </c>
      <c r="I23" s="16"/>
      <c r="J23" s="16" t="s">
        <v>40</v>
      </c>
      <c r="K23" s="16" t="s">
        <v>101</v>
      </c>
      <c r="L23" s="16" t="s">
        <v>101</v>
      </c>
      <c r="M23" s="17" t="s">
        <v>129</v>
      </c>
      <c r="N23" s="14" t="s">
        <v>36</v>
      </c>
      <c r="O23" s="10"/>
      <c r="P23" s="11"/>
      <c r="Q23" s="10"/>
      <c r="R23" s="10"/>
      <c r="S23" s="10"/>
      <c r="T23" s="11"/>
      <c r="U23" s="10"/>
      <c r="V23" s="11"/>
      <c r="W23" s="10"/>
      <c r="X23" s="3"/>
      <c r="Y23" s="3"/>
      <c r="Z23" s="3"/>
      <c r="AA23" s="3"/>
      <c r="AB23" s="3"/>
      <c r="AC23" s="3"/>
    </row>
    <row r="24" ht="22.5" hidden="1" customHeight="1">
      <c r="A24" s="26"/>
      <c r="B24" s="27"/>
      <c r="C24" s="14" t="s">
        <v>27</v>
      </c>
      <c r="D24" s="28" t="s">
        <v>130</v>
      </c>
      <c r="E24" s="15"/>
      <c r="F24" s="15"/>
      <c r="G24" s="16" t="s">
        <v>131</v>
      </c>
      <c r="H24" s="16" t="s">
        <v>58</v>
      </c>
      <c r="I24" s="16"/>
      <c r="J24" s="16" t="s">
        <v>132</v>
      </c>
      <c r="K24" s="16" t="s">
        <v>133</v>
      </c>
      <c r="L24" s="16" t="s">
        <v>133</v>
      </c>
      <c r="M24" s="17" t="s">
        <v>134</v>
      </c>
      <c r="N24" s="14" t="s">
        <v>36</v>
      </c>
      <c r="O24" s="10"/>
      <c r="P24" s="11"/>
      <c r="Q24" s="10"/>
      <c r="R24" s="10"/>
      <c r="S24" s="10"/>
      <c r="T24" s="11"/>
      <c r="U24" s="10"/>
      <c r="V24" s="11"/>
      <c r="W24" s="10"/>
      <c r="X24" s="3"/>
      <c r="Y24" s="3"/>
      <c r="Z24" s="3"/>
      <c r="AA24" s="3"/>
      <c r="AB24" s="3"/>
      <c r="AC24" s="3"/>
    </row>
    <row r="25" ht="22.5" hidden="1" customHeight="1">
      <c r="A25" s="26"/>
      <c r="B25" s="27"/>
      <c r="C25" s="14" t="s">
        <v>27</v>
      </c>
      <c r="D25" s="28" t="s">
        <v>135</v>
      </c>
      <c r="E25" s="15"/>
      <c r="F25" s="15"/>
      <c r="G25" s="16" t="s">
        <v>111</v>
      </c>
      <c r="H25" s="16"/>
      <c r="I25" s="16"/>
      <c r="J25" s="16" t="s">
        <v>112</v>
      </c>
      <c r="K25" s="16" t="s">
        <v>113</v>
      </c>
      <c r="L25" s="16" t="s">
        <v>113</v>
      </c>
      <c r="M25" s="17" t="s">
        <v>136</v>
      </c>
      <c r="N25" s="14" t="s">
        <v>36</v>
      </c>
      <c r="O25" s="10"/>
      <c r="P25" s="11"/>
      <c r="Q25" s="10"/>
      <c r="R25" s="10"/>
      <c r="S25" s="10"/>
      <c r="T25" s="11"/>
      <c r="U25" s="10"/>
      <c r="V25" s="11"/>
      <c r="W25" s="10"/>
      <c r="X25" s="3"/>
      <c r="Y25" s="3"/>
      <c r="Z25" s="3"/>
      <c r="AA25" s="3"/>
      <c r="AB25" s="3"/>
      <c r="AC25" s="3"/>
    </row>
    <row r="26" ht="22.5" hidden="1" customHeight="1">
      <c r="A26" s="18"/>
      <c r="B26" s="19">
        <v>4.0</v>
      </c>
      <c r="C26" s="14" t="s">
        <v>27</v>
      </c>
      <c r="D26" s="20" t="s">
        <v>137</v>
      </c>
      <c r="E26" s="20" t="s">
        <v>138</v>
      </c>
      <c r="F26" s="20" t="s">
        <v>29</v>
      </c>
      <c r="G26" s="21" t="s">
        <v>139</v>
      </c>
      <c r="H26" s="16" t="s">
        <v>58</v>
      </c>
      <c r="I26" s="16"/>
      <c r="J26" s="16" t="s">
        <v>40</v>
      </c>
      <c r="K26" s="16" t="s">
        <v>101</v>
      </c>
      <c r="L26" s="16" t="s">
        <v>101</v>
      </c>
      <c r="M26" s="17" t="s">
        <v>140</v>
      </c>
      <c r="N26" s="14" t="s">
        <v>36</v>
      </c>
      <c r="O26" s="10"/>
      <c r="P26" s="11"/>
      <c r="Q26" s="10"/>
      <c r="R26" s="10"/>
      <c r="S26" s="10"/>
      <c r="T26" s="11"/>
      <c r="U26" s="10"/>
      <c r="V26" s="11"/>
      <c r="W26" s="10"/>
      <c r="X26" s="3"/>
      <c r="Y26" s="3"/>
      <c r="Z26" s="3"/>
      <c r="AA26" s="3"/>
      <c r="AB26" s="3"/>
      <c r="AC26" s="3"/>
    </row>
    <row r="27" ht="22.5" hidden="1" customHeight="1">
      <c r="A27" s="26"/>
      <c r="B27" s="27"/>
      <c r="C27" s="14" t="s">
        <v>27</v>
      </c>
      <c r="D27" s="15" t="s">
        <v>141</v>
      </c>
      <c r="E27" s="28"/>
      <c r="F27" s="28"/>
      <c r="G27" s="16" t="s">
        <v>142</v>
      </c>
      <c r="H27" s="16" t="s">
        <v>58</v>
      </c>
      <c r="I27" s="16"/>
      <c r="J27" s="16" t="s">
        <v>143</v>
      </c>
      <c r="K27" s="16" t="s">
        <v>144</v>
      </c>
      <c r="L27" s="16" t="s">
        <v>144</v>
      </c>
      <c r="M27" s="17" t="s">
        <v>145</v>
      </c>
      <c r="N27" s="14" t="s">
        <v>36</v>
      </c>
      <c r="O27" s="10"/>
      <c r="P27" s="11"/>
      <c r="Q27" s="10"/>
      <c r="R27" s="10"/>
      <c r="S27" s="10"/>
      <c r="T27" s="11"/>
      <c r="U27" s="10"/>
      <c r="V27" s="11"/>
      <c r="W27" s="10"/>
      <c r="X27" s="3"/>
      <c r="Y27" s="3"/>
      <c r="Z27" s="3"/>
      <c r="AA27" s="3"/>
      <c r="AB27" s="3"/>
      <c r="AC27" s="3"/>
    </row>
    <row r="28" ht="22.5" hidden="1" customHeight="1">
      <c r="A28" s="26"/>
      <c r="B28" s="27"/>
      <c r="C28" s="14" t="s">
        <v>27</v>
      </c>
      <c r="D28" s="15" t="s">
        <v>146</v>
      </c>
      <c r="E28" s="28"/>
      <c r="F28" s="28"/>
      <c r="G28" s="16" t="s">
        <v>111</v>
      </c>
      <c r="H28" s="16"/>
      <c r="I28" s="16"/>
      <c r="J28" s="16" t="s">
        <v>112</v>
      </c>
      <c r="K28" s="16" t="s">
        <v>113</v>
      </c>
      <c r="L28" s="16" t="s">
        <v>113</v>
      </c>
      <c r="M28" s="17" t="s">
        <v>147</v>
      </c>
      <c r="N28" s="14" t="s">
        <v>36</v>
      </c>
      <c r="O28" s="10"/>
      <c r="P28" s="11"/>
      <c r="Q28" s="10"/>
      <c r="R28" s="10"/>
      <c r="S28" s="10"/>
      <c r="T28" s="11"/>
      <c r="U28" s="10"/>
      <c r="V28" s="11"/>
      <c r="W28" s="10"/>
      <c r="X28" s="3"/>
      <c r="Y28" s="3"/>
      <c r="Z28" s="3"/>
      <c r="AA28" s="3"/>
      <c r="AB28" s="3"/>
      <c r="AC28" s="3"/>
    </row>
    <row r="29" ht="22.5" hidden="1" customHeight="1">
      <c r="A29" s="18"/>
      <c r="B29" s="19">
        <v>5.0</v>
      </c>
      <c r="C29" s="14" t="s">
        <v>27</v>
      </c>
      <c r="D29" s="25" t="s">
        <v>148</v>
      </c>
      <c r="E29" s="25" t="s">
        <v>149</v>
      </c>
      <c r="F29" s="25" t="s">
        <v>29</v>
      </c>
      <c r="G29" s="29" t="s">
        <v>150</v>
      </c>
      <c r="H29" s="16" t="s">
        <v>58</v>
      </c>
      <c r="I29" s="16"/>
      <c r="J29" s="16" t="s">
        <v>40</v>
      </c>
      <c r="K29" s="16" t="s">
        <v>101</v>
      </c>
      <c r="L29" s="16" t="s">
        <v>101</v>
      </c>
      <c r="M29" s="17" t="s">
        <v>151</v>
      </c>
      <c r="N29" s="14" t="s">
        <v>36</v>
      </c>
      <c r="O29" s="10"/>
      <c r="P29" s="11"/>
      <c r="Q29" s="10"/>
      <c r="R29" s="10"/>
      <c r="S29" s="10"/>
      <c r="T29" s="11"/>
      <c r="U29" s="10"/>
      <c r="V29" s="11"/>
      <c r="W29" s="10"/>
      <c r="X29" s="3"/>
      <c r="Y29" s="3"/>
      <c r="Z29" s="3"/>
      <c r="AA29" s="3"/>
      <c r="AB29" s="3"/>
      <c r="AC29" s="3"/>
    </row>
    <row r="30" ht="22.5" hidden="1" customHeight="1">
      <c r="A30" s="26"/>
      <c r="B30" s="27"/>
      <c r="C30" s="14" t="s">
        <v>27</v>
      </c>
      <c r="D30" s="28" t="s">
        <v>152</v>
      </c>
      <c r="E30" s="28"/>
      <c r="F30" s="28"/>
      <c r="G30" s="16" t="s">
        <v>153</v>
      </c>
      <c r="H30" s="16" t="s">
        <v>58</v>
      </c>
      <c r="I30" s="16"/>
      <c r="J30" s="16" t="s">
        <v>154</v>
      </c>
      <c r="K30" s="16" t="s">
        <v>155</v>
      </c>
      <c r="L30" s="16" t="s">
        <v>155</v>
      </c>
      <c r="M30" s="17" t="s">
        <v>156</v>
      </c>
      <c r="N30" s="14" t="s">
        <v>36</v>
      </c>
      <c r="O30" s="10"/>
      <c r="P30" s="11"/>
      <c r="Q30" s="10"/>
      <c r="R30" s="10"/>
      <c r="S30" s="10"/>
      <c r="T30" s="11"/>
      <c r="U30" s="10"/>
      <c r="V30" s="11"/>
      <c r="W30" s="10"/>
      <c r="X30" s="3"/>
      <c r="Y30" s="3"/>
      <c r="Z30" s="3"/>
      <c r="AA30" s="3"/>
      <c r="AB30" s="3"/>
      <c r="AC30" s="3"/>
    </row>
    <row r="31" ht="22.5" hidden="1" customHeight="1">
      <c r="A31" s="26"/>
      <c r="B31" s="27"/>
      <c r="C31" s="14" t="s">
        <v>27</v>
      </c>
      <c r="D31" s="28" t="s">
        <v>157</v>
      </c>
      <c r="E31" s="28"/>
      <c r="F31" s="28"/>
      <c r="G31" s="16" t="s">
        <v>111</v>
      </c>
      <c r="H31" s="16"/>
      <c r="I31" s="16"/>
      <c r="J31" s="16" t="s">
        <v>112</v>
      </c>
      <c r="K31" s="16" t="s">
        <v>113</v>
      </c>
      <c r="L31" s="16" t="s">
        <v>113</v>
      </c>
      <c r="M31" s="17" t="s">
        <v>158</v>
      </c>
      <c r="N31" s="14" t="s">
        <v>36</v>
      </c>
      <c r="O31" s="10"/>
      <c r="P31" s="11"/>
      <c r="Q31" s="10"/>
      <c r="R31" s="10"/>
      <c r="S31" s="10"/>
      <c r="T31" s="11"/>
      <c r="U31" s="10"/>
      <c r="V31" s="11"/>
      <c r="W31" s="10"/>
      <c r="X31" s="3"/>
      <c r="Y31" s="3"/>
      <c r="Z31" s="3"/>
      <c r="AA31" s="3"/>
      <c r="AB31" s="3"/>
      <c r="AC31" s="3"/>
    </row>
    <row r="32" ht="22.5" hidden="1" customHeight="1">
      <c r="A32" s="18"/>
      <c r="B32" s="19">
        <v>6.0</v>
      </c>
      <c r="C32" s="14" t="s">
        <v>27</v>
      </c>
      <c r="D32" s="25" t="s">
        <v>159</v>
      </c>
      <c r="E32" s="25" t="s">
        <v>160</v>
      </c>
      <c r="F32" s="25" t="s">
        <v>29</v>
      </c>
      <c r="G32" s="29" t="s">
        <v>161</v>
      </c>
      <c r="H32" s="16" t="s">
        <v>58</v>
      </c>
      <c r="I32" s="16"/>
      <c r="J32" s="16" t="s">
        <v>40</v>
      </c>
      <c r="K32" s="16" t="s">
        <v>101</v>
      </c>
      <c r="L32" s="16" t="s">
        <v>101</v>
      </c>
      <c r="M32" s="17" t="s">
        <v>162</v>
      </c>
      <c r="N32" s="14" t="s">
        <v>36</v>
      </c>
      <c r="O32" s="10"/>
      <c r="P32" s="11"/>
      <c r="Q32" s="10"/>
      <c r="R32" s="10"/>
      <c r="S32" s="10"/>
      <c r="T32" s="11"/>
      <c r="U32" s="10"/>
      <c r="V32" s="11"/>
      <c r="W32" s="10"/>
      <c r="X32" s="3"/>
      <c r="Y32" s="3"/>
      <c r="Z32" s="3"/>
      <c r="AA32" s="3"/>
      <c r="AB32" s="3"/>
      <c r="AC32" s="3"/>
    </row>
    <row r="33" ht="22.5" hidden="1" customHeight="1">
      <c r="A33" s="26"/>
      <c r="B33" s="27"/>
      <c r="C33" s="14" t="s">
        <v>27</v>
      </c>
      <c r="D33" s="28" t="s">
        <v>163</v>
      </c>
      <c r="E33" s="28"/>
      <c r="F33" s="28"/>
      <c r="G33" s="16" t="s">
        <v>164</v>
      </c>
      <c r="H33" s="16" t="s">
        <v>58</v>
      </c>
      <c r="I33" s="16"/>
      <c r="J33" s="16" t="s">
        <v>165</v>
      </c>
      <c r="K33" s="16" t="s">
        <v>166</v>
      </c>
      <c r="L33" s="16" t="s">
        <v>166</v>
      </c>
      <c r="M33" s="17" t="s">
        <v>167</v>
      </c>
      <c r="N33" s="14" t="s">
        <v>36</v>
      </c>
      <c r="O33" s="10"/>
      <c r="P33" s="11"/>
      <c r="Q33" s="10"/>
      <c r="R33" s="10"/>
      <c r="S33" s="10"/>
      <c r="T33" s="11"/>
      <c r="U33" s="10"/>
      <c r="V33" s="11"/>
      <c r="W33" s="10"/>
      <c r="X33" s="3"/>
      <c r="Y33" s="3"/>
      <c r="Z33" s="3"/>
      <c r="AA33" s="3"/>
      <c r="AB33" s="3"/>
      <c r="AC33" s="3"/>
    </row>
    <row r="34" ht="22.5" hidden="1" customHeight="1">
      <c r="A34" s="26"/>
      <c r="B34" s="27"/>
      <c r="C34" s="14" t="s">
        <v>27</v>
      </c>
      <c r="D34" s="28" t="s">
        <v>168</v>
      </c>
      <c r="E34" s="28"/>
      <c r="F34" s="28"/>
      <c r="G34" s="16" t="s">
        <v>111</v>
      </c>
      <c r="H34" s="16"/>
      <c r="I34" s="16"/>
      <c r="J34" s="16" t="s">
        <v>112</v>
      </c>
      <c r="K34" s="16" t="s">
        <v>113</v>
      </c>
      <c r="L34" s="16" t="s">
        <v>113</v>
      </c>
      <c r="M34" s="17" t="s">
        <v>167</v>
      </c>
      <c r="N34" s="14" t="s">
        <v>36</v>
      </c>
      <c r="O34" s="10"/>
      <c r="P34" s="11"/>
      <c r="Q34" s="10"/>
      <c r="R34" s="10"/>
      <c r="S34" s="10"/>
      <c r="T34" s="11"/>
      <c r="U34" s="10"/>
      <c r="V34" s="11"/>
      <c r="W34" s="10"/>
      <c r="X34" s="3"/>
      <c r="Y34" s="3"/>
      <c r="Z34" s="3"/>
      <c r="AA34" s="3"/>
      <c r="AB34" s="3"/>
      <c r="AC34" s="3"/>
    </row>
    <row r="35" ht="22.5" hidden="1" customHeight="1">
      <c r="A35" s="18"/>
      <c r="B35" s="19">
        <v>7.0</v>
      </c>
      <c r="C35" s="14" t="s">
        <v>27</v>
      </c>
      <c r="D35" s="25" t="s">
        <v>169</v>
      </c>
      <c r="E35" s="25" t="s">
        <v>170</v>
      </c>
      <c r="F35" s="25" t="s">
        <v>29</v>
      </c>
      <c r="G35" s="29" t="s">
        <v>171</v>
      </c>
      <c r="H35" s="16" t="s">
        <v>58</v>
      </c>
      <c r="I35" s="16"/>
      <c r="J35" s="16" t="s">
        <v>40</v>
      </c>
      <c r="K35" s="16" t="s">
        <v>101</v>
      </c>
      <c r="L35" s="16" t="s">
        <v>101</v>
      </c>
      <c r="M35" s="17" t="s">
        <v>172</v>
      </c>
      <c r="N35" s="14" t="s">
        <v>36</v>
      </c>
      <c r="O35" s="10"/>
      <c r="P35" s="11"/>
      <c r="Q35" s="10"/>
      <c r="R35" s="10"/>
      <c r="S35" s="10"/>
      <c r="T35" s="11"/>
      <c r="U35" s="10"/>
      <c r="V35" s="11"/>
      <c r="W35" s="10"/>
      <c r="X35" s="3"/>
      <c r="Y35" s="3"/>
      <c r="Z35" s="3"/>
      <c r="AA35" s="3"/>
      <c r="AB35" s="3"/>
      <c r="AC35" s="3"/>
    </row>
    <row r="36" ht="22.5" hidden="1" customHeight="1">
      <c r="A36" s="22"/>
      <c r="B36" s="23"/>
      <c r="C36" s="14" t="s">
        <v>27</v>
      </c>
      <c r="D36" s="28" t="s">
        <v>173</v>
      </c>
      <c r="E36" s="30"/>
      <c r="F36" s="30"/>
      <c r="G36" s="16" t="s">
        <v>174</v>
      </c>
      <c r="H36" s="16" t="s">
        <v>58</v>
      </c>
      <c r="I36" s="16"/>
      <c r="J36" s="16" t="s">
        <v>175</v>
      </c>
      <c r="K36" s="16" t="s">
        <v>176</v>
      </c>
      <c r="L36" s="16" t="s">
        <v>176</v>
      </c>
      <c r="M36" s="17" t="s">
        <v>177</v>
      </c>
      <c r="N36" s="14" t="s">
        <v>36</v>
      </c>
      <c r="O36" s="10"/>
      <c r="P36" s="11"/>
      <c r="Q36" s="10"/>
      <c r="R36" s="10"/>
      <c r="S36" s="10"/>
      <c r="T36" s="11"/>
      <c r="U36" s="10"/>
      <c r="V36" s="11"/>
      <c r="W36" s="10"/>
      <c r="X36" s="3"/>
      <c r="Y36" s="3"/>
      <c r="Z36" s="3"/>
      <c r="AA36" s="3"/>
      <c r="AB36" s="3"/>
      <c r="AC36" s="3"/>
    </row>
    <row r="37" ht="22.5" hidden="1" customHeight="1">
      <c r="A37" s="22"/>
      <c r="B37" s="23"/>
      <c r="C37" s="14" t="s">
        <v>27</v>
      </c>
      <c r="D37" s="28" t="s">
        <v>178</v>
      </c>
      <c r="E37" s="30"/>
      <c r="F37" s="30"/>
      <c r="G37" s="16" t="s">
        <v>111</v>
      </c>
      <c r="H37" s="16"/>
      <c r="I37" s="16"/>
      <c r="J37" s="16" t="s">
        <v>112</v>
      </c>
      <c r="K37" s="16" t="s">
        <v>113</v>
      </c>
      <c r="L37" s="16" t="s">
        <v>113</v>
      </c>
      <c r="M37" s="17" t="s">
        <v>179</v>
      </c>
      <c r="N37" s="14" t="s">
        <v>36</v>
      </c>
      <c r="O37" s="10"/>
      <c r="P37" s="11"/>
      <c r="Q37" s="10"/>
      <c r="R37" s="10"/>
      <c r="S37" s="10"/>
      <c r="T37" s="11"/>
      <c r="U37" s="10"/>
      <c r="V37" s="11"/>
      <c r="W37" s="10"/>
      <c r="X37" s="3"/>
      <c r="Y37" s="3"/>
      <c r="Z37" s="3"/>
      <c r="AA37" s="3"/>
      <c r="AB37" s="3"/>
      <c r="AC37" s="3"/>
    </row>
    <row r="38" ht="22.5" hidden="1" customHeight="1">
      <c r="A38" s="31"/>
      <c r="B38" s="32" t="s">
        <v>180</v>
      </c>
      <c r="C38" s="14" t="s">
        <v>27</v>
      </c>
      <c r="D38" s="32"/>
      <c r="E38" s="32" t="s">
        <v>181</v>
      </c>
      <c r="F38" s="33" t="s">
        <v>29</v>
      </c>
      <c r="G38" s="28"/>
      <c r="H38" s="16"/>
      <c r="I38" s="16"/>
      <c r="J38" s="16"/>
      <c r="K38" s="16"/>
      <c r="L38" s="16"/>
      <c r="M38" s="10"/>
      <c r="N38" s="11"/>
      <c r="O38" s="10"/>
      <c r="P38" s="11"/>
      <c r="Q38" s="10"/>
      <c r="R38" s="10"/>
      <c r="S38" s="10"/>
      <c r="T38" s="11"/>
      <c r="U38" s="10"/>
      <c r="V38" s="11"/>
      <c r="W38" s="10"/>
      <c r="X38" s="3"/>
      <c r="Y38" s="3"/>
      <c r="Z38" s="3"/>
      <c r="AA38" s="3"/>
      <c r="AB38" s="3"/>
      <c r="AC38" s="3"/>
    </row>
    <row r="39" ht="22.5" hidden="1" customHeight="1">
      <c r="A39" s="26"/>
      <c r="B39" s="27"/>
      <c r="C39" s="14" t="s">
        <v>27</v>
      </c>
      <c r="D39" s="28"/>
      <c r="E39" s="28"/>
      <c r="F39" s="28"/>
      <c r="G39" s="16" t="s">
        <v>182</v>
      </c>
      <c r="H39" s="16" t="s">
        <v>58</v>
      </c>
      <c r="I39" s="16"/>
      <c r="J39" s="16" t="s">
        <v>40</v>
      </c>
      <c r="K39" s="16" t="s">
        <v>101</v>
      </c>
      <c r="L39" s="16"/>
      <c r="M39" s="10"/>
      <c r="N39" s="11"/>
      <c r="O39" s="10"/>
      <c r="P39" s="11"/>
      <c r="Q39" s="10"/>
      <c r="R39" s="10"/>
      <c r="S39" s="10"/>
      <c r="T39" s="11"/>
      <c r="U39" s="10"/>
      <c r="V39" s="11"/>
      <c r="W39" s="10"/>
      <c r="X39" s="3"/>
      <c r="Y39" s="3"/>
      <c r="Z39" s="3"/>
      <c r="AA39" s="3"/>
      <c r="AB39" s="3"/>
      <c r="AC39" s="3"/>
    </row>
    <row r="40" ht="22.5" hidden="1" customHeight="1">
      <c r="A40" s="26"/>
      <c r="B40" s="27"/>
      <c r="C40" s="14" t="s">
        <v>27</v>
      </c>
      <c r="D40" s="28"/>
      <c r="E40" s="28"/>
      <c r="F40" s="28"/>
      <c r="G40" s="16" t="s">
        <v>183</v>
      </c>
      <c r="H40" s="16" t="s">
        <v>58</v>
      </c>
      <c r="I40" s="16"/>
      <c r="J40" s="16" t="s">
        <v>184</v>
      </c>
      <c r="K40" s="16" t="s">
        <v>185</v>
      </c>
      <c r="L40" s="16"/>
      <c r="M40" s="10"/>
      <c r="N40" s="11"/>
      <c r="O40" s="10"/>
      <c r="P40" s="11"/>
      <c r="Q40" s="10"/>
      <c r="R40" s="10"/>
      <c r="S40" s="10"/>
      <c r="T40" s="11"/>
      <c r="U40" s="10"/>
      <c r="V40" s="11"/>
      <c r="W40" s="10"/>
      <c r="X40" s="3"/>
      <c r="Y40" s="3"/>
      <c r="Z40" s="3"/>
      <c r="AA40" s="3"/>
      <c r="AB40" s="3"/>
      <c r="AC40" s="3"/>
    </row>
    <row r="41" ht="22.5" hidden="1" customHeight="1">
      <c r="A41" s="26"/>
      <c r="B41" s="27"/>
      <c r="C41" s="14" t="s">
        <v>27</v>
      </c>
      <c r="D41" s="28"/>
      <c r="E41" s="28"/>
      <c r="F41" s="28"/>
      <c r="G41" s="16" t="s">
        <v>111</v>
      </c>
      <c r="H41" s="16"/>
      <c r="I41" s="16"/>
      <c r="J41" s="16" t="s">
        <v>112</v>
      </c>
      <c r="K41" s="16" t="s">
        <v>113</v>
      </c>
      <c r="L41" s="16"/>
      <c r="M41" s="10"/>
      <c r="N41" s="11"/>
      <c r="O41" s="10"/>
      <c r="P41" s="11"/>
      <c r="Q41" s="10"/>
      <c r="R41" s="10"/>
      <c r="S41" s="10"/>
      <c r="T41" s="11"/>
      <c r="U41" s="10"/>
      <c r="V41" s="11"/>
      <c r="W41" s="10"/>
      <c r="X41" s="3"/>
      <c r="Y41" s="3"/>
      <c r="Z41" s="3"/>
      <c r="AA41" s="3"/>
      <c r="AB41" s="3"/>
      <c r="AC41" s="3"/>
    </row>
    <row r="42" ht="22.5" hidden="1" customHeight="1">
      <c r="A42" s="31"/>
      <c r="B42" s="32" t="s">
        <v>180</v>
      </c>
      <c r="C42" s="14" t="s">
        <v>27</v>
      </c>
      <c r="D42" s="32"/>
      <c r="E42" s="32" t="s">
        <v>186</v>
      </c>
      <c r="F42" s="33" t="s">
        <v>29</v>
      </c>
      <c r="G42" s="28"/>
      <c r="H42" s="16"/>
      <c r="I42" s="16"/>
      <c r="J42" s="16"/>
      <c r="K42" s="16"/>
      <c r="L42" s="16"/>
      <c r="M42" s="10"/>
      <c r="N42" s="11"/>
      <c r="O42" s="10"/>
      <c r="P42" s="11"/>
      <c r="Q42" s="10"/>
      <c r="R42" s="10"/>
      <c r="S42" s="10"/>
      <c r="T42" s="11"/>
      <c r="U42" s="10"/>
      <c r="V42" s="11"/>
      <c r="W42" s="10"/>
      <c r="X42" s="3"/>
      <c r="Y42" s="3"/>
      <c r="Z42" s="3"/>
      <c r="AA42" s="3"/>
      <c r="AB42" s="3"/>
      <c r="AC42" s="3"/>
    </row>
    <row r="43" ht="22.5" hidden="1" customHeight="1">
      <c r="A43" s="26"/>
      <c r="B43" s="27"/>
      <c r="C43" s="14" t="s">
        <v>27</v>
      </c>
      <c r="D43" s="28"/>
      <c r="E43" s="28"/>
      <c r="F43" s="28"/>
      <c r="G43" s="16" t="s">
        <v>187</v>
      </c>
      <c r="H43" s="16" t="s">
        <v>58</v>
      </c>
      <c r="I43" s="16"/>
      <c r="J43" s="16" t="s">
        <v>40</v>
      </c>
      <c r="K43" s="16" t="s">
        <v>101</v>
      </c>
      <c r="L43" s="16"/>
      <c r="M43" s="10"/>
      <c r="N43" s="11"/>
      <c r="O43" s="10"/>
      <c r="P43" s="11"/>
      <c r="Q43" s="10"/>
      <c r="R43" s="10"/>
      <c r="S43" s="10"/>
      <c r="T43" s="11"/>
      <c r="U43" s="10"/>
      <c r="V43" s="11"/>
      <c r="W43" s="10"/>
      <c r="X43" s="3"/>
      <c r="Y43" s="3"/>
      <c r="Z43" s="3"/>
      <c r="AA43" s="3"/>
      <c r="AB43" s="3"/>
      <c r="AC43" s="3"/>
    </row>
    <row r="44" ht="22.5" hidden="1" customHeight="1">
      <c r="A44" s="26"/>
      <c r="B44" s="27"/>
      <c r="C44" s="14" t="s">
        <v>27</v>
      </c>
      <c r="D44" s="28"/>
      <c r="E44" s="28"/>
      <c r="F44" s="28"/>
      <c r="G44" s="16" t="s">
        <v>188</v>
      </c>
      <c r="H44" s="16" t="s">
        <v>58</v>
      </c>
      <c r="I44" s="16"/>
      <c r="J44" s="16" t="s">
        <v>189</v>
      </c>
      <c r="K44" s="16" t="s">
        <v>190</v>
      </c>
      <c r="L44" s="16"/>
      <c r="M44" s="10"/>
      <c r="N44" s="11"/>
      <c r="O44" s="10"/>
      <c r="P44" s="11"/>
      <c r="Q44" s="10"/>
      <c r="R44" s="10"/>
      <c r="S44" s="10"/>
      <c r="T44" s="11"/>
      <c r="U44" s="10"/>
      <c r="V44" s="11"/>
      <c r="W44" s="10"/>
      <c r="X44" s="3"/>
      <c r="Y44" s="3"/>
      <c r="Z44" s="3"/>
      <c r="AA44" s="3"/>
      <c r="AB44" s="3"/>
      <c r="AC44" s="3"/>
    </row>
    <row r="45" ht="22.5" hidden="1" customHeight="1">
      <c r="A45" s="26"/>
      <c r="B45" s="27"/>
      <c r="C45" s="14" t="s">
        <v>27</v>
      </c>
      <c r="D45" s="28"/>
      <c r="E45" s="28"/>
      <c r="F45" s="28"/>
      <c r="G45" s="16" t="s">
        <v>111</v>
      </c>
      <c r="H45" s="16"/>
      <c r="I45" s="16"/>
      <c r="J45" s="16" t="s">
        <v>112</v>
      </c>
      <c r="K45" s="16" t="s">
        <v>113</v>
      </c>
      <c r="L45" s="16"/>
      <c r="M45" s="10"/>
      <c r="N45" s="11"/>
      <c r="O45" s="10"/>
      <c r="P45" s="11"/>
      <c r="Q45" s="10"/>
      <c r="R45" s="10"/>
      <c r="S45" s="10"/>
      <c r="T45" s="11"/>
      <c r="U45" s="10"/>
      <c r="V45" s="11"/>
      <c r="W45" s="10"/>
      <c r="X45" s="3"/>
      <c r="Y45" s="3"/>
      <c r="Z45" s="3"/>
      <c r="AA45" s="3"/>
      <c r="AB45" s="3"/>
      <c r="AC45" s="3"/>
    </row>
    <row r="46" ht="22.5" hidden="1" customHeight="1">
      <c r="A46" s="18"/>
      <c r="B46" s="19">
        <v>8.0</v>
      </c>
      <c r="C46" s="14" t="s">
        <v>27</v>
      </c>
      <c r="D46" s="25" t="s">
        <v>191</v>
      </c>
      <c r="E46" s="25" t="s">
        <v>192</v>
      </c>
      <c r="F46" s="25" t="s">
        <v>29</v>
      </c>
      <c r="G46" s="29" t="s">
        <v>193</v>
      </c>
      <c r="H46" s="16" t="s">
        <v>58</v>
      </c>
      <c r="I46" s="16"/>
      <c r="J46" s="16" t="s">
        <v>40</v>
      </c>
      <c r="K46" s="16" t="s">
        <v>194</v>
      </c>
      <c r="L46" s="16" t="s">
        <v>194</v>
      </c>
      <c r="M46" s="34" t="s">
        <v>195</v>
      </c>
      <c r="N46" s="14" t="s">
        <v>36</v>
      </c>
      <c r="O46" s="10"/>
      <c r="P46" s="11"/>
      <c r="Q46" s="10"/>
      <c r="R46" s="10"/>
      <c r="S46" s="10"/>
      <c r="T46" s="11"/>
      <c r="U46" s="10"/>
      <c r="V46" s="11"/>
      <c r="W46" s="10"/>
      <c r="X46" s="3"/>
      <c r="Y46" s="3"/>
      <c r="Z46" s="3"/>
      <c r="AA46" s="3"/>
      <c r="AB46" s="3"/>
      <c r="AC46" s="3"/>
    </row>
    <row r="47" ht="22.5" customHeight="1">
      <c r="A47" s="22"/>
      <c r="B47" s="23"/>
      <c r="C47" s="14" t="s">
        <v>27</v>
      </c>
      <c r="D47" s="30" t="s">
        <v>196</v>
      </c>
      <c r="E47" s="30"/>
      <c r="F47" s="30"/>
      <c r="G47" s="16" t="s">
        <v>197</v>
      </c>
      <c r="H47" s="16" t="s">
        <v>58</v>
      </c>
      <c r="I47" s="16"/>
      <c r="J47" s="16" t="s">
        <v>40</v>
      </c>
      <c r="K47" s="16" t="s">
        <v>198</v>
      </c>
      <c r="L47" s="16" t="s">
        <v>199</v>
      </c>
      <c r="M47" s="34" t="s">
        <v>200</v>
      </c>
      <c r="N47" s="14" t="s">
        <v>63</v>
      </c>
      <c r="O47" s="10"/>
      <c r="P47" s="11"/>
      <c r="Q47" s="10"/>
      <c r="R47" s="10"/>
      <c r="S47" s="10"/>
      <c r="T47" s="11"/>
      <c r="U47" s="10"/>
      <c r="V47" s="11"/>
      <c r="W47" s="10"/>
      <c r="X47" s="3"/>
      <c r="Y47" s="3"/>
      <c r="Z47" s="3"/>
      <c r="AA47" s="3"/>
      <c r="AB47" s="3"/>
      <c r="AC47" s="3"/>
    </row>
    <row r="48" ht="22.5" hidden="1" customHeight="1">
      <c r="A48" s="18"/>
      <c r="B48" s="19">
        <v>9.0</v>
      </c>
      <c r="C48" s="14" t="s">
        <v>27</v>
      </c>
      <c r="D48" s="25" t="s">
        <v>201</v>
      </c>
      <c r="E48" s="25" t="s">
        <v>202</v>
      </c>
      <c r="F48" s="25" t="s">
        <v>29</v>
      </c>
      <c r="G48" s="29" t="s">
        <v>203</v>
      </c>
      <c r="H48" s="16" t="s">
        <v>58</v>
      </c>
      <c r="I48" s="16"/>
      <c r="J48" s="16" t="s">
        <v>40</v>
      </c>
      <c r="K48" s="16" t="s">
        <v>204</v>
      </c>
      <c r="L48" s="16"/>
      <c r="M48" s="10"/>
      <c r="N48" s="14" t="s">
        <v>205</v>
      </c>
      <c r="O48" s="15" t="s">
        <v>206</v>
      </c>
      <c r="P48" s="11"/>
      <c r="Q48" s="10"/>
      <c r="R48" s="10"/>
      <c r="S48" s="10"/>
      <c r="T48" s="11"/>
      <c r="U48" s="10"/>
      <c r="V48" s="11"/>
      <c r="W48" s="10"/>
      <c r="X48" s="3"/>
      <c r="Y48" s="3"/>
      <c r="Z48" s="3"/>
      <c r="AA48" s="3"/>
      <c r="AB48" s="3"/>
      <c r="AC48" s="3"/>
    </row>
    <row r="49" ht="22.5" hidden="1" customHeight="1">
      <c r="A49" s="22"/>
      <c r="B49" s="23"/>
      <c r="C49" s="14" t="s">
        <v>27</v>
      </c>
      <c r="D49" s="30" t="s">
        <v>207</v>
      </c>
      <c r="E49" s="30"/>
      <c r="F49" s="30"/>
      <c r="G49" s="16" t="s">
        <v>208</v>
      </c>
      <c r="H49" s="16" t="s">
        <v>58</v>
      </c>
      <c r="I49" s="16"/>
      <c r="J49" s="16" t="s">
        <v>40</v>
      </c>
      <c r="K49" s="16" t="s">
        <v>204</v>
      </c>
      <c r="L49" s="16"/>
      <c r="M49" s="10"/>
      <c r="N49" s="14" t="s">
        <v>205</v>
      </c>
      <c r="O49" s="15" t="s">
        <v>206</v>
      </c>
      <c r="P49" s="11"/>
      <c r="Q49" s="10"/>
      <c r="R49" s="10"/>
      <c r="S49" s="10"/>
      <c r="T49" s="11"/>
      <c r="U49" s="10"/>
      <c r="V49" s="11"/>
      <c r="W49" s="10"/>
      <c r="X49" s="3"/>
      <c r="Y49" s="3"/>
      <c r="Z49" s="3"/>
      <c r="AA49" s="3"/>
      <c r="AB49" s="3"/>
      <c r="AC49" s="3"/>
    </row>
    <row r="50" ht="22.5" hidden="1" customHeight="1">
      <c r="A50" s="4"/>
      <c r="B50" s="5" t="s">
        <v>209</v>
      </c>
      <c r="C50" s="14" t="s">
        <v>27</v>
      </c>
      <c r="D50" s="7"/>
      <c r="E50" s="7" t="s">
        <v>210</v>
      </c>
      <c r="F50" s="35"/>
      <c r="G50" s="35"/>
      <c r="H50" s="35"/>
      <c r="I50" s="10"/>
      <c r="J50" s="10"/>
      <c r="K50" s="10"/>
      <c r="L50" s="10"/>
      <c r="M50" s="10"/>
      <c r="N50" s="11"/>
      <c r="O50" s="10"/>
      <c r="P50" s="11"/>
      <c r="Q50" s="10"/>
      <c r="R50" s="10"/>
      <c r="S50" s="10"/>
      <c r="T50" s="11"/>
      <c r="U50" s="10"/>
      <c r="V50" s="11"/>
      <c r="W50" s="10"/>
      <c r="X50" s="3"/>
      <c r="Y50" s="3"/>
      <c r="Z50" s="3"/>
      <c r="AA50" s="3"/>
      <c r="AB50" s="3"/>
      <c r="AC50" s="3"/>
    </row>
    <row r="51" ht="22.5" hidden="1" customHeight="1">
      <c r="A51" s="4"/>
      <c r="B51" s="5" t="s">
        <v>211</v>
      </c>
      <c r="C51" s="14" t="s">
        <v>27</v>
      </c>
      <c r="D51" s="7"/>
      <c r="E51" s="7" t="s">
        <v>212</v>
      </c>
      <c r="F51" s="35"/>
      <c r="G51" s="35"/>
      <c r="H51" s="35"/>
      <c r="I51" s="35"/>
      <c r="J51" s="35"/>
      <c r="K51" s="10"/>
      <c r="L51" s="10"/>
      <c r="M51" s="10"/>
      <c r="N51" s="11"/>
      <c r="O51" s="10"/>
      <c r="P51" s="11"/>
      <c r="Q51" s="10"/>
      <c r="R51" s="10"/>
      <c r="S51" s="10"/>
      <c r="T51" s="11"/>
      <c r="U51" s="10"/>
      <c r="V51" s="11"/>
      <c r="W51" s="10"/>
      <c r="X51" s="3"/>
      <c r="Y51" s="3"/>
      <c r="Z51" s="3"/>
      <c r="AA51" s="3"/>
      <c r="AB51" s="3"/>
      <c r="AC51" s="3"/>
    </row>
    <row r="52" ht="22.5" hidden="1" customHeight="1">
      <c r="A52" s="31"/>
      <c r="B52" s="32" t="s">
        <v>180</v>
      </c>
      <c r="C52" s="14" t="s">
        <v>27</v>
      </c>
      <c r="D52" s="32"/>
      <c r="E52" s="32" t="s">
        <v>213</v>
      </c>
      <c r="F52" s="33"/>
      <c r="G52" s="28"/>
      <c r="H52" s="16"/>
      <c r="I52" s="27"/>
      <c r="J52" s="10"/>
      <c r="K52" s="10"/>
      <c r="L52" s="10"/>
      <c r="M52" s="10"/>
      <c r="N52" s="11"/>
      <c r="O52" s="10"/>
      <c r="P52" s="11"/>
      <c r="Q52" s="10"/>
      <c r="R52" s="10"/>
      <c r="S52" s="10"/>
      <c r="T52" s="11"/>
      <c r="U52" s="10"/>
      <c r="V52" s="11"/>
      <c r="W52" s="10"/>
      <c r="X52" s="3"/>
      <c r="Y52" s="3"/>
      <c r="Z52" s="3"/>
      <c r="AA52" s="3"/>
      <c r="AB52" s="3"/>
      <c r="AC52" s="3"/>
    </row>
    <row r="53" ht="22.5" hidden="1" customHeight="1">
      <c r="A53" s="26"/>
      <c r="B53" s="27"/>
      <c r="C53" s="14" t="s">
        <v>27</v>
      </c>
      <c r="D53" s="28"/>
      <c r="E53" s="28"/>
      <c r="F53" s="16"/>
      <c r="G53" s="16" t="s">
        <v>214</v>
      </c>
      <c r="H53" s="16" t="s">
        <v>215</v>
      </c>
      <c r="I53" s="27"/>
      <c r="J53" s="16" t="s">
        <v>216</v>
      </c>
      <c r="K53" s="16" t="s">
        <v>217</v>
      </c>
      <c r="L53" s="10"/>
      <c r="M53" s="10"/>
      <c r="N53" s="11"/>
      <c r="O53" s="10"/>
      <c r="P53" s="11"/>
      <c r="Q53" s="10"/>
      <c r="R53" s="10"/>
      <c r="S53" s="10"/>
      <c r="T53" s="11"/>
      <c r="U53" s="10"/>
      <c r="V53" s="11"/>
      <c r="W53" s="10"/>
      <c r="X53" s="3"/>
      <c r="Y53" s="3"/>
      <c r="Z53" s="3"/>
      <c r="AA53" s="3"/>
      <c r="AB53" s="3"/>
      <c r="AC53" s="3"/>
    </row>
    <row r="54" ht="22.5" hidden="1" customHeight="1">
      <c r="A54" s="26"/>
      <c r="B54" s="27"/>
      <c r="C54" s="14" t="s">
        <v>27</v>
      </c>
      <c r="D54" s="28"/>
      <c r="E54" s="28"/>
      <c r="F54" s="16"/>
      <c r="G54" s="16" t="s">
        <v>218</v>
      </c>
      <c r="H54" s="16" t="s">
        <v>215</v>
      </c>
      <c r="I54" s="27"/>
      <c r="J54" s="16" t="s">
        <v>216</v>
      </c>
      <c r="K54" s="16" t="s">
        <v>219</v>
      </c>
      <c r="L54" s="10"/>
      <c r="M54" s="10"/>
      <c r="N54" s="11"/>
      <c r="O54" s="10"/>
      <c r="P54" s="11"/>
      <c r="Q54" s="10"/>
      <c r="R54" s="10"/>
      <c r="S54" s="10"/>
      <c r="T54" s="11"/>
      <c r="U54" s="10"/>
      <c r="V54" s="11"/>
      <c r="W54" s="10"/>
      <c r="X54" s="3"/>
      <c r="Y54" s="3"/>
      <c r="Z54" s="3"/>
      <c r="AA54" s="3"/>
      <c r="AB54" s="3"/>
      <c r="AC54" s="3"/>
    </row>
    <row r="55" ht="22.5" hidden="1" customHeight="1">
      <c r="A55" s="26"/>
      <c r="B55" s="27"/>
      <c r="C55" s="14" t="s">
        <v>27</v>
      </c>
      <c r="D55" s="28"/>
      <c r="E55" s="28"/>
      <c r="F55" s="16"/>
      <c r="G55" s="16" t="s">
        <v>220</v>
      </c>
      <c r="H55" s="16" t="s">
        <v>215</v>
      </c>
      <c r="I55" s="27"/>
      <c r="J55" s="16" t="s">
        <v>216</v>
      </c>
      <c r="K55" s="16" t="s">
        <v>221</v>
      </c>
      <c r="L55" s="10"/>
      <c r="M55" s="10"/>
      <c r="N55" s="11"/>
      <c r="O55" s="10"/>
      <c r="P55" s="11"/>
      <c r="Q55" s="10"/>
      <c r="R55" s="10"/>
      <c r="S55" s="10"/>
      <c r="T55" s="11"/>
      <c r="U55" s="10"/>
      <c r="V55" s="11"/>
      <c r="W55" s="10"/>
      <c r="X55" s="3"/>
      <c r="Y55" s="3"/>
      <c r="Z55" s="3"/>
      <c r="AA55" s="3"/>
      <c r="AB55" s="3"/>
      <c r="AC55" s="3"/>
    </row>
    <row r="56" ht="22.5" hidden="1" customHeight="1">
      <c r="A56" s="26"/>
      <c r="B56" s="27"/>
      <c r="C56" s="14" t="s">
        <v>27</v>
      </c>
      <c r="D56" s="28"/>
      <c r="E56" s="28"/>
      <c r="F56" s="16"/>
      <c r="G56" s="16" t="s">
        <v>222</v>
      </c>
      <c r="H56" s="16" t="s">
        <v>215</v>
      </c>
      <c r="I56" s="27"/>
      <c r="J56" s="16" t="s">
        <v>216</v>
      </c>
      <c r="K56" s="16" t="s">
        <v>221</v>
      </c>
      <c r="L56" s="10"/>
      <c r="M56" s="10"/>
      <c r="N56" s="11"/>
      <c r="O56" s="10"/>
      <c r="P56" s="11"/>
      <c r="Q56" s="10"/>
      <c r="R56" s="10"/>
      <c r="S56" s="10"/>
      <c r="T56" s="11"/>
      <c r="U56" s="10"/>
      <c r="V56" s="11"/>
      <c r="W56" s="10"/>
      <c r="X56" s="3"/>
      <c r="Y56" s="3"/>
      <c r="Z56" s="3"/>
      <c r="AA56" s="3"/>
      <c r="AB56" s="3"/>
      <c r="AC56" s="3"/>
    </row>
    <row r="57" ht="22.5" hidden="1" customHeight="1">
      <c r="A57" s="26"/>
      <c r="B57" s="27"/>
      <c r="C57" s="14" t="s">
        <v>27</v>
      </c>
      <c r="D57" s="28"/>
      <c r="E57" s="28"/>
      <c r="F57" s="16"/>
      <c r="G57" s="16" t="s">
        <v>223</v>
      </c>
      <c r="H57" s="16" t="s">
        <v>215</v>
      </c>
      <c r="I57" s="27"/>
      <c r="J57" s="16" t="s">
        <v>216</v>
      </c>
      <c r="K57" s="16" t="s">
        <v>221</v>
      </c>
      <c r="L57" s="10"/>
      <c r="M57" s="10"/>
      <c r="N57" s="11"/>
      <c r="O57" s="10"/>
      <c r="P57" s="11"/>
      <c r="Q57" s="10"/>
      <c r="R57" s="10"/>
      <c r="S57" s="10"/>
      <c r="T57" s="11"/>
      <c r="U57" s="10"/>
      <c r="V57" s="11"/>
      <c r="W57" s="10"/>
      <c r="X57" s="3"/>
      <c r="Y57" s="3"/>
      <c r="Z57" s="3"/>
      <c r="AA57" s="3"/>
      <c r="AB57" s="3"/>
      <c r="AC57" s="3"/>
    </row>
    <row r="58" ht="22.5" hidden="1" customHeight="1">
      <c r="A58" s="26"/>
      <c r="B58" s="27"/>
      <c r="C58" s="14" t="s">
        <v>27</v>
      </c>
      <c r="D58" s="28"/>
      <c r="E58" s="28"/>
      <c r="F58" s="16"/>
      <c r="G58" s="16" t="s">
        <v>224</v>
      </c>
      <c r="H58" s="16" t="s">
        <v>215</v>
      </c>
      <c r="I58" s="27"/>
      <c r="J58" s="16" t="s">
        <v>216</v>
      </c>
      <c r="K58" s="16" t="s">
        <v>225</v>
      </c>
      <c r="L58" s="10"/>
      <c r="M58" s="10"/>
      <c r="N58" s="11"/>
      <c r="O58" s="10"/>
      <c r="P58" s="11"/>
      <c r="Q58" s="10"/>
      <c r="R58" s="10"/>
      <c r="S58" s="10"/>
      <c r="T58" s="11"/>
      <c r="U58" s="10"/>
      <c r="V58" s="11"/>
      <c r="W58" s="10"/>
      <c r="X58" s="3"/>
      <c r="Y58" s="3"/>
      <c r="Z58" s="3"/>
      <c r="AA58" s="3"/>
      <c r="AB58" s="3"/>
      <c r="AC58" s="3"/>
    </row>
    <row r="59" ht="22.5" hidden="1" customHeight="1">
      <c r="A59" s="26"/>
      <c r="B59" s="27"/>
      <c r="C59" s="14" t="s">
        <v>27</v>
      </c>
      <c r="D59" s="28"/>
      <c r="E59" s="28"/>
      <c r="F59" s="16"/>
      <c r="G59" s="16" t="s">
        <v>226</v>
      </c>
      <c r="H59" s="16" t="s">
        <v>215</v>
      </c>
      <c r="I59" s="27"/>
      <c r="J59" s="16" t="s">
        <v>216</v>
      </c>
      <c r="K59" s="16" t="s">
        <v>225</v>
      </c>
      <c r="L59" s="10"/>
      <c r="M59" s="10"/>
      <c r="N59" s="11"/>
      <c r="O59" s="10"/>
      <c r="P59" s="11"/>
      <c r="Q59" s="10"/>
      <c r="R59" s="10"/>
      <c r="S59" s="10"/>
      <c r="T59" s="11"/>
      <c r="U59" s="10"/>
      <c r="V59" s="11"/>
      <c r="W59" s="10"/>
      <c r="X59" s="3"/>
      <c r="Y59" s="3"/>
      <c r="Z59" s="3"/>
      <c r="AA59" s="3"/>
      <c r="AB59" s="3"/>
      <c r="AC59" s="3"/>
    </row>
    <row r="60" ht="22.5" hidden="1" customHeight="1">
      <c r="A60" s="26"/>
      <c r="B60" s="27"/>
      <c r="C60" s="14" t="s">
        <v>27</v>
      </c>
      <c r="D60" s="28"/>
      <c r="E60" s="28"/>
      <c r="F60" s="16"/>
      <c r="G60" s="16" t="s">
        <v>227</v>
      </c>
      <c r="H60" s="16" t="s">
        <v>215</v>
      </c>
      <c r="I60" s="27"/>
      <c r="J60" s="16" t="s">
        <v>216</v>
      </c>
      <c r="K60" s="16" t="s">
        <v>228</v>
      </c>
      <c r="L60" s="10"/>
      <c r="M60" s="10"/>
      <c r="N60" s="11"/>
      <c r="O60" s="10"/>
      <c r="P60" s="11"/>
      <c r="Q60" s="10"/>
      <c r="R60" s="10"/>
      <c r="S60" s="10"/>
      <c r="T60" s="11"/>
      <c r="U60" s="10"/>
      <c r="V60" s="11"/>
      <c r="W60" s="10"/>
      <c r="X60" s="3"/>
      <c r="Y60" s="3"/>
      <c r="Z60" s="3"/>
      <c r="AA60" s="3"/>
      <c r="AB60" s="3"/>
      <c r="AC60" s="3"/>
    </row>
    <row r="61" ht="22.5" hidden="1" customHeight="1">
      <c r="A61" s="26"/>
      <c r="B61" s="27"/>
      <c r="C61" s="14" t="s">
        <v>27</v>
      </c>
      <c r="D61" s="28"/>
      <c r="E61" s="28"/>
      <c r="F61" s="16"/>
      <c r="G61" s="16" t="s">
        <v>229</v>
      </c>
      <c r="H61" s="16" t="s">
        <v>215</v>
      </c>
      <c r="I61" s="27"/>
      <c r="J61" s="16" t="s">
        <v>216</v>
      </c>
      <c r="K61" s="16" t="s">
        <v>225</v>
      </c>
      <c r="L61" s="10"/>
      <c r="M61" s="10"/>
      <c r="N61" s="11"/>
      <c r="O61" s="10"/>
      <c r="P61" s="11"/>
      <c r="Q61" s="10"/>
      <c r="R61" s="10"/>
      <c r="S61" s="10"/>
      <c r="T61" s="11"/>
      <c r="U61" s="10"/>
      <c r="V61" s="11"/>
      <c r="W61" s="10"/>
      <c r="X61" s="3"/>
      <c r="Y61" s="3"/>
      <c r="Z61" s="3"/>
      <c r="AA61" s="3"/>
      <c r="AB61" s="3"/>
      <c r="AC61" s="3"/>
    </row>
    <row r="62" ht="22.5" hidden="1" customHeight="1">
      <c r="A62" s="26"/>
      <c r="B62" s="27"/>
      <c r="C62" s="14" t="s">
        <v>27</v>
      </c>
      <c r="D62" s="28"/>
      <c r="E62" s="28"/>
      <c r="F62" s="16"/>
      <c r="G62" s="16" t="s">
        <v>230</v>
      </c>
      <c r="H62" s="16" t="s">
        <v>215</v>
      </c>
      <c r="I62" s="27"/>
      <c r="J62" s="16" t="s">
        <v>216</v>
      </c>
      <c r="K62" s="16" t="s">
        <v>221</v>
      </c>
      <c r="L62" s="10"/>
      <c r="M62" s="10"/>
      <c r="N62" s="11"/>
      <c r="O62" s="10"/>
      <c r="P62" s="11"/>
      <c r="Q62" s="10"/>
      <c r="R62" s="10"/>
      <c r="S62" s="10"/>
      <c r="T62" s="11"/>
      <c r="U62" s="10"/>
      <c r="V62" s="11"/>
      <c r="W62" s="10"/>
      <c r="X62" s="3"/>
      <c r="Y62" s="3"/>
      <c r="Z62" s="3"/>
      <c r="AA62" s="3"/>
      <c r="AB62" s="3"/>
      <c r="AC62" s="3"/>
    </row>
    <row r="63" ht="22.5" hidden="1" customHeight="1">
      <c r="A63" s="26"/>
      <c r="B63" s="27"/>
      <c r="C63" s="14" t="s">
        <v>27</v>
      </c>
      <c r="D63" s="28"/>
      <c r="E63" s="28"/>
      <c r="F63" s="16"/>
      <c r="G63" s="16" t="s">
        <v>231</v>
      </c>
      <c r="H63" s="16" t="s">
        <v>215</v>
      </c>
      <c r="I63" s="27"/>
      <c r="J63" s="16" t="s">
        <v>216</v>
      </c>
      <c r="K63" s="16" t="s">
        <v>225</v>
      </c>
      <c r="L63" s="10"/>
      <c r="M63" s="10"/>
      <c r="N63" s="11"/>
      <c r="O63" s="10"/>
      <c r="P63" s="11"/>
      <c r="Q63" s="10"/>
      <c r="R63" s="10"/>
      <c r="S63" s="10"/>
      <c r="T63" s="11"/>
      <c r="U63" s="10"/>
      <c r="V63" s="11"/>
      <c r="W63" s="10"/>
      <c r="X63" s="3"/>
      <c r="Y63" s="3"/>
      <c r="Z63" s="3"/>
      <c r="AA63" s="3"/>
      <c r="AB63" s="3"/>
      <c r="AC63" s="3"/>
    </row>
    <row r="64" ht="22.5" hidden="1" customHeight="1">
      <c r="A64" s="26"/>
      <c r="B64" s="27"/>
      <c r="C64" s="14" t="s">
        <v>27</v>
      </c>
      <c r="D64" s="28"/>
      <c r="E64" s="28"/>
      <c r="F64" s="16"/>
      <c r="G64" s="16" t="s">
        <v>232</v>
      </c>
      <c r="H64" s="16" t="s">
        <v>215</v>
      </c>
      <c r="I64" s="27"/>
      <c r="J64" s="16" t="s">
        <v>216</v>
      </c>
      <c r="K64" s="16" t="s">
        <v>221</v>
      </c>
      <c r="L64" s="10"/>
      <c r="M64" s="10"/>
      <c r="N64" s="11"/>
      <c r="O64" s="10"/>
      <c r="P64" s="11"/>
      <c r="Q64" s="10"/>
      <c r="R64" s="10"/>
      <c r="S64" s="10"/>
      <c r="T64" s="11"/>
      <c r="U64" s="10"/>
      <c r="V64" s="11"/>
      <c r="W64" s="10"/>
      <c r="X64" s="3"/>
      <c r="Y64" s="3"/>
      <c r="Z64" s="3"/>
      <c r="AA64" s="3"/>
      <c r="AB64" s="3"/>
      <c r="AC64" s="3"/>
    </row>
    <row r="65" ht="22.5" hidden="1" customHeight="1">
      <c r="A65" s="26"/>
      <c r="B65" s="27"/>
      <c r="C65" s="14" t="s">
        <v>27</v>
      </c>
      <c r="D65" s="28"/>
      <c r="E65" s="28"/>
      <c r="F65" s="16"/>
      <c r="G65" s="16" t="s">
        <v>233</v>
      </c>
      <c r="H65" s="16" t="s">
        <v>215</v>
      </c>
      <c r="I65" s="27"/>
      <c r="J65" s="16" t="s">
        <v>216</v>
      </c>
      <c r="K65" s="16" t="s">
        <v>234</v>
      </c>
      <c r="L65" s="10"/>
      <c r="M65" s="10"/>
      <c r="N65" s="11"/>
      <c r="O65" s="10"/>
      <c r="P65" s="11"/>
      <c r="Q65" s="10"/>
      <c r="R65" s="10"/>
      <c r="S65" s="10"/>
      <c r="T65" s="11"/>
      <c r="U65" s="10"/>
      <c r="V65" s="11"/>
      <c r="W65" s="10"/>
      <c r="X65" s="3"/>
      <c r="Y65" s="3"/>
      <c r="Z65" s="3"/>
      <c r="AA65" s="3"/>
      <c r="AB65" s="3"/>
      <c r="AC65" s="3"/>
    </row>
    <row r="66" ht="22.5" hidden="1" customHeight="1">
      <c r="A66" s="26"/>
      <c r="B66" s="27"/>
      <c r="C66" s="14" t="s">
        <v>27</v>
      </c>
      <c r="D66" s="28"/>
      <c r="E66" s="28"/>
      <c r="F66" s="16"/>
      <c r="G66" s="16" t="s">
        <v>235</v>
      </c>
      <c r="H66" s="16" t="s">
        <v>215</v>
      </c>
      <c r="I66" s="27"/>
      <c r="J66" s="16" t="s">
        <v>216</v>
      </c>
      <c r="K66" s="16" t="s">
        <v>236</v>
      </c>
      <c r="L66" s="10"/>
      <c r="M66" s="10"/>
      <c r="N66" s="11"/>
      <c r="O66" s="10"/>
      <c r="P66" s="11"/>
      <c r="Q66" s="10"/>
      <c r="R66" s="10"/>
      <c r="S66" s="10"/>
      <c r="T66" s="11"/>
      <c r="U66" s="10"/>
      <c r="V66" s="11"/>
      <c r="W66" s="10"/>
      <c r="X66" s="3"/>
      <c r="Y66" s="3"/>
      <c r="Z66" s="3"/>
      <c r="AA66" s="3"/>
      <c r="AB66" s="3"/>
      <c r="AC66" s="3"/>
    </row>
    <row r="67" ht="22.5" hidden="1" customHeight="1">
      <c r="A67" s="26"/>
      <c r="B67" s="27"/>
      <c r="C67" s="14" t="s">
        <v>27</v>
      </c>
      <c r="D67" s="28"/>
      <c r="E67" s="28"/>
      <c r="F67" s="16"/>
      <c r="G67" s="16" t="s">
        <v>237</v>
      </c>
      <c r="H67" s="16" t="s">
        <v>215</v>
      </c>
      <c r="I67" s="27"/>
      <c r="J67" s="16" t="s">
        <v>216</v>
      </c>
      <c r="K67" s="16" t="s">
        <v>238</v>
      </c>
      <c r="L67" s="10"/>
      <c r="M67" s="10"/>
      <c r="N67" s="11"/>
      <c r="O67" s="10"/>
      <c r="P67" s="11"/>
      <c r="Q67" s="10"/>
      <c r="R67" s="10"/>
      <c r="S67" s="10"/>
      <c r="T67" s="11"/>
      <c r="U67" s="10"/>
      <c r="V67" s="11"/>
      <c r="W67" s="10"/>
      <c r="X67" s="3"/>
      <c r="Y67" s="3"/>
      <c r="Z67" s="3"/>
      <c r="AA67" s="3"/>
      <c r="AB67" s="3"/>
      <c r="AC67" s="3"/>
    </row>
    <row r="68" ht="22.5" hidden="1" customHeight="1">
      <c r="A68" s="26"/>
      <c r="B68" s="27"/>
      <c r="C68" s="14" t="s">
        <v>27</v>
      </c>
      <c r="D68" s="28"/>
      <c r="E68" s="28"/>
      <c r="F68" s="16"/>
      <c r="G68" s="16" t="s">
        <v>239</v>
      </c>
      <c r="H68" s="16" t="s">
        <v>215</v>
      </c>
      <c r="I68" s="27"/>
      <c r="J68" s="16" t="s">
        <v>216</v>
      </c>
      <c r="K68" s="16" t="s">
        <v>240</v>
      </c>
      <c r="L68" s="10"/>
      <c r="M68" s="10"/>
      <c r="N68" s="11"/>
      <c r="O68" s="10"/>
      <c r="P68" s="11"/>
      <c r="Q68" s="10"/>
      <c r="R68" s="10"/>
      <c r="S68" s="10"/>
      <c r="T68" s="11"/>
      <c r="U68" s="10"/>
      <c r="V68" s="11"/>
      <c r="W68" s="10"/>
      <c r="X68" s="3"/>
      <c r="Y68" s="3"/>
      <c r="Z68" s="3"/>
      <c r="AA68" s="3"/>
      <c r="AB68" s="3"/>
      <c r="AC68" s="3"/>
    </row>
    <row r="69" ht="22.5" hidden="1" customHeight="1">
      <c r="A69" s="26"/>
      <c r="B69" s="27"/>
      <c r="C69" s="14" t="s">
        <v>27</v>
      </c>
      <c r="D69" s="28"/>
      <c r="E69" s="28"/>
      <c r="F69" s="16"/>
      <c r="G69" s="16" t="s">
        <v>241</v>
      </c>
      <c r="H69" s="16" t="s">
        <v>215</v>
      </c>
      <c r="I69" s="27"/>
      <c r="J69" s="16" t="s">
        <v>216</v>
      </c>
      <c r="K69" s="16" t="s">
        <v>242</v>
      </c>
      <c r="L69" s="10"/>
      <c r="M69" s="10"/>
      <c r="N69" s="11"/>
      <c r="O69" s="10"/>
      <c r="P69" s="11"/>
      <c r="Q69" s="10"/>
      <c r="R69" s="10"/>
      <c r="S69" s="10"/>
      <c r="T69" s="11"/>
      <c r="U69" s="10"/>
      <c r="V69" s="11"/>
      <c r="W69" s="10"/>
      <c r="X69" s="3"/>
      <c r="Y69" s="3"/>
      <c r="Z69" s="3"/>
      <c r="AA69" s="3"/>
      <c r="AB69" s="3"/>
      <c r="AC69" s="3"/>
    </row>
    <row r="70" ht="22.5" hidden="1" customHeight="1">
      <c r="A70" s="26"/>
      <c r="B70" s="27"/>
      <c r="C70" s="14" t="s">
        <v>27</v>
      </c>
      <c r="D70" s="28"/>
      <c r="E70" s="28"/>
      <c r="F70" s="16"/>
      <c r="G70" s="16" t="s">
        <v>243</v>
      </c>
      <c r="H70" s="16" t="s">
        <v>215</v>
      </c>
      <c r="I70" s="27"/>
      <c r="J70" s="16" t="s">
        <v>216</v>
      </c>
      <c r="K70" s="16" t="s">
        <v>244</v>
      </c>
      <c r="L70" s="10"/>
      <c r="M70" s="10"/>
      <c r="N70" s="11"/>
      <c r="O70" s="10"/>
      <c r="P70" s="11"/>
      <c r="Q70" s="10"/>
      <c r="R70" s="10"/>
      <c r="S70" s="10"/>
      <c r="T70" s="11"/>
      <c r="U70" s="10"/>
      <c r="V70" s="11"/>
      <c r="W70" s="10"/>
      <c r="X70" s="3"/>
      <c r="Y70" s="3"/>
      <c r="Z70" s="3"/>
      <c r="AA70" s="3"/>
      <c r="AB70" s="3"/>
      <c r="AC70" s="3"/>
    </row>
    <row r="71" ht="22.5" hidden="1" customHeight="1">
      <c r="A71" s="26"/>
      <c r="B71" s="27"/>
      <c r="C71" s="14" t="s">
        <v>27</v>
      </c>
      <c r="D71" s="28"/>
      <c r="E71" s="28"/>
      <c r="F71" s="16"/>
      <c r="G71" s="16" t="s">
        <v>245</v>
      </c>
      <c r="H71" s="16" t="s">
        <v>215</v>
      </c>
      <c r="I71" s="27"/>
      <c r="J71" s="16" t="s">
        <v>216</v>
      </c>
      <c r="K71" s="16" t="s">
        <v>244</v>
      </c>
      <c r="L71" s="10"/>
      <c r="M71" s="10"/>
      <c r="N71" s="11"/>
      <c r="O71" s="10"/>
      <c r="P71" s="11"/>
      <c r="Q71" s="10"/>
      <c r="R71" s="10"/>
      <c r="S71" s="10"/>
      <c r="T71" s="11"/>
      <c r="U71" s="10"/>
      <c r="V71" s="11"/>
      <c r="W71" s="10"/>
      <c r="X71" s="3"/>
      <c r="Y71" s="3"/>
      <c r="Z71" s="3"/>
      <c r="AA71" s="3"/>
      <c r="AB71" s="3"/>
      <c r="AC71" s="3"/>
    </row>
    <row r="72" ht="22.5" hidden="1" customHeight="1">
      <c r="A72" s="26"/>
      <c r="B72" s="27"/>
      <c r="C72" s="14" t="s">
        <v>27</v>
      </c>
      <c r="D72" s="28"/>
      <c r="E72" s="28"/>
      <c r="F72" s="16"/>
      <c r="G72" s="16" t="s">
        <v>246</v>
      </c>
      <c r="H72" s="16" t="s">
        <v>215</v>
      </c>
      <c r="I72" s="27"/>
      <c r="J72" s="16" t="s">
        <v>216</v>
      </c>
      <c r="K72" s="16" t="s">
        <v>244</v>
      </c>
      <c r="L72" s="10"/>
      <c r="M72" s="10"/>
      <c r="N72" s="11"/>
      <c r="O72" s="10"/>
      <c r="P72" s="11"/>
      <c r="Q72" s="10"/>
      <c r="R72" s="10"/>
      <c r="S72" s="10"/>
      <c r="T72" s="11"/>
      <c r="U72" s="10"/>
      <c r="V72" s="11"/>
      <c r="W72" s="10"/>
      <c r="X72" s="3"/>
      <c r="Y72" s="3"/>
      <c r="Z72" s="3"/>
      <c r="AA72" s="3"/>
      <c r="AB72" s="3"/>
      <c r="AC72" s="3"/>
    </row>
    <row r="73" ht="22.5" hidden="1" customHeight="1">
      <c r="A73" s="26"/>
      <c r="B73" s="27"/>
      <c r="C73" s="14" t="s">
        <v>27</v>
      </c>
      <c r="D73" s="28"/>
      <c r="E73" s="28"/>
      <c r="F73" s="16"/>
      <c r="G73" s="16" t="s">
        <v>247</v>
      </c>
      <c r="H73" s="16" t="s">
        <v>215</v>
      </c>
      <c r="I73" s="27"/>
      <c r="J73" s="16" t="s">
        <v>216</v>
      </c>
      <c r="K73" s="16" t="s">
        <v>221</v>
      </c>
      <c r="L73" s="10"/>
      <c r="M73" s="10"/>
      <c r="N73" s="11"/>
      <c r="O73" s="10"/>
      <c r="P73" s="11"/>
      <c r="Q73" s="10"/>
      <c r="R73" s="10"/>
      <c r="S73" s="10"/>
      <c r="T73" s="11"/>
      <c r="U73" s="10"/>
      <c r="V73" s="11"/>
      <c r="W73" s="10"/>
      <c r="X73" s="3"/>
      <c r="Y73" s="3"/>
      <c r="Z73" s="3"/>
      <c r="AA73" s="3"/>
      <c r="AB73" s="3"/>
      <c r="AC73" s="3"/>
    </row>
    <row r="74" ht="22.5" hidden="1" customHeight="1">
      <c r="A74" s="26"/>
      <c r="B74" s="27"/>
      <c r="C74" s="14" t="s">
        <v>27</v>
      </c>
      <c r="D74" s="28"/>
      <c r="E74" s="28"/>
      <c r="F74" s="16"/>
      <c r="G74" s="16" t="s">
        <v>248</v>
      </c>
      <c r="H74" s="16" t="s">
        <v>215</v>
      </c>
      <c r="I74" s="27"/>
      <c r="J74" s="16" t="s">
        <v>216</v>
      </c>
      <c r="K74" s="16" t="s">
        <v>221</v>
      </c>
      <c r="L74" s="10"/>
      <c r="M74" s="10"/>
      <c r="N74" s="11"/>
      <c r="O74" s="10"/>
      <c r="P74" s="11"/>
      <c r="Q74" s="10"/>
      <c r="R74" s="10"/>
      <c r="S74" s="10"/>
      <c r="T74" s="11"/>
      <c r="U74" s="10"/>
      <c r="V74" s="11"/>
      <c r="W74" s="10"/>
      <c r="X74" s="3"/>
      <c r="Y74" s="3"/>
      <c r="Z74" s="3"/>
      <c r="AA74" s="3"/>
      <c r="AB74" s="3"/>
      <c r="AC74" s="3"/>
    </row>
    <row r="75" ht="22.5" hidden="1" customHeight="1">
      <c r="A75" s="26"/>
      <c r="B75" s="27"/>
      <c r="C75" s="14" t="s">
        <v>27</v>
      </c>
      <c r="D75" s="28"/>
      <c r="E75" s="28"/>
      <c r="F75" s="16"/>
      <c r="G75" s="16" t="s">
        <v>249</v>
      </c>
      <c r="H75" s="16" t="s">
        <v>215</v>
      </c>
      <c r="I75" s="27"/>
      <c r="J75" s="16" t="s">
        <v>216</v>
      </c>
      <c r="K75" s="16" t="s">
        <v>244</v>
      </c>
      <c r="L75" s="10"/>
      <c r="M75" s="10"/>
      <c r="N75" s="11"/>
      <c r="O75" s="10"/>
      <c r="P75" s="11"/>
      <c r="Q75" s="10"/>
      <c r="R75" s="10"/>
      <c r="S75" s="10"/>
      <c r="T75" s="11"/>
      <c r="U75" s="10"/>
      <c r="V75" s="11"/>
      <c r="W75" s="10"/>
      <c r="X75" s="3"/>
      <c r="Y75" s="3"/>
      <c r="Z75" s="3"/>
      <c r="AA75" s="3"/>
      <c r="AB75" s="3"/>
      <c r="AC75" s="3"/>
    </row>
    <row r="76" ht="22.5" hidden="1" customHeight="1">
      <c r="A76" s="26"/>
      <c r="B76" s="27"/>
      <c r="C76" s="14" t="s">
        <v>27</v>
      </c>
      <c r="D76" s="28"/>
      <c r="E76" s="28"/>
      <c r="F76" s="16"/>
      <c r="G76" s="16" t="s">
        <v>250</v>
      </c>
      <c r="H76" s="16" t="s">
        <v>215</v>
      </c>
      <c r="I76" s="27"/>
      <c r="J76" s="16" t="s">
        <v>216</v>
      </c>
      <c r="K76" s="16" t="s">
        <v>221</v>
      </c>
      <c r="L76" s="10"/>
      <c r="M76" s="10"/>
      <c r="N76" s="11"/>
      <c r="O76" s="10"/>
      <c r="P76" s="11"/>
      <c r="Q76" s="10"/>
      <c r="R76" s="10"/>
      <c r="S76" s="10"/>
      <c r="T76" s="11"/>
      <c r="U76" s="10"/>
      <c r="V76" s="11"/>
      <c r="W76" s="10"/>
      <c r="X76" s="3"/>
      <c r="Y76" s="3"/>
      <c r="Z76" s="3"/>
      <c r="AA76" s="3"/>
      <c r="AB76" s="3"/>
      <c r="AC76" s="3"/>
    </row>
    <row r="77" ht="22.5" hidden="1" customHeight="1">
      <c r="A77" s="26"/>
      <c r="B77" s="27"/>
      <c r="C77" s="14" t="s">
        <v>27</v>
      </c>
      <c r="D77" s="28"/>
      <c r="E77" s="28"/>
      <c r="F77" s="16"/>
      <c r="G77" s="16" t="s">
        <v>251</v>
      </c>
      <c r="H77" s="16" t="s">
        <v>215</v>
      </c>
      <c r="I77" s="27"/>
      <c r="J77" s="16" t="s">
        <v>216</v>
      </c>
      <c r="K77" s="16" t="s">
        <v>221</v>
      </c>
      <c r="L77" s="10"/>
      <c r="M77" s="10"/>
      <c r="N77" s="11"/>
      <c r="O77" s="10"/>
      <c r="P77" s="11"/>
      <c r="Q77" s="10"/>
      <c r="R77" s="10"/>
      <c r="S77" s="10"/>
      <c r="T77" s="11"/>
      <c r="U77" s="10"/>
      <c r="V77" s="11"/>
      <c r="W77" s="10"/>
      <c r="X77" s="3"/>
      <c r="Y77" s="3"/>
      <c r="Z77" s="3"/>
      <c r="AA77" s="3"/>
      <c r="AB77" s="3"/>
      <c r="AC77" s="3"/>
    </row>
    <row r="78" ht="22.5" hidden="1" customHeight="1">
      <c r="A78" s="26"/>
      <c r="B78" s="27"/>
      <c r="C78" s="14" t="s">
        <v>27</v>
      </c>
      <c r="D78" s="28"/>
      <c r="E78" s="28"/>
      <c r="F78" s="16"/>
      <c r="G78" s="16" t="s">
        <v>252</v>
      </c>
      <c r="H78" s="16" t="s">
        <v>215</v>
      </c>
      <c r="I78" s="27"/>
      <c r="J78" s="16" t="s">
        <v>216</v>
      </c>
      <c r="K78" s="16" t="s">
        <v>253</v>
      </c>
      <c r="L78" s="10"/>
      <c r="M78" s="10"/>
      <c r="N78" s="11"/>
      <c r="O78" s="10"/>
      <c r="P78" s="11"/>
      <c r="Q78" s="10"/>
      <c r="R78" s="10"/>
      <c r="S78" s="10"/>
      <c r="T78" s="11"/>
      <c r="U78" s="10"/>
      <c r="V78" s="11"/>
      <c r="W78" s="10"/>
      <c r="X78" s="3"/>
      <c r="Y78" s="3"/>
      <c r="Z78" s="3"/>
      <c r="AA78" s="3"/>
      <c r="AB78" s="3"/>
      <c r="AC78" s="3"/>
    </row>
    <row r="79" ht="22.5" hidden="1" customHeight="1">
      <c r="A79" s="26"/>
      <c r="B79" s="27"/>
      <c r="C79" s="14" t="s">
        <v>27</v>
      </c>
      <c r="D79" s="28"/>
      <c r="E79" s="28"/>
      <c r="F79" s="16"/>
      <c r="G79" s="16" t="s">
        <v>254</v>
      </c>
      <c r="H79" s="16" t="s">
        <v>215</v>
      </c>
      <c r="I79" s="27"/>
      <c r="J79" s="16" t="s">
        <v>216</v>
      </c>
      <c r="K79" s="16" t="s">
        <v>255</v>
      </c>
      <c r="L79" s="10"/>
      <c r="M79" s="10"/>
      <c r="N79" s="11"/>
      <c r="O79" s="10"/>
      <c r="P79" s="11"/>
      <c r="Q79" s="10"/>
      <c r="R79" s="10"/>
      <c r="S79" s="10"/>
      <c r="T79" s="11"/>
      <c r="U79" s="10"/>
      <c r="V79" s="11"/>
      <c r="W79" s="10"/>
      <c r="X79" s="3"/>
      <c r="Y79" s="3"/>
      <c r="Z79" s="3"/>
      <c r="AA79" s="3"/>
      <c r="AB79" s="3"/>
      <c r="AC79" s="3"/>
    </row>
    <row r="80" ht="22.5" hidden="1" customHeight="1">
      <c r="A80" s="26"/>
      <c r="B80" s="27"/>
      <c r="C80" s="14" t="s">
        <v>27</v>
      </c>
      <c r="D80" s="28"/>
      <c r="E80" s="28"/>
      <c r="F80" s="16"/>
      <c r="G80" s="16" t="s">
        <v>256</v>
      </c>
      <c r="H80" s="16" t="s">
        <v>215</v>
      </c>
      <c r="I80" s="27"/>
      <c r="J80" s="16" t="s">
        <v>216</v>
      </c>
      <c r="K80" s="16" t="s">
        <v>257</v>
      </c>
      <c r="L80" s="10"/>
      <c r="M80" s="10"/>
      <c r="N80" s="11"/>
      <c r="O80" s="10"/>
      <c r="P80" s="11"/>
      <c r="Q80" s="10"/>
      <c r="R80" s="10"/>
      <c r="S80" s="10"/>
      <c r="T80" s="11"/>
      <c r="U80" s="10"/>
      <c r="V80" s="11"/>
      <c r="W80" s="10"/>
      <c r="X80" s="3"/>
      <c r="Y80" s="3"/>
      <c r="Z80" s="3"/>
      <c r="AA80" s="3"/>
      <c r="AB80" s="3"/>
      <c r="AC80" s="3"/>
    </row>
    <row r="81" ht="22.5" hidden="1" customHeight="1">
      <c r="A81" s="31"/>
      <c r="B81" s="32" t="s">
        <v>180</v>
      </c>
      <c r="C81" s="14" t="s">
        <v>27</v>
      </c>
      <c r="D81" s="32"/>
      <c r="E81" s="32" t="s">
        <v>258</v>
      </c>
      <c r="F81" s="28"/>
      <c r="G81" s="28"/>
      <c r="H81" s="16"/>
      <c r="I81" s="27"/>
      <c r="J81" s="10"/>
      <c r="K81" s="10"/>
      <c r="L81" s="10"/>
      <c r="M81" s="10"/>
      <c r="N81" s="11"/>
      <c r="O81" s="10"/>
      <c r="P81" s="11"/>
      <c r="Q81" s="10"/>
      <c r="R81" s="10"/>
      <c r="S81" s="10"/>
      <c r="T81" s="11"/>
      <c r="U81" s="10"/>
      <c r="V81" s="11"/>
      <c r="W81" s="10"/>
      <c r="X81" s="3"/>
      <c r="Y81" s="3"/>
      <c r="Z81" s="3"/>
      <c r="AA81" s="3"/>
      <c r="AB81" s="3"/>
      <c r="AC81" s="3"/>
    </row>
    <row r="82" ht="22.5" hidden="1" customHeight="1">
      <c r="A82" s="26"/>
      <c r="B82" s="27"/>
      <c r="C82" s="14" t="s">
        <v>27</v>
      </c>
      <c r="D82" s="28"/>
      <c r="E82" s="28"/>
      <c r="F82" s="16"/>
      <c r="G82" s="16" t="s">
        <v>259</v>
      </c>
      <c r="H82" s="16" t="s">
        <v>215</v>
      </c>
      <c r="I82" s="16"/>
      <c r="J82" s="16" t="s">
        <v>260</v>
      </c>
      <c r="K82" s="16" t="s">
        <v>261</v>
      </c>
      <c r="L82" s="10"/>
      <c r="M82" s="10"/>
      <c r="N82" s="11"/>
      <c r="O82" s="10"/>
      <c r="P82" s="11"/>
      <c r="Q82" s="10"/>
      <c r="R82" s="10"/>
      <c r="S82" s="10"/>
      <c r="T82" s="11"/>
      <c r="U82" s="10"/>
      <c r="V82" s="11"/>
      <c r="W82" s="10"/>
      <c r="X82" s="3"/>
      <c r="Y82" s="3"/>
      <c r="Z82" s="3"/>
      <c r="AA82" s="3"/>
      <c r="AB82" s="3"/>
      <c r="AC82" s="3"/>
    </row>
    <row r="83" ht="22.5" hidden="1" customHeight="1">
      <c r="A83" s="26"/>
      <c r="B83" s="27"/>
      <c r="C83" s="14" t="s">
        <v>27</v>
      </c>
      <c r="D83" s="28"/>
      <c r="E83" s="28"/>
      <c r="F83" s="16"/>
      <c r="G83" s="16" t="s">
        <v>262</v>
      </c>
      <c r="H83" s="16" t="s">
        <v>215</v>
      </c>
      <c r="I83" s="16"/>
      <c r="J83" s="16" t="s">
        <v>260</v>
      </c>
      <c r="K83" s="16" t="s">
        <v>263</v>
      </c>
      <c r="L83" s="10"/>
      <c r="M83" s="10"/>
      <c r="N83" s="11"/>
      <c r="O83" s="10"/>
      <c r="P83" s="11"/>
      <c r="Q83" s="10"/>
      <c r="R83" s="10"/>
      <c r="S83" s="10"/>
      <c r="T83" s="11"/>
      <c r="U83" s="10"/>
      <c r="V83" s="11"/>
      <c r="W83" s="10"/>
      <c r="X83" s="3"/>
      <c r="Y83" s="3"/>
      <c r="Z83" s="3"/>
      <c r="AA83" s="3"/>
      <c r="AB83" s="3"/>
      <c r="AC83" s="3"/>
    </row>
    <row r="84" ht="22.5" hidden="1" customHeight="1">
      <c r="A84" s="26"/>
      <c r="B84" s="27"/>
      <c r="C84" s="14" t="s">
        <v>27</v>
      </c>
      <c r="D84" s="28"/>
      <c r="E84" s="28"/>
      <c r="F84" s="16"/>
      <c r="G84" s="16" t="s">
        <v>264</v>
      </c>
      <c r="H84" s="16" t="s">
        <v>215</v>
      </c>
      <c r="I84" s="16"/>
      <c r="J84" s="16" t="s">
        <v>260</v>
      </c>
      <c r="K84" s="16" t="s">
        <v>221</v>
      </c>
      <c r="L84" s="10"/>
      <c r="M84" s="10"/>
      <c r="N84" s="11"/>
      <c r="O84" s="10"/>
      <c r="P84" s="11"/>
      <c r="Q84" s="10"/>
      <c r="R84" s="10"/>
      <c r="S84" s="10"/>
      <c r="T84" s="11"/>
      <c r="U84" s="10"/>
      <c r="V84" s="11"/>
      <c r="W84" s="10"/>
      <c r="X84" s="3"/>
      <c r="Y84" s="3"/>
      <c r="Z84" s="3"/>
      <c r="AA84" s="3"/>
      <c r="AB84" s="3"/>
      <c r="AC84" s="3"/>
    </row>
    <row r="85" ht="22.5" hidden="1" customHeight="1">
      <c r="A85" s="26"/>
      <c r="B85" s="27"/>
      <c r="C85" s="14" t="s">
        <v>27</v>
      </c>
      <c r="D85" s="28"/>
      <c r="E85" s="28"/>
      <c r="F85" s="16"/>
      <c r="G85" s="16" t="s">
        <v>265</v>
      </c>
      <c r="H85" s="16" t="s">
        <v>215</v>
      </c>
      <c r="I85" s="16"/>
      <c r="J85" s="16" t="s">
        <v>260</v>
      </c>
      <c r="K85" s="16" t="s">
        <v>225</v>
      </c>
      <c r="L85" s="10"/>
      <c r="M85" s="10"/>
      <c r="N85" s="11"/>
      <c r="O85" s="10"/>
      <c r="P85" s="11"/>
      <c r="Q85" s="10"/>
      <c r="R85" s="10"/>
      <c r="S85" s="10"/>
      <c r="T85" s="11"/>
      <c r="U85" s="10"/>
      <c r="V85" s="11"/>
      <c r="W85" s="10"/>
      <c r="X85" s="3"/>
      <c r="Y85" s="3"/>
      <c r="Z85" s="3"/>
      <c r="AA85" s="3"/>
      <c r="AB85" s="3"/>
      <c r="AC85" s="3"/>
    </row>
    <row r="86" ht="22.5" hidden="1" customHeight="1">
      <c r="A86" s="26"/>
      <c r="B86" s="27"/>
      <c r="C86" s="14" t="s">
        <v>27</v>
      </c>
      <c r="D86" s="28"/>
      <c r="E86" s="28"/>
      <c r="F86" s="16"/>
      <c r="G86" s="16" t="s">
        <v>266</v>
      </c>
      <c r="H86" s="16" t="s">
        <v>215</v>
      </c>
      <c r="I86" s="16"/>
      <c r="J86" s="16" t="s">
        <v>260</v>
      </c>
      <c r="K86" s="16" t="s">
        <v>267</v>
      </c>
      <c r="L86" s="10"/>
      <c r="M86" s="10"/>
      <c r="N86" s="11"/>
      <c r="O86" s="10"/>
      <c r="P86" s="11"/>
      <c r="Q86" s="10"/>
      <c r="R86" s="10"/>
      <c r="S86" s="10"/>
      <c r="T86" s="11"/>
      <c r="U86" s="10"/>
      <c r="V86" s="11"/>
      <c r="W86" s="10"/>
      <c r="X86" s="3"/>
      <c r="Y86" s="3"/>
      <c r="Z86" s="3"/>
      <c r="AA86" s="3"/>
      <c r="AB86" s="3"/>
      <c r="AC86" s="3"/>
    </row>
    <row r="87" ht="22.5" hidden="1" customHeight="1">
      <c r="A87" s="26"/>
      <c r="B87" s="27"/>
      <c r="C87" s="14" t="s">
        <v>27</v>
      </c>
      <c r="D87" s="28"/>
      <c r="E87" s="28"/>
      <c r="F87" s="16"/>
      <c r="G87" s="16" t="s">
        <v>268</v>
      </c>
      <c r="H87" s="16" t="s">
        <v>215</v>
      </c>
      <c r="I87" s="16"/>
      <c r="J87" s="16" t="s">
        <v>260</v>
      </c>
      <c r="K87" s="16" t="s">
        <v>269</v>
      </c>
      <c r="L87" s="10"/>
      <c r="M87" s="10"/>
      <c r="N87" s="11"/>
      <c r="O87" s="10"/>
      <c r="P87" s="11"/>
      <c r="Q87" s="10"/>
      <c r="R87" s="10"/>
      <c r="S87" s="10"/>
      <c r="T87" s="11"/>
      <c r="U87" s="10"/>
      <c r="V87" s="11"/>
      <c r="W87" s="10"/>
      <c r="X87" s="3"/>
      <c r="Y87" s="3"/>
      <c r="Z87" s="3"/>
      <c r="AA87" s="3"/>
      <c r="AB87" s="3"/>
      <c r="AC87" s="3"/>
    </row>
    <row r="88" ht="22.5" hidden="1" customHeight="1">
      <c r="A88" s="26"/>
      <c r="B88" s="27"/>
      <c r="C88" s="14" t="s">
        <v>27</v>
      </c>
      <c r="D88" s="28"/>
      <c r="E88" s="28"/>
      <c r="F88" s="16"/>
      <c r="G88" s="16" t="s">
        <v>270</v>
      </c>
      <c r="H88" s="16" t="s">
        <v>215</v>
      </c>
      <c r="I88" s="16"/>
      <c r="J88" s="16" t="s">
        <v>260</v>
      </c>
      <c r="K88" s="16" t="s">
        <v>271</v>
      </c>
      <c r="L88" s="10"/>
      <c r="M88" s="10"/>
      <c r="N88" s="11"/>
      <c r="O88" s="10"/>
      <c r="P88" s="11"/>
      <c r="Q88" s="10"/>
      <c r="R88" s="10"/>
      <c r="S88" s="10"/>
      <c r="T88" s="11"/>
      <c r="U88" s="10"/>
      <c r="V88" s="11"/>
      <c r="W88" s="10"/>
      <c r="X88" s="3"/>
      <c r="Y88" s="3"/>
      <c r="Z88" s="3"/>
      <c r="AA88" s="3"/>
      <c r="AB88" s="3"/>
      <c r="AC88" s="3"/>
    </row>
    <row r="89" ht="22.5" hidden="1" customHeight="1">
      <c r="A89" s="26"/>
      <c r="B89" s="27"/>
      <c r="C89" s="14" t="s">
        <v>27</v>
      </c>
      <c r="D89" s="28"/>
      <c r="E89" s="28"/>
      <c r="F89" s="16"/>
      <c r="G89" s="16" t="s">
        <v>272</v>
      </c>
      <c r="H89" s="16" t="s">
        <v>215</v>
      </c>
      <c r="I89" s="16"/>
      <c r="J89" s="16" t="s">
        <v>260</v>
      </c>
      <c r="K89" s="16" t="s">
        <v>221</v>
      </c>
      <c r="L89" s="10"/>
      <c r="M89" s="10"/>
      <c r="N89" s="11"/>
      <c r="O89" s="10"/>
      <c r="P89" s="11"/>
      <c r="Q89" s="10"/>
      <c r="R89" s="10"/>
      <c r="S89" s="10"/>
      <c r="T89" s="11"/>
      <c r="U89" s="10"/>
      <c r="V89" s="11"/>
      <c r="W89" s="10"/>
      <c r="X89" s="3"/>
      <c r="Y89" s="3"/>
      <c r="Z89" s="3"/>
      <c r="AA89" s="3"/>
      <c r="AB89" s="3"/>
      <c r="AC89" s="3"/>
    </row>
    <row r="90" ht="22.5" hidden="1" customHeight="1">
      <c r="A90" s="26"/>
      <c r="B90" s="27"/>
      <c r="C90" s="14" t="s">
        <v>27</v>
      </c>
      <c r="D90" s="28"/>
      <c r="E90" s="28"/>
      <c r="F90" s="16"/>
      <c r="G90" s="16" t="s">
        <v>230</v>
      </c>
      <c r="H90" s="16" t="s">
        <v>215</v>
      </c>
      <c r="I90" s="16"/>
      <c r="J90" s="16" t="s">
        <v>260</v>
      </c>
      <c r="K90" s="16" t="s">
        <v>221</v>
      </c>
      <c r="L90" s="10"/>
      <c r="M90" s="10"/>
      <c r="N90" s="11"/>
      <c r="O90" s="10"/>
      <c r="P90" s="11"/>
      <c r="Q90" s="10"/>
      <c r="R90" s="10"/>
      <c r="S90" s="10"/>
      <c r="T90" s="11"/>
      <c r="U90" s="10"/>
      <c r="V90" s="11"/>
      <c r="W90" s="10"/>
      <c r="X90" s="3"/>
      <c r="Y90" s="3"/>
      <c r="Z90" s="3"/>
      <c r="AA90" s="3"/>
      <c r="AB90" s="3"/>
      <c r="AC90" s="3"/>
    </row>
    <row r="91" ht="22.5" hidden="1" customHeight="1">
      <c r="A91" s="26"/>
      <c r="B91" s="27"/>
      <c r="C91" s="14" t="s">
        <v>27</v>
      </c>
      <c r="D91" s="28"/>
      <c r="E91" s="28"/>
      <c r="F91" s="16"/>
      <c r="G91" s="16" t="s">
        <v>256</v>
      </c>
      <c r="H91" s="16" t="s">
        <v>215</v>
      </c>
      <c r="I91" s="16"/>
      <c r="J91" s="16" t="s">
        <v>260</v>
      </c>
      <c r="K91" s="16" t="s">
        <v>273</v>
      </c>
      <c r="L91" s="10"/>
      <c r="M91" s="10"/>
      <c r="N91" s="11"/>
      <c r="O91" s="10"/>
      <c r="P91" s="11"/>
      <c r="Q91" s="10"/>
      <c r="R91" s="10"/>
      <c r="S91" s="10"/>
      <c r="T91" s="11"/>
      <c r="U91" s="10"/>
      <c r="V91" s="11"/>
      <c r="W91" s="10"/>
      <c r="X91" s="3"/>
      <c r="Y91" s="3"/>
      <c r="Z91" s="3"/>
      <c r="AA91" s="3"/>
      <c r="AB91" s="3"/>
      <c r="AC91" s="3"/>
    </row>
    <row r="92" ht="22.5" hidden="1" customHeight="1">
      <c r="A92" s="31"/>
      <c r="B92" s="32" t="s">
        <v>180</v>
      </c>
      <c r="C92" s="14" t="s">
        <v>27</v>
      </c>
      <c r="D92" s="32"/>
      <c r="E92" s="32" t="s">
        <v>274</v>
      </c>
      <c r="F92" s="28"/>
      <c r="G92" s="28"/>
      <c r="H92" s="16"/>
      <c r="I92" s="27"/>
      <c r="J92" s="10"/>
      <c r="K92" s="10"/>
      <c r="L92" s="10"/>
      <c r="M92" s="10"/>
      <c r="N92" s="11"/>
      <c r="O92" s="10"/>
      <c r="P92" s="11"/>
      <c r="Q92" s="10"/>
      <c r="R92" s="10"/>
      <c r="S92" s="10"/>
      <c r="T92" s="11"/>
      <c r="U92" s="10"/>
      <c r="V92" s="11"/>
      <c r="W92" s="10"/>
      <c r="X92" s="3"/>
      <c r="Y92" s="3"/>
      <c r="Z92" s="3"/>
      <c r="AA92" s="3"/>
      <c r="AB92" s="3"/>
      <c r="AC92" s="3"/>
    </row>
    <row r="93" ht="22.5" hidden="1" customHeight="1">
      <c r="A93" s="26"/>
      <c r="B93" s="27"/>
      <c r="C93" s="14" t="s">
        <v>27</v>
      </c>
      <c r="D93" s="28"/>
      <c r="E93" s="28"/>
      <c r="F93" s="36"/>
      <c r="G93" s="16" t="s">
        <v>275</v>
      </c>
      <c r="H93" s="16" t="s">
        <v>215</v>
      </c>
      <c r="I93" s="16"/>
      <c r="J93" s="16" t="s">
        <v>260</v>
      </c>
      <c r="K93" s="16" t="s">
        <v>244</v>
      </c>
      <c r="L93" s="10"/>
      <c r="M93" s="10"/>
      <c r="N93" s="11"/>
      <c r="O93" s="10"/>
      <c r="P93" s="11"/>
      <c r="Q93" s="10"/>
      <c r="R93" s="10"/>
      <c r="S93" s="10"/>
      <c r="T93" s="11"/>
      <c r="U93" s="10"/>
      <c r="V93" s="11"/>
      <c r="W93" s="10"/>
      <c r="X93" s="3"/>
      <c r="Y93" s="3"/>
      <c r="Z93" s="3"/>
      <c r="AA93" s="3"/>
      <c r="AB93" s="3"/>
      <c r="AC93" s="3"/>
    </row>
    <row r="94" ht="22.5" hidden="1" customHeight="1">
      <c r="A94" s="26"/>
      <c r="B94" s="27"/>
      <c r="C94" s="14" t="s">
        <v>27</v>
      </c>
      <c r="D94" s="28"/>
      <c r="E94" s="28"/>
      <c r="F94" s="36"/>
      <c r="G94" s="16" t="s">
        <v>276</v>
      </c>
      <c r="H94" s="16" t="s">
        <v>215</v>
      </c>
      <c r="I94" s="16"/>
      <c r="J94" s="16" t="s">
        <v>260</v>
      </c>
      <c r="K94" s="16" t="s">
        <v>277</v>
      </c>
      <c r="L94" s="10"/>
      <c r="M94" s="10"/>
      <c r="N94" s="11"/>
      <c r="O94" s="10"/>
      <c r="P94" s="11"/>
      <c r="Q94" s="10"/>
      <c r="R94" s="10"/>
      <c r="S94" s="10"/>
      <c r="T94" s="11"/>
      <c r="U94" s="10"/>
      <c r="V94" s="11"/>
      <c r="W94" s="10"/>
      <c r="X94" s="3"/>
      <c r="Y94" s="3"/>
      <c r="Z94" s="3"/>
      <c r="AA94" s="3"/>
      <c r="AB94" s="3"/>
      <c r="AC94" s="3"/>
    </row>
    <row r="95" ht="22.5" hidden="1" customHeight="1">
      <c r="A95" s="26"/>
      <c r="B95" s="27"/>
      <c r="C95" s="14" t="s">
        <v>27</v>
      </c>
      <c r="D95" s="28"/>
      <c r="E95" s="28"/>
      <c r="F95" s="36"/>
      <c r="G95" s="16" t="s">
        <v>278</v>
      </c>
      <c r="H95" s="16" t="s">
        <v>215</v>
      </c>
      <c r="I95" s="16"/>
      <c r="J95" s="16" t="s">
        <v>260</v>
      </c>
      <c r="K95" s="16" t="s">
        <v>271</v>
      </c>
      <c r="L95" s="10"/>
      <c r="M95" s="10"/>
      <c r="N95" s="11"/>
      <c r="O95" s="10"/>
      <c r="P95" s="11"/>
      <c r="Q95" s="10"/>
      <c r="R95" s="10"/>
      <c r="S95" s="10"/>
      <c r="T95" s="11"/>
      <c r="U95" s="10"/>
      <c r="V95" s="11"/>
      <c r="W95" s="10"/>
      <c r="X95" s="3"/>
      <c r="Y95" s="3"/>
      <c r="Z95" s="3"/>
      <c r="AA95" s="3"/>
      <c r="AB95" s="3"/>
      <c r="AC95" s="3"/>
    </row>
    <row r="96" ht="22.5" hidden="1" customHeight="1">
      <c r="A96" s="26"/>
      <c r="B96" s="27"/>
      <c r="C96" s="14" t="s">
        <v>27</v>
      </c>
      <c r="D96" s="28"/>
      <c r="E96" s="28"/>
      <c r="F96" s="36"/>
      <c r="G96" s="16" t="s">
        <v>279</v>
      </c>
      <c r="H96" s="16" t="s">
        <v>215</v>
      </c>
      <c r="I96" s="16"/>
      <c r="J96" s="16" t="s">
        <v>260</v>
      </c>
      <c r="K96" s="16" t="s">
        <v>280</v>
      </c>
      <c r="L96" s="10"/>
      <c r="M96" s="10"/>
      <c r="N96" s="11"/>
      <c r="O96" s="10"/>
      <c r="P96" s="11"/>
      <c r="Q96" s="10"/>
      <c r="R96" s="10"/>
      <c r="S96" s="10"/>
      <c r="T96" s="11"/>
      <c r="U96" s="10"/>
      <c r="V96" s="11"/>
      <c r="W96" s="10"/>
      <c r="X96" s="3"/>
      <c r="Y96" s="3"/>
      <c r="Z96" s="3"/>
      <c r="AA96" s="3"/>
      <c r="AB96" s="3"/>
      <c r="AC96" s="3"/>
    </row>
    <row r="97" ht="22.5" hidden="1" customHeight="1">
      <c r="A97" s="26"/>
      <c r="B97" s="27"/>
      <c r="C97" s="14" t="s">
        <v>27</v>
      </c>
      <c r="D97" s="28"/>
      <c r="E97" s="28"/>
      <c r="F97" s="36"/>
      <c r="G97" s="16" t="s">
        <v>281</v>
      </c>
      <c r="H97" s="16" t="s">
        <v>215</v>
      </c>
      <c r="I97" s="16"/>
      <c r="J97" s="16" t="s">
        <v>260</v>
      </c>
      <c r="K97" s="16" t="s">
        <v>282</v>
      </c>
      <c r="L97" s="10"/>
      <c r="M97" s="10"/>
      <c r="N97" s="11"/>
      <c r="O97" s="10"/>
      <c r="P97" s="11"/>
      <c r="Q97" s="10"/>
      <c r="R97" s="10"/>
      <c r="S97" s="10"/>
      <c r="T97" s="11"/>
      <c r="U97" s="10"/>
      <c r="V97" s="11"/>
      <c r="W97" s="10"/>
      <c r="X97" s="3"/>
      <c r="Y97" s="3"/>
      <c r="Z97" s="3"/>
      <c r="AA97" s="3"/>
      <c r="AB97" s="3"/>
      <c r="AC97" s="3"/>
    </row>
    <row r="98" ht="22.5" hidden="1" customHeight="1">
      <c r="A98" s="18"/>
      <c r="B98" s="19">
        <v>10.0</v>
      </c>
      <c r="C98" s="14" t="s">
        <v>27</v>
      </c>
      <c r="D98" s="25" t="str">
        <f t="shared" ref="D98:D116" si="1">IF(G98&lt;&gt;"","QLTTHDVMPL_"&amp;TEXT(COUNTIF($G$98:G98,"&lt;&gt;"),"00"),"")</f>
        <v>QLTTHDVMPL_01</v>
      </c>
      <c r="E98" s="25" t="s">
        <v>283</v>
      </c>
      <c r="F98" s="25" t="s">
        <v>284</v>
      </c>
      <c r="G98" s="29" t="s">
        <v>285</v>
      </c>
      <c r="H98" s="16" t="s">
        <v>286</v>
      </c>
      <c r="I98" s="27"/>
      <c r="J98" s="16" t="s">
        <v>287</v>
      </c>
      <c r="K98" s="15" t="s">
        <v>285</v>
      </c>
      <c r="L98" s="15" t="s">
        <v>285</v>
      </c>
      <c r="M98" s="34" t="s">
        <v>288</v>
      </c>
      <c r="N98" s="14" t="s">
        <v>36</v>
      </c>
      <c r="O98" s="10"/>
      <c r="P98" s="11"/>
      <c r="Q98" s="10"/>
      <c r="R98" s="10"/>
      <c r="S98" s="10"/>
      <c r="T98" s="11"/>
      <c r="U98" s="10"/>
      <c r="V98" s="11"/>
      <c r="W98" s="10"/>
      <c r="X98" s="3"/>
      <c r="Y98" s="3"/>
      <c r="Z98" s="3"/>
      <c r="AA98" s="3"/>
      <c r="AB98" s="3"/>
      <c r="AC98" s="3"/>
    </row>
    <row r="99" ht="22.5" hidden="1" customHeight="1">
      <c r="A99" s="22"/>
      <c r="B99" s="37">
        <v>46203.0</v>
      </c>
      <c r="C99" s="14" t="s">
        <v>27</v>
      </c>
      <c r="D99" s="30" t="str">
        <f t="shared" si="1"/>
        <v>QLTTHDVMPL_02</v>
      </c>
      <c r="E99" s="30"/>
      <c r="F99" s="30"/>
      <c r="G99" s="16" t="s">
        <v>289</v>
      </c>
      <c r="H99" s="16" t="s">
        <v>290</v>
      </c>
      <c r="I99" s="16" t="s">
        <v>291</v>
      </c>
      <c r="J99" s="16" t="s">
        <v>292</v>
      </c>
      <c r="K99" s="16" t="s">
        <v>293</v>
      </c>
      <c r="L99" s="16" t="s">
        <v>293</v>
      </c>
      <c r="M99" s="34" t="s">
        <v>294</v>
      </c>
      <c r="N99" s="14" t="s">
        <v>36</v>
      </c>
      <c r="O99" s="10"/>
      <c r="P99" s="11"/>
      <c r="Q99" s="10"/>
      <c r="R99" s="10"/>
      <c r="S99" s="10"/>
      <c r="T99" s="11"/>
      <c r="U99" s="10"/>
      <c r="V99" s="11"/>
      <c r="W99" s="10"/>
      <c r="X99" s="3"/>
      <c r="Y99" s="3"/>
      <c r="Z99" s="3"/>
      <c r="AA99" s="3"/>
      <c r="AB99" s="3"/>
      <c r="AC99" s="3"/>
    </row>
    <row r="100" ht="22.5" hidden="1" customHeight="1">
      <c r="A100" s="22"/>
      <c r="B100" s="37">
        <v>46203.0</v>
      </c>
      <c r="C100" s="14" t="s">
        <v>27</v>
      </c>
      <c r="D100" s="30" t="str">
        <f t="shared" si="1"/>
        <v>QLTTHDVMPL_03</v>
      </c>
      <c r="E100" s="30"/>
      <c r="F100" s="30"/>
      <c r="G100" s="16" t="s">
        <v>295</v>
      </c>
      <c r="H100" s="16" t="s">
        <v>296</v>
      </c>
      <c r="I100" s="16" t="s">
        <v>297</v>
      </c>
      <c r="J100" s="16" t="s">
        <v>298</v>
      </c>
      <c r="K100" s="16" t="s">
        <v>299</v>
      </c>
      <c r="L100" s="16" t="s">
        <v>299</v>
      </c>
      <c r="M100" s="34" t="s">
        <v>300</v>
      </c>
      <c r="N100" s="14" t="s">
        <v>36</v>
      </c>
      <c r="O100" s="10"/>
      <c r="P100" s="11"/>
      <c r="Q100" s="10"/>
      <c r="R100" s="10"/>
      <c r="S100" s="10"/>
      <c r="T100" s="11"/>
      <c r="U100" s="10"/>
      <c r="V100" s="11"/>
      <c r="W100" s="10"/>
      <c r="X100" s="3"/>
      <c r="Y100" s="3"/>
      <c r="Z100" s="3"/>
      <c r="AA100" s="3"/>
      <c r="AB100" s="3"/>
      <c r="AC100" s="3"/>
    </row>
    <row r="101" ht="22.5" customHeight="1">
      <c r="A101" s="22"/>
      <c r="B101" s="37">
        <v>46203.0</v>
      </c>
      <c r="C101" s="14" t="s">
        <v>27</v>
      </c>
      <c r="D101" s="30" t="str">
        <f t="shared" si="1"/>
        <v>QLTTHDVMPL_04</v>
      </c>
      <c r="E101" s="30"/>
      <c r="F101" s="30"/>
      <c r="G101" s="16" t="s">
        <v>301</v>
      </c>
      <c r="H101" s="16" t="s">
        <v>302</v>
      </c>
      <c r="I101" s="16" t="s">
        <v>303</v>
      </c>
      <c r="J101" s="16" t="s">
        <v>304</v>
      </c>
      <c r="K101" s="16" t="s">
        <v>305</v>
      </c>
      <c r="L101" s="15" t="s">
        <v>306</v>
      </c>
      <c r="M101" s="34" t="s">
        <v>307</v>
      </c>
      <c r="N101" s="14" t="s">
        <v>63</v>
      </c>
      <c r="O101" s="10"/>
      <c r="P101" s="11"/>
      <c r="Q101" s="10"/>
      <c r="R101" s="10"/>
      <c r="S101" s="10"/>
      <c r="T101" s="11"/>
      <c r="U101" s="10"/>
      <c r="V101" s="11"/>
      <c r="W101" s="10"/>
      <c r="X101" s="3"/>
      <c r="Y101" s="3"/>
      <c r="Z101" s="3"/>
      <c r="AA101" s="3"/>
      <c r="AB101" s="3"/>
      <c r="AC101" s="3"/>
    </row>
    <row r="102" ht="22.5" hidden="1" customHeight="1">
      <c r="A102" s="22"/>
      <c r="B102" s="37">
        <v>46203.0</v>
      </c>
      <c r="C102" s="14" t="s">
        <v>27</v>
      </c>
      <c r="D102" s="30" t="str">
        <f t="shared" si="1"/>
        <v>QLTTHDVMPL_05</v>
      </c>
      <c r="E102" s="30"/>
      <c r="F102" s="30"/>
      <c r="G102" s="16" t="s">
        <v>308</v>
      </c>
      <c r="H102" s="16" t="s">
        <v>309</v>
      </c>
      <c r="I102" s="16" t="s">
        <v>310</v>
      </c>
      <c r="J102" s="16" t="s">
        <v>311</v>
      </c>
      <c r="K102" s="16" t="s">
        <v>312</v>
      </c>
      <c r="L102" s="16" t="s">
        <v>312</v>
      </c>
      <c r="M102" s="34" t="s">
        <v>313</v>
      </c>
      <c r="N102" s="14" t="s">
        <v>36</v>
      </c>
      <c r="O102" s="10"/>
      <c r="P102" s="11"/>
      <c r="Q102" s="10"/>
      <c r="R102" s="10"/>
      <c r="S102" s="10"/>
      <c r="T102" s="11"/>
      <c r="U102" s="10"/>
      <c r="V102" s="11"/>
      <c r="W102" s="10"/>
      <c r="X102" s="3"/>
      <c r="Y102" s="3"/>
      <c r="Z102" s="3"/>
      <c r="AA102" s="3"/>
      <c r="AB102" s="3"/>
      <c r="AC102" s="3"/>
    </row>
    <row r="103" ht="22.5" hidden="1" customHeight="1">
      <c r="A103" s="22"/>
      <c r="B103" s="37">
        <v>46203.0</v>
      </c>
      <c r="C103" s="14" t="s">
        <v>27</v>
      </c>
      <c r="D103" s="30" t="str">
        <f t="shared" si="1"/>
        <v>QLTTHDVMPL_06</v>
      </c>
      <c r="E103" s="30"/>
      <c r="F103" s="30"/>
      <c r="G103" s="16" t="s">
        <v>314</v>
      </c>
      <c r="H103" s="16" t="s">
        <v>315</v>
      </c>
      <c r="I103" s="16" t="s">
        <v>316</v>
      </c>
      <c r="J103" s="16" t="s">
        <v>317</v>
      </c>
      <c r="K103" s="16" t="s">
        <v>318</v>
      </c>
      <c r="L103" s="16" t="s">
        <v>318</v>
      </c>
      <c r="M103" s="34" t="s">
        <v>319</v>
      </c>
      <c r="N103" s="14" t="s">
        <v>36</v>
      </c>
      <c r="O103" s="10"/>
      <c r="P103" s="11"/>
      <c r="Q103" s="10"/>
      <c r="R103" s="10"/>
      <c r="S103" s="10"/>
      <c r="T103" s="11"/>
      <c r="U103" s="10"/>
      <c r="V103" s="11"/>
      <c r="W103" s="10"/>
      <c r="X103" s="3"/>
      <c r="Y103" s="3"/>
      <c r="Z103" s="3"/>
      <c r="AA103" s="3"/>
      <c r="AB103" s="3"/>
      <c r="AC103" s="3"/>
    </row>
    <row r="104" ht="22.5" hidden="1" customHeight="1">
      <c r="A104" s="22"/>
      <c r="B104" s="37">
        <v>46203.0</v>
      </c>
      <c r="C104" s="14" t="s">
        <v>27</v>
      </c>
      <c r="D104" s="30" t="str">
        <f t="shared" si="1"/>
        <v>QLTTHDVMPL_07</v>
      </c>
      <c r="E104" s="30"/>
      <c r="F104" s="30"/>
      <c r="G104" s="16" t="s">
        <v>320</v>
      </c>
      <c r="H104" s="16" t="s">
        <v>321</v>
      </c>
      <c r="I104" s="16" t="s">
        <v>322</v>
      </c>
      <c r="J104" s="16" t="s">
        <v>323</v>
      </c>
      <c r="K104" s="16" t="s">
        <v>324</v>
      </c>
      <c r="L104" s="16" t="s">
        <v>324</v>
      </c>
      <c r="M104" s="34" t="s">
        <v>325</v>
      </c>
      <c r="N104" s="14" t="s">
        <v>36</v>
      </c>
      <c r="O104" s="10"/>
      <c r="P104" s="11"/>
      <c r="Q104" s="10"/>
      <c r="R104" s="10"/>
      <c r="S104" s="10"/>
      <c r="T104" s="11"/>
      <c r="U104" s="10"/>
      <c r="V104" s="11"/>
      <c r="W104" s="10"/>
      <c r="X104" s="3"/>
      <c r="Y104" s="3"/>
      <c r="Z104" s="3"/>
      <c r="AA104" s="3"/>
      <c r="AB104" s="3"/>
      <c r="AC104" s="3"/>
    </row>
    <row r="105" ht="22.5" hidden="1" customHeight="1">
      <c r="A105" s="22"/>
      <c r="B105" s="37">
        <v>46203.0</v>
      </c>
      <c r="C105" s="14" t="s">
        <v>27</v>
      </c>
      <c r="D105" s="30" t="str">
        <f t="shared" si="1"/>
        <v>QLTTHDVMPL_08</v>
      </c>
      <c r="E105" s="30"/>
      <c r="F105" s="30"/>
      <c r="G105" s="16" t="s">
        <v>326</v>
      </c>
      <c r="H105" s="16" t="s">
        <v>327</v>
      </c>
      <c r="I105" s="16" t="s">
        <v>328</v>
      </c>
      <c r="J105" s="16" t="s">
        <v>329</v>
      </c>
      <c r="K105" s="16" t="s">
        <v>330</v>
      </c>
      <c r="L105" s="16" t="s">
        <v>330</v>
      </c>
      <c r="M105" s="34" t="s">
        <v>331</v>
      </c>
      <c r="N105" s="14" t="s">
        <v>36</v>
      </c>
      <c r="O105" s="10"/>
      <c r="P105" s="11"/>
      <c r="Q105" s="10"/>
      <c r="R105" s="10"/>
      <c r="S105" s="10"/>
      <c r="T105" s="11"/>
      <c r="U105" s="10"/>
      <c r="V105" s="11"/>
      <c r="W105" s="10"/>
      <c r="X105" s="3"/>
      <c r="Y105" s="3"/>
      <c r="Z105" s="3"/>
      <c r="AA105" s="3"/>
      <c r="AB105" s="3"/>
      <c r="AC105" s="3"/>
    </row>
    <row r="106" ht="22.5" hidden="1" customHeight="1">
      <c r="A106" s="22"/>
      <c r="B106" s="37">
        <v>46203.0</v>
      </c>
      <c r="C106" s="14" t="s">
        <v>27</v>
      </c>
      <c r="D106" s="30" t="str">
        <f t="shared" si="1"/>
        <v>QLTTHDVMPL_09</v>
      </c>
      <c r="E106" s="30"/>
      <c r="F106" s="30"/>
      <c r="G106" s="16" t="s">
        <v>332</v>
      </c>
      <c r="H106" s="16" t="s">
        <v>333</v>
      </c>
      <c r="I106" s="16" t="s">
        <v>334</v>
      </c>
      <c r="J106" s="16" t="s">
        <v>335</v>
      </c>
      <c r="K106" s="16" t="s">
        <v>336</v>
      </c>
      <c r="L106" s="16" t="s">
        <v>336</v>
      </c>
      <c r="M106" s="34" t="s">
        <v>337</v>
      </c>
      <c r="N106" s="14" t="s">
        <v>36</v>
      </c>
      <c r="O106" s="10"/>
      <c r="P106" s="11"/>
      <c r="Q106" s="10"/>
      <c r="R106" s="10"/>
      <c r="S106" s="10"/>
      <c r="T106" s="11"/>
      <c r="U106" s="10"/>
      <c r="V106" s="11"/>
      <c r="W106" s="10"/>
      <c r="X106" s="3"/>
      <c r="Y106" s="3"/>
      <c r="Z106" s="3"/>
      <c r="AA106" s="3"/>
      <c r="AB106" s="3"/>
      <c r="AC106" s="3"/>
    </row>
    <row r="107" ht="22.5" customHeight="1">
      <c r="A107" s="22"/>
      <c r="B107" s="37">
        <v>46203.0</v>
      </c>
      <c r="C107" s="14" t="s">
        <v>27</v>
      </c>
      <c r="D107" s="30" t="str">
        <f t="shared" si="1"/>
        <v>QLTTHDVMPL_10</v>
      </c>
      <c r="E107" s="30"/>
      <c r="F107" s="30"/>
      <c r="G107" s="16" t="s">
        <v>338</v>
      </c>
      <c r="H107" s="16" t="s">
        <v>339</v>
      </c>
      <c r="I107" s="16" t="s">
        <v>340</v>
      </c>
      <c r="J107" s="16" t="s">
        <v>341</v>
      </c>
      <c r="K107" s="16" t="s">
        <v>342</v>
      </c>
      <c r="L107" s="15" t="s">
        <v>343</v>
      </c>
      <c r="M107" s="34" t="s">
        <v>344</v>
      </c>
      <c r="N107" s="14" t="s">
        <v>63</v>
      </c>
      <c r="O107" s="10"/>
      <c r="P107" s="11"/>
      <c r="Q107" s="10"/>
      <c r="R107" s="10"/>
      <c r="S107" s="10"/>
      <c r="T107" s="11"/>
      <c r="U107" s="10"/>
      <c r="V107" s="11"/>
      <c r="W107" s="10"/>
      <c r="X107" s="3"/>
      <c r="Y107" s="3"/>
      <c r="Z107" s="3"/>
      <c r="AA107" s="3"/>
      <c r="AB107" s="3"/>
      <c r="AC107" s="3"/>
    </row>
    <row r="108" ht="22.5" hidden="1" customHeight="1">
      <c r="A108" s="22"/>
      <c r="B108" s="37">
        <v>46203.0</v>
      </c>
      <c r="C108" s="14" t="s">
        <v>27</v>
      </c>
      <c r="D108" s="30" t="str">
        <f t="shared" si="1"/>
        <v>QLTTHDVMPL_11</v>
      </c>
      <c r="E108" s="30"/>
      <c r="F108" s="30"/>
      <c r="G108" s="16" t="s">
        <v>345</v>
      </c>
      <c r="H108" s="16" t="s">
        <v>346</v>
      </c>
      <c r="I108" s="16" t="s">
        <v>347</v>
      </c>
      <c r="J108" s="16" t="s">
        <v>348</v>
      </c>
      <c r="K108" s="16" t="s">
        <v>349</v>
      </c>
      <c r="L108" s="16" t="s">
        <v>349</v>
      </c>
      <c r="M108" s="34" t="s">
        <v>350</v>
      </c>
      <c r="N108" s="14" t="s">
        <v>36</v>
      </c>
      <c r="O108" s="10"/>
      <c r="P108" s="11"/>
      <c r="Q108" s="10"/>
      <c r="R108" s="10"/>
      <c r="S108" s="10"/>
      <c r="T108" s="11"/>
      <c r="U108" s="10"/>
      <c r="V108" s="11"/>
      <c r="W108" s="10"/>
      <c r="X108" s="3"/>
      <c r="Y108" s="3"/>
      <c r="Z108" s="3"/>
      <c r="AA108" s="3"/>
      <c r="AB108" s="3"/>
      <c r="AC108" s="3"/>
    </row>
    <row r="109" ht="22.5" hidden="1" customHeight="1">
      <c r="A109" s="22"/>
      <c r="B109" s="37">
        <v>46203.0</v>
      </c>
      <c r="C109" s="14" t="s">
        <v>27</v>
      </c>
      <c r="D109" s="30" t="str">
        <f t="shared" si="1"/>
        <v>QLTTHDVMPL_12</v>
      </c>
      <c r="E109" s="30"/>
      <c r="F109" s="30"/>
      <c r="G109" s="16" t="s">
        <v>351</v>
      </c>
      <c r="H109" s="16" t="s">
        <v>352</v>
      </c>
      <c r="I109" s="16" t="s">
        <v>353</v>
      </c>
      <c r="J109" s="16" t="s">
        <v>354</v>
      </c>
      <c r="K109" s="16" t="s">
        <v>355</v>
      </c>
      <c r="L109" s="16" t="s">
        <v>355</v>
      </c>
      <c r="M109" s="34" t="s">
        <v>356</v>
      </c>
      <c r="N109" s="14" t="s">
        <v>36</v>
      </c>
      <c r="O109" s="10"/>
      <c r="P109" s="11"/>
      <c r="Q109" s="10"/>
      <c r="R109" s="10"/>
      <c r="S109" s="10"/>
      <c r="T109" s="11"/>
      <c r="U109" s="10"/>
      <c r="V109" s="11"/>
      <c r="W109" s="10"/>
      <c r="X109" s="3"/>
      <c r="Y109" s="3"/>
      <c r="Z109" s="3"/>
      <c r="AA109" s="3"/>
      <c r="AB109" s="3"/>
      <c r="AC109" s="3"/>
    </row>
    <row r="110" ht="22.5" hidden="1" customHeight="1">
      <c r="A110" s="22"/>
      <c r="B110" s="37">
        <v>46203.0</v>
      </c>
      <c r="C110" s="14" t="s">
        <v>27</v>
      </c>
      <c r="D110" s="30" t="str">
        <f t="shared" si="1"/>
        <v>QLTTHDVMPL_13</v>
      </c>
      <c r="E110" s="30"/>
      <c r="F110" s="30"/>
      <c r="G110" s="16" t="s">
        <v>357</v>
      </c>
      <c r="H110" s="16" t="s">
        <v>358</v>
      </c>
      <c r="I110" s="16" t="s">
        <v>359</v>
      </c>
      <c r="J110" s="16" t="s">
        <v>360</v>
      </c>
      <c r="K110" s="16" t="s">
        <v>361</v>
      </c>
      <c r="L110" s="16" t="s">
        <v>361</v>
      </c>
      <c r="M110" s="34" t="s">
        <v>362</v>
      </c>
      <c r="N110" s="14" t="s">
        <v>36</v>
      </c>
      <c r="O110" s="10"/>
      <c r="P110" s="11"/>
      <c r="Q110" s="10"/>
      <c r="R110" s="10"/>
      <c r="S110" s="10"/>
      <c r="T110" s="11"/>
      <c r="U110" s="10"/>
      <c r="V110" s="11"/>
      <c r="W110" s="10"/>
      <c r="X110" s="3"/>
      <c r="Y110" s="3"/>
      <c r="Z110" s="3"/>
      <c r="AA110" s="3"/>
      <c r="AB110" s="3"/>
      <c r="AC110" s="3"/>
    </row>
    <row r="111" ht="22.5" hidden="1" customHeight="1">
      <c r="A111" s="22"/>
      <c r="B111" s="37">
        <v>46203.0</v>
      </c>
      <c r="C111" s="14" t="s">
        <v>27</v>
      </c>
      <c r="D111" s="30" t="str">
        <f t="shared" si="1"/>
        <v>QLTTHDVMPL_14</v>
      </c>
      <c r="E111" s="30"/>
      <c r="F111" s="30"/>
      <c r="G111" s="16" t="s">
        <v>363</v>
      </c>
      <c r="H111" s="16" t="s">
        <v>315</v>
      </c>
      <c r="I111" s="16" t="s">
        <v>364</v>
      </c>
      <c r="J111" s="16" t="s">
        <v>365</v>
      </c>
      <c r="K111" s="16" t="s">
        <v>366</v>
      </c>
      <c r="L111" s="16" t="s">
        <v>366</v>
      </c>
      <c r="M111" s="34" t="s">
        <v>367</v>
      </c>
      <c r="N111" s="14" t="s">
        <v>36</v>
      </c>
      <c r="O111" s="10"/>
      <c r="P111" s="11"/>
      <c r="Q111" s="10"/>
      <c r="R111" s="10"/>
      <c r="S111" s="10"/>
      <c r="T111" s="11"/>
      <c r="U111" s="10"/>
      <c r="V111" s="11"/>
      <c r="W111" s="10"/>
      <c r="X111" s="3"/>
      <c r="Y111" s="3"/>
      <c r="Z111" s="3"/>
      <c r="AA111" s="3"/>
      <c r="AB111" s="3"/>
      <c r="AC111" s="3"/>
    </row>
    <row r="112" ht="22.5" hidden="1" customHeight="1">
      <c r="A112" s="22"/>
      <c r="B112" s="37">
        <v>46203.0</v>
      </c>
      <c r="C112" s="14" t="s">
        <v>27</v>
      </c>
      <c r="D112" s="30" t="str">
        <f t="shared" si="1"/>
        <v>QLTTHDVMPL_15</v>
      </c>
      <c r="E112" s="30"/>
      <c r="F112" s="30"/>
      <c r="G112" s="16" t="s">
        <v>368</v>
      </c>
      <c r="H112" s="16" t="s">
        <v>315</v>
      </c>
      <c r="I112" s="16" t="s">
        <v>369</v>
      </c>
      <c r="J112" s="16" t="s">
        <v>370</v>
      </c>
      <c r="K112" s="16" t="s">
        <v>371</v>
      </c>
      <c r="L112" s="16" t="s">
        <v>371</v>
      </c>
      <c r="M112" s="34" t="s">
        <v>372</v>
      </c>
      <c r="N112" s="14" t="s">
        <v>36</v>
      </c>
      <c r="O112" s="10"/>
      <c r="P112" s="11"/>
      <c r="Q112" s="10"/>
      <c r="R112" s="10"/>
      <c r="S112" s="10"/>
      <c r="T112" s="11"/>
      <c r="U112" s="10"/>
      <c r="V112" s="11"/>
      <c r="W112" s="10"/>
      <c r="X112" s="3"/>
      <c r="Y112" s="3"/>
      <c r="Z112" s="3"/>
      <c r="AA112" s="3"/>
      <c r="AB112" s="3"/>
      <c r="AC112" s="3"/>
    </row>
    <row r="113" ht="22.5" hidden="1" customHeight="1">
      <c r="A113" s="22"/>
      <c r="B113" s="37">
        <v>46203.0</v>
      </c>
      <c r="C113" s="14" t="s">
        <v>27</v>
      </c>
      <c r="D113" s="30" t="str">
        <f t="shared" si="1"/>
        <v>QLTTHDVMPL_16</v>
      </c>
      <c r="E113" s="30"/>
      <c r="F113" s="30"/>
      <c r="G113" s="16" t="s">
        <v>373</v>
      </c>
      <c r="H113" s="16" t="s">
        <v>374</v>
      </c>
      <c r="I113" s="16" t="s">
        <v>375</v>
      </c>
      <c r="J113" s="16" t="s">
        <v>376</v>
      </c>
      <c r="K113" s="16" t="s">
        <v>377</v>
      </c>
      <c r="L113" s="16" t="s">
        <v>377</v>
      </c>
      <c r="M113" s="34" t="s">
        <v>378</v>
      </c>
      <c r="N113" s="14" t="s">
        <v>36</v>
      </c>
      <c r="O113" s="10"/>
      <c r="P113" s="11"/>
      <c r="Q113" s="10"/>
      <c r="R113" s="10"/>
      <c r="S113" s="10"/>
      <c r="T113" s="11"/>
      <c r="U113" s="10"/>
      <c r="V113" s="11"/>
      <c r="W113" s="10"/>
      <c r="X113" s="3"/>
      <c r="Y113" s="3"/>
      <c r="Z113" s="3"/>
      <c r="AA113" s="3"/>
      <c r="AB113" s="3"/>
      <c r="AC113" s="3"/>
    </row>
    <row r="114" ht="22.5" hidden="1" customHeight="1">
      <c r="A114" s="22"/>
      <c r="B114" s="37">
        <v>46203.0</v>
      </c>
      <c r="C114" s="14" t="s">
        <v>27</v>
      </c>
      <c r="D114" s="30" t="str">
        <f t="shared" si="1"/>
        <v>QLTTHDVMPL_17</v>
      </c>
      <c r="E114" s="30"/>
      <c r="F114" s="30"/>
      <c r="G114" s="16" t="s">
        <v>379</v>
      </c>
      <c r="H114" s="16" t="s">
        <v>380</v>
      </c>
      <c r="I114" s="16" t="s">
        <v>381</v>
      </c>
      <c r="J114" s="16" t="s">
        <v>382</v>
      </c>
      <c r="K114" s="16" t="s">
        <v>383</v>
      </c>
      <c r="L114" s="16" t="s">
        <v>383</v>
      </c>
      <c r="M114" s="34" t="s">
        <v>384</v>
      </c>
      <c r="N114" s="14" t="s">
        <v>36</v>
      </c>
      <c r="O114" s="10"/>
      <c r="P114" s="11"/>
      <c r="Q114" s="10"/>
      <c r="R114" s="10"/>
      <c r="S114" s="10"/>
      <c r="T114" s="11"/>
      <c r="U114" s="10"/>
      <c r="V114" s="11"/>
      <c r="W114" s="10"/>
      <c r="X114" s="3"/>
      <c r="Y114" s="3"/>
      <c r="Z114" s="3"/>
      <c r="AA114" s="3"/>
      <c r="AB114" s="3"/>
      <c r="AC114" s="3"/>
    </row>
    <row r="115" ht="22.5" hidden="1" customHeight="1">
      <c r="A115" s="22"/>
      <c r="B115" s="37">
        <v>46203.0</v>
      </c>
      <c r="C115" s="14" t="s">
        <v>27</v>
      </c>
      <c r="D115" s="30" t="str">
        <f t="shared" si="1"/>
        <v>QLTTHDVMPL_18</v>
      </c>
      <c r="E115" s="30"/>
      <c r="F115" s="30"/>
      <c r="G115" s="16" t="s">
        <v>385</v>
      </c>
      <c r="H115" s="16" t="s">
        <v>386</v>
      </c>
      <c r="I115" s="16" t="s">
        <v>387</v>
      </c>
      <c r="J115" s="16" t="s">
        <v>388</v>
      </c>
      <c r="K115" s="16" t="s">
        <v>389</v>
      </c>
      <c r="L115" s="16" t="s">
        <v>389</v>
      </c>
      <c r="M115" s="34" t="s">
        <v>390</v>
      </c>
      <c r="N115" s="14" t="s">
        <v>36</v>
      </c>
      <c r="O115" s="10"/>
      <c r="P115" s="11"/>
      <c r="Q115" s="10"/>
      <c r="R115" s="10"/>
      <c r="S115" s="10"/>
      <c r="T115" s="11"/>
      <c r="U115" s="10"/>
      <c r="V115" s="11"/>
      <c r="W115" s="10"/>
      <c r="X115" s="3"/>
      <c r="Y115" s="3"/>
      <c r="Z115" s="3"/>
      <c r="AA115" s="3"/>
      <c r="AB115" s="3"/>
      <c r="AC115" s="3"/>
    </row>
    <row r="116" ht="22.5" hidden="1" customHeight="1">
      <c r="A116" s="22"/>
      <c r="B116" s="37">
        <v>46203.0</v>
      </c>
      <c r="C116" s="14" t="s">
        <v>27</v>
      </c>
      <c r="D116" s="30" t="str">
        <f t="shared" si="1"/>
        <v>QLTTHDVMPL_19</v>
      </c>
      <c r="E116" s="30"/>
      <c r="F116" s="30"/>
      <c r="G116" s="16" t="s">
        <v>391</v>
      </c>
      <c r="H116" s="16" t="s">
        <v>392</v>
      </c>
      <c r="I116" s="16" t="s">
        <v>393</v>
      </c>
      <c r="J116" s="16" t="s">
        <v>394</v>
      </c>
      <c r="K116" s="16" t="s">
        <v>395</v>
      </c>
      <c r="L116" s="16" t="s">
        <v>395</v>
      </c>
      <c r="M116" s="34" t="s">
        <v>396</v>
      </c>
      <c r="N116" s="14" t="s">
        <v>36</v>
      </c>
      <c r="O116" s="10"/>
      <c r="P116" s="11"/>
      <c r="Q116" s="10"/>
      <c r="R116" s="10"/>
      <c r="S116" s="10"/>
      <c r="T116" s="11"/>
      <c r="U116" s="10"/>
      <c r="V116" s="11"/>
      <c r="W116" s="10"/>
      <c r="X116" s="3"/>
      <c r="Y116" s="3"/>
      <c r="Z116" s="3"/>
      <c r="AA116" s="3"/>
      <c r="AB116" s="3"/>
      <c r="AC116" s="3"/>
    </row>
    <row r="117" ht="22.5" hidden="1" customHeight="1">
      <c r="A117" s="18"/>
      <c r="B117" s="19">
        <v>11.0</v>
      </c>
      <c r="C117" s="14" t="s">
        <v>27</v>
      </c>
      <c r="D117" s="25" t="str">
        <f t="shared" ref="D117:D129" si="2">IF(G117&lt;&gt;"","TKHDVMTH_"&amp;TEXT(COUNTIF($G$117:G117,"&lt;&gt;"),"00"),"")</f>
        <v>TKHDVMTH_01</v>
      </c>
      <c r="E117" s="25" t="s">
        <v>397</v>
      </c>
      <c r="F117" s="25" t="s">
        <v>284</v>
      </c>
      <c r="G117" s="29" t="s">
        <v>398</v>
      </c>
      <c r="H117" s="38" t="s">
        <v>399</v>
      </c>
      <c r="I117" s="27"/>
      <c r="J117" s="16" t="s">
        <v>292</v>
      </c>
      <c r="K117" s="15" t="s">
        <v>398</v>
      </c>
      <c r="L117" s="15" t="s">
        <v>398</v>
      </c>
      <c r="M117" s="34" t="s">
        <v>400</v>
      </c>
      <c r="N117" s="14" t="s">
        <v>36</v>
      </c>
      <c r="O117" s="10"/>
      <c r="P117" s="11"/>
      <c r="Q117" s="10"/>
      <c r="R117" s="10"/>
      <c r="S117" s="10"/>
      <c r="T117" s="11"/>
      <c r="U117" s="10"/>
      <c r="V117" s="11"/>
      <c r="W117" s="10"/>
      <c r="X117" s="3"/>
      <c r="Y117" s="3"/>
      <c r="Z117" s="3"/>
      <c r="AA117" s="3"/>
      <c r="AB117" s="3"/>
      <c r="AC117" s="3"/>
    </row>
    <row r="118" ht="22.5" hidden="1" customHeight="1">
      <c r="A118" s="22"/>
      <c r="B118" s="37">
        <v>46203.0</v>
      </c>
      <c r="C118" s="14" t="s">
        <v>27</v>
      </c>
      <c r="D118" s="30" t="str">
        <f t="shared" si="2"/>
        <v>TKHDVMTH_02</v>
      </c>
      <c r="E118" s="30"/>
      <c r="F118" s="30"/>
      <c r="G118" s="16" t="s">
        <v>401</v>
      </c>
      <c r="H118" s="16" t="s">
        <v>402</v>
      </c>
      <c r="I118" s="16" t="s">
        <v>403</v>
      </c>
      <c r="J118" s="16" t="s">
        <v>404</v>
      </c>
      <c r="K118" s="16" t="s">
        <v>405</v>
      </c>
      <c r="L118" s="16" t="s">
        <v>405</v>
      </c>
      <c r="M118" s="34" t="s">
        <v>406</v>
      </c>
      <c r="N118" s="14" t="s">
        <v>36</v>
      </c>
      <c r="O118" s="10"/>
      <c r="P118" s="11"/>
      <c r="Q118" s="10"/>
      <c r="R118" s="10"/>
      <c r="S118" s="10"/>
      <c r="T118" s="11"/>
      <c r="U118" s="10"/>
      <c r="V118" s="11"/>
      <c r="W118" s="10"/>
      <c r="X118" s="3"/>
      <c r="Y118" s="3"/>
      <c r="Z118" s="3"/>
      <c r="AA118" s="3"/>
      <c r="AB118" s="3"/>
      <c r="AC118" s="3"/>
    </row>
    <row r="119" ht="22.5" hidden="1" customHeight="1">
      <c r="A119" s="22"/>
      <c r="B119" s="37">
        <v>46203.0</v>
      </c>
      <c r="C119" s="14" t="s">
        <v>27</v>
      </c>
      <c r="D119" s="30" t="str">
        <f t="shared" si="2"/>
        <v>TKHDVMTH_03</v>
      </c>
      <c r="E119" s="30"/>
      <c r="F119" s="30"/>
      <c r="G119" s="16" t="s">
        <v>407</v>
      </c>
      <c r="H119" s="16" t="s">
        <v>408</v>
      </c>
      <c r="I119" s="16" t="s">
        <v>409</v>
      </c>
      <c r="J119" s="16" t="s">
        <v>410</v>
      </c>
      <c r="K119" s="16" t="s">
        <v>411</v>
      </c>
      <c r="L119" s="16" t="s">
        <v>411</v>
      </c>
      <c r="M119" s="34" t="s">
        <v>412</v>
      </c>
      <c r="N119" s="14" t="s">
        <v>36</v>
      </c>
      <c r="O119" s="10"/>
      <c r="P119" s="11"/>
      <c r="Q119" s="10"/>
      <c r="R119" s="10"/>
      <c r="S119" s="10"/>
      <c r="T119" s="11"/>
      <c r="U119" s="10"/>
      <c r="V119" s="11"/>
      <c r="W119" s="10"/>
      <c r="X119" s="3"/>
      <c r="Y119" s="3"/>
      <c r="Z119" s="3"/>
      <c r="AA119" s="3"/>
      <c r="AB119" s="3"/>
      <c r="AC119" s="3"/>
    </row>
    <row r="120" ht="22.5" hidden="1" customHeight="1">
      <c r="A120" s="22"/>
      <c r="B120" s="37">
        <v>46203.0</v>
      </c>
      <c r="C120" s="14" t="s">
        <v>27</v>
      </c>
      <c r="D120" s="30" t="str">
        <f t="shared" si="2"/>
        <v>TKHDVMTH_04</v>
      </c>
      <c r="E120" s="30"/>
      <c r="F120" s="30"/>
      <c r="G120" s="16" t="s">
        <v>413</v>
      </c>
      <c r="H120" s="16" t="s">
        <v>414</v>
      </c>
      <c r="I120" s="16" t="s">
        <v>415</v>
      </c>
      <c r="J120" s="16" t="s">
        <v>416</v>
      </c>
      <c r="K120" s="16" t="s">
        <v>417</v>
      </c>
      <c r="L120" s="16" t="s">
        <v>417</v>
      </c>
      <c r="M120" s="34" t="s">
        <v>418</v>
      </c>
      <c r="N120" s="14" t="s">
        <v>36</v>
      </c>
      <c r="O120" s="10"/>
      <c r="P120" s="11"/>
      <c r="Q120" s="10"/>
      <c r="R120" s="10"/>
      <c r="S120" s="10"/>
      <c r="T120" s="11"/>
      <c r="U120" s="10"/>
      <c r="V120" s="11"/>
      <c r="W120" s="10"/>
      <c r="X120" s="3"/>
      <c r="Y120" s="3"/>
      <c r="Z120" s="3"/>
      <c r="AA120" s="3"/>
      <c r="AB120" s="3"/>
      <c r="AC120" s="3"/>
    </row>
    <row r="121" ht="22.5" hidden="1" customHeight="1">
      <c r="A121" s="22"/>
      <c r="B121" s="37">
        <v>46203.0</v>
      </c>
      <c r="C121" s="14" t="s">
        <v>27</v>
      </c>
      <c r="D121" s="30" t="str">
        <f t="shared" si="2"/>
        <v>TKHDVMTH_05</v>
      </c>
      <c r="E121" s="30"/>
      <c r="F121" s="30"/>
      <c r="G121" s="16" t="s">
        <v>419</v>
      </c>
      <c r="H121" s="16" t="s">
        <v>420</v>
      </c>
      <c r="I121" s="16" t="s">
        <v>421</v>
      </c>
      <c r="J121" s="16" t="s">
        <v>422</v>
      </c>
      <c r="K121" s="16" t="s">
        <v>423</v>
      </c>
      <c r="L121" s="16" t="s">
        <v>423</v>
      </c>
      <c r="M121" s="34" t="s">
        <v>424</v>
      </c>
      <c r="N121" s="14" t="s">
        <v>36</v>
      </c>
      <c r="O121" s="10"/>
      <c r="P121" s="11"/>
      <c r="Q121" s="10"/>
      <c r="R121" s="10"/>
      <c r="S121" s="10"/>
      <c r="T121" s="11"/>
      <c r="U121" s="10"/>
      <c r="V121" s="11"/>
      <c r="W121" s="10"/>
      <c r="X121" s="3"/>
      <c r="Y121" s="3"/>
      <c r="Z121" s="3"/>
      <c r="AA121" s="3"/>
      <c r="AB121" s="3"/>
      <c r="AC121" s="3"/>
    </row>
    <row r="122" ht="22.5" hidden="1" customHeight="1">
      <c r="A122" s="22"/>
      <c r="B122" s="37">
        <v>46203.0</v>
      </c>
      <c r="C122" s="14" t="s">
        <v>27</v>
      </c>
      <c r="D122" s="30" t="str">
        <f t="shared" si="2"/>
        <v>TKHDVMTH_06</v>
      </c>
      <c r="E122" s="30"/>
      <c r="F122" s="30"/>
      <c r="G122" s="16" t="s">
        <v>425</v>
      </c>
      <c r="H122" s="16" t="s">
        <v>426</v>
      </c>
      <c r="I122" s="16" t="s">
        <v>427</v>
      </c>
      <c r="J122" s="16" t="s">
        <v>428</v>
      </c>
      <c r="K122" s="16" t="s">
        <v>429</v>
      </c>
      <c r="L122" s="16" t="s">
        <v>429</v>
      </c>
      <c r="M122" s="34" t="s">
        <v>430</v>
      </c>
      <c r="N122" s="14" t="s">
        <v>36</v>
      </c>
      <c r="O122" s="10"/>
      <c r="P122" s="11"/>
      <c r="Q122" s="10"/>
      <c r="R122" s="10"/>
      <c r="S122" s="10"/>
      <c r="T122" s="11"/>
      <c r="U122" s="10"/>
      <c r="V122" s="11"/>
      <c r="W122" s="10"/>
      <c r="X122" s="3"/>
      <c r="Y122" s="3"/>
      <c r="Z122" s="3"/>
      <c r="AA122" s="3"/>
      <c r="AB122" s="3"/>
      <c r="AC122" s="3"/>
    </row>
    <row r="123" ht="22.5" customHeight="1">
      <c r="A123" s="22"/>
      <c r="B123" s="37">
        <v>46203.0</v>
      </c>
      <c r="C123" s="14" t="s">
        <v>27</v>
      </c>
      <c r="D123" s="30" t="str">
        <f t="shared" si="2"/>
        <v>TKHDVMTH_07</v>
      </c>
      <c r="E123" s="30"/>
      <c r="F123" s="30"/>
      <c r="G123" s="16" t="s">
        <v>431</v>
      </c>
      <c r="H123" s="16" t="s">
        <v>432</v>
      </c>
      <c r="I123" s="16" t="s">
        <v>433</v>
      </c>
      <c r="J123" s="16" t="s">
        <v>434</v>
      </c>
      <c r="K123" s="16" t="s">
        <v>435</v>
      </c>
      <c r="L123" s="15" t="s">
        <v>436</v>
      </c>
      <c r="M123" s="34" t="s">
        <v>437</v>
      </c>
      <c r="N123" s="14" t="s">
        <v>63</v>
      </c>
      <c r="O123" s="10"/>
      <c r="P123" s="11"/>
      <c r="Q123" s="10"/>
      <c r="R123" s="10"/>
      <c r="S123" s="10"/>
      <c r="T123" s="11"/>
      <c r="U123" s="10"/>
      <c r="V123" s="11"/>
      <c r="W123" s="10"/>
      <c r="X123" s="3"/>
      <c r="Y123" s="3"/>
      <c r="Z123" s="3"/>
      <c r="AA123" s="3"/>
      <c r="AB123" s="3"/>
      <c r="AC123" s="3"/>
    </row>
    <row r="124" ht="22.5" hidden="1" customHeight="1">
      <c r="A124" s="22"/>
      <c r="B124" s="37">
        <v>46203.0</v>
      </c>
      <c r="C124" s="14" t="s">
        <v>27</v>
      </c>
      <c r="D124" s="30" t="str">
        <f t="shared" si="2"/>
        <v>TKHDVMTH_08</v>
      </c>
      <c r="E124" s="30"/>
      <c r="F124" s="30"/>
      <c r="G124" s="16" t="s">
        <v>438</v>
      </c>
      <c r="H124" s="16" t="s">
        <v>439</v>
      </c>
      <c r="I124" s="16" t="s">
        <v>440</v>
      </c>
      <c r="J124" s="16" t="s">
        <v>441</v>
      </c>
      <c r="K124" s="16" t="s">
        <v>442</v>
      </c>
      <c r="L124" s="16" t="s">
        <v>442</v>
      </c>
      <c r="M124" s="34" t="s">
        <v>443</v>
      </c>
      <c r="N124" s="14" t="s">
        <v>36</v>
      </c>
      <c r="O124" s="10"/>
      <c r="P124" s="11"/>
      <c r="Q124" s="10"/>
      <c r="R124" s="10"/>
      <c r="S124" s="10"/>
      <c r="T124" s="11"/>
      <c r="U124" s="10"/>
      <c r="V124" s="11"/>
      <c r="W124" s="10"/>
      <c r="X124" s="3"/>
      <c r="Y124" s="3"/>
      <c r="Z124" s="3"/>
      <c r="AA124" s="3"/>
      <c r="AB124" s="3"/>
      <c r="AC124" s="3"/>
    </row>
    <row r="125" ht="22.5" hidden="1" customHeight="1">
      <c r="A125" s="22"/>
      <c r="B125" s="37">
        <v>46203.0</v>
      </c>
      <c r="C125" s="14" t="s">
        <v>27</v>
      </c>
      <c r="D125" s="30" t="str">
        <f t="shared" si="2"/>
        <v>TKHDVMTH_09</v>
      </c>
      <c r="E125" s="30"/>
      <c r="F125" s="30"/>
      <c r="G125" s="16" t="s">
        <v>444</v>
      </c>
      <c r="H125" s="16" t="s">
        <v>445</v>
      </c>
      <c r="I125" s="16" t="s">
        <v>446</v>
      </c>
      <c r="J125" s="16" t="s">
        <v>447</v>
      </c>
      <c r="K125" s="16" t="s">
        <v>448</v>
      </c>
      <c r="L125" s="16" t="s">
        <v>448</v>
      </c>
      <c r="M125" s="34" t="s">
        <v>449</v>
      </c>
      <c r="N125" s="14" t="s">
        <v>36</v>
      </c>
      <c r="O125" s="10"/>
      <c r="P125" s="11"/>
      <c r="Q125" s="10"/>
      <c r="R125" s="10"/>
      <c r="S125" s="10"/>
      <c r="T125" s="11"/>
      <c r="U125" s="10"/>
      <c r="V125" s="11"/>
      <c r="W125" s="10"/>
      <c r="X125" s="3"/>
      <c r="Y125" s="3"/>
      <c r="Z125" s="3"/>
      <c r="AA125" s="3"/>
      <c r="AB125" s="3"/>
      <c r="AC125" s="3"/>
    </row>
    <row r="126" ht="22.5" hidden="1" customHeight="1">
      <c r="A126" s="22"/>
      <c r="B126" s="37">
        <v>46203.0</v>
      </c>
      <c r="C126" s="14" t="s">
        <v>27</v>
      </c>
      <c r="D126" s="30" t="str">
        <f t="shared" si="2"/>
        <v>TKHDVMTH_10</v>
      </c>
      <c r="E126" s="30"/>
      <c r="F126" s="30"/>
      <c r="G126" s="16" t="s">
        <v>450</v>
      </c>
      <c r="H126" s="16" t="s">
        <v>451</v>
      </c>
      <c r="I126" s="16" t="s">
        <v>452</v>
      </c>
      <c r="J126" s="16" t="s">
        <v>453</v>
      </c>
      <c r="K126" s="16" t="s">
        <v>454</v>
      </c>
      <c r="L126" s="16" t="s">
        <v>454</v>
      </c>
      <c r="M126" s="34" t="s">
        <v>455</v>
      </c>
      <c r="N126" s="14" t="s">
        <v>36</v>
      </c>
      <c r="O126" s="10"/>
      <c r="P126" s="11"/>
      <c r="Q126" s="10"/>
      <c r="R126" s="10"/>
      <c r="S126" s="10"/>
      <c r="T126" s="11"/>
      <c r="U126" s="10"/>
      <c r="V126" s="11"/>
      <c r="W126" s="10"/>
      <c r="X126" s="3"/>
      <c r="Y126" s="3"/>
      <c r="Z126" s="3"/>
      <c r="AA126" s="3"/>
      <c r="AB126" s="3"/>
      <c r="AC126" s="3"/>
    </row>
    <row r="127" ht="22.5" customHeight="1">
      <c r="A127" s="22"/>
      <c r="B127" s="37">
        <v>46203.0</v>
      </c>
      <c r="C127" s="14" t="s">
        <v>27</v>
      </c>
      <c r="D127" s="30" t="str">
        <f t="shared" si="2"/>
        <v>TKHDVMTH_11</v>
      </c>
      <c r="E127" s="30"/>
      <c r="F127" s="30"/>
      <c r="G127" s="16" t="s">
        <v>456</v>
      </c>
      <c r="H127" s="16" t="s">
        <v>420</v>
      </c>
      <c r="I127" s="16" t="s">
        <v>457</v>
      </c>
      <c r="J127" s="16" t="s">
        <v>458</v>
      </c>
      <c r="K127" s="16" t="s">
        <v>459</v>
      </c>
      <c r="L127" s="16" t="s">
        <v>459</v>
      </c>
      <c r="M127" s="34" t="s">
        <v>460</v>
      </c>
      <c r="N127" s="14" t="s">
        <v>63</v>
      </c>
      <c r="O127" s="10"/>
      <c r="P127" s="11"/>
      <c r="Q127" s="10"/>
      <c r="R127" s="10"/>
      <c r="S127" s="10"/>
      <c r="T127" s="11"/>
      <c r="U127" s="10"/>
      <c r="V127" s="11"/>
      <c r="W127" s="10"/>
      <c r="X127" s="3"/>
      <c r="Y127" s="3"/>
      <c r="Z127" s="3"/>
      <c r="AA127" s="3"/>
      <c r="AB127" s="3"/>
      <c r="AC127" s="3"/>
    </row>
    <row r="128" ht="22.5" hidden="1" customHeight="1">
      <c r="A128" s="22"/>
      <c r="B128" s="37">
        <v>46203.0</v>
      </c>
      <c r="C128" s="14" t="s">
        <v>27</v>
      </c>
      <c r="D128" s="30" t="str">
        <f t="shared" si="2"/>
        <v>TKHDVMTH_12</v>
      </c>
      <c r="E128" s="30"/>
      <c r="F128" s="30"/>
      <c r="G128" s="16" t="s">
        <v>461</v>
      </c>
      <c r="H128" s="16" t="s">
        <v>462</v>
      </c>
      <c r="I128" s="16" t="s">
        <v>463</v>
      </c>
      <c r="J128" s="16" t="s">
        <v>464</v>
      </c>
      <c r="K128" s="16" t="s">
        <v>465</v>
      </c>
      <c r="L128" s="16" t="s">
        <v>465</v>
      </c>
      <c r="M128" s="34" t="s">
        <v>466</v>
      </c>
      <c r="N128" s="14" t="s">
        <v>36</v>
      </c>
      <c r="O128" s="10"/>
      <c r="P128" s="11"/>
      <c r="Q128" s="10"/>
      <c r="R128" s="10"/>
      <c r="S128" s="10"/>
      <c r="T128" s="11"/>
      <c r="U128" s="10"/>
      <c r="V128" s="11"/>
      <c r="W128" s="10"/>
      <c r="X128" s="3"/>
      <c r="Y128" s="3"/>
      <c r="Z128" s="3"/>
      <c r="AA128" s="3"/>
      <c r="AB128" s="3"/>
      <c r="AC128" s="3"/>
    </row>
    <row r="129" ht="22.5" hidden="1" customHeight="1">
      <c r="A129" s="22"/>
      <c r="B129" s="37">
        <v>46203.0</v>
      </c>
      <c r="C129" s="14" t="s">
        <v>27</v>
      </c>
      <c r="D129" s="30" t="str">
        <f t="shared" si="2"/>
        <v>TKHDVMTH_13</v>
      </c>
      <c r="E129" s="30"/>
      <c r="F129" s="30"/>
      <c r="G129" s="16" t="s">
        <v>467</v>
      </c>
      <c r="H129" s="16" t="s">
        <v>468</v>
      </c>
      <c r="I129" s="16" t="s">
        <v>469</v>
      </c>
      <c r="J129" s="16" t="s">
        <v>470</v>
      </c>
      <c r="K129" s="16" t="s">
        <v>471</v>
      </c>
      <c r="L129" s="16" t="s">
        <v>471</v>
      </c>
      <c r="M129" s="34" t="s">
        <v>472</v>
      </c>
      <c r="N129" s="14" t="s">
        <v>36</v>
      </c>
      <c r="O129" s="10"/>
      <c r="P129" s="11"/>
      <c r="Q129" s="10"/>
      <c r="R129" s="10"/>
      <c r="S129" s="10"/>
      <c r="T129" s="11"/>
      <c r="U129" s="10"/>
      <c r="V129" s="11"/>
      <c r="W129" s="10"/>
      <c r="X129" s="3"/>
      <c r="Y129" s="3"/>
      <c r="Z129" s="3"/>
      <c r="AA129" s="3"/>
      <c r="AB129" s="3"/>
      <c r="AC129" s="3"/>
    </row>
    <row r="130" ht="22.5" hidden="1" customHeight="1">
      <c r="A130" s="4"/>
      <c r="B130" s="5" t="s">
        <v>473</v>
      </c>
      <c r="C130" s="14" t="s">
        <v>27</v>
      </c>
      <c r="D130" s="7"/>
      <c r="E130" s="7" t="s">
        <v>474</v>
      </c>
      <c r="F130" s="35"/>
      <c r="G130" s="35"/>
      <c r="H130" s="35"/>
      <c r="I130" s="35"/>
      <c r="J130" s="10"/>
      <c r="K130" s="10"/>
      <c r="L130" s="10"/>
      <c r="M130" s="10"/>
      <c r="N130" s="11"/>
      <c r="O130" s="10"/>
      <c r="P130" s="11"/>
      <c r="Q130" s="10"/>
      <c r="R130" s="10"/>
      <c r="S130" s="10"/>
      <c r="T130" s="11"/>
      <c r="U130" s="10"/>
      <c r="V130" s="11"/>
      <c r="W130" s="10"/>
      <c r="X130" s="3"/>
      <c r="Y130" s="3"/>
      <c r="Z130" s="3"/>
      <c r="AA130" s="3"/>
      <c r="AB130" s="3"/>
      <c r="AC130" s="3"/>
    </row>
    <row r="131" ht="22.5" hidden="1" customHeight="1">
      <c r="A131" s="18"/>
      <c r="B131" s="19">
        <v>12.0</v>
      </c>
      <c r="C131" s="14" t="s">
        <v>27</v>
      </c>
      <c r="D131" s="25" t="str">
        <f t="shared" ref="D131:D136" si="3">IF(G131&lt;&gt;"","TNXLHDVMPL_"&amp;TEXT(COUNTIF($G$131:G131,"&lt;&gt;"),"00"),"")</f>
        <v>TNXLHDVMPL_01</v>
      </c>
      <c r="E131" s="25" t="s">
        <v>475</v>
      </c>
      <c r="F131" s="25" t="s">
        <v>284</v>
      </c>
      <c r="G131" s="29" t="s">
        <v>476</v>
      </c>
      <c r="H131" s="16" t="s">
        <v>477</v>
      </c>
      <c r="I131" s="16"/>
      <c r="J131" s="16" t="s">
        <v>478</v>
      </c>
      <c r="K131" s="16" t="s">
        <v>479</v>
      </c>
      <c r="L131" s="16" t="s">
        <v>479</v>
      </c>
      <c r="M131" s="34" t="s">
        <v>480</v>
      </c>
      <c r="N131" s="14" t="s">
        <v>36</v>
      </c>
      <c r="O131" s="10"/>
      <c r="P131" s="11"/>
      <c r="Q131" s="10"/>
      <c r="R131" s="10"/>
      <c r="S131" s="10"/>
      <c r="T131" s="11"/>
      <c r="U131" s="10"/>
      <c r="V131" s="11"/>
      <c r="W131" s="10"/>
      <c r="X131" s="3"/>
      <c r="Y131" s="3"/>
      <c r="Z131" s="3"/>
      <c r="AA131" s="3"/>
      <c r="AB131" s="3"/>
      <c r="AC131" s="3"/>
    </row>
    <row r="132" ht="22.5" hidden="1" customHeight="1">
      <c r="A132" s="22"/>
      <c r="B132" s="37">
        <v>46205.0</v>
      </c>
      <c r="C132" s="14" t="s">
        <v>27</v>
      </c>
      <c r="D132" s="39" t="str">
        <f t="shared" si="3"/>
        <v>TNXLHDVMPL_02</v>
      </c>
      <c r="E132" s="30"/>
      <c r="F132" s="30"/>
      <c r="G132" s="16" t="s">
        <v>481</v>
      </c>
      <c r="H132" s="16" t="s">
        <v>482</v>
      </c>
      <c r="I132" s="16"/>
      <c r="J132" s="16" t="s">
        <v>483</v>
      </c>
      <c r="K132" s="16" t="s">
        <v>484</v>
      </c>
      <c r="L132" s="16" t="s">
        <v>484</v>
      </c>
      <c r="M132" s="34" t="s">
        <v>485</v>
      </c>
      <c r="N132" s="14" t="s">
        <v>36</v>
      </c>
      <c r="O132" s="10"/>
      <c r="P132" s="11"/>
      <c r="Q132" s="10"/>
      <c r="R132" s="10"/>
      <c r="S132" s="10"/>
      <c r="T132" s="11"/>
      <c r="U132" s="10"/>
      <c r="V132" s="11"/>
      <c r="W132" s="10"/>
      <c r="X132" s="3"/>
      <c r="Y132" s="3"/>
      <c r="Z132" s="3"/>
      <c r="AA132" s="3"/>
      <c r="AB132" s="3"/>
      <c r="AC132" s="3"/>
    </row>
    <row r="133" ht="22.5" hidden="1" customHeight="1">
      <c r="A133" s="22"/>
      <c r="B133" s="37">
        <v>46205.0</v>
      </c>
      <c r="C133" s="14" t="s">
        <v>27</v>
      </c>
      <c r="D133" s="39" t="str">
        <f t="shared" si="3"/>
        <v>TNXLHDVMPL_03</v>
      </c>
      <c r="E133" s="30"/>
      <c r="F133" s="30"/>
      <c r="G133" s="16" t="s">
        <v>486</v>
      </c>
      <c r="H133" s="16" t="s">
        <v>487</v>
      </c>
      <c r="I133" s="16"/>
      <c r="J133" s="16" t="s">
        <v>488</v>
      </c>
      <c r="K133" s="16" t="s">
        <v>489</v>
      </c>
      <c r="L133" s="16" t="s">
        <v>489</v>
      </c>
      <c r="M133" s="34" t="s">
        <v>490</v>
      </c>
      <c r="N133" s="14" t="s">
        <v>36</v>
      </c>
      <c r="O133" s="15"/>
      <c r="P133" s="11"/>
      <c r="Q133" s="10"/>
      <c r="R133" s="10"/>
      <c r="S133" s="10"/>
      <c r="T133" s="11"/>
      <c r="U133" s="10"/>
      <c r="V133" s="11"/>
      <c r="W133" s="10"/>
      <c r="X133" s="3"/>
      <c r="Y133" s="3"/>
      <c r="Z133" s="3"/>
      <c r="AA133" s="3"/>
      <c r="AB133" s="3"/>
      <c r="AC133" s="3"/>
    </row>
    <row r="134" ht="22.5" hidden="1" customHeight="1">
      <c r="A134" s="22"/>
      <c r="B134" s="37">
        <v>46205.0</v>
      </c>
      <c r="C134" s="14" t="s">
        <v>27</v>
      </c>
      <c r="D134" s="39" t="str">
        <f t="shared" si="3"/>
        <v>TNXLHDVMPL_04</v>
      </c>
      <c r="E134" s="30"/>
      <c r="F134" s="30"/>
      <c r="G134" s="16" t="s">
        <v>491</v>
      </c>
      <c r="H134" s="16" t="s">
        <v>492</v>
      </c>
      <c r="I134" s="16"/>
      <c r="J134" s="16" t="s">
        <v>493</v>
      </c>
      <c r="K134" s="16" t="s">
        <v>494</v>
      </c>
      <c r="L134" s="16" t="s">
        <v>494</v>
      </c>
      <c r="M134" s="34" t="s">
        <v>495</v>
      </c>
      <c r="N134" s="14" t="s">
        <v>36</v>
      </c>
      <c r="O134" s="10"/>
      <c r="P134" s="11"/>
      <c r="Q134" s="10"/>
      <c r="R134" s="10"/>
      <c r="S134" s="10"/>
      <c r="T134" s="11"/>
      <c r="U134" s="10"/>
      <c r="V134" s="11"/>
      <c r="W134" s="10"/>
      <c r="X134" s="3"/>
      <c r="Y134" s="3"/>
      <c r="Z134" s="3"/>
      <c r="AA134" s="3"/>
      <c r="AB134" s="3"/>
      <c r="AC134" s="3"/>
    </row>
    <row r="135" ht="22.5" hidden="1" customHeight="1">
      <c r="A135" s="22"/>
      <c r="B135" s="37">
        <v>46205.0</v>
      </c>
      <c r="C135" s="14" t="s">
        <v>27</v>
      </c>
      <c r="D135" s="39" t="str">
        <f t="shared" si="3"/>
        <v>TNXLHDVMPL_05</v>
      </c>
      <c r="E135" s="30"/>
      <c r="F135" s="30"/>
      <c r="G135" s="16" t="s">
        <v>496</v>
      </c>
      <c r="H135" s="16" t="s">
        <v>497</v>
      </c>
      <c r="I135" s="16"/>
      <c r="J135" s="16" t="s">
        <v>498</v>
      </c>
      <c r="K135" s="16" t="s">
        <v>499</v>
      </c>
      <c r="L135" s="16" t="s">
        <v>499</v>
      </c>
      <c r="M135" s="34" t="s">
        <v>500</v>
      </c>
      <c r="N135" s="14" t="s">
        <v>36</v>
      </c>
      <c r="O135" s="10"/>
      <c r="P135" s="11"/>
      <c r="Q135" s="10"/>
      <c r="R135" s="10"/>
      <c r="S135" s="10"/>
      <c r="T135" s="11"/>
      <c r="U135" s="10"/>
      <c r="V135" s="11"/>
      <c r="W135" s="10"/>
      <c r="X135" s="3"/>
      <c r="Y135" s="3"/>
      <c r="Z135" s="3"/>
      <c r="AA135" s="3"/>
      <c r="AB135" s="3"/>
      <c r="AC135" s="3"/>
    </row>
    <row r="136" ht="22.5" hidden="1" customHeight="1">
      <c r="A136" s="22"/>
      <c r="B136" s="37">
        <v>46205.0</v>
      </c>
      <c r="C136" s="14" t="s">
        <v>27</v>
      </c>
      <c r="D136" s="39" t="str">
        <f t="shared" si="3"/>
        <v>TNXLHDVMPL_06</v>
      </c>
      <c r="E136" s="30"/>
      <c r="F136" s="30"/>
      <c r="G136" s="16" t="s">
        <v>501</v>
      </c>
      <c r="H136" s="16" t="s">
        <v>502</v>
      </c>
      <c r="I136" s="16"/>
      <c r="J136" s="16" t="s">
        <v>503</v>
      </c>
      <c r="K136" s="16" t="s">
        <v>504</v>
      </c>
      <c r="L136" s="16" t="s">
        <v>504</v>
      </c>
      <c r="M136" s="34" t="s">
        <v>505</v>
      </c>
      <c r="N136" s="14" t="s">
        <v>36</v>
      </c>
      <c r="O136" s="10"/>
      <c r="P136" s="11"/>
      <c r="Q136" s="10"/>
      <c r="R136" s="10"/>
      <c r="S136" s="10"/>
      <c r="T136" s="11"/>
      <c r="U136" s="10"/>
      <c r="V136" s="11"/>
      <c r="W136" s="10"/>
      <c r="X136" s="3"/>
      <c r="Y136" s="3"/>
      <c r="Z136" s="3"/>
      <c r="AA136" s="3"/>
      <c r="AB136" s="3"/>
      <c r="AC136" s="3"/>
    </row>
    <row r="137" ht="22.5" hidden="1" customHeight="1">
      <c r="A137" s="18"/>
      <c r="B137" s="19">
        <v>13.0</v>
      </c>
      <c r="C137" s="14" t="s">
        <v>27</v>
      </c>
      <c r="D137" s="25"/>
      <c r="E137" s="25" t="s">
        <v>506</v>
      </c>
      <c r="F137" s="25" t="s">
        <v>284</v>
      </c>
      <c r="G137" s="29" t="s">
        <v>507</v>
      </c>
      <c r="H137" s="38" t="s">
        <v>508</v>
      </c>
      <c r="I137" s="27"/>
      <c r="J137" s="10"/>
      <c r="K137" s="10"/>
      <c r="L137" s="10"/>
      <c r="M137" s="10"/>
      <c r="N137" s="11"/>
      <c r="O137" s="10"/>
      <c r="P137" s="11"/>
      <c r="Q137" s="10"/>
      <c r="R137" s="10"/>
      <c r="S137" s="10"/>
      <c r="T137" s="11"/>
      <c r="U137" s="10"/>
      <c r="V137" s="11"/>
      <c r="W137" s="10"/>
      <c r="X137" s="3"/>
      <c r="Y137" s="3"/>
      <c r="Z137" s="3"/>
      <c r="AA137" s="3"/>
      <c r="AB137" s="3"/>
      <c r="AC137" s="3"/>
    </row>
    <row r="138" ht="22.5" hidden="1" customHeight="1">
      <c r="A138" s="22"/>
      <c r="B138" s="37">
        <v>46205.0</v>
      </c>
      <c r="C138" s="14" t="s">
        <v>27</v>
      </c>
      <c r="D138" s="30" t="str">
        <f t="shared" ref="D138:D146" si="4">IF(G138&lt;&gt;"","QLTNXLHDVM_"&amp;TEXT(COUNTIF($G$138:G138,"&lt;&gt;"),"00"),"")</f>
        <v>QLTNXLHDVM_01</v>
      </c>
      <c r="E138" s="30"/>
      <c r="F138" s="30"/>
      <c r="G138" s="16" t="s">
        <v>509</v>
      </c>
      <c r="H138" s="16" t="s">
        <v>510</v>
      </c>
      <c r="I138" s="16"/>
      <c r="J138" s="16" t="s">
        <v>511</v>
      </c>
      <c r="K138" s="16" t="s">
        <v>512</v>
      </c>
      <c r="L138" s="16" t="s">
        <v>512</v>
      </c>
      <c r="M138" s="34" t="s">
        <v>513</v>
      </c>
      <c r="N138" s="14" t="s">
        <v>36</v>
      </c>
      <c r="O138" s="10"/>
      <c r="P138" s="11"/>
      <c r="Q138" s="10"/>
      <c r="R138" s="10"/>
      <c r="S138" s="10"/>
      <c r="T138" s="11"/>
      <c r="U138" s="10"/>
      <c r="V138" s="11"/>
      <c r="W138" s="10"/>
      <c r="X138" s="3"/>
      <c r="Y138" s="3"/>
      <c r="Z138" s="3"/>
      <c r="AA138" s="3"/>
      <c r="AB138" s="3"/>
      <c r="AC138" s="3"/>
    </row>
    <row r="139" ht="22.5" hidden="1" customHeight="1">
      <c r="A139" s="22"/>
      <c r="B139" s="37">
        <v>46205.0</v>
      </c>
      <c r="C139" s="14" t="s">
        <v>27</v>
      </c>
      <c r="D139" s="30" t="str">
        <f t="shared" si="4"/>
        <v>QLTNXLHDVM_02</v>
      </c>
      <c r="E139" s="30"/>
      <c r="F139" s="30"/>
      <c r="G139" s="16" t="s">
        <v>514</v>
      </c>
      <c r="H139" s="16" t="s">
        <v>515</v>
      </c>
      <c r="I139" s="16"/>
      <c r="J139" s="16" t="s">
        <v>516</v>
      </c>
      <c r="K139" s="16" t="s">
        <v>517</v>
      </c>
      <c r="L139" s="16" t="s">
        <v>517</v>
      </c>
      <c r="M139" s="34" t="s">
        <v>518</v>
      </c>
      <c r="N139" s="14" t="s">
        <v>36</v>
      </c>
      <c r="O139" s="10"/>
      <c r="P139" s="11"/>
      <c r="Q139" s="10"/>
      <c r="R139" s="10"/>
      <c r="S139" s="10"/>
      <c r="T139" s="11"/>
      <c r="U139" s="10"/>
      <c r="V139" s="11"/>
      <c r="W139" s="10"/>
      <c r="X139" s="3"/>
      <c r="Y139" s="3"/>
      <c r="Z139" s="3"/>
      <c r="AA139" s="3"/>
      <c r="AB139" s="3"/>
      <c r="AC139" s="3"/>
    </row>
    <row r="140" ht="22.5" hidden="1" customHeight="1">
      <c r="A140" s="22"/>
      <c r="B140" s="37">
        <v>46205.0</v>
      </c>
      <c r="C140" s="14" t="s">
        <v>27</v>
      </c>
      <c r="D140" s="30" t="str">
        <f t="shared" si="4"/>
        <v>QLTNXLHDVM_03</v>
      </c>
      <c r="E140" s="30"/>
      <c r="F140" s="30"/>
      <c r="G140" s="16" t="s">
        <v>519</v>
      </c>
      <c r="H140" s="16" t="s">
        <v>520</v>
      </c>
      <c r="I140" s="16"/>
      <c r="J140" s="16" t="s">
        <v>521</v>
      </c>
      <c r="K140" s="16" t="s">
        <v>522</v>
      </c>
      <c r="L140" s="16" t="s">
        <v>522</v>
      </c>
      <c r="M140" s="34" t="s">
        <v>523</v>
      </c>
      <c r="N140" s="14" t="s">
        <v>36</v>
      </c>
      <c r="O140" s="10"/>
      <c r="P140" s="11"/>
      <c r="Q140" s="10"/>
      <c r="R140" s="10"/>
      <c r="S140" s="10"/>
      <c r="T140" s="11"/>
      <c r="U140" s="10"/>
      <c r="V140" s="11"/>
      <c r="W140" s="10"/>
      <c r="X140" s="3"/>
      <c r="Y140" s="3"/>
      <c r="Z140" s="3"/>
      <c r="AA140" s="3"/>
      <c r="AB140" s="3"/>
      <c r="AC140" s="3"/>
    </row>
    <row r="141" ht="22.5" hidden="1" customHeight="1">
      <c r="A141" s="22"/>
      <c r="B141" s="37">
        <v>46205.0</v>
      </c>
      <c r="C141" s="14" t="s">
        <v>27</v>
      </c>
      <c r="D141" s="30" t="str">
        <f t="shared" si="4"/>
        <v>QLTNXLHDVM_04</v>
      </c>
      <c r="E141" s="30"/>
      <c r="F141" s="30"/>
      <c r="G141" s="16" t="s">
        <v>524</v>
      </c>
      <c r="H141" s="16" t="s">
        <v>525</v>
      </c>
      <c r="I141" s="16"/>
      <c r="J141" s="16" t="s">
        <v>526</v>
      </c>
      <c r="K141" s="16" t="s">
        <v>527</v>
      </c>
      <c r="L141" s="16" t="s">
        <v>527</v>
      </c>
      <c r="M141" s="34" t="s">
        <v>528</v>
      </c>
      <c r="N141" s="14" t="s">
        <v>36</v>
      </c>
      <c r="O141" s="10"/>
      <c r="P141" s="11"/>
      <c r="Q141" s="10"/>
      <c r="R141" s="10"/>
      <c r="S141" s="10"/>
      <c r="T141" s="11"/>
      <c r="U141" s="10"/>
      <c r="V141" s="11"/>
      <c r="W141" s="10"/>
      <c r="X141" s="3"/>
      <c r="Y141" s="3"/>
      <c r="Z141" s="3"/>
      <c r="AA141" s="3"/>
      <c r="AB141" s="3"/>
      <c r="AC141" s="3"/>
    </row>
    <row r="142" ht="22.5" hidden="1" customHeight="1">
      <c r="A142" s="22"/>
      <c r="B142" s="37">
        <v>46205.0</v>
      </c>
      <c r="C142" s="14" t="s">
        <v>27</v>
      </c>
      <c r="D142" s="30" t="str">
        <f t="shared" si="4"/>
        <v>QLTNXLHDVM_05</v>
      </c>
      <c r="E142" s="30"/>
      <c r="F142" s="30"/>
      <c r="G142" s="16" t="s">
        <v>529</v>
      </c>
      <c r="H142" s="16" t="s">
        <v>530</v>
      </c>
      <c r="I142" s="16"/>
      <c r="J142" s="16" t="s">
        <v>531</v>
      </c>
      <c r="K142" s="16" t="s">
        <v>532</v>
      </c>
      <c r="L142" s="16" t="s">
        <v>532</v>
      </c>
      <c r="M142" s="34" t="s">
        <v>533</v>
      </c>
      <c r="N142" s="14" t="s">
        <v>36</v>
      </c>
      <c r="O142" s="10"/>
      <c r="P142" s="11"/>
      <c r="Q142" s="10"/>
      <c r="R142" s="10"/>
      <c r="S142" s="10"/>
      <c r="T142" s="11"/>
      <c r="U142" s="10"/>
      <c r="V142" s="11"/>
      <c r="W142" s="10"/>
      <c r="X142" s="3"/>
      <c r="Y142" s="3"/>
      <c r="Z142" s="3"/>
      <c r="AA142" s="3"/>
      <c r="AB142" s="3"/>
      <c r="AC142" s="3"/>
    </row>
    <row r="143" ht="22.5" customHeight="1">
      <c r="A143" s="22"/>
      <c r="B143" s="37">
        <v>46205.0</v>
      </c>
      <c r="C143" s="14" t="s">
        <v>27</v>
      </c>
      <c r="D143" s="30" t="str">
        <f t="shared" si="4"/>
        <v>QLTNXLHDVM_06</v>
      </c>
      <c r="E143" s="30"/>
      <c r="F143" s="30"/>
      <c r="G143" s="16" t="s">
        <v>534</v>
      </c>
      <c r="H143" s="16" t="s">
        <v>535</v>
      </c>
      <c r="I143" s="16"/>
      <c r="J143" s="16" t="s">
        <v>536</v>
      </c>
      <c r="K143" s="16" t="s">
        <v>537</v>
      </c>
      <c r="L143" s="15" t="s">
        <v>538</v>
      </c>
      <c r="M143" s="34" t="s">
        <v>539</v>
      </c>
      <c r="N143" s="14" t="s">
        <v>63</v>
      </c>
      <c r="O143" s="10"/>
      <c r="P143" s="11"/>
      <c r="Q143" s="10"/>
      <c r="R143" s="10"/>
      <c r="S143" s="10"/>
      <c r="T143" s="11"/>
      <c r="U143" s="10"/>
      <c r="V143" s="11"/>
      <c r="W143" s="10"/>
      <c r="X143" s="3"/>
      <c r="Y143" s="3"/>
      <c r="Z143" s="3"/>
      <c r="AA143" s="3"/>
      <c r="AB143" s="3"/>
      <c r="AC143" s="3"/>
    </row>
    <row r="144" ht="22.5" hidden="1" customHeight="1">
      <c r="A144" s="22"/>
      <c r="B144" s="37">
        <v>46205.0</v>
      </c>
      <c r="C144" s="14" t="s">
        <v>27</v>
      </c>
      <c r="D144" s="30" t="str">
        <f t="shared" si="4"/>
        <v>QLTNXLHDVM_07</v>
      </c>
      <c r="E144" s="30"/>
      <c r="F144" s="30"/>
      <c r="G144" s="16" t="s">
        <v>540</v>
      </c>
      <c r="H144" s="16" t="s">
        <v>541</v>
      </c>
      <c r="I144" s="16"/>
      <c r="J144" s="16" t="s">
        <v>542</v>
      </c>
      <c r="K144" s="16" t="s">
        <v>543</v>
      </c>
      <c r="L144" s="16" t="s">
        <v>543</v>
      </c>
      <c r="M144" s="34" t="s">
        <v>544</v>
      </c>
      <c r="N144" s="14" t="s">
        <v>36</v>
      </c>
      <c r="O144" s="10"/>
      <c r="P144" s="11"/>
      <c r="Q144" s="10"/>
      <c r="R144" s="10"/>
      <c r="S144" s="10"/>
      <c r="T144" s="11"/>
      <c r="U144" s="10"/>
      <c r="V144" s="11"/>
      <c r="W144" s="10"/>
      <c r="X144" s="3"/>
      <c r="Y144" s="3"/>
      <c r="Z144" s="3"/>
      <c r="AA144" s="3"/>
      <c r="AB144" s="3"/>
      <c r="AC144" s="3"/>
    </row>
    <row r="145" ht="22.5" hidden="1" customHeight="1">
      <c r="A145" s="22"/>
      <c r="B145" s="37">
        <v>46205.0</v>
      </c>
      <c r="C145" s="14" t="s">
        <v>27</v>
      </c>
      <c r="D145" s="30" t="str">
        <f t="shared" si="4"/>
        <v>QLTNXLHDVM_08</v>
      </c>
      <c r="E145" s="30"/>
      <c r="F145" s="30"/>
      <c r="G145" s="16" t="s">
        <v>545</v>
      </c>
      <c r="H145" s="16" t="s">
        <v>546</v>
      </c>
      <c r="I145" s="16"/>
      <c r="J145" s="16" t="s">
        <v>547</v>
      </c>
      <c r="K145" s="16" t="s">
        <v>548</v>
      </c>
      <c r="L145" s="16" t="s">
        <v>548</v>
      </c>
      <c r="M145" s="34" t="s">
        <v>549</v>
      </c>
      <c r="N145" s="14" t="s">
        <v>36</v>
      </c>
      <c r="O145" s="10"/>
      <c r="P145" s="11"/>
      <c r="Q145" s="10"/>
      <c r="R145" s="10"/>
      <c r="S145" s="10"/>
      <c r="T145" s="11"/>
      <c r="U145" s="10"/>
      <c r="V145" s="11"/>
      <c r="W145" s="10"/>
      <c r="X145" s="3"/>
      <c r="Y145" s="3"/>
      <c r="Z145" s="3"/>
      <c r="AA145" s="3"/>
      <c r="AB145" s="3"/>
      <c r="AC145" s="3"/>
    </row>
    <row r="146" ht="22.5" hidden="1" customHeight="1">
      <c r="A146" s="22"/>
      <c r="B146" s="37">
        <v>46205.0</v>
      </c>
      <c r="C146" s="14" t="s">
        <v>27</v>
      </c>
      <c r="D146" s="30" t="str">
        <f t="shared" si="4"/>
        <v>QLTNXLHDVM_09</v>
      </c>
      <c r="E146" s="30"/>
      <c r="F146" s="30"/>
      <c r="G146" s="16" t="s">
        <v>550</v>
      </c>
      <c r="H146" s="16" t="s">
        <v>551</v>
      </c>
      <c r="I146" s="16"/>
      <c r="J146" s="16" t="s">
        <v>552</v>
      </c>
      <c r="K146" s="16" t="s">
        <v>553</v>
      </c>
      <c r="L146" s="16" t="s">
        <v>553</v>
      </c>
      <c r="M146" s="34" t="s">
        <v>554</v>
      </c>
      <c r="N146" s="14" t="s">
        <v>36</v>
      </c>
      <c r="O146" s="10"/>
      <c r="P146" s="11"/>
      <c r="Q146" s="10"/>
      <c r="R146" s="10"/>
      <c r="S146" s="10"/>
      <c r="T146" s="11"/>
      <c r="U146" s="10"/>
      <c r="V146" s="11"/>
      <c r="W146" s="10"/>
      <c r="X146" s="3"/>
      <c r="Y146" s="3"/>
      <c r="Z146" s="3"/>
      <c r="AA146" s="3"/>
      <c r="AB146" s="3"/>
      <c r="AC146" s="3"/>
    </row>
    <row r="147" ht="22.5" hidden="1" customHeight="1">
      <c r="A147" s="18"/>
      <c r="B147" s="19">
        <v>14.0</v>
      </c>
      <c r="C147" s="40"/>
      <c r="D147" s="25"/>
      <c r="E147" s="25" t="s">
        <v>555</v>
      </c>
      <c r="F147" s="25" t="s">
        <v>29</v>
      </c>
      <c r="G147" s="29" t="s">
        <v>556</v>
      </c>
      <c r="H147" s="28"/>
      <c r="I147" s="27"/>
      <c r="J147" s="10"/>
      <c r="K147" s="10"/>
      <c r="L147" s="10"/>
      <c r="M147" s="10"/>
      <c r="N147" s="11"/>
      <c r="O147" s="10"/>
      <c r="P147" s="11"/>
      <c r="Q147" s="10"/>
      <c r="R147" s="10"/>
      <c r="S147" s="10"/>
      <c r="T147" s="11"/>
      <c r="U147" s="10"/>
      <c r="V147" s="11"/>
      <c r="W147" s="10"/>
      <c r="X147" s="3"/>
      <c r="Y147" s="3"/>
      <c r="Z147" s="3"/>
      <c r="AA147" s="3"/>
      <c r="AB147" s="3"/>
      <c r="AC147" s="3"/>
    </row>
    <row r="148" ht="22.5" hidden="1" customHeight="1">
      <c r="A148" s="22"/>
      <c r="B148" s="37">
        <v>46205.0</v>
      </c>
      <c r="C148" s="41" t="s">
        <v>27</v>
      </c>
      <c r="D148" s="30" t="str">
        <f t="shared" ref="D148:D159" si="5">IF(G148&lt;&gt;"","TKHDVMPLDTNXL_"&amp;TEXT(COUNTIF($G$148:G148,"&lt;&gt;"),"00"),"")</f>
        <v>TKHDVMPLDTNXL_01</v>
      </c>
      <c r="E148" s="30"/>
      <c r="F148" s="30"/>
      <c r="G148" s="16" t="s">
        <v>401</v>
      </c>
      <c r="H148" s="16" t="s">
        <v>402</v>
      </c>
      <c r="I148" s="16" t="s">
        <v>403</v>
      </c>
      <c r="J148" s="16" t="s">
        <v>404</v>
      </c>
      <c r="K148" s="16" t="s">
        <v>405</v>
      </c>
      <c r="L148" s="16" t="s">
        <v>405</v>
      </c>
      <c r="M148" s="34" t="s">
        <v>557</v>
      </c>
      <c r="N148" s="14" t="s">
        <v>36</v>
      </c>
      <c r="O148" s="10"/>
      <c r="P148" s="11"/>
      <c r="Q148" s="10"/>
      <c r="R148" s="10"/>
      <c r="S148" s="10"/>
      <c r="T148" s="11"/>
      <c r="U148" s="10"/>
      <c r="V148" s="11"/>
      <c r="W148" s="10"/>
      <c r="X148" s="3"/>
      <c r="Y148" s="3"/>
      <c r="Z148" s="3"/>
      <c r="AA148" s="3"/>
      <c r="AB148" s="3"/>
      <c r="AC148" s="3"/>
    </row>
    <row r="149" ht="22.5" hidden="1" customHeight="1">
      <c r="A149" s="22"/>
      <c r="B149" s="37">
        <v>46205.0</v>
      </c>
      <c r="C149" s="41" t="s">
        <v>27</v>
      </c>
      <c r="D149" s="30" t="str">
        <f t="shared" si="5"/>
        <v>TKHDVMPLDTNXL_02</v>
      </c>
      <c r="E149" s="30"/>
      <c r="F149" s="30"/>
      <c r="G149" s="16" t="s">
        <v>407</v>
      </c>
      <c r="H149" s="16" t="s">
        <v>408</v>
      </c>
      <c r="I149" s="16" t="s">
        <v>409</v>
      </c>
      <c r="J149" s="16" t="s">
        <v>410</v>
      </c>
      <c r="K149" s="16" t="s">
        <v>411</v>
      </c>
      <c r="L149" s="16" t="s">
        <v>411</v>
      </c>
      <c r="M149" s="34" t="s">
        <v>558</v>
      </c>
      <c r="N149" s="14" t="s">
        <v>36</v>
      </c>
      <c r="O149" s="10"/>
      <c r="P149" s="11"/>
      <c r="Q149" s="10"/>
      <c r="R149" s="10"/>
      <c r="S149" s="10"/>
      <c r="T149" s="11"/>
      <c r="U149" s="10"/>
      <c r="V149" s="11"/>
      <c r="W149" s="10"/>
      <c r="X149" s="3"/>
      <c r="Y149" s="3"/>
      <c r="Z149" s="3"/>
      <c r="AA149" s="3"/>
      <c r="AB149" s="3"/>
      <c r="AC149" s="3"/>
    </row>
    <row r="150" ht="22.5" hidden="1" customHeight="1">
      <c r="A150" s="22"/>
      <c r="B150" s="37">
        <v>46205.0</v>
      </c>
      <c r="C150" s="41" t="s">
        <v>27</v>
      </c>
      <c r="D150" s="30" t="str">
        <f t="shared" si="5"/>
        <v>TKHDVMPLDTNXL_03</v>
      </c>
      <c r="E150" s="30"/>
      <c r="F150" s="30"/>
      <c r="G150" s="16" t="s">
        <v>413</v>
      </c>
      <c r="H150" s="16" t="s">
        <v>414</v>
      </c>
      <c r="I150" s="16" t="s">
        <v>415</v>
      </c>
      <c r="J150" s="16" t="s">
        <v>416</v>
      </c>
      <c r="K150" s="16" t="s">
        <v>417</v>
      </c>
      <c r="L150" s="16" t="s">
        <v>417</v>
      </c>
      <c r="M150" s="34" t="s">
        <v>559</v>
      </c>
      <c r="N150" s="14" t="s">
        <v>36</v>
      </c>
      <c r="O150" s="10"/>
      <c r="P150" s="11"/>
      <c r="Q150" s="10"/>
      <c r="R150" s="10"/>
      <c r="S150" s="10"/>
      <c r="T150" s="11"/>
      <c r="U150" s="10"/>
      <c r="V150" s="11"/>
      <c r="W150" s="10"/>
      <c r="X150" s="3"/>
      <c r="Y150" s="3"/>
      <c r="Z150" s="3"/>
      <c r="AA150" s="3"/>
      <c r="AB150" s="3"/>
      <c r="AC150" s="3"/>
    </row>
    <row r="151" ht="22.5" customHeight="1">
      <c r="A151" s="22"/>
      <c r="B151" s="37">
        <v>46205.0</v>
      </c>
      <c r="C151" s="41" t="s">
        <v>27</v>
      </c>
      <c r="D151" s="30" t="str">
        <f t="shared" si="5"/>
        <v>TKHDVMPLDTNXL_04</v>
      </c>
      <c r="E151" s="30"/>
      <c r="F151" s="30"/>
      <c r="G151" s="16" t="s">
        <v>419</v>
      </c>
      <c r="H151" s="16" t="s">
        <v>420</v>
      </c>
      <c r="I151" s="16" t="s">
        <v>421</v>
      </c>
      <c r="J151" s="16" t="s">
        <v>422</v>
      </c>
      <c r="K151" s="16" t="s">
        <v>423</v>
      </c>
      <c r="L151" s="16" t="s">
        <v>423</v>
      </c>
      <c r="M151" s="34" t="s">
        <v>560</v>
      </c>
      <c r="N151" s="14" t="s">
        <v>63</v>
      </c>
      <c r="O151" s="10"/>
      <c r="P151" s="11"/>
      <c r="Q151" s="10"/>
      <c r="R151" s="10"/>
      <c r="S151" s="10"/>
      <c r="T151" s="11"/>
      <c r="U151" s="10"/>
      <c r="V151" s="11"/>
      <c r="W151" s="10"/>
      <c r="X151" s="3"/>
      <c r="Y151" s="3"/>
      <c r="Z151" s="3"/>
      <c r="AA151" s="3"/>
      <c r="AB151" s="3"/>
      <c r="AC151" s="3"/>
    </row>
    <row r="152" ht="22.5" hidden="1" customHeight="1">
      <c r="A152" s="22"/>
      <c r="B152" s="37">
        <v>46205.0</v>
      </c>
      <c r="C152" s="41" t="s">
        <v>27</v>
      </c>
      <c r="D152" s="30" t="str">
        <f t="shared" si="5"/>
        <v>TKHDVMPLDTNXL_05</v>
      </c>
      <c r="E152" s="30"/>
      <c r="F152" s="30"/>
      <c r="G152" s="16" t="s">
        <v>425</v>
      </c>
      <c r="H152" s="16" t="s">
        <v>426</v>
      </c>
      <c r="I152" s="16" t="s">
        <v>427</v>
      </c>
      <c r="J152" s="16" t="s">
        <v>428</v>
      </c>
      <c r="K152" s="16" t="s">
        <v>429</v>
      </c>
      <c r="L152" s="16" t="s">
        <v>429</v>
      </c>
      <c r="M152" s="34" t="s">
        <v>561</v>
      </c>
      <c r="N152" s="14" t="s">
        <v>36</v>
      </c>
      <c r="O152" s="10"/>
      <c r="P152" s="11"/>
      <c r="Q152" s="10"/>
      <c r="R152" s="10"/>
      <c r="S152" s="10"/>
      <c r="T152" s="11"/>
      <c r="U152" s="10"/>
      <c r="V152" s="11"/>
      <c r="W152" s="10"/>
      <c r="X152" s="3"/>
      <c r="Y152" s="3"/>
      <c r="Z152" s="3"/>
      <c r="AA152" s="3"/>
      <c r="AB152" s="3"/>
      <c r="AC152" s="3"/>
    </row>
    <row r="153" ht="22.5" customHeight="1">
      <c r="A153" s="22"/>
      <c r="B153" s="37">
        <v>46205.0</v>
      </c>
      <c r="C153" s="41" t="s">
        <v>27</v>
      </c>
      <c r="D153" s="30" t="str">
        <f t="shared" si="5"/>
        <v>TKHDVMPLDTNXL_06</v>
      </c>
      <c r="E153" s="30"/>
      <c r="F153" s="30"/>
      <c r="G153" s="16" t="s">
        <v>431</v>
      </c>
      <c r="H153" s="16" t="s">
        <v>432</v>
      </c>
      <c r="I153" s="16" t="s">
        <v>433</v>
      </c>
      <c r="J153" s="16" t="s">
        <v>434</v>
      </c>
      <c r="K153" s="16" t="s">
        <v>435</v>
      </c>
      <c r="L153" s="15" t="s">
        <v>562</v>
      </c>
      <c r="M153" s="34" t="s">
        <v>563</v>
      </c>
      <c r="N153" s="14" t="s">
        <v>63</v>
      </c>
      <c r="O153" s="10"/>
      <c r="P153" s="11"/>
      <c r="Q153" s="10"/>
      <c r="R153" s="10"/>
      <c r="S153" s="10"/>
      <c r="T153" s="11"/>
      <c r="U153" s="10"/>
      <c r="V153" s="11"/>
      <c r="W153" s="10"/>
      <c r="X153" s="3"/>
      <c r="Y153" s="3"/>
      <c r="Z153" s="3"/>
      <c r="AA153" s="3"/>
      <c r="AB153" s="3"/>
      <c r="AC153" s="3"/>
    </row>
    <row r="154" ht="22.5" hidden="1" customHeight="1">
      <c r="A154" s="22"/>
      <c r="B154" s="37">
        <v>46205.0</v>
      </c>
      <c r="C154" s="41" t="s">
        <v>27</v>
      </c>
      <c r="D154" s="30" t="str">
        <f t="shared" si="5"/>
        <v>TKHDVMPLDTNXL_07</v>
      </c>
      <c r="E154" s="30"/>
      <c r="F154" s="30"/>
      <c r="G154" s="16" t="s">
        <v>438</v>
      </c>
      <c r="H154" s="16" t="s">
        <v>439</v>
      </c>
      <c r="I154" s="16" t="s">
        <v>440</v>
      </c>
      <c r="J154" s="16" t="s">
        <v>441</v>
      </c>
      <c r="K154" s="16" t="s">
        <v>442</v>
      </c>
      <c r="L154" s="16" t="s">
        <v>442</v>
      </c>
      <c r="M154" s="34" t="s">
        <v>564</v>
      </c>
      <c r="N154" s="14" t="s">
        <v>36</v>
      </c>
      <c r="O154" s="10"/>
      <c r="P154" s="11"/>
      <c r="Q154" s="10"/>
      <c r="R154" s="10"/>
      <c r="S154" s="10"/>
      <c r="T154" s="11"/>
      <c r="U154" s="10"/>
      <c r="V154" s="11"/>
      <c r="W154" s="10"/>
      <c r="X154" s="3"/>
      <c r="Y154" s="3"/>
      <c r="Z154" s="3"/>
      <c r="AA154" s="3"/>
      <c r="AB154" s="3"/>
      <c r="AC154" s="3"/>
    </row>
    <row r="155" ht="22.5" hidden="1" customHeight="1">
      <c r="A155" s="22"/>
      <c r="B155" s="37">
        <v>46205.0</v>
      </c>
      <c r="C155" s="41" t="s">
        <v>27</v>
      </c>
      <c r="D155" s="30" t="str">
        <f t="shared" si="5"/>
        <v>TKHDVMPLDTNXL_08</v>
      </c>
      <c r="E155" s="30"/>
      <c r="F155" s="30"/>
      <c r="G155" s="16" t="s">
        <v>444</v>
      </c>
      <c r="H155" s="16" t="s">
        <v>445</v>
      </c>
      <c r="I155" s="16" t="s">
        <v>446</v>
      </c>
      <c r="J155" s="16" t="s">
        <v>447</v>
      </c>
      <c r="K155" s="16" t="s">
        <v>448</v>
      </c>
      <c r="L155" s="16" t="s">
        <v>448</v>
      </c>
      <c r="M155" s="34" t="s">
        <v>565</v>
      </c>
      <c r="N155" s="14" t="s">
        <v>36</v>
      </c>
      <c r="O155" s="10"/>
      <c r="P155" s="11"/>
      <c r="Q155" s="10"/>
      <c r="R155" s="10"/>
      <c r="S155" s="10"/>
      <c r="T155" s="11"/>
      <c r="U155" s="10"/>
      <c r="V155" s="11"/>
      <c r="W155" s="10"/>
      <c r="X155" s="3"/>
      <c r="Y155" s="3"/>
      <c r="Z155" s="3"/>
      <c r="AA155" s="3"/>
      <c r="AB155" s="3"/>
      <c r="AC155" s="3"/>
    </row>
    <row r="156" ht="22.5" hidden="1" customHeight="1">
      <c r="A156" s="22"/>
      <c r="B156" s="37">
        <v>46205.0</v>
      </c>
      <c r="C156" s="41" t="s">
        <v>27</v>
      </c>
      <c r="D156" s="30" t="str">
        <f t="shared" si="5"/>
        <v>TKHDVMPLDTNXL_09</v>
      </c>
      <c r="E156" s="30"/>
      <c r="F156" s="30"/>
      <c r="G156" s="16" t="s">
        <v>450</v>
      </c>
      <c r="H156" s="16" t="s">
        <v>451</v>
      </c>
      <c r="I156" s="16" t="s">
        <v>452</v>
      </c>
      <c r="J156" s="16" t="s">
        <v>453</v>
      </c>
      <c r="K156" s="16" t="s">
        <v>454</v>
      </c>
      <c r="L156" s="16" t="s">
        <v>454</v>
      </c>
      <c r="M156" s="34" t="s">
        <v>566</v>
      </c>
      <c r="N156" s="14" t="s">
        <v>36</v>
      </c>
      <c r="O156" s="10"/>
      <c r="P156" s="11"/>
      <c r="Q156" s="10"/>
      <c r="R156" s="10"/>
      <c r="S156" s="10"/>
      <c r="T156" s="11"/>
      <c r="U156" s="10"/>
      <c r="V156" s="11"/>
      <c r="W156" s="10"/>
      <c r="X156" s="3"/>
      <c r="Y156" s="3"/>
      <c r="Z156" s="3"/>
      <c r="AA156" s="3"/>
      <c r="AB156" s="3"/>
      <c r="AC156" s="3"/>
    </row>
    <row r="157" ht="22.5" hidden="1" customHeight="1">
      <c r="A157" s="22"/>
      <c r="B157" s="37">
        <v>46205.0</v>
      </c>
      <c r="C157" s="41" t="s">
        <v>27</v>
      </c>
      <c r="D157" s="30" t="str">
        <f t="shared" si="5"/>
        <v>TKHDVMPLDTNXL_10</v>
      </c>
      <c r="E157" s="30"/>
      <c r="F157" s="30"/>
      <c r="G157" s="16" t="s">
        <v>456</v>
      </c>
      <c r="H157" s="16" t="s">
        <v>420</v>
      </c>
      <c r="I157" s="16" t="s">
        <v>457</v>
      </c>
      <c r="J157" s="16" t="s">
        <v>458</v>
      </c>
      <c r="K157" s="16" t="s">
        <v>459</v>
      </c>
      <c r="L157" s="16" t="s">
        <v>459</v>
      </c>
      <c r="M157" s="34" t="s">
        <v>567</v>
      </c>
      <c r="N157" s="14" t="s">
        <v>36</v>
      </c>
      <c r="O157" s="10"/>
      <c r="P157" s="11"/>
      <c r="Q157" s="10"/>
      <c r="R157" s="10"/>
      <c r="S157" s="10"/>
      <c r="T157" s="11"/>
      <c r="U157" s="10"/>
      <c r="V157" s="11"/>
      <c r="W157" s="10"/>
      <c r="X157" s="3"/>
      <c r="Y157" s="3"/>
      <c r="Z157" s="3"/>
      <c r="AA157" s="3"/>
      <c r="AB157" s="3"/>
      <c r="AC157" s="3"/>
    </row>
    <row r="158" ht="22.5" hidden="1" customHeight="1">
      <c r="A158" s="22"/>
      <c r="B158" s="37">
        <v>46205.0</v>
      </c>
      <c r="C158" s="41" t="s">
        <v>27</v>
      </c>
      <c r="D158" s="30" t="str">
        <f t="shared" si="5"/>
        <v>TKHDVMPLDTNXL_11</v>
      </c>
      <c r="E158" s="30"/>
      <c r="F158" s="30"/>
      <c r="G158" s="16" t="s">
        <v>461</v>
      </c>
      <c r="H158" s="16" t="s">
        <v>462</v>
      </c>
      <c r="I158" s="16" t="s">
        <v>463</v>
      </c>
      <c r="J158" s="16" t="s">
        <v>464</v>
      </c>
      <c r="K158" s="16" t="s">
        <v>465</v>
      </c>
      <c r="L158" s="16" t="s">
        <v>465</v>
      </c>
      <c r="M158" s="34" t="s">
        <v>568</v>
      </c>
      <c r="N158" s="14" t="s">
        <v>36</v>
      </c>
      <c r="O158" s="10"/>
      <c r="P158" s="11"/>
      <c r="Q158" s="10"/>
      <c r="R158" s="10"/>
      <c r="S158" s="10"/>
      <c r="T158" s="11"/>
      <c r="U158" s="10"/>
      <c r="V158" s="11"/>
      <c r="W158" s="10"/>
      <c r="X158" s="3"/>
      <c r="Y158" s="3"/>
      <c r="Z158" s="3"/>
      <c r="AA158" s="3"/>
      <c r="AB158" s="3"/>
      <c r="AC158" s="3"/>
    </row>
    <row r="159" ht="22.5" hidden="1" customHeight="1">
      <c r="A159" s="22"/>
      <c r="B159" s="37">
        <v>46205.0</v>
      </c>
      <c r="C159" s="41" t="s">
        <v>27</v>
      </c>
      <c r="D159" s="30" t="str">
        <f t="shared" si="5"/>
        <v>TKHDVMPLDTNXL_12</v>
      </c>
      <c r="E159" s="30"/>
      <c r="F159" s="30"/>
      <c r="G159" s="16" t="s">
        <v>467</v>
      </c>
      <c r="H159" s="16" t="s">
        <v>468</v>
      </c>
      <c r="I159" s="16" t="s">
        <v>469</v>
      </c>
      <c r="J159" s="16" t="s">
        <v>470</v>
      </c>
      <c r="K159" s="16" t="s">
        <v>471</v>
      </c>
      <c r="L159" s="16" t="s">
        <v>471</v>
      </c>
      <c r="M159" s="34" t="s">
        <v>569</v>
      </c>
      <c r="N159" s="14" t="s">
        <v>36</v>
      </c>
      <c r="O159" s="10"/>
      <c r="P159" s="11"/>
      <c r="Q159" s="10"/>
      <c r="R159" s="10"/>
      <c r="S159" s="10"/>
      <c r="T159" s="11"/>
      <c r="U159" s="10"/>
      <c r="V159" s="11"/>
      <c r="W159" s="10"/>
      <c r="X159" s="3"/>
      <c r="Y159" s="3"/>
      <c r="Z159" s="3"/>
      <c r="AA159" s="3"/>
      <c r="AB159" s="3"/>
      <c r="AC159" s="3"/>
    </row>
    <row r="160" ht="22.5" hidden="1" customHeight="1">
      <c r="A160" s="18"/>
      <c r="B160" s="19">
        <v>15.0</v>
      </c>
      <c r="C160" s="41" t="s">
        <v>27</v>
      </c>
      <c r="D160" s="25"/>
      <c r="E160" s="25" t="s">
        <v>570</v>
      </c>
      <c r="F160" s="25" t="s">
        <v>284</v>
      </c>
      <c r="G160" s="29" t="s">
        <v>571</v>
      </c>
      <c r="H160" s="42"/>
      <c r="I160" s="27"/>
      <c r="J160" s="10"/>
      <c r="K160" s="10"/>
      <c r="L160" s="10"/>
      <c r="M160" s="10"/>
      <c r="N160" s="11"/>
      <c r="O160" s="10"/>
      <c r="P160" s="11"/>
      <c r="Q160" s="10"/>
      <c r="R160" s="10"/>
      <c r="S160" s="10"/>
      <c r="T160" s="11"/>
      <c r="U160" s="10"/>
      <c r="V160" s="11"/>
      <c r="W160" s="10"/>
      <c r="X160" s="3"/>
      <c r="Y160" s="3"/>
      <c r="Z160" s="3"/>
      <c r="AA160" s="3"/>
      <c r="AB160" s="3"/>
      <c r="AC160" s="3"/>
    </row>
    <row r="161" ht="22.5" customHeight="1">
      <c r="A161" s="22"/>
      <c r="B161" s="37">
        <v>46205.0</v>
      </c>
      <c r="C161" s="41" t="s">
        <v>27</v>
      </c>
      <c r="D161" s="30" t="str">
        <f t="shared" ref="D161:D168" si="6">IF(G161&lt;&gt;"","PCXLCHVM_"&amp;TEXT(COUNTIF($G$161:G161,"&lt;&gt;"),"00"),"")</f>
        <v>PCXLCHVM_01</v>
      </c>
      <c r="E161" s="30"/>
      <c r="F161" s="30"/>
      <c r="G161" s="16" t="s">
        <v>572</v>
      </c>
      <c r="H161" s="16" t="s">
        <v>573</v>
      </c>
      <c r="I161" s="16"/>
      <c r="J161" s="16" t="s">
        <v>574</v>
      </c>
      <c r="K161" s="16" t="s">
        <v>575</v>
      </c>
      <c r="L161" s="16" t="s">
        <v>576</v>
      </c>
      <c r="M161" s="34" t="s">
        <v>577</v>
      </c>
      <c r="N161" s="14" t="s">
        <v>63</v>
      </c>
      <c r="O161" s="10"/>
      <c r="P161" s="11"/>
      <c r="Q161" s="10"/>
      <c r="R161" s="10"/>
      <c r="S161" s="10"/>
      <c r="T161" s="11"/>
      <c r="U161" s="10"/>
      <c r="V161" s="11"/>
      <c r="W161" s="10"/>
      <c r="X161" s="3"/>
      <c r="Y161" s="3"/>
      <c r="Z161" s="3"/>
      <c r="AA161" s="3"/>
      <c r="AB161" s="3"/>
      <c r="AC161" s="3"/>
    </row>
    <row r="162" ht="22.5" hidden="1" customHeight="1">
      <c r="A162" s="22"/>
      <c r="B162" s="37">
        <v>46205.0</v>
      </c>
      <c r="C162" s="41" t="s">
        <v>27</v>
      </c>
      <c r="D162" s="30" t="str">
        <f t="shared" si="6"/>
        <v>PCXLCHVM_02</v>
      </c>
      <c r="E162" s="30"/>
      <c r="F162" s="30"/>
      <c r="G162" s="16" t="s">
        <v>578</v>
      </c>
      <c r="H162" s="16" t="s">
        <v>579</v>
      </c>
      <c r="I162" s="16"/>
      <c r="J162" s="16" t="s">
        <v>580</v>
      </c>
      <c r="K162" s="16" t="s">
        <v>581</v>
      </c>
      <c r="L162" s="16" t="s">
        <v>581</v>
      </c>
      <c r="M162" s="34" t="s">
        <v>582</v>
      </c>
      <c r="N162" s="14" t="s">
        <v>36</v>
      </c>
      <c r="O162" s="10"/>
      <c r="P162" s="11"/>
      <c r="Q162" s="10"/>
      <c r="R162" s="10"/>
      <c r="S162" s="10"/>
      <c r="T162" s="11"/>
      <c r="U162" s="10"/>
      <c r="V162" s="11"/>
      <c r="W162" s="10"/>
      <c r="X162" s="3"/>
      <c r="Y162" s="3"/>
      <c r="Z162" s="3"/>
      <c r="AA162" s="3"/>
      <c r="AB162" s="3"/>
      <c r="AC162" s="3"/>
    </row>
    <row r="163" ht="22.5" hidden="1" customHeight="1">
      <c r="A163" s="22"/>
      <c r="B163" s="37">
        <v>46205.0</v>
      </c>
      <c r="C163" s="41" t="s">
        <v>27</v>
      </c>
      <c r="D163" s="30" t="str">
        <f t="shared" si="6"/>
        <v>PCXLCHVM_03</v>
      </c>
      <c r="E163" s="30"/>
      <c r="F163" s="30"/>
      <c r="G163" s="16" t="s">
        <v>583</v>
      </c>
      <c r="H163" s="16" t="s">
        <v>584</v>
      </c>
      <c r="I163" s="16"/>
      <c r="J163" s="16" t="s">
        <v>585</v>
      </c>
      <c r="K163" s="16" t="s">
        <v>586</v>
      </c>
      <c r="L163" s="16" t="s">
        <v>586</v>
      </c>
      <c r="M163" s="34" t="s">
        <v>587</v>
      </c>
      <c r="N163" s="14" t="s">
        <v>36</v>
      </c>
      <c r="O163" s="10"/>
      <c r="P163" s="11"/>
      <c r="Q163" s="10"/>
      <c r="R163" s="10"/>
      <c r="S163" s="10"/>
      <c r="T163" s="11"/>
      <c r="U163" s="10"/>
      <c r="V163" s="11"/>
      <c r="W163" s="10"/>
      <c r="X163" s="3"/>
      <c r="Y163" s="3"/>
      <c r="Z163" s="3"/>
      <c r="AA163" s="3"/>
      <c r="AB163" s="3"/>
      <c r="AC163" s="3"/>
    </row>
    <row r="164" ht="22.5" hidden="1" customHeight="1">
      <c r="A164" s="22"/>
      <c r="B164" s="37">
        <v>46205.0</v>
      </c>
      <c r="C164" s="41" t="s">
        <v>27</v>
      </c>
      <c r="D164" s="30" t="str">
        <f t="shared" si="6"/>
        <v>PCXLCHVM_04</v>
      </c>
      <c r="E164" s="30"/>
      <c r="F164" s="30"/>
      <c r="G164" s="16" t="s">
        <v>588</v>
      </c>
      <c r="H164" s="16" t="s">
        <v>589</v>
      </c>
      <c r="I164" s="16"/>
      <c r="J164" s="16" t="s">
        <v>590</v>
      </c>
      <c r="K164" s="16" t="s">
        <v>591</v>
      </c>
      <c r="L164" s="16" t="s">
        <v>591</v>
      </c>
      <c r="M164" s="34" t="s">
        <v>592</v>
      </c>
      <c r="N164" s="14" t="s">
        <v>36</v>
      </c>
      <c r="O164" s="10"/>
      <c r="P164" s="11"/>
      <c r="Q164" s="10"/>
      <c r="R164" s="10"/>
      <c r="S164" s="10"/>
      <c r="T164" s="11"/>
      <c r="U164" s="10"/>
      <c r="V164" s="11"/>
      <c r="W164" s="10"/>
      <c r="X164" s="3"/>
      <c r="Y164" s="3"/>
      <c r="Z164" s="3"/>
      <c r="AA164" s="3"/>
      <c r="AB164" s="3"/>
      <c r="AC164" s="3"/>
    </row>
    <row r="165" ht="22.5" hidden="1" customHeight="1">
      <c r="A165" s="22"/>
      <c r="B165" s="37">
        <v>46205.0</v>
      </c>
      <c r="C165" s="41" t="s">
        <v>27</v>
      </c>
      <c r="D165" s="30" t="str">
        <f t="shared" si="6"/>
        <v>PCXLCHVM_05</v>
      </c>
      <c r="E165" s="30"/>
      <c r="F165" s="30"/>
      <c r="G165" s="16" t="s">
        <v>593</v>
      </c>
      <c r="H165" s="16" t="s">
        <v>594</v>
      </c>
      <c r="I165" s="16"/>
      <c r="J165" s="16" t="s">
        <v>595</v>
      </c>
      <c r="K165" s="16" t="s">
        <v>596</v>
      </c>
      <c r="L165" s="16" t="s">
        <v>596</v>
      </c>
      <c r="M165" s="34" t="s">
        <v>597</v>
      </c>
      <c r="N165" s="14" t="s">
        <v>36</v>
      </c>
      <c r="O165" s="10"/>
      <c r="P165" s="11"/>
      <c r="Q165" s="10"/>
      <c r="R165" s="10"/>
      <c r="S165" s="10"/>
      <c r="T165" s="11"/>
      <c r="U165" s="10"/>
      <c r="V165" s="11"/>
      <c r="W165" s="10"/>
      <c r="X165" s="3"/>
      <c r="Y165" s="3"/>
      <c r="Z165" s="3"/>
      <c r="AA165" s="3"/>
      <c r="AB165" s="3"/>
      <c r="AC165" s="3"/>
    </row>
    <row r="166" ht="22.5" hidden="1" customHeight="1">
      <c r="A166" s="22"/>
      <c r="B166" s="37">
        <v>46205.0</v>
      </c>
      <c r="C166" s="41" t="s">
        <v>27</v>
      </c>
      <c r="D166" s="30" t="str">
        <f t="shared" si="6"/>
        <v>PCXLCHVM_06</v>
      </c>
      <c r="E166" s="30"/>
      <c r="F166" s="30"/>
      <c r="G166" s="16" t="s">
        <v>598</v>
      </c>
      <c r="H166" s="16" t="s">
        <v>599</v>
      </c>
      <c r="I166" s="16"/>
      <c r="J166" s="16" t="s">
        <v>600</v>
      </c>
      <c r="K166" s="16" t="s">
        <v>601</v>
      </c>
      <c r="L166" s="16" t="s">
        <v>601</v>
      </c>
      <c r="M166" s="34" t="s">
        <v>602</v>
      </c>
      <c r="N166" s="14" t="s">
        <v>36</v>
      </c>
      <c r="O166" s="10"/>
      <c r="P166" s="11"/>
      <c r="Q166" s="10"/>
      <c r="R166" s="10"/>
      <c r="S166" s="10"/>
      <c r="T166" s="11"/>
      <c r="U166" s="10"/>
      <c r="V166" s="11"/>
      <c r="W166" s="10"/>
      <c r="X166" s="3"/>
      <c r="Y166" s="3"/>
      <c r="Z166" s="3"/>
      <c r="AA166" s="3"/>
      <c r="AB166" s="3"/>
      <c r="AC166" s="3"/>
    </row>
    <row r="167" ht="22.5" hidden="1" customHeight="1">
      <c r="A167" s="22"/>
      <c r="B167" s="37">
        <v>46205.0</v>
      </c>
      <c r="C167" s="41" t="s">
        <v>27</v>
      </c>
      <c r="D167" s="30" t="str">
        <f t="shared" si="6"/>
        <v>PCXLCHVM_07</v>
      </c>
      <c r="E167" s="30"/>
      <c r="F167" s="30"/>
      <c r="G167" s="16" t="s">
        <v>603</v>
      </c>
      <c r="H167" s="16" t="s">
        <v>604</v>
      </c>
      <c r="I167" s="16"/>
      <c r="J167" s="16" t="s">
        <v>605</v>
      </c>
      <c r="K167" s="16" t="s">
        <v>606</v>
      </c>
      <c r="L167" s="16" t="s">
        <v>606</v>
      </c>
      <c r="M167" s="34" t="s">
        <v>607</v>
      </c>
      <c r="N167" s="14" t="s">
        <v>36</v>
      </c>
      <c r="O167" s="10"/>
      <c r="P167" s="11"/>
      <c r="Q167" s="10"/>
      <c r="R167" s="10"/>
      <c r="S167" s="10"/>
      <c r="T167" s="11"/>
      <c r="U167" s="10"/>
      <c r="V167" s="11"/>
      <c r="W167" s="10"/>
      <c r="X167" s="3"/>
      <c r="Y167" s="3"/>
      <c r="Z167" s="3"/>
      <c r="AA167" s="3"/>
      <c r="AB167" s="3"/>
      <c r="AC167" s="3"/>
    </row>
    <row r="168" ht="22.5" hidden="1" customHeight="1">
      <c r="A168" s="22"/>
      <c r="B168" s="37">
        <v>46205.0</v>
      </c>
      <c r="C168" s="41" t="s">
        <v>27</v>
      </c>
      <c r="D168" s="30" t="str">
        <f t="shared" si="6"/>
        <v>PCXLCHVM_08</v>
      </c>
      <c r="E168" s="30"/>
      <c r="F168" s="30"/>
      <c r="G168" s="16" t="s">
        <v>608</v>
      </c>
      <c r="H168" s="16" t="s">
        <v>609</v>
      </c>
      <c r="I168" s="16"/>
      <c r="J168" s="16" t="s">
        <v>610</v>
      </c>
      <c r="K168" s="16" t="s">
        <v>611</v>
      </c>
      <c r="L168" s="16" t="s">
        <v>611</v>
      </c>
      <c r="M168" s="34" t="s">
        <v>612</v>
      </c>
      <c r="N168" s="14" t="s">
        <v>36</v>
      </c>
      <c r="O168" s="10"/>
      <c r="P168" s="11"/>
      <c r="Q168" s="10"/>
      <c r="R168" s="10"/>
      <c r="S168" s="10"/>
      <c r="T168" s="11"/>
      <c r="U168" s="10"/>
      <c r="V168" s="11"/>
      <c r="W168" s="10"/>
      <c r="X168" s="3"/>
      <c r="Y168" s="3"/>
      <c r="Z168" s="3"/>
      <c r="AA168" s="3"/>
      <c r="AB168" s="3"/>
      <c r="AC168" s="3"/>
    </row>
    <row r="169" ht="22.5" hidden="1" customHeight="1">
      <c r="A169" s="18"/>
      <c r="B169" s="19">
        <v>16.0</v>
      </c>
      <c r="C169" s="40"/>
      <c r="D169" s="25"/>
      <c r="E169" s="25" t="s">
        <v>613</v>
      </c>
      <c r="F169" s="25" t="s">
        <v>284</v>
      </c>
      <c r="G169" s="29" t="s">
        <v>614</v>
      </c>
      <c r="H169" s="42"/>
      <c r="I169" s="27"/>
      <c r="J169" s="10"/>
      <c r="K169" s="10"/>
      <c r="L169" s="10"/>
      <c r="M169" s="10"/>
      <c r="N169" s="11"/>
      <c r="O169" s="10"/>
      <c r="P169" s="11"/>
      <c r="Q169" s="10"/>
      <c r="R169" s="10"/>
      <c r="S169" s="10"/>
      <c r="T169" s="11"/>
      <c r="U169" s="10"/>
      <c r="V169" s="11"/>
      <c r="W169" s="10"/>
      <c r="X169" s="3"/>
      <c r="Y169" s="3"/>
      <c r="Z169" s="3"/>
      <c r="AA169" s="3"/>
      <c r="AB169" s="3"/>
      <c r="AC169" s="3"/>
    </row>
    <row r="170" ht="22.5" customHeight="1">
      <c r="A170" s="22"/>
      <c r="B170" s="37">
        <v>46205.0</v>
      </c>
      <c r="C170" s="41" t="s">
        <v>27</v>
      </c>
      <c r="D170" s="30" t="str">
        <f t="shared" ref="D170:D181" si="7">IF(G170&lt;&gt;"","PHCHVM_"&amp;TEXT(COUNTIF($G$170:G170,"&lt;&gt;"),"00"),"")</f>
        <v>PHCHVM_01</v>
      </c>
      <c r="E170" s="30"/>
      <c r="F170" s="30"/>
      <c r="G170" s="16" t="s">
        <v>615</v>
      </c>
      <c r="H170" s="16" t="s">
        <v>616</v>
      </c>
      <c r="I170" s="16"/>
      <c r="J170" s="16" t="s">
        <v>617</v>
      </c>
      <c r="K170" s="16" t="s">
        <v>618</v>
      </c>
      <c r="L170" s="15" t="s">
        <v>619</v>
      </c>
      <c r="M170" s="34" t="s">
        <v>620</v>
      </c>
      <c r="N170" s="14" t="s">
        <v>63</v>
      </c>
      <c r="O170" s="10"/>
      <c r="P170" s="11"/>
      <c r="Q170" s="10"/>
      <c r="R170" s="10"/>
      <c r="S170" s="10"/>
      <c r="T170" s="11"/>
      <c r="U170" s="10"/>
      <c r="V170" s="11"/>
      <c r="W170" s="10"/>
      <c r="X170" s="3"/>
      <c r="Y170" s="3"/>
      <c r="Z170" s="3"/>
      <c r="AA170" s="3"/>
      <c r="AB170" s="3"/>
      <c r="AC170" s="3"/>
    </row>
    <row r="171" ht="22.5" hidden="1" customHeight="1">
      <c r="A171" s="22"/>
      <c r="B171" s="37">
        <v>46205.0</v>
      </c>
      <c r="C171" s="41" t="s">
        <v>27</v>
      </c>
      <c r="D171" s="30" t="str">
        <f t="shared" si="7"/>
        <v>PHCHVM_02</v>
      </c>
      <c r="E171" s="30"/>
      <c r="F171" s="30"/>
      <c r="G171" s="16" t="s">
        <v>621</v>
      </c>
      <c r="H171" s="16" t="s">
        <v>616</v>
      </c>
      <c r="I171" s="16"/>
      <c r="J171" s="16" t="s">
        <v>622</v>
      </c>
      <c r="K171" s="16" t="s">
        <v>623</v>
      </c>
      <c r="L171" s="16" t="s">
        <v>623</v>
      </c>
      <c r="M171" s="34" t="s">
        <v>624</v>
      </c>
      <c r="N171" s="14" t="s">
        <v>36</v>
      </c>
      <c r="O171" s="10"/>
      <c r="P171" s="11"/>
      <c r="Q171" s="10"/>
      <c r="R171" s="10"/>
      <c r="S171" s="10"/>
      <c r="T171" s="11"/>
      <c r="U171" s="10"/>
      <c r="V171" s="11"/>
      <c r="W171" s="10"/>
      <c r="X171" s="3"/>
      <c r="Y171" s="3"/>
      <c r="Z171" s="3"/>
      <c r="AA171" s="3"/>
      <c r="AB171" s="3"/>
      <c r="AC171" s="3"/>
    </row>
    <row r="172" ht="22.5" customHeight="1">
      <c r="A172" s="22"/>
      <c r="B172" s="37">
        <v>46205.0</v>
      </c>
      <c r="C172" s="41" t="s">
        <v>27</v>
      </c>
      <c r="D172" s="30" t="str">
        <f t="shared" si="7"/>
        <v>PHCHVM_03</v>
      </c>
      <c r="E172" s="30"/>
      <c r="F172" s="30"/>
      <c r="G172" s="16" t="s">
        <v>625</v>
      </c>
      <c r="H172" s="16" t="s">
        <v>616</v>
      </c>
      <c r="I172" s="16"/>
      <c r="J172" s="16" t="s">
        <v>626</v>
      </c>
      <c r="K172" s="16" t="s">
        <v>627</v>
      </c>
      <c r="L172" s="15" t="s">
        <v>628</v>
      </c>
      <c r="M172" s="34" t="s">
        <v>629</v>
      </c>
      <c r="N172" s="14" t="s">
        <v>63</v>
      </c>
      <c r="O172" s="10"/>
      <c r="P172" s="11"/>
      <c r="Q172" s="10"/>
      <c r="R172" s="10"/>
      <c r="S172" s="10"/>
      <c r="T172" s="11"/>
      <c r="U172" s="10"/>
      <c r="V172" s="11"/>
      <c r="W172" s="10"/>
      <c r="X172" s="3"/>
      <c r="Y172" s="3"/>
      <c r="Z172" s="3"/>
      <c r="AA172" s="3"/>
      <c r="AB172" s="3"/>
      <c r="AC172" s="3"/>
    </row>
    <row r="173" ht="22.5" hidden="1" customHeight="1">
      <c r="A173" s="22"/>
      <c r="B173" s="37">
        <v>46205.0</v>
      </c>
      <c r="C173" s="41" t="s">
        <v>27</v>
      </c>
      <c r="D173" s="30" t="str">
        <f t="shared" si="7"/>
        <v>PHCHVM_04</v>
      </c>
      <c r="E173" s="30"/>
      <c r="F173" s="30"/>
      <c r="G173" s="16" t="s">
        <v>630</v>
      </c>
      <c r="H173" s="16" t="s">
        <v>616</v>
      </c>
      <c r="I173" s="16"/>
      <c r="J173" s="16" t="s">
        <v>631</v>
      </c>
      <c r="K173" s="16" t="s">
        <v>632</v>
      </c>
      <c r="L173" s="16" t="s">
        <v>632</v>
      </c>
      <c r="M173" s="34" t="s">
        <v>633</v>
      </c>
      <c r="N173" s="14" t="s">
        <v>36</v>
      </c>
      <c r="O173" s="10"/>
      <c r="P173" s="11"/>
      <c r="Q173" s="10"/>
      <c r="R173" s="10"/>
      <c r="S173" s="10"/>
      <c r="T173" s="11"/>
      <c r="U173" s="10"/>
      <c r="V173" s="11"/>
      <c r="W173" s="10"/>
      <c r="X173" s="3"/>
      <c r="Y173" s="3"/>
      <c r="Z173" s="3"/>
      <c r="AA173" s="3"/>
      <c r="AB173" s="3"/>
      <c r="AC173" s="3"/>
    </row>
    <row r="174" ht="22.5" hidden="1" customHeight="1">
      <c r="A174" s="22"/>
      <c r="B174" s="37">
        <v>46205.0</v>
      </c>
      <c r="C174" s="41" t="s">
        <v>27</v>
      </c>
      <c r="D174" s="30" t="str">
        <f t="shared" si="7"/>
        <v>PHCHVM_05</v>
      </c>
      <c r="E174" s="30"/>
      <c r="F174" s="30"/>
      <c r="G174" s="16" t="s">
        <v>634</v>
      </c>
      <c r="H174" s="16" t="s">
        <v>635</v>
      </c>
      <c r="I174" s="16"/>
      <c r="J174" s="16" t="s">
        <v>636</v>
      </c>
      <c r="K174" s="16" t="s">
        <v>637</v>
      </c>
      <c r="L174" s="16" t="s">
        <v>637</v>
      </c>
      <c r="M174" s="34" t="s">
        <v>638</v>
      </c>
      <c r="N174" s="14" t="s">
        <v>36</v>
      </c>
      <c r="O174" s="10"/>
      <c r="P174" s="11"/>
      <c r="Q174" s="10"/>
      <c r="R174" s="10"/>
      <c r="S174" s="10"/>
      <c r="T174" s="11"/>
      <c r="U174" s="10"/>
      <c r="V174" s="11"/>
      <c r="W174" s="10"/>
      <c r="X174" s="3"/>
      <c r="Y174" s="3"/>
      <c r="Z174" s="3"/>
      <c r="AA174" s="3"/>
      <c r="AB174" s="3"/>
      <c r="AC174" s="3"/>
    </row>
    <row r="175" ht="22.5" customHeight="1">
      <c r="A175" s="22"/>
      <c r="B175" s="37">
        <v>46205.0</v>
      </c>
      <c r="C175" s="41" t="s">
        <v>27</v>
      </c>
      <c r="D175" s="30" t="str">
        <f t="shared" si="7"/>
        <v>PHCHVM_06</v>
      </c>
      <c r="E175" s="30"/>
      <c r="F175" s="30"/>
      <c r="G175" s="16" t="s">
        <v>639</v>
      </c>
      <c r="H175" s="16" t="s">
        <v>616</v>
      </c>
      <c r="I175" s="16"/>
      <c r="J175" s="16" t="s">
        <v>640</v>
      </c>
      <c r="K175" s="16" t="s">
        <v>641</v>
      </c>
      <c r="L175" s="16" t="s">
        <v>642</v>
      </c>
      <c r="M175" s="34" t="s">
        <v>643</v>
      </c>
      <c r="N175" s="14" t="s">
        <v>63</v>
      </c>
      <c r="O175" s="10"/>
      <c r="P175" s="11"/>
      <c r="Q175" s="10"/>
      <c r="R175" s="10"/>
      <c r="S175" s="10"/>
      <c r="T175" s="11"/>
      <c r="U175" s="10"/>
      <c r="V175" s="11"/>
      <c r="W175" s="10"/>
      <c r="X175" s="3"/>
      <c r="Y175" s="3"/>
      <c r="Z175" s="3"/>
      <c r="AA175" s="3"/>
      <c r="AB175" s="3"/>
      <c r="AC175" s="3"/>
    </row>
    <row r="176" ht="22.5" hidden="1" customHeight="1">
      <c r="A176" s="22"/>
      <c r="B176" s="37">
        <v>46205.0</v>
      </c>
      <c r="C176" s="41" t="s">
        <v>27</v>
      </c>
      <c r="D176" s="30" t="str">
        <f t="shared" si="7"/>
        <v>PHCHVM_07</v>
      </c>
      <c r="E176" s="30"/>
      <c r="F176" s="30"/>
      <c r="G176" s="16" t="s">
        <v>644</v>
      </c>
      <c r="H176" s="16" t="s">
        <v>645</v>
      </c>
      <c r="I176" s="16"/>
      <c r="J176" s="16" t="s">
        <v>646</v>
      </c>
      <c r="K176" s="16" t="s">
        <v>647</v>
      </c>
      <c r="L176" s="16" t="s">
        <v>647</v>
      </c>
      <c r="M176" s="34" t="s">
        <v>648</v>
      </c>
      <c r="N176" s="14" t="s">
        <v>36</v>
      </c>
      <c r="O176" s="10"/>
      <c r="P176" s="11"/>
      <c r="Q176" s="10"/>
      <c r="R176" s="10"/>
      <c r="S176" s="10"/>
      <c r="T176" s="11"/>
      <c r="U176" s="10"/>
      <c r="V176" s="11"/>
      <c r="W176" s="10"/>
      <c r="X176" s="3"/>
      <c r="Y176" s="3"/>
      <c r="Z176" s="3"/>
      <c r="AA176" s="3"/>
      <c r="AB176" s="3"/>
      <c r="AC176" s="3"/>
    </row>
    <row r="177" ht="22.5" hidden="1" customHeight="1">
      <c r="A177" s="22"/>
      <c r="B177" s="37">
        <v>46205.0</v>
      </c>
      <c r="C177" s="41" t="s">
        <v>27</v>
      </c>
      <c r="D177" s="30" t="str">
        <f t="shared" si="7"/>
        <v>PHCHVM_08</v>
      </c>
      <c r="E177" s="30"/>
      <c r="F177" s="30"/>
      <c r="G177" s="16" t="s">
        <v>649</v>
      </c>
      <c r="H177" s="16" t="s">
        <v>650</v>
      </c>
      <c r="I177" s="16"/>
      <c r="J177" s="16" t="s">
        <v>651</v>
      </c>
      <c r="K177" s="16" t="s">
        <v>652</v>
      </c>
      <c r="L177" s="16" t="s">
        <v>652</v>
      </c>
      <c r="M177" s="34" t="s">
        <v>653</v>
      </c>
      <c r="N177" s="14" t="s">
        <v>36</v>
      </c>
      <c r="O177" s="10"/>
      <c r="P177" s="11"/>
      <c r="Q177" s="10"/>
      <c r="R177" s="10"/>
      <c r="S177" s="10"/>
      <c r="T177" s="11"/>
      <c r="U177" s="10"/>
      <c r="V177" s="11"/>
      <c r="W177" s="10"/>
      <c r="X177" s="3"/>
      <c r="Y177" s="3"/>
      <c r="Z177" s="3"/>
      <c r="AA177" s="3"/>
      <c r="AB177" s="3"/>
      <c r="AC177" s="3"/>
    </row>
    <row r="178" ht="22.5" customHeight="1">
      <c r="A178" s="22"/>
      <c r="B178" s="37">
        <v>46205.0</v>
      </c>
      <c r="C178" s="41" t="s">
        <v>27</v>
      </c>
      <c r="D178" s="30" t="str">
        <f t="shared" si="7"/>
        <v>PHCHVM_09</v>
      </c>
      <c r="E178" s="30"/>
      <c r="F178" s="30"/>
      <c r="G178" s="16" t="s">
        <v>654</v>
      </c>
      <c r="H178" s="16" t="s">
        <v>655</v>
      </c>
      <c r="I178" s="16"/>
      <c r="J178" s="16" t="s">
        <v>656</v>
      </c>
      <c r="K178" s="16" t="s">
        <v>657</v>
      </c>
      <c r="L178" s="15" t="s">
        <v>658</v>
      </c>
      <c r="M178" s="34" t="s">
        <v>659</v>
      </c>
      <c r="N178" s="14" t="s">
        <v>63</v>
      </c>
      <c r="O178" s="10"/>
      <c r="P178" s="11"/>
      <c r="Q178" s="10"/>
      <c r="R178" s="10"/>
      <c r="S178" s="10"/>
      <c r="T178" s="11"/>
      <c r="U178" s="10"/>
      <c r="V178" s="11"/>
      <c r="W178" s="10"/>
      <c r="X178" s="3"/>
      <c r="Y178" s="3"/>
      <c r="Z178" s="3"/>
      <c r="AA178" s="3"/>
      <c r="AB178" s="3"/>
      <c r="AC178" s="3"/>
    </row>
    <row r="179" ht="22.5" customHeight="1">
      <c r="A179" s="22"/>
      <c r="B179" s="37">
        <v>46205.0</v>
      </c>
      <c r="C179" s="41" t="s">
        <v>27</v>
      </c>
      <c r="D179" s="30" t="str">
        <f t="shared" si="7"/>
        <v>PHCHVM_10</v>
      </c>
      <c r="E179" s="30"/>
      <c r="F179" s="30"/>
      <c r="G179" s="16" t="s">
        <v>660</v>
      </c>
      <c r="H179" s="16" t="s">
        <v>661</v>
      </c>
      <c r="I179" s="16"/>
      <c r="J179" s="16" t="s">
        <v>662</v>
      </c>
      <c r="K179" s="16" t="s">
        <v>663</v>
      </c>
      <c r="L179" s="15" t="s">
        <v>664</v>
      </c>
      <c r="M179" s="34" t="s">
        <v>665</v>
      </c>
      <c r="N179" s="14" t="s">
        <v>63</v>
      </c>
      <c r="O179" s="10"/>
      <c r="P179" s="11"/>
      <c r="Q179" s="10"/>
      <c r="R179" s="10"/>
      <c r="S179" s="10"/>
      <c r="T179" s="11"/>
      <c r="U179" s="10"/>
      <c r="V179" s="11"/>
      <c r="W179" s="10"/>
      <c r="X179" s="3"/>
      <c r="Y179" s="3"/>
      <c r="Z179" s="3"/>
      <c r="AA179" s="3"/>
      <c r="AB179" s="3"/>
      <c r="AC179" s="3"/>
    </row>
    <row r="180" ht="22.5" hidden="1" customHeight="1">
      <c r="A180" s="22"/>
      <c r="B180" s="37">
        <v>46205.0</v>
      </c>
      <c r="C180" s="41" t="s">
        <v>27</v>
      </c>
      <c r="D180" s="30" t="str">
        <f t="shared" si="7"/>
        <v>PHCHVM_11</v>
      </c>
      <c r="E180" s="30"/>
      <c r="F180" s="30"/>
      <c r="G180" s="16" t="s">
        <v>666</v>
      </c>
      <c r="H180" s="16" t="s">
        <v>667</v>
      </c>
      <c r="I180" s="16"/>
      <c r="J180" s="16" t="s">
        <v>668</v>
      </c>
      <c r="K180" s="16" t="s">
        <v>669</v>
      </c>
      <c r="L180" s="16" t="s">
        <v>669</v>
      </c>
      <c r="M180" s="34" t="s">
        <v>670</v>
      </c>
      <c r="N180" s="14" t="s">
        <v>36</v>
      </c>
      <c r="O180" s="10"/>
      <c r="P180" s="11"/>
      <c r="Q180" s="10"/>
      <c r="R180" s="10"/>
      <c r="S180" s="10"/>
      <c r="T180" s="11"/>
      <c r="U180" s="10"/>
      <c r="V180" s="11"/>
      <c r="W180" s="10"/>
      <c r="X180" s="3"/>
      <c r="Y180" s="3"/>
      <c r="Z180" s="3"/>
      <c r="AA180" s="3"/>
      <c r="AB180" s="3"/>
      <c r="AC180" s="3"/>
    </row>
    <row r="181" ht="22.5" hidden="1" customHeight="1">
      <c r="A181" s="22"/>
      <c r="B181" s="37">
        <v>46205.0</v>
      </c>
      <c r="C181" s="41" t="s">
        <v>27</v>
      </c>
      <c r="D181" s="30" t="str">
        <f t="shared" si="7"/>
        <v>PHCHVM_12</v>
      </c>
      <c r="E181" s="30"/>
      <c r="F181" s="30"/>
      <c r="G181" s="16" t="s">
        <v>671</v>
      </c>
      <c r="H181" s="16" t="s">
        <v>672</v>
      </c>
      <c r="I181" s="16"/>
      <c r="J181" s="16" t="s">
        <v>673</v>
      </c>
      <c r="K181" s="16" t="s">
        <v>674</v>
      </c>
      <c r="L181" s="16" t="s">
        <v>674</v>
      </c>
      <c r="M181" s="34" t="s">
        <v>675</v>
      </c>
      <c r="N181" s="14" t="s">
        <v>36</v>
      </c>
      <c r="O181" s="10"/>
      <c r="P181" s="11"/>
      <c r="Q181" s="10"/>
      <c r="R181" s="10"/>
      <c r="S181" s="10"/>
      <c r="T181" s="11"/>
      <c r="U181" s="10"/>
      <c r="V181" s="11"/>
      <c r="W181" s="10"/>
      <c r="X181" s="3"/>
      <c r="Y181" s="3"/>
      <c r="Z181" s="3"/>
      <c r="AA181" s="3"/>
      <c r="AB181" s="3"/>
      <c r="AC181" s="3"/>
    </row>
    <row r="182" ht="22.5" hidden="1" customHeight="1">
      <c r="A182" s="18"/>
      <c r="B182" s="19">
        <v>17.0</v>
      </c>
      <c r="C182" s="40"/>
      <c r="D182" s="25"/>
      <c r="E182" s="25" t="s">
        <v>676</v>
      </c>
      <c r="F182" s="25" t="s">
        <v>284</v>
      </c>
      <c r="G182" s="43" t="s">
        <v>677</v>
      </c>
      <c r="H182" s="16"/>
      <c r="I182" s="16"/>
      <c r="J182" s="16"/>
      <c r="K182" s="16"/>
      <c r="L182" s="10"/>
      <c r="M182" s="10"/>
      <c r="N182" s="11"/>
      <c r="O182" s="10"/>
      <c r="P182" s="11"/>
      <c r="Q182" s="10"/>
      <c r="R182" s="10"/>
      <c r="S182" s="10"/>
      <c r="T182" s="11"/>
      <c r="U182" s="10"/>
      <c r="V182" s="11"/>
      <c r="W182" s="10"/>
      <c r="X182" s="3"/>
      <c r="Y182" s="3"/>
      <c r="Z182" s="3"/>
      <c r="AA182" s="3"/>
      <c r="AB182" s="3"/>
      <c r="AC182" s="3"/>
    </row>
    <row r="183" ht="22.5" customHeight="1">
      <c r="A183" s="22"/>
      <c r="B183" s="37">
        <v>46205.0</v>
      </c>
      <c r="C183" s="41" t="s">
        <v>27</v>
      </c>
      <c r="D183" s="30" t="str">
        <f t="shared" ref="D183:D193" si="8">IF(G183&lt;&gt;"","QLCKPHCHVM_"&amp;TEXT(COUNTIF($G$183:G183,"&lt;&gt;"),"00"),"")</f>
        <v>QLCKPHCHVM_01</v>
      </c>
      <c r="E183" s="30"/>
      <c r="F183" s="30"/>
      <c r="G183" s="16" t="s">
        <v>678</v>
      </c>
      <c r="H183" s="16" t="s">
        <v>679</v>
      </c>
      <c r="I183" s="16"/>
      <c r="J183" s="16" t="s">
        <v>680</v>
      </c>
      <c r="K183" s="16" t="s">
        <v>681</v>
      </c>
      <c r="L183" s="15" t="s">
        <v>682</v>
      </c>
      <c r="M183" s="34" t="s">
        <v>683</v>
      </c>
      <c r="N183" s="14" t="s">
        <v>63</v>
      </c>
      <c r="O183" s="10"/>
      <c r="P183" s="11"/>
      <c r="Q183" s="10"/>
      <c r="R183" s="10"/>
      <c r="S183" s="10"/>
      <c r="T183" s="11"/>
      <c r="U183" s="10"/>
      <c r="V183" s="11"/>
      <c r="W183" s="10"/>
      <c r="X183" s="3"/>
      <c r="Y183" s="3"/>
      <c r="Z183" s="3"/>
      <c r="AA183" s="3"/>
      <c r="AB183" s="3"/>
      <c r="AC183" s="3"/>
    </row>
    <row r="184" ht="22.5" customHeight="1">
      <c r="A184" s="22"/>
      <c r="B184" s="37">
        <v>46205.0</v>
      </c>
      <c r="C184" s="41" t="s">
        <v>27</v>
      </c>
      <c r="D184" s="30" t="str">
        <f t="shared" si="8"/>
        <v>QLCKPHCHVM_02</v>
      </c>
      <c r="E184" s="30"/>
      <c r="F184" s="30"/>
      <c r="G184" s="16" t="s">
        <v>684</v>
      </c>
      <c r="H184" s="16" t="s">
        <v>685</v>
      </c>
      <c r="I184" s="16"/>
      <c r="J184" s="16" t="s">
        <v>686</v>
      </c>
      <c r="K184" s="16" t="s">
        <v>687</v>
      </c>
      <c r="L184" s="15" t="s">
        <v>688</v>
      </c>
      <c r="M184" s="34" t="s">
        <v>689</v>
      </c>
      <c r="N184" s="14" t="s">
        <v>63</v>
      </c>
      <c r="O184" s="10"/>
      <c r="P184" s="11"/>
      <c r="Q184" s="10"/>
      <c r="R184" s="10"/>
      <c r="S184" s="10"/>
      <c r="T184" s="11"/>
      <c r="U184" s="10"/>
      <c r="V184" s="11"/>
      <c r="W184" s="10"/>
      <c r="X184" s="3"/>
      <c r="Y184" s="3"/>
      <c r="Z184" s="3"/>
      <c r="AA184" s="3"/>
      <c r="AB184" s="3"/>
      <c r="AC184" s="3"/>
    </row>
    <row r="185" ht="22.5" hidden="1" customHeight="1">
      <c r="A185" s="22"/>
      <c r="B185" s="37">
        <v>46205.0</v>
      </c>
      <c r="C185" s="41" t="s">
        <v>27</v>
      </c>
      <c r="D185" s="30" t="str">
        <f t="shared" si="8"/>
        <v>QLCKPHCHVM_03</v>
      </c>
      <c r="E185" s="30"/>
      <c r="F185" s="30"/>
      <c r="G185" s="16" t="s">
        <v>690</v>
      </c>
      <c r="H185" s="16" t="s">
        <v>691</v>
      </c>
      <c r="I185" s="16"/>
      <c r="J185" s="16" t="s">
        <v>692</v>
      </c>
      <c r="K185" s="16" t="s">
        <v>693</v>
      </c>
      <c r="L185" s="16" t="s">
        <v>693</v>
      </c>
      <c r="M185" s="34" t="s">
        <v>694</v>
      </c>
      <c r="N185" s="14" t="s">
        <v>36</v>
      </c>
      <c r="O185" s="10"/>
      <c r="P185" s="11"/>
      <c r="Q185" s="10"/>
      <c r="R185" s="10"/>
      <c r="S185" s="10"/>
      <c r="T185" s="11"/>
      <c r="U185" s="10"/>
      <c r="V185" s="11"/>
      <c r="W185" s="10"/>
      <c r="X185" s="3"/>
      <c r="Y185" s="3"/>
      <c r="Z185" s="3"/>
      <c r="AA185" s="3"/>
      <c r="AB185" s="3"/>
      <c r="AC185" s="3"/>
    </row>
    <row r="186" ht="22.5" hidden="1" customHeight="1">
      <c r="A186" s="22"/>
      <c r="B186" s="37">
        <v>46205.0</v>
      </c>
      <c r="C186" s="41" t="s">
        <v>27</v>
      </c>
      <c r="D186" s="30" t="str">
        <f t="shared" si="8"/>
        <v>QLCKPHCHVM_04</v>
      </c>
      <c r="E186" s="30"/>
      <c r="F186" s="30"/>
      <c r="G186" s="16" t="s">
        <v>695</v>
      </c>
      <c r="H186" s="16" t="s">
        <v>696</v>
      </c>
      <c r="I186" s="16"/>
      <c r="J186" s="16" t="s">
        <v>697</v>
      </c>
      <c r="K186" s="16" t="s">
        <v>698</v>
      </c>
      <c r="L186" s="16" t="s">
        <v>698</v>
      </c>
      <c r="M186" s="34" t="s">
        <v>699</v>
      </c>
      <c r="N186" s="14" t="s">
        <v>36</v>
      </c>
      <c r="O186" s="10"/>
      <c r="P186" s="11"/>
      <c r="Q186" s="10"/>
      <c r="R186" s="10"/>
      <c r="S186" s="10"/>
      <c r="T186" s="11"/>
      <c r="U186" s="10"/>
      <c r="V186" s="11"/>
      <c r="W186" s="10"/>
      <c r="X186" s="3"/>
      <c r="Y186" s="3"/>
      <c r="Z186" s="3"/>
      <c r="AA186" s="3"/>
      <c r="AB186" s="3"/>
      <c r="AC186" s="3"/>
    </row>
    <row r="187" ht="22.5" hidden="1" customHeight="1">
      <c r="A187" s="22"/>
      <c r="B187" s="37">
        <v>46205.0</v>
      </c>
      <c r="C187" s="41" t="s">
        <v>27</v>
      </c>
      <c r="D187" s="30" t="str">
        <f t="shared" si="8"/>
        <v>QLCKPHCHVM_05</v>
      </c>
      <c r="E187" s="30"/>
      <c r="F187" s="30"/>
      <c r="G187" s="16" t="s">
        <v>700</v>
      </c>
      <c r="H187" s="16" t="s">
        <v>701</v>
      </c>
      <c r="I187" s="16"/>
      <c r="J187" s="16" t="s">
        <v>702</v>
      </c>
      <c r="K187" s="16" t="s">
        <v>703</v>
      </c>
      <c r="L187" s="16" t="s">
        <v>703</v>
      </c>
      <c r="M187" s="34" t="s">
        <v>704</v>
      </c>
      <c r="N187" s="14" t="s">
        <v>36</v>
      </c>
      <c r="O187" s="10"/>
      <c r="P187" s="11"/>
      <c r="Q187" s="10"/>
      <c r="R187" s="10"/>
      <c r="S187" s="10"/>
      <c r="T187" s="11"/>
      <c r="U187" s="10"/>
      <c r="V187" s="11"/>
      <c r="W187" s="10"/>
      <c r="X187" s="3"/>
      <c r="Y187" s="3"/>
      <c r="Z187" s="3"/>
      <c r="AA187" s="3"/>
      <c r="AB187" s="3"/>
      <c r="AC187" s="3"/>
    </row>
    <row r="188" ht="22.5" hidden="1" customHeight="1">
      <c r="A188" s="22"/>
      <c r="B188" s="37">
        <v>46205.0</v>
      </c>
      <c r="C188" s="41" t="s">
        <v>27</v>
      </c>
      <c r="D188" s="30" t="str">
        <f t="shared" si="8"/>
        <v>QLCKPHCHVM_06</v>
      </c>
      <c r="E188" s="30"/>
      <c r="F188" s="30"/>
      <c r="G188" s="16" t="s">
        <v>705</v>
      </c>
      <c r="H188" s="16" t="s">
        <v>706</v>
      </c>
      <c r="I188" s="16"/>
      <c r="J188" s="16" t="s">
        <v>707</v>
      </c>
      <c r="K188" s="16" t="s">
        <v>708</v>
      </c>
      <c r="L188" s="16" t="s">
        <v>708</v>
      </c>
      <c r="M188" s="34" t="s">
        <v>709</v>
      </c>
      <c r="N188" s="14" t="s">
        <v>36</v>
      </c>
      <c r="O188" s="10"/>
      <c r="P188" s="11"/>
      <c r="Q188" s="10"/>
      <c r="R188" s="10"/>
      <c r="S188" s="10"/>
      <c r="T188" s="11"/>
      <c r="U188" s="10"/>
      <c r="V188" s="11"/>
      <c r="W188" s="10"/>
      <c r="X188" s="3"/>
      <c r="Y188" s="3"/>
      <c r="Z188" s="3"/>
      <c r="AA188" s="3"/>
      <c r="AB188" s="3"/>
      <c r="AC188" s="3"/>
    </row>
    <row r="189" ht="22.5" hidden="1" customHeight="1">
      <c r="A189" s="22"/>
      <c r="B189" s="37">
        <v>46205.0</v>
      </c>
      <c r="C189" s="41" t="s">
        <v>27</v>
      </c>
      <c r="D189" s="30" t="str">
        <f t="shared" si="8"/>
        <v>QLCKPHCHVM_07</v>
      </c>
      <c r="E189" s="30"/>
      <c r="F189" s="30"/>
      <c r="G189" s="16" t="s">
        <v>710</v>
      </c>
      <c r="H189" s="16" t="s">
        <v>711</v>
      </c>
      <c r="I189" s="16"/>
      <c r="J189" s="16" t="s">
        <v>712</v>
      </c>
      <c r="K189" s="16" t="s">
        <v>713</v>
      </c>
      <c r="L189" s="16" t="s">
        <v>713</v>
      </c>
      <c r="M189" s="34" t="s">
        <v>714</v>
      </c>
      <c r="N189" s="14" t="s">
        <v>36</v>
      </c>
      <c r="O189" s="10"/>
      <c r="P189" s="11"/>
      <c r="Q189" s="10"/>
      <c r="R189" s="10"/>
      <c r="S189" s="10"/>
      <c r="T189" s="11"/>
      <c r="U189" s="10"/>
      <c r="V189" s="11"/>
      <c r="W189" s="10"/>
      <c r="X189" s="3"/>
      <c r="Y189" s="3"/>
      <c r="Z189" s="3"/>
      <c r="AA189" s="3"/>
      <c r="AB189" s="3"/>
      <c r="AC189" s="3"/>
    </row>
    <row r="190" ht="22.5" hidden="1" customHeight="1">
      <c r="A190" s="22"/>
      <c r="B190" s="37">
        <v>46205.0</v>
      </c>
      <c r="C190" s="41" t="s">
        <v>27</v>
      </c>
      <c r="D190" s="30" t="str">
        <f t="shared" si="8"/>
        <v>QLCKPHCHVM_08</v>
      </c>
      <c r="E190" s="30"/>
      <c r="F190" s="30"/>
      <c r="G190" s="16" t="s">
        <v>715</v>
      </c>
      <c r="H190" s="16" t="s">
        <v>716</v>
      </c>
      <c r="I190" s="16"/>
      <c r="J190" s="16" t="s">
        <v>717</v>
      </c>
      <c r="K190" s="16" t="s">
        <v>718</v>
      </c>
      <c r="L190" s="16" t="s">
        <v>718</v>
      </c>
      <c r="M190" s="34" t="s">
        <v>719</v>
      </c>
      <c r="N190" s="14" t="s">
        <v>36</v>
      </c>
      <c r="O190" s="10"/>
      <c r="P190" s="11"/>
      <c r="Q190" s="10"/>
      <c r="R190" s="10"/>
      <c r="S190" s="10"/>
      <c r="T190" s="11"/>
      <c r="U190" s="10"/>
      <c r="V190" s="11"/>
      <c r="W190" s="10"/>
      <c r="X190" s="3"/>
      <c r="Y190" s="3"/>
      <c r="Z190" s="3"/>
      <c r="AA190" s="3"/>
      <c r="AB190" s="3"/>
      <c r="AC190" s="3"/>
    </row>
    <row r="191" ht="22.5" hidden="1" customHeight="1">
      <c r="A191" s="22"/>
      <c r="B191" s="37">
        <v>46205.0</v>
      </c>
      <c r="C191" s="41" t="s">
        <v>27</v>
      </c>
      <c r="D191" s="30" t="str">
        <f t="shared" si="8"/>
        <v>QLCKPHCHVM_09</v>
      </c>
      <c r="E191" s="30"/>
      <c r="F191" s="30"/>
      <c r="G191" s="16" t="s">
        <v>720</v>
      </c>
      <c r="H191" s="16" t="s">
        <v>721</v>
      </c>
      <c r="I191" s="16"/>
      <c r="J191" s="16" t="s">
        <v>722</v>
      </c>
      <c r="K191" s="16" t="s">
        <v>723</v>
      </c>
      <c r="L191" s="16" t="s">
        <v>723</v>
      </c>
      <c r="M191" s="34" t="s">
        <v>724</v>
      </c>
      <c r="N191" s="14" t="s">
        <v>36</v>
      </c>
      <c r="O191" s="10"/>
      <c r="P191" s="11"/>
      <c r="Q191" s="10"/>
      <c r="R191" s="10"/>
      <c r="S191" s="10"/>
      <c r="T191" s="11"/>
      <c r="U191" s="10"/>
      <c r="V191" s="11"/>
      <c r="W191" s="10"/>
      <c r="X191" s="3"/>
      <c r="Y191" s="3"/>
      <c r="Z191" s="3"/>
      <c r="AA191" s="3"/>
      <c r="AB191" s="3"/>
      <c r="AC191" s="3"/>
    </row>
    <row r="192" ht="22.5" hidden="1" customHeight="1">
      <c r="A192" s="22"/>
      <c r="B192" s="37">
        <v>46205.0</v>
      </c>
      <c r="C192" s="41" t="s">
        <v>27</v>
      </c>
      <c r="D192" s="30" t="str">
        <f t="shared" si="8"/>
        <v>QLCKPHCHVM_10</v>
      </c>
      <c r="E192" s="30"/>
      <c r="F192" s="30"/>
      <c r="G192" s="16" t="s">
        <v>725</v>
      </c>
      <c r="H192" s="16" t="s">
        <v>726</v>
      </c>
      <c r="I192" s="16"/>
      <c r="J192" s="16" t="s">
        <v>727</v>
      </c>
      <c r="K192" s="16" t="s">
        <v>728</v>
      </c>
      <c r="L192" s="16" t="s">
        <v>728</v>
      </c>
      <c r="M192" s="34" t="s">
        <v>729</v>
      </c>
      <c r="N192" s="14" t="s">
        <v>36</v>
      </c>
      <c r="O192" s="10"/>
      <c r="P192" s="11"/>
      <c r="Q192" s="10"/>
      <c r="R192" s="10"/>
      <c r="S192" s="10"/>
      <c r="T192" s="11"/>
      <c r="U192" s="10"/>
      <c r="V192" s="11"/>
      <c r="W192" s="10"/>
      <c r="X192" s="3"/>
      <c r="Y192" s="3"/>
      <c r="Z192" s="3"/>
      <c r="AA192" s="3"/>
      <c r="AB192" s="3"/>
      <c r="AC192" s="3"/>
    </row>
    <row r="193" ht="22.5" hidden="1" customHeight="1">
      <c r="A193" s="22"/>
      <c r="B193" s="37">
        <v>46205.0</v>
      </c>
      <c r="C193" s="41" t="s">
        <v>27</v>
      </c>
      <c r="D193" s="30" t="str">
        <f t="shared" si="8"/>
        <v>QLCKPHCHVM_11</v>
      </c>
      <c r="E193" s="30"/>
      <c r="F193" s="30"/>
      <c r="G193" s="16" t="s">
        <v>730</v>
      </c>
      <c r="H193" s="16" t="s">
        <v>731</v>
      </c>
      <c r="I193" s="16"/>
      <c r="J193" s="16" t="s">
        <v>732</v>
      </c>
      <c r="K193" s="16" t="s">
        <v>733</v>
      </c>
      <c r="L193" s="16" t="s">
        <v>733</v>
      </c>
      <c r="M193" s="34" t="s">
        <v>734</v>
      </c>
      <c r="N193" s="14" t="s">
        <v>36</v>
      </c>
      <c r="O193" s="10"/>
      <c r="P193" s="11"/>
      <c r="Q193" s="10"/>
      <c r="R193" s="10"/>
      <c r="S193" s="10"/>
      <c r="T193" s="11"/>
      <c r="U193" s="10"/>
      <c r="V193" s="11"/>
      <c r="W193" s="10"/>
      <c r="X193" s="3"/>
      <c r="Y193" s="3"/>
      <c r="Z193" s="3"/>
      <c r="AA193" s="3"/>
      <c r="AB193" s="3"/>
      <c r="AC193" s="3"/>
    </row>
    <row r="194" ht="22.5" hidden="1" customHeight="1">
      <c r="A194" s="4"/>
      <c r="B194" s="5" t="s">
        <v>735</v>
      </c>
      <c r="C194" s="44" t="s">
        <v>27</v>
      </c>
      <c r="D194" s="7"/>
      <c r="E194" s="7" t="s">
        <v>736</v>
      </c>
      <c r="F194" s="35"/>
      <c r="G194" s="35"/>
      <c r="H194" s="35"/>
      <c r="I194" s="35"/>
      <c r="J194" s="10"/>
      <c r="K194" s="10"/>
      <c r="L194" s="10"/>
      <c r="M194" s="10"/>
      <c r="N194" s="11"/>
      <c r="O194" s="10"/>
      <c r="P194" s="11"/>
      <c r="Q194" s="10"/>
      <c r="R194" s="10"/>
      <c r="S194" s="10"/>
      <c r="T194" s="11"/>
      <c r="U194" s="10"/>
      <c r="V194" s="11"/>
      <c r="W194" s="10"/>
      <c r="X194" s="3"/>
      <c r="Y194" s="3"/>
      <c r="Z194" s="3"/>
      <c r="AA194" s="3"/>
      <c r="AB194" s="3"/>
      <c r="AC194" s="3"/>
    </row>
    <row r="195" ht="22.5" hidden="1" customHeight="1">
      <c r="A195" s="18"/>
      <c r="B195" s="19">
        <v>18.0</v>
      </c>
      <c r="C195" s="45" t="s">
        <v>27</v>
      </c>
      <c r="D195" s="25"/>
      <c r="E195" s="25" t="s">
        <v>737</v>
      </c>
      <c r="F195" s="25" t="s">
        <v>284</v>
      </c>
      <c r="G195" s="29" t="s">
        <v>738</v>
      </c>
      <c r="H195" s="42"/>
      <c r="I195" s="27"/>
      <c r="J195" s="10"/>
      <c r="K195" s="10"/>
      <c r="L195" s="10"/>
      <c r="M195" s="10"/>
      <c r="N195" s="11"/>
      <c r="O195" s="10"/>
      <c r="P195" s="11"/>
      <c r="Q195" s="10"/>
      <c r="R195" s="10"/>
      <c r="S195" s="10"/>
      <c r="T195" s="11"/>
      <c r="U195" s="10"/>
      <c r="V195" s="11"/>
      <c r="W195" s="10"/>
      <c r="X195" s="3"/>
      <c r="Y195" s="3"/>
      <c r="Z195" s="3"/>
      <c r="AA195" s="3"/>
      <c r="AB195" s="3"/>
      <c r="AC195" s="3"/>
    </row>
    <row r="196" ht="22.5" customHeight="1">
      <c r="A196" s="22"/>
      <c r="B196" s="37">
        <v>46206.0</v>
      </c>
      <c r="C196" s="41" t="s">
        <v>27</v>
      </c>
      <c r="D196" s="30" t="str">
        <f t="shared" ref="D196:D205" si="9">IF(G195&lt;&gt;"","QLCHVMDXL_"&amp;TEXT(COUNTIF($G$195:G195,"&lt;&gt;"),"00"),"")</f>
        <v>QLCHVMDXL_01</v>
      </c>
      <c r="E196" s="30"/>
      <c r="F196" s="30"/>
      <c r="G196" s="16" t="s">
        <v>509</v>
      </c>
      <c r="H196" s="16" t="s">
        <v>510</v>
      </c>
      <c r="I196" s="16"/>
      <c r="J196" s="16" t="s">
        <v>739</v>
      </c>
      <c r="K196" s="16" t="s">
        <v>740</v>
      </c>
      <c r="L196" s="15" t="s">
        <v>741</v>
      </c>
      <c r="M196" s="34" t="s">
        <v>742</v>
      </c>
      <c r="N196" s="14" t="s">
        <v>63</v>
      </c>
      <c r="O196" s="10"/>
      <c r="P196" s="11"/>
      <c r="Q196" s="10"/>
      <c r="R196" s="10"/>
      <c r="S196" s="10"/>
      <c r="T196" s="11"/>
      <c r="U196" s="10"/>
      <c r="V196" s="11"/>
      <c r="W196" s="10"/>
      <c r="X196" s="3"/>
      <c r="Y196" s="3"/>
      <c r="Z196" s="3"/>
      <c r="AA196" s="3"/>
      <c r="AB196" s="3"/>
      <c r="AC196" s="3"/>
    </row>
    <row r="197" ht="22.5" hidden="1" customHeight="1">
      <c r="A197" s="22"/>
      <c r="B197" s="37">
        <v>46206.0</v>
      </c>
      <c r="C197" s="41" t="s">
        <v>27</v>
      </c>
      <c r="D197" s="30" t="str">
        <f t="shared" si="9"/>
        <v>QLCHVMDXL_02</v>
      </c>
      <c r="E197" s="30"/>
      <c r="F197" s="30"/>
      <c r="G197" s="16" t="s">
        <v>514</v>
      </c>
      <c r="H197" s="16" t="s">
        <v>515</v>
      </c>
      <c r="I197" s="16"/>
      <c r="J197" s="16" t="s">
        <v>743</v>
      </c>
      <c r="K197" s="16" t="s">
        <v>744</v>
      </c>
      <c r="L197" s="16" t="s">
        <v>744</v>
      </c>
      <c r="M197" s="34" t="s">
        <v>745</v>
      </c>
      <c r="N197" s="14" t="s">
        <v>36</v>
      </c>
      <c r="O197" s="10"/>
      <c r="P197" s="11"/>
      <c r="Q197" s="10"/>
      <c r="R197" s="10"/>
      <c r="S197" s="10"/>
      <c r="T197" s="11"/>
      <c r="U197" s="10"/>
      <c r="V197" s="11"/>
      <c r="W197" s="10"/>
      <c r="X197" s="3"/>
      <c r="Y197" s="3"/>
      <c r="Z197" s="3"/>
      <c r="AA197" s="3"/>
      <c r="AB197" s="3"/>
      <c r="AC197" s="3"/>
    </row>
    <row r="198" ht="22.5" hidden="1" customHeight="1">
      <c r="A198" s="22"/>
      <c r="B198" s="37">
        <v>46206.0</v>
      </c>
      <c r="C198" s="41" t="s">
        <v>27</v>
      </c>
      <c r="D198" s="30" t="str">
        <f t="shared" si="9"/>
        <v>QLCHVMDXL_03</v>
      </c>
      <c r="E198" s="30"/>
      <c r="F198" s="30"/>
      <c r="G198" s="16" t="s">
        <v>519</v>
      </c>
      <c r="H198" s="16" t="s">
        <v>520</v>
      </c>
      <c r="I198" s="16"/>
      <c r="J198" s="16" t="s">
        <v>746</v>
      </c>
      <c r="K198" s="16" t="s">
        <v>747</v>
      </c>
      <c r="L198" s="16" t="s">
        <v>747</v>
      </c>
      <c r="M198" s="34" t="s">
        <v>748</v>
      </c>
      <c r="N198" s="14" t="s">
        <v>36</v>
      </c>
      <c r="O198" s="10"/>
      <c r="P198" s="11"/>
      <c r="Q198" s="10"/>
      <c r="R198" s="10"/>
      <c r="S198" s="10"/>
      <c r="T198" s="11"/>
      <c r="U198" s="10"/>
      <c r="V198" s="11"/>
      <c r="W198" s="10"/>
      <c r="X198" s="3"/>
      <c r="Y198" s="3"/>
      <c r="Z198" s="3"/>
      <c r="AA198" s="3"/>
      <c r="AB198" s="3"/>
      <c r="AC198" s="3"/>
    </row>
    <row r="199" ht="22.5" hidden="1" customHeight="1">
      <c r="A199" s="22"/>
      <c r="B199" s="37">
        <v>46206.0</v>
      </c>
      <c r="C199" s="41" t="s">
        <v>27</v>
      </c>
      <c r="D199" s="30" t="str">
        <f t="shared" si="9"/>
        <v>QLCHVMDXL_04</v>
      </c>
      <c r="E199" s="30"/>
      <c r="F199" s="30"/>
      <c r="G199" s="16" t="s">
        <v>524</v>
      </c>
      <c r="H199" s="16" t="s">
        <v>525</v>
      </c>
      <c r="I199" s="16"/>
      <c r="J199" s="16" t="s">
        <v>526</v>
      </c>
      <c r="K199" s="16" t="s">
        <v>749</v>
      </c>
      <c r="L199" s="16" t="s">
        <v>749</v>
      </c>
      <c r="M199" s="34" t="s">
        <v>750</v>
      </c>
      <c r="N199" s="14" t="s">
        <v>36</v>
      </c>
      <c r="O199" s="10"/>
      <c r="P199" s="11"/>
      <c r="Q199" s="10"/>
      <c r="R199" s="10"/>
      <c r="S199" s="10"/>
      <c r="T199" s="11"/>
      <c r="U199" s="10"/>
      <c r="V199" s="11"/>
      <c r="W199" s="10"/>
      <c r="X199" s="3"/>
      <c r="Y199" s="3"/>
      <c r="Z199" s="3"/>
      <c r="AA199" s="3"/>
      <c r="AB199" s="3"/>
      <c r="AC199" s="3"/>
    </row>
    <row r="200" ht="22.5" hidden="1" customHeight="1">
      <c r="A200" s="22"/>
      <c r="B200" s="37">
        <v>46206.0</v>
      </c>
      <c r="C200" s="41" t="s">
        <v>27</v>
      </c>
      <c r="D200" s="30" t="str">
        <f t="shared" si="9"/>
        <v>QLCHVMDXL_05</v>
      </c>
      <c r="E200" s="30"/>
      <c r="F200" s="30"/>
      <c r="G200" s="16" t="s">
        <v>529</v>
      </c>
      <c r="H200" s="16" t="s">
        <v>751</v>
      </c>
      <c r="I200" s="16"/>
      <c r="J200" s="16" t="s">
        <v>752</v>
      </c>
      <c r="K200" s="16" t="s">
        <v>753</v>
      </c>
      <c r="L200" s="16" t="s">
        <v>753</v>
      </c>
      <c r="M200" s="34" t="s">
        <v>754</v>
      </c>
      <c r="N200" s="14" t="s">
        <v>36</v>
      </c>
      <c r="O200" s="10"/>
      <c r="P200" s="11"/>
      <c r="Q200" s="10"/>
      <c r="R200" s="10"/>
      <c r="S200" s="10"/>
      <c r="T200" s="11"/>
      <c r="U200" s="10"/>
      <c r="V200" s="11"/>
      <c r="W200" s="10"/>
      <c r="X200" s="3"/>
      <c r="Y200" s="3"/>
      <c r="Z200" s="3"/>
      <c r="AA200" s="3"/>
      <c r="AB200" s="3"/>
      <c r="AC200" s="3"/>
    </row>
    <row r="201" ht="22.5" customHeight="1">
      <c r="A201" s="22"/>
      <c r="B201" s="37">
        <v>46206.0</v>
      </c>
      <c r="C201" s="41" t="s">
        <v>27</v>
      </c>
      <c r="D201" s="30" t="str">
        <f t="shared" si="9"/>
        <v>QLCHVMDXL_06</v>
      </c>
      <c r="E201" s="30"/>
      <c r="F201" s="30"/>
      <c r="G201" s="16" t="s">
        <v>534</v>
      </c>
      <c r="H201" s="16" t="s">
        <v>535</v>
      </c>
      <c r="I201" s="16"/>
      <c r="J201" s="16" t="s">
        <v>536</v>
      </c>
      <c r="K201" s="16" t="s">
        <v>537</v>
      </c>
      <c r="L201" s="15" t="s">
        <v>755</v>
      </c>
      <c r="M201" s="34" t="s">
        <v>756</v>
      </c>
      <c r="N201" s="14" t="s">
        <v>63</v>
      </c>
      <c r="O201" s="10"/>
      <c r="P201" s="11"/>
      <c r="Q201" s="10"/>
      <c r="R201" s="10"/>
      <c r="S201" s="10"/>
      <c r="T201" s="11"/>
      <c r="U201" s="10"/>
      <c r="V201" s="11"/>
      <c r="W201" s="10"/>
      <c r="X201" s="3"/>
      <c r="Y201" s="3"/>
      <c r="Z201" s="3"/>
      <c r="AA201" s="3"/>
      <c r="AB201" s="3"/>
      <c r="AC201" s="3"/>
    </row>
    <row r="202" ht="22.5" hidden="1" customHeight="1">
      <c r="A202" s="22"/>
      <c r="B202" s="37">
        <v>46206.0</v>
      </c>
      <c r="C202" s="41" t="s">
        <v>27</v>
      </c>
      <c r="D202" s="30" t="str">
        <f t="shared" si="9"/>
        <v>QLCHVMDXL_07</v>
      </c>
      <c r="E202" s="30"/>
      <c r="F202" s="30"/>
      <c r="G202" s="16" t="s">
        <v>540</v>
      </c>
      <c r="H202" s="16" t="s">
        <v>757</v>
      </c>
      <c r="I202" s="16"/>
      <c r="J202" s="16" t="s">
        <v>758</v>
      </c>
      <c r="K202" s="16" t="s">
        <v>543</v>
      </c>
      <c r="L202" s="16" t="s">
        <v>543</v>
      </c>
      <c r="M202" s="34" t="s">
        <v>759</v>
      </c>
      <c r="N202" s="14" t="s">
        <v>36</v>
      </c>
      <c r="O202" s="10"/>
      <c r="P202" s="11"/>
      <c r="Q202" s="10"/>
      <c r="R202" s="10"/>
      <c r="S202" s="10"/>
      <c r="T202" s="11"/>
      <c r="U202" s="10"/>
      <c r="V202" s="11"/>
      <c r="W202" s="10"/>
      <c r="X202" s="3"/>
      <c r="Y202" s="3"/>
      <c r="Z202" s="3"/>
      <c r="AA202" s="3"/>
      <c r="AB202" s="3"/>
      <c r="AC202" s="3"/>
    </row>
    <row r="203" ht="22.5" hidden="1" customHeight="1">
      <c r="A203" s="22"/>
      <c r="B203" s="37">
        <v>46206.0</v>
      </c>
      <c r="C203" s="41" t="s">
        <v>27</v>
      </c>
      <c r="D203" s="30" t="str">
        <f t="shared" si="9"/>
        <v>QLCHVMDXL_08</v>
      </c>
      <c r="E203" s="30"/>
      <c r="F203" s="30"/>
      <c r="G203" s="16" t="s">
        <v>760</v>
      </c>
      <c r="H203" s="16" t="s">
        <v>761</v>
      </c>
      <c r="I203" s="16"/>
      <c r="J203" s="16" t="s">
        <v>762</v>
      </c>
      <c r="K203" s="16" t="s">
        <v>763</v>
      </c>
      <c r="L203" s="16" t="s">
        <v>763</v>
      </c>
      <c r="M203" s="34" t="s">
        <v>764</v>
      </c>
      <c r="N203" s="14" t="s">
        <v>36</v>
      </c>
      <c r="O203" s="10"/>
      <c r="P203" s="11"/>
      <c r="Q203" s="10"/>
      <c r="R203" s="10"/>
      <c r="S203" s="10"/>
      <c r="T203" s="11"/>
      <c r="U203" s="10"/>
      <c r="V203" s="11"/>
      <c r="W203" s="10"/>
      <c r="X203" s="3"/>
      <c r="Y203" s="3"/>
      <c r="Z203" s="3"/>
      <c r="AA203" s="3"/>
      <c r="AB203" s="3"/>
      <c r="AC203" s="3"/>
    </row>
    <row r="204" ht="22.5" hidden="1" customHeight="1">
      <c r="A204" s="22"/>
      <c r="B204" s="37">
        <v>46206.0</v>
      </c>
      <c r="C204" s="41" t="s">
        <v>27</v>
      </c>
      <c r="D204" s="30" t="str">
        <f t="shared" si="9"/>
        <v>QLCHVMDXL_09</v>
      </c>
      <c r="E204" s="30"/>
      <c r="F204" s="30"/>
      <c r="G204" s="16" t="s">
        <v>545</v>
      </c>
      <c r="H204" s="16" t="s">
        <v>546</v>
      </c>
      <c r="I204" s="16"/>
      <c r="J204" s="16" t="s">
        <v>547</v>
      </c>
      <c r="K204" s="16" t="s">
        <v>548</v>
      </c>
      <c r="L204" s="16" t="s">
        <v>548</v>
      </c>
      <c r="M204" s="34" t="s">
        <v>765</v>
      </c>
      <c r="N204" s="14" t="s">
        <v>36</v>
      </c>
      <c r="O204" s="10"/>
      <c r="P204" s="11"/>
      <c r="Q204" s="10"/>
      <c r="R204" s="10"/>
      <c r="S204" s="10"/>
      <c r="T204" s="11"/>
      <c r="U204" s="10"/>
      <c r="V204" s="11"/>
      <c r="W204" s="10"/>
      <c r="X204" s="3"/>
      <c r="Y204" s="3"/>
      <c r="Z204" s="3"/>
      <c r="AA204" s="3"/>
      <c r="AB204" s="3"/>
      <c r="AC204" s="3"/>
    </row>
    <row r="205" ht="22.5" hidden="1" customHeight="1">
      <c r="A205" s="22"/>
      <c r="B205" s="37">
        <v>46206.0</v>
      </c>
      <c r="C205" s="41" t="s">
        <v>27</v>
      </c>
      <c r="D205" s="30" t="str">
        <f t="shared" si="9"/>
        <v>QLCHVMDXL_10</v>
      </c>
      <c r="E205" s="30"/>
      <c r="F205" s="30"/>
      <c r="G205" s="16" t="s">
        <v>550</v>
      </c>
      <c r="H205" s="16" t="s">
        <v>551</v>
      </c>
      <c r="I205" s="16"/>
      <c r="J205" s="16" t="s">
        <v>766</v>
      </c>
      <c r="K205" s="16" t="s">
        <v>767</v>
      </c>
      <c r="L205" s="16" t="s">
        <v>767</v>
      </c>
      <c r="M205" s="34" t="s">
        <v>768</v>
      </c>
      <c r="N205" s="14" t="s">
        <v>36</v>
      </c>
      <c r="O205" s="10"/>
      <c r="P205" s="11"/>
      <c r="Q205" s="10"/>
      <c r="R205" s="10"/>
      <c r="S205" s="10"/>
      <c r="T205" s="11"/>
      <c r="U205" s="10"/>
      <c r="V205" s="11"/>
      <c r="W205" s="10"/>
      <c r="X205" s="3"/>
      <c r="Y205" s="3"/>
      <c r="Z205" s="3"/>
      <c r="AA205" s="3"/>
      <c r="AB205" s="3"/>
      <c r="AC205" s="3"/>
    </row>
    <row r="206" ht="22.5" hidden="1" customHeight="1">
      <c r="A206" s="18"/>
      <c r="B206" s="19">
        <v>19.0</v>
      </c>
      <c r="C206" s="45" t="s">
        <v>27</v>
      </c>
      <c r="D206" s="25"/>
      <c r="E206" s="25" t="s">
        <v>769</v>
      </c>
      <c r="F206" s="25" t="s">
        <v>29</v>
      </c>
      <c r="G206" s="29" t="s">
        <v>770</v>
      </c>
      <c r="H206" s="28"/>
      <c r="I206" s="27"/>
      <c r="J206" s="10"/>
      <c r="K206" s="10"/>
      <c r="L206" s="10"/>
      <c r="M206" s="10"/>
      <c r="N206" s="11"/>
      <c r="O206" s="10"/>
      <c r="P206" s="11"/>
      <c r="Q206" s="10"/>
      <c r="R206" s="10"/>
      <c r="S206" s="10"/>
      <c r="T206" s="11"/>
      <c r="U206" s="10"/>
      <c r="V206" s="11"/>
      <c r="W206" s="10"/>
      <c r="X206" s="3"/>
      <c r="Y206" s="3"/>
      <c r="Z206" s="3"/>
      <c r="AA206" s="3"/>
      <c r="AB206" s="3"/>
      <c r="AC206" s="3"/>
    </row>
    <row r="207" ht="22.5" hidden="1" customHeight="1">
      <c r="A207" s="22"/>
      <c r="B207" s="37">
        <v>46206.0</v>
      </c>
      <c r="C207" s="41" t="s">
        <v>27</v>
      </c>
      <c r="D207" s="30" t="str">
        <f t="shared" ref="D207:D218" si="10">IF(G207&lt;&gt;"","TKCHVMDXL_"&amp;TEXT(COUNTIF($G$207:G207,"&lt;&gt;"),"00"),"")</f>
        <v>TKCHVMDXL_01</v>
      </c>
      <c r="E207" s="30"/>
      <c r="F207" s="30"/>
      <c r="G207" s="16" t="s">
        <v>401</v>
      </c>
      <c r="H207" s="16" t="s">
        <v>402</v>
      </c>
      <c r="I207" s="16" t="s">
        <v>403</v>
      </c>
      <c r="J207" s="16" t="s">
        <v>404</v>
      </c>
      <c r="K207" s="16" t="s">
        <v>405</v>
      </c>
      <c r="L207" s="16" t="s">
        <v>405</v>
      </c>
      <c r="M207" s="34" t="s">
        <v>771</v>
      </c>
      <c r="N207" s="14" t="s">
        <v>36</v>
      </c>
      <c r="O207" s="10"/>
      <c r="P207" s="11"/>
      <c r="Q207" s="10"/>
      <c r="R207" s="10"/>
      <c r="S207" s="10"/>
      <c r="T207" s="11"/>
      <c r="U207" s="10"/>
      <c r="V207" s="11"/>
      <c r="W207" s="10"/>
      <c r="X207" s="3"/>
      <c r="Y207" s="3"/>
      <c r="Z207" s="3"/>
      <c r="AA207" s="3"/>
      <c r="AB207" s="3"/>
      <c r="AC207" s="3"/>
    </row>
    <row r="208" ht="22.5" hidden="1" customHeight="1">
      <c r="A208" s="22"/>
      <c r="B208" s="37">
        <v>46206.0</v>
      </c>
      <c r="C208" s="41" t="s">
        <v>27</v>
      </c>
      <c r="D208" s="30" t="str">
        <f t="shared" si="10"/>
        <v>TKCHVMDXL_02</v>
      </c>
      <c r="E208" s="30"/>
      <c r="F208" s="30"/>
      <c r="G208" s="16" t="s">
        <v>407</v>
      </c>
      <c r="H208" s="16" t="s">
        <v>408</v>
      </c>
      <c r="I208" s="16" t="s">
        <v>409</v>
      </c>
      <c r="J208" s="16" t="s">
        <v>410</v>
      </c>
      <c r="K208" s="16" t="s">
        <v>411</v>
      </c>
      <c r="L208" s="16" t="s">
        <v>411</v>
      </c>
      <c r="M208" s="34" t="s">
        <v>772</v>
      </c>
      <c r="N208" s="14" t="s">
        <v>36</v>
      </c>
      <c r="O208" s="10"/>
      <c r="P208" s="11"/>
      <c r="Q208" s="10"/>
      <c r="R208" s="10"/>
      <c r="S208" s="10"/>
      <c r="T208" s="11"/>
      <c r="U208" s="10"/>
      <c r="V208" s="11"/>
      <c r="W208" s="10"/>
      <c r="X208" s="3"/>
      <c r="Y208" s="3"/>
      <c r="Z208" s="3"/>
      <c r="AA208" s="3"/>
      <c r="AB208" s="3"/>
      <c r="AC208" s="3"/>
    </row>
    <row r="209" ht="22.5" hidden="1" customHeight="1">
      <c r="A209" s="22"/>
      <c r="B209" s="37">
        <v>46206.0</v>
      </c>
      <c r="C209" s="41" t="s">
        <v>27</v>
      </c>
      <c r="D209" s="30" t="str">
        <f t="shared" si="10"/>
        <v>TKCHVMDXL_03</v>
      </c>
      <c r="E209" s="30"/>
      <c r="F209" s="30"/>
      <c r="G209" s="16" t="s">
        <v>413</v>
      </c>
      <c r="H209" s="16" t="s">
        <v>414</v>
      </c>
      <c r="I209" s="16" t="s">
        <v>415</v>
      </c>
      <c r="J209" s="16" t="s">
        <v>416</v>
      </c>
      <c r="K209" s="16" t="s">
        <v>417</v>
      </c>
      <c r="L209" s="16" t="s">
        <v>417</v>
      </c>
      <c r="M209" s="34" t="s">
        <v>773</v>
      </c>
      <c r="N209" s="14" t="s">
        <v>36</v>
      </c>
      <c r="O209" s="10"/>
      <c r="P209" s="11"/>
      <c r="Q209" s="10"/>
      <c r="R209" s="10"/>
      <c r="S209" s="10"/>
      <c r="T209" s="11"/>
      <c r="U209" s="10"/>
      <c r="V209" s="11"/>
      <c r="W209" s="10"/>
      <c r="X209" s="3"/>
      <c r="Y209" s="3"/>
      <c r="Z209" s="3"/>
      <c r="AA209" s="3"/>
      <c r="AB209" s="3"/>
      <c r="AC209" s="3"/>
    </row>
    <row r="210" ht="22.5" hidden="1" customHeight="1">
      <c r="A210" s="22"/>
      <c r="B210" s="37">
        <v>46206.0</v>
      </c>
      <c r="C210" s="41" t="s">
        <v>27</v>
      </c>
      <c r="D210" s="30" t="str">
        <f t="shared" si="10"/>
        <v>TKCHVMDXL_04</v>
      </c>
      <c r="E210" s="30"/>
      <c r="F210" s="30"/>
      <c r="G210" s="16" t="s">
        <v>419</v>
      </c>
      <c r="H210" s="16" t="s">
        <v>420</v>
      </c>
      <c r="I210" s="16" t="s">
        <v>421</v>
      </c>
      <c r="J210" s="16" t="s">
        <v>422</v>
      </c>
      <c r="K210" s="16" t="s">
        <v>423</v>
      </c>
      <c r="L210" s="16" t="s">
        <v>423</v>
      </c>
      <c r="M210" s="34" t="s">
        <v>774</v>
      </c>
      <c r="N210" s="14" t="s">
        <v>36</v>
      </c>
      <c r="O210" s="10"/>
      <c r="P210" s="11"/>
      <c r="Q210" s="10"/>
      <c r="R210" s="10"/>
      <c r="S210" s="10"/>
      <c r="T210" s="11"/>
      <c r="U210" s="10"/>
      <c r="V210" s="11"/>
      <c r="W210" s="10"/>
      <c r="X210" s="3"/>
      <c r="Y210" s="3"/>
      <c r="Z210" s="3"/>
      <c r="AA210" s="3"/>
      <c r="AB210" s="3"/>
      <c r="AC210" s="3"/>
    </row>
    <row r="211" ht="22.5" hidden="1" customHeight="1">
      <c r="A211" s="22"/>
      <c r="B211" s="37">
        <v>46206.0</v>
      </c>
      <c r="C211" s="41" t="s">
        <v>27</v>
      </c>
      <c r="D211" s="30" t="str">
        <f t="shared" si="10"/>
        <v>TKCHVMDXL_05</v>
      </c>
      <c r="E211" s="30"/>
      <c r="F211" s="30"/>
      <c r="G211" s="16" t="s">
        <v>425</v>
      </c>
      <c r="H211" s="16" t="s">
        <v>426</v>
      </c>
      <c r="I211" s="16" t="s">
        <v>427</v>
      </c>
      <c r="J211" s="16" t="s">
        <v>428</v>
      </c>
      <c r="K211" s="16" t="s">
        <v>429</v>
      </c>
      <c r="L211" s="16" t="s">
        <v>429</v>
      </c>
      <c r="M211" s="34" t="s">
        <v>775</v>
      </c>
      <c r="N211" s="14" t="s">
        <v>36</v>
      </c>
      <c r="O211" s="10"/>
      <c r="P211" s="11"/>
      <c r="Q211" s="10"/>
      <c r="R211" s="10"/>
      <c r="S211" s="10"/>
      <c r="T211" s="11"/>
      <c r="U211" s="10"/>
      <c r="V211" s="11"/>
      <c r="W211" s="10"/>
      <c r="X211" s="3"/>
      <c r="Y211" s="3"/>
      <c r="Z211" s="3"/>
      <c r="AA211" s="3"/>
      <c r="AB211" s="3"/>
      <c r="AC211" s="3"/>
    </row>
    <row r="212" ht="22.5" customHeight="1">
      <c r="A212" s="22"/>
      <c r="B212" s="37">
        <v>46206.0</v>
      </c>
      <c r="C212" s="41" t="s">
        <v>27</v>
      </c>
      <c r="D212" s="30" t="str">
        <f t="shared" si="10"/>
        <v>TKCHVMDXL_06</v>
      </c>
      <c r="E212" s="30"/>
      <c r="F212" s="30"/>
      <c r="G212" s="16" t="s">
        <v>431</v>
      </c>
      <c r="H212" s="16" t="s">
        <v>432</v>
      </c>
      <c r="I212" s="16" t="s">
        <v>433</v>
      </c>
      <c r="J212" s="16" t="s">
        <v>434</v>
      </c>
      <c r="K212" s="16" t="s">
        <v>435</v>
      </c>
      <c r="L212" s="15" t="s">
        <v>776</v>
      </c>
      <c r="M212" s="34" t="s">
        <v>777</v>
      </c>
      <c r="N212" s="14" t="s">
        <v>63</v>
      </c>
      <c r="O212" s="10"/>
      <c r="P212" s="11"/>
      <c r="Q212" s="10"/>
      <c r="R212" s="10"/>
      <c r="S212" s="10"/>
      <c r="T212" s="11"/>
      <c r="U212" s="10"/>
      <c r="V212" s="11"/>
      <c r="W212" s="10"/>
      <c r="X212" s="3"/>
      <c r="Y212" s="3"/>
      <c r="Z212" s="3"/>
      <c r="AA212" s="3"/>
      <c r="AB212" s="3"/>
      <c r="AC212" s="3"/>
    </row>
    <row r="213" ht="22.5" hidden="1" customHeight="1">
      <c r="A213" s="22"/>
      <c r="B213" s="37">
        <v>46206.0</v>
      </c>
      <c r="C213" s="41" t="s">
        <v>27</v>
      </c>
      <c r="D213" s="30" t="str">
        <f t="shared" si="10"/>
        <v>TKCHVMDXL_07</v>
      </c>
      <c r="E213" s="30"/>
      <c r="F213" s="30"/>
      <c r="G213" s="16" t="s">
        <v>438</v>
      </c>
      <c r="H213" s="16" t="s">
        <v>439</v>
      </c>
      <c r="I213" s="16" t="s">
        <v>440</v>
      </c>
      <c r="J213" s="16" t="s">
        <v>441</v>
      </c>
      <c r="K213" s="16" t="s">
        <v>442</v>
      </c>
      <c r="L213" s="16" t="s">
        <v>442</v>
      </c>
      <c r="M213" s="34" t="s">
        <v>778</v>
      </c>
      <c r="N213" s="14" t="s">
        <v>36</v>
      </c>
      <c r="O213" s="10"/>
      <c r="P213" s="11"/>
      <c r="Q213" s="10"/>
      <c r="R213" s="10"/>
      <c r="S213" s="10"/>
      <c r="T213" s="11"/>
      <c r="U213" s="10"/>
      <c r="V213" s="11"/>
      <c r="W213" s="10"/>
      <c r="X213" s="3"/>
      <c r="Y213" s="3"/>
      <c r="Z213" s="3"/>
      <c r="AA213" s="3"/>
      <c r="AB213" s="3"/>
      <c r="AC213" s="3"/>
    </row>
    <row r="214" ht="22.5" hidden="1" customHeight="1">
      <c r="A214" s="22"/>
      <c r="B214" s="37">
        <v>46206.0</v>
      </c>
      <c r="C214" s="41" t="s">
        <v>27</v>
      </c>
      <c r="D214" s="30" t="str">
        <f t="shared" si="10"/>
        <v>TKCHVMDXL_08</v>
      </c>
      <c r="E214" s="30"/>
      <c r="F214" s="30"/>
      <c r="G214" s="16" t="s">
        <v>444</v>
      </c>
      <c r="H214" s="16" t="s">
        <v>445</v>
      </c>
      <c r="I214" s="16" t="s">
        <v>446</v>
      </c>
      <c r="J214" s="16" t="s">
        <v>447</v>
      </c>
      <c r="K214" s="16" t="s">
        <v>448</v>
      </c>
      <c r="L214" s="16" t="s">
        <v>448</v>
      </c>
      <c r="M214" s="34" t="s">
        <v>779</v>
      </c>
      <c r="N214" s="14" t="s">
        <v>36</v>
      </c>
      <c r="O214" s="10"/>
      <c r="P214" s="11"/>
      <c r="Q214" s="10"/>
      <c r="R214" s="10"/>
      <c r="S214" s="10"/>
      <c r="T214" s="11"/>
      <c r="U214" s="10"/>
      <c r="V214" s="11"/>
      <c r="W214" s="10"/>
      <c r="X214" s="3"/>
      <c r="Y214" s="3"/>
      <c r="Z214" s="3"/>
      <c r="AA214" s="3"/>
      <c r="AB214" s="3"/>
      <c r="AC214" s="3"/>
    </row>
    <row r="215" ht="22.5" hidden="1" customHeight="1">
      <c r="A215" s="22"/>
      <c r="B215" s="37">
        <v>46206.0</v>
      </c>
      <c r="C215" s="41" t="s">
        <v>27</v>
      </c>
      <c r="D215" s="30" t="str">
        <f t="shared" si="10"/>
        <v>TKCHVMDXL_09</v>
      </c>
      <c r="E215" s="30"/>
      <c r="F215" s="30"/>
      <c r="G215" s="16" t="s">
        <v>450</v>
      </c>
      <c r="H215" s="16" t="s">
        <v>451</v>
      </c>
      <c r="I215" s="16" t="s">
        <v>452</v>
      </c>
      <c r="J215" s="16" t="s">
        <v>453</v>
      </c>
      <c r="K215" s="16" t="s">
        <v>454</v>
      </c>
      <c r="L215" s="16" t="s">
        <v>454</v>
      </c>
      <c r="M215" s="34" t="s">
        <v>780</v>
      </c>
      <c r="N215" s="14" t="s">
        <v>36</v>
      </c>
      <c r="O215" s="10"/>
      <c r="P215" s="11"/>
      <c r="Q215" s="10"/>
      <c r="R215" s="10"/>
      <c r="S215" s="10"/>
      <c r="T215" s="11"/>
      <c r="U215" s="10"/>
      <c r="V215" s="11"/>
      <c r="W215" s="10"/>
      <c r="X215" s="3"/>
      <c r="Y215" s="3"/>
      <c r="Z215" s="3"/>
      <c r="AA215" s="3"/>
      <c r="AB215" s="3"/>
      <c r="AC215" s="3"/>
    </row>
    <row r="216" ht="22.5" hidden="1" customHeight="1">
      <c r="A216" s="22"/>
      <c r="B216" s="37">
        <v>46206.0</v>
      </c>
      <c r="C216" s="41" t="s">
        <v>27</v>
      </c>
      <c r="D216" s="30" t="str">
        <f t="shared" si="10"/>
        <v>TKCHVMDXL_10</v>
      </c>
      <c r="E216" s="30"/>
      <c r="F216" s="30"/>
      <c r="G216" s="16" t="s">
        <v>456</v>
      </c>
      <c r="H216" s="16" t="s">
        <v>420</v>
      </c>
      <c r="I216" s="16" t="s">
        <v>457</v>
      </c>
      <c r="J216" s="16" t="s">
        <v>458</v>
      </c>
      <c r="K216" s="16" t="s">
        <v>459</v>
      </c>
      <c r="L216" s="16" t="s">
        <v>459</v>
      </c>
      <c r="M216" s="34" t="s">
        <v>781</v>
      </c>
      <c r="N216" s="14" t="s">
        <v>36</v>
      </c>
      <c r="O216" s="10"/>
      <c r="P216" s="11"/>
      <c r="Q216" s="10"/>
      <c r="R216" s="10"/>
      <c r="S216" s="10"/>
      <c r="T216" s="11"/>
      <c r="U216" s="10"/>
      <c r="V216" s="11"/>
      <c r="W216" s="10"/>
      <c r="X216" s="3"/>
      <c r="Y216" s="3"/>
      <c r="Z216" s="3"/>
      <c r="AA216" s="3"/>
      <c r="AB216" s="3"/>
      <c r="AC216" s="3"/>
    </row>
    <row r="217" ht="22.5" customHeight="1">
      <c r="A217" s="22"/>
      <c r="B217" s="37">
        <v>46206.0</v>
      </c>
      <c r="C217" s="41" t="s">
        <v>27</v>
      </c>
      <c r="D217" s="30" t="str">
        <f t="shared" si="10"/>
        <v>TKCHVMDXL_11</v>
      </c>
      <c r="E217" s="30"/>
      <c r="F217" s="30"/>
      <c r="G217" s="16" t="s">
        <v>461</v>
      </c>
      <c r="H217" s="16" t="s">
        <v>462</v>
      </c>
      <c r="I217" s="16" t="s">
        <v>463</v>
      </c>
      <c r="J217" s="16" t="s">
        <v>464</v>
      </c>
      <c r="K217" s="16" t="s">
        <v>465</v>
      </c>
      <c r="L217" s="15" t="s">
        <v>782</v>
      </c>
      <c r="M217" s="34" t="s">
        <v>783</v>
      </c>
      <c r="N217" s="14" t="s">
        <v>63</v>
      </c>
      <c r="O217" s="10"/>
      <c r="P217" s="11"/>
      <c r="Q217" s="10"/>
      <c r="R217" s="10"/>
      <c r="S217" s="10"/>
      <c r="T217" s="11"/>
      <c r="U217" s="10"/>
      <c r="V217" s="11"/>
      <c r="W217" s="10"/>
      <c r="X217" s="3"/>
      <c r="Y217" s="3"/>
      <c r="Z217" s="3"/>
      <c r="AA217" s="3"/>
      <c r="AB217" s="3"/>
      <c r="AC217" s="3"/>
    </row>
    <row r="218" ht="22.5" hidden="1" customHeight="1">
      <c r="A218" s="22"/>
      <c r="B218" s="37">
        <v>46206.0</v>
      </c>
      <c r="C218" s="41" t="s">
        <v>27</v>
      </c>
      <c r="D218" s="30" t="str">
        <f t="shared" si="10"/>
        <v>TKCHVMDXL_12</v>
      </c>
      <c r="E218" s="30"/>
      <c r="F218" s="30"/>
      <c r="G218" s="16" t="s">
        <v>467</v>
      </c>
      <c r="H218" s="16" t="s">
        <v>468</v>
      </c>
      <c r="I218" s="16" t="s">
        <v>469</v>
      </c>
      <c r="J218" s="16" t="s">
        <v>470</v>
      </c>
      <c r="K218" s="16" t="s">
        <v>471</v>
      </c>
      <c r="L218" s="16" t="s">
        <v>471</v>
      </c>
      <c r="M218" s="34" t="s">
        <v>784</v>
      </c>
      <c r="N218" s="14" t="s">
        <v>36</v>
      </c>
      <c r="O218" s="10"/>
      <c r="P218" s="11"/>
      <c r="Q218" s="10"/>
      <c r="R218" s="10"/>
      <c r="S218" s="10"/>
      <c r="T218" s="11"/>
      <c r="U218" s="10"/>
      <c r="V218" s="11"/>
      <c r="W218" s="10"/>
      <c r="X218" s="3"/>
      <c r="Y218" s="3"/>
      <c r="Z218" s="3"/>
      <c r="AA218" s="3"/>
      <c r="AB218" s="3"/>
      <c r="AC218" s="3"/>
    </row>
    <row r="219" ht="22.5" hidden="1" customHeight="1">
      <c r="A219" s="4"/>
      <c r="B219" s="5" t="s">
        <v>785</v>
      </c>
      <c r="C219" s="44" t="s">
        <v>27</v>
      </c>
      <c r="D219" s="7"/>
      <c r="E219" s="7" t="s">
        <v>786</v>
      </c>
      <c r="F219" s="35"/>
      <c r="G219" s="35"/>
      <c r="H219" s="35"/>
      <c r="I219" s="35"/>
      <c r="J219" s="35"/>
      <c r="K219" s="10"/>
      <c r="L219" s="10"/>
      <c r="M219" s="10"/>
      <c r="N219" s="11"/>
      <c r="O219" s="10"/>
      <c r="P219" s="11"/>
      <c r="Q219" s="10"/>
      <c r="R219" s="10"/>
      <c r="S219" s="10"/>
      <c r="T219" s="11"/>
      <c r="U219" s="10"/>
      <c r="V219" s="11"/>
      <c r="W219" s="10"/>
      <c r="X219" s="3"/>
      <c r="Y219" s="3"/>
      <c r="Z219" s="3"/>
      <c r="AA219" s="3"/>
      <c r="AB219" s="3"/>
      <c r="AC219" s="3"/>
    </row>
    <row r="220" ht="22.5" hidden="1" customHeight="1">
      <c r="A220" s="18"/>
      <c r="B220" s="19">
        <v>20.0</v>
      </c>
      <c r="C220" s="45" t="s">
        <v>27</v>
      </c>
      <c r="D220" s="25"/>
      <c r="E220" s="25" t="s">
        <v>787</v>
      </c>
      <c r="F220" s="25" t="s">
        <v>788</v>
      </c>
      <c r="G220" s="29" t="s">
        <v>789</v>
      </c>
      <c r="H220" s="27"/>
      <c r="I220" s="10"/>
      <c r="J220" s="10"/>
      <c r="K220" s="10"/>
      <c r="L220" s="10"/>
      <c r="M220" s="10"/>
      <c r="N220" s="11"/>
      <c r="O220" s="10"/>
      <c r="P220" s="11"/>
      <c r="Q220" s="10"/>
      <c r="R220" s="10"/>
      <c r="S220" s="10"/>
      <c r="T220" s="11"/>
      <c r="U220" s="10"/>
      <c r="V220" s="11"/>
      <c r="W220" s="10"/>
      <c r="X220" s="3"/>
      <c r="Y220" s="3"/>
      <c r="Z220" s="3"/>
      <c r="AA220" s="3"/>
      <c r="AB220" s="3"/>
      <c r="AC220" s="3"/>
    </row>
    <row r="221" ht="22.5" hidden="1" customHeight="1">
      <c r="A221" s="22"/>
      <c r="B221" s="37">
        <v>46206.0</v>
      </c>
      <c r="C221" s="41" t="s">
        <v>27</v>
      </c>
      <c r="D221" s="30" t="str">
        <f t="shared" ref="D221:D243" si="11">IF(G221&lt;&gt;"","TTCTDTTH_"&amp;TEXT(COUNTIF($G$221:G221,"&lt;&gt;"),"00"),"")</f>
        <v>TTCTDTTH_01</v>
      </c>
      <c r="F221" s="16"/>
      <c r="G221" s="16" t="s">
        <v>790</v>
      </c>
      <c r="H221" s="16" t="s">
        <v>791</v>
      </c>
      <c r="I221" s="16" t="s">
        <v>792</v>
      </c>
      <c r="J221" s="16" t="s">
        <v>793</v>
      </c>
      <c r="K221" s="16" t="s">
        <v>794</v>
      </c>
      <c r="L221" s="16" t="s">
        <v>794</v>
      </c>
      <c r="M221" s="34" t="s">
        <v>795</v>
      </c>
      <c r="N221" s="14" t="s">
        <v>36</v>
      </c>
      <c r="O221" s="10"/>
      <c r="P221" s="11"/>
      <c r="Q221" s="10"/>
      <c r="R221" s="10"/>
      <c r="S221" s="10"/>
      <c r="T221" s="11"/>
      <c r="U221" s="10"/>
      <c r="V221" s="11"/>
      <c r="W221" s="10"/>
      <c r="X221" s="3"/>
      <c r="Y221" s="3"/>
      <c r="Z221" s="3"/>
      <c r="AA221" s="3"/>
      <c r="AB221" s="3"/>
      <c r="AC221" s="3"/>
    </row>
    <row r="222" ht="22.5" hidden="1" customHeight="1">
      <c r="A222" s="22"/>
      <c r="B222" s="37">
        <v>46206.0</v>
      </c>
      <c r="C222" s="41" t="s">
        <v>27</v>
      </c>
      <c r="D222" s="30" t="str">
        <f t="shared" si="11"/>
        <v>TTCTDTTH_02</v>
      </c>
      <c r="F222" s="16"/>
      <c r="G222" s="16" t="s">
        <v>796</v>
      </c>
      <c r="H222" s="16" t="s">
        <v>797</v>
      </c>
      <c r="I222" s="16" t="s">
        <v>792</v>
      </c>
      <c r="J222" s="16" t="s">
        <v>798</v>
      </c>
      <c r="K222" s="16" t="s">
        <v>799</v>
      </c>
      <c r="L222" s="16" t="s">
        <v>799</v>
      </c>
      <c r="M222" s="34" t="s">
        <v>800</v>
      </c>
      <c r="N222" s="14" t="s">
        <v>36</v>
      </c>
      <c r="O222" s="10"/>
      <c r="P222" s="11"/>
      <c r="Q222" s="10"/>
      <c r="R222" s="10"/>
      <c r="S222" s="10"/>
      <c r="T222" s="11"/>
      <c r="U222" s="10"/>
      <c r="V222" s="11"/>
      <c r="W222" s="10"/>
      <c r="X222" s="3"/>
      <c r="Y222" s="3"/>
      <c r="Z222" s="3"/>
      <c r="AA222" s="3"/>
      <c r="AB222" s="3"/>
      <c r="AC222" s="3"/>
    </row>
    <row r="223" ht="22.5" hidden="1" customHeight="1">
      <c r="A223" s="22"/>
      <c r="B223" s="37">
        <v>46206.0</v>
      </c>
      <c r="C223" s="41" t="s">
        <v>27</v>
      </c>
      <c r="D223" s="30" t="str">
        <f t="shared" si="11"/>
        <v>TTCTDTTH_03</v>
      </c>
      <c r="F223" s="16"/>
      <c r="G223" s="16" t="s">
        <v>801</v>
      </c>
      <c r="H223" s="16" t="s">
        <v>58</v>
      </c>
      <c r="I223" s="16" t="s">
        <v>802</v>
      </c>
      <c r="J223" s="16" t="s">
        <v>803</v>
      </c>
      <c r="K223" s="16" t="s">
        <v>804</v>
      </c>
      <c r="L223" s="16" t="s">
        <v>804</v>
      </c>
      <c r="M223" s="34" t="s">
        <v>805</v>
      </c>
      <c r="N223" s="14" t="s">
        <v>36</v>
      </c>
      <c r="O223" s="10"/>
      <c r="P223" s="11"/>
      <c r="Q223" s="10"/>
      <c r="R223" s="10"/>
      <c r="S223" s="10"/>
      <c r="T223" s="11"/>
      <c r="U223" s="10"/>
      <c r="V223" s="11"/>
      <c r="W223" s="10"/>
      <c r="X223" s="3"/>
      <c r="Y223" s="3"/>
      <c r="Z223" s="3"/>
      <c r="AA223" s="3"/>
      <c r="AB223" s="3"/>
      <c r="AC223" s="3"/>
    </row>
    <row r="224" ht="22.5" hidden="1" customHeight="1">
      <c r="A224" s="22"/>
      <c r="B224" s="37">
        <v>46206.0</v>
      </c>
      <c r="C224" s="41" t="s">
        <v>27</v>
      </c>
      <c r="D224" s="30" t="str">
        <f t="shared" si="11"/>
        <v>TTCTDTTH_04</v>
      </c>
      <c r="F224" s="16"/>
      <c r="G224" s="16" t="s">
        <v>806</v>
      </c>
      <c r="H224" s="16" t="s">
        <v>58</v>
      </c>
      <c r="I224" s="16" t="s">
        <v>807</v>
      </c>
      <c r="J224" s="16" t="s">
        <v>808</v>
      </c>
      <c r="K224" s="16" t="s">
        <v>809</v>
      </c>
      <c r="L224" s="16" t="s">
        <v>809</v>
      </c>
      <c r="M224" s="34" t="s">
        <v>810</v>
      </c>
      <c r="N224" s="14" t="s">
        <v>36</v>
      </c>
      <c r="O224" s="10"/>
      <c r="P224" s="11"/>
      <c r="Q224" s="10"/>
      <c r="R224" s="10"/>
      <c r="S224" s="10"/>
      <c r="T224" s="11"/>
      <c r="U224" s="10"/>
      <c r="V224" s="11"/>
      <c r="W224" s="10"/>
      <c r="X224" s="3"/>
      <c r="Y224" s="3"/>
      <c r="Z224" s="3"/>
      <c r="AA224" s="3"/>
      <c r="AB224" s="3"/>
      <c r="AC224" s="3"/>
    </row>
    <row r="225" ht="22.5" hidden="1" customHeight="1">
      <c r="A225" s="22"/>
      <c r="B225" s="37">
        <v>46206.0</v>
      </c>
      <c r="C225" s="41" t="s">
        <v>27</v>
      </c>
      <c r="D225" s="30" t="str">
        <f t="shared" si="11"/>
        <v>TTCTDTTH_05</v>
      </c>
      <c r="F225" s="16"/>
      <c r="G225" s="16" t="s">
        <v>811</v>
      </c>
      <c r="H225" s="16" t="s">
        <v>792</v>
      </c>
      <c r="I225" s="16" t="s">
        <v>812</v>
      </c>
      <c r="J225" s="16" t="s">
        <v>813</v>
      </c>
      <c r="K225" s="16" t="s">
        <v>814</v>
      </c>
      <c r="L225" s="16" t="s">
        <v>814</v>
      </c>
      <c r="M225" s="34" t="s">
        <v>815</v>
      </c>
      <c r="N225" s="14" t="s">
        <v>36</v>
      </c>
      <c r="O225" s="10"/>
      <c r="P225" s="11"/>
      <c r="Q225" s="10"/>
      <c r="R225" s="10"/>
      <c r="S225" s="10"/>
      <c r="T225" s="11"/>
      <c r="U225" s="10"/>
      <c r="V225" s="11"/>
      <c r="W225" s="10"/>
      <c r="X225" s="3"/>
      <c r="Y225" s="3"/>
      <c r="Z225" s="3"/>
      <c r="AA225" s="3"/>
      <c r="AB225" s="3"/>
      <c r="AC225" s="3"/>
    </row>
    <row r="226" ht="22.5" hidden="1" customHeight="1">
      <c r="A226" s="22"/>
      <c r="B226" s="37">
        <v>46206.0</v>
      </c>
      <c r="C226" s="41" t="s">
        <v>27</v>
      </c>
      <c r="D226" s="30" t="str">
        <f t="shared" si="11"/>
        <v>TTCTDTTH_06</v>
      </c>
      <c r="F226" s="16"/>
      <c r="G226" s="16" t="s">
        <v>816</v>
      </c>
      <c r="H226" s="16" t="s">
        <v>792</v>
      </c>
      <c r="I226" s="16" t="s">
        <v>817</v>
      </c>
      <c r="J226" s="16" t="s">
        <v>818</v>
      </c>
      <c r="K226" s="16" t="s">
        <v>819</v>
      </c>
      <c r="L226" s="16" t="s">
        <v>819</v>
      </c>
      <c r="M226" s="34" t="s">
        <v>820</v>
      </c>
      <c r="N226" s="14" t="s">
        <v>36</v>
      </c>
      <c r="O226" s="10"/>
      <c r="P226" s="11"/>
      <c r="Q226" s="10"/>
      <c r="R226" s="10"/>
      <c r="S226" s="10"/>
      <c r="T226" s="11"/>
      <c r="U226" s="10"/>
      <c r="V226" s="11"/>
      <c r="W226" s="10"/>
      <c r="X226" s="3"/>
      <c r="Y226" s="3"/>
      <c r="Z226" s="3"/>
      <c r="AA226" s="3"/>
      <c r="AB226" s="3"/>
      <c r="AC226" s="3"/>
    </row>
    <row r="227" ht="22.5" hidden="1" customHeight="1">
      <c r="A227" s="22"/>
      <c r="B227" s="37">
        <v>46206.0</v>
      </c>
      <c r="C227" s="41" t="s">
        <v>27</v>
      </c>
      <c r="D227" s="30" t="str">
        <f t="shared" si="11"/>
        <v>TTCTDTTH_07</v>
      </c>
      <c r="F227" s="16"/>
      <c r="G227" s="16" t="s">
        <v>821</v>
      </c>
      <c r="H227" s="16" t="s">
        <v>58</v>
      </c>
      <c r="I227" s="16" t="s">
        <v>822</v>
      </c>
      <c r="J227" s="16" t="s">
        <v>823</v>
      </c>
      <c r="K227" s="16" t="s">
        <v>824</v>
      </c>
      <c r="L227" s="16" t="s">
        <v>824</v>
      </c>
      <c r="M227" s="34" t="s">
        <v>825</v>
      </c>
      <c r="N227" s="14" t="s">
        <v>36</v>
      </c>
      <c r="O227" s="10"/>
      <c r="P227" s="11"/>
      <c r="Q227" s="10"/>
      <c r="R227" s="10"/>
      <c r="S227" s="10"/>
      <c r="T227" s="11"/>
      <c r="U227" s="10"/>
      <c r="V227" s="11"/>
      <c r="W227" s="10"/>
      <c r="X227" s="3"/>
      <c r="Y227" s="3"/>
      <c r="Z227" s="3"/>
      <c r="AA227" s="3"/>
      <c r="AB227" s="3"/>
      <c r="AC227" s="3"/>
    </row>
    <row r="228" ht="22.5" hidden="1" customHeight="1">
      <c r="A228" s="22"/>
      <c r="B228" s="37">
        <v>46206.0</v>
      </c>
      <c r="C228" s="41" t="s">
        <v>27</v>
      </c>
      <c r="D228" s="30" t="str">
        <f t="shared" si="11"/>
        <v>TTCTDTTH_08</v>
      </c>
      <c r="F228" s="16"/>
      <c r="G228" s="16" t="s">
        <v>826</v>
      </c>
      <c r="H228" s="16" t="s">
        <v>792</v>
      </c>
      <c r="I228" s="16" t="s">
        <v>792</v>
      </c>
      <c r="J228" s="16" t="s">
        <v>827</v>
      </c>
      <c r="K228" s="16" t="s">
        <v>828</v>
      </c>
      <c r="L228" s="16" t="s">
        <v>828</v>
      </c>
      <c r="M228" s="34" t="s">
        <v>829</v>
      </c>
      <c r="N228" s="14" t="s">
        <v>36</v>
      </c>
      <c r="O228" s="10"/>
      <c r="P228" s="11"/>
      <c r="Q228" s="10"/>
      <c r="R228" s="10"/>
      <c r="S228" s="10"/>
      <c r="T228" s="11"/>
      <c r="U228" s="10"/>
      <c r="V228" s="11"/>
      <c r="W228" s="10"/>
      <c r="X228" s="3"/>
      <c r="Y228" s="3"/>
      <c r="Z228" s="3"/>
      <c r="AA228" s="3"/>
      <c r="AB228" s="3"/>
      <c r="AC228" s="3"/>
    </row>
    <row r="229" ht="22.5" hidden="1" customHeight="1">
      <c r="A229" s="22"/>
      <c r="B229" s="37">
        <v>46206.0</v>
      </c>
      <c r="C229" s="41" t="s">
        <v>27</v>
      </c>
      <c r="D229" s="30" t="str">
        <f t="shared" si="11"/>
        <v>TTCTDTTH_09</v>
      </c>
      <c r="F229" s="16"/>
      <c r="G229" s="16" t="s">
        <v>830</v>
      </c>
      <c r="H229" s="16" t="s">
        <v>831</v>
      </c>
      <c r="I229" s="16" t="s">
        <v>792</v>
      </c>
      <c r="J229" s="16" t="s">
        <v>80</v>
      </c>
      <c r="K229" s="16" t="s">
        <v>832</v>
      </c>
      <c r="L229" s="16" t="s">
        <v>832</v>
      </c>
      <c r="M229" s="34" t="s">
        <v>833</v>
      </c>
      <c r="N229" s="14" t="s">
        <v>36</v>
      </c>
      <c r="O229" s="10"/>
      <c r="P229" s="11"/>
      <c r="Q229" s="10"/>
      <c r="R229" s="10"/>
      <c r="S229" s="10"/>
      <c r="T229" s="11"/>
      <c r="U229" s="10"/>
      <c r="V229" s="11"/>
      <c r="W229" s="10"/>
      <c r="X229" s="3"/>
      <c r="Y229" s="3"/>
      <c r="Z229" s="3"/>
      <c r="AA229" s="3"/>
      <c r="AB229" s="3"/>
      <c r="AC229" s="3"/>
    </row>
    <row r="230" ht="22.5" hidden="1" customHeight="1">
      <c r="A230" s="22"/>
      <c r="B230" s="37">
        <v>46206.0</v>
      </c>
      <c r="C230" s="41" t="s">
        <v>27</v>
      </c>
      <c r="D230" s="30" t="str">
        <f t="shared" si="11"/>
        <v>TTCTDTTH_10</v>
      </c>
      <c r="F230" s="16"/>
      <c r="G230" s="16" t="s">
        <v>834</v>
      </c>
      <c r="H230" s="16" t="s">
        <v>792</v>
      </c>
      <c r="I230" s="16" t="s">
        <v>792</v>
      </c>
      <c r="J230" s="16" t="s">
        <v>85</v>
      </c>
      <c r="K230" s="16" t="s">
        <v>835</v>
      </c>
      <c r="L230" s="16" t="s">
        <v>835</v>
      </c>
      <c r="M230" s="34" t="s">
        <v>836</v>
      </c>
      <c r="N230" s="14" t="s">
        <v>36</v>
      </c>
      <c r="O230" s="10"/>
      <c r="P230" s="11"/>
      <c r="Q230" s="10"/>
      <c r="R230" s="10"/>
      <c r="S230" s="10"/>
      <c r="T230" s="11"/>
      <c r="U230" s="10"/>
      <c r="V230" s="11"/>
      <c r="W230" s="10"/>
      <c r="X230" s="3"/>
      <c r="Y230" s="3"/>
      <c r="Z230" s="3"/>
      <c r="AA230" s="3"/>
      <c r="AB230" s="3"/>
      <c r="AC230" s="3"/>
    </row>
    <row r="231" ht="22.5" hidden="1" customHeight="1">
      <c r="A231" s="22"/>
      <c r="B231" s="37">
        <v>46206.0</v>
      </c>
      <c r="C231" s="41" t="s">
        <v>27</v>
      </c>
      <c r="D231" s="30" t="str">
        <f t="shared" si="11"/>
        <v>TTCTDTTH_11</v>
      </c>
      <c r="F231" s="16"/>
      <c r="G231" s="16" t="s">
        <v>837</v>
      </c>
      <c r="H231" s="16" t="s">
        <v>792</v>
      </c>
      <c r="I231" s="16" t="s">
        <v>792</v>
      </c>
      <c r="J231" s="16" t="s">
        <v>838</v>
      </c>
      <c r="K231" s="16" t="s">
        <v>839</v>
      </c>
      <c r="L231" s="16" t="s">
        <v>839</v>
      </c>
      <c r="M231" s="34" t="s">
        <v>840</v>
      </c>
      <c r="N231" s="14" t="s">
        <v>36</v>
      </c>
      <c r="O231" s="10"/>
      <c r="P231" s="11"/>
      <c r="Q231" s="10"/>
      <c r="R231" s="10"/>
      <c r="S231" s="10"/>
      <c r="T231" s="11"/>
      <c r="U231" s="10"/>
      <c r="V231" s="11"/>
      <c r="W231" s="10"/>
      <c r="X231" s="3"/>
      <c r="Y231" s="3"/>
      <c r="Z231" s="3"/>
      <c r="AA231" s="3"/>
      <c r="AB231" s="3"/>
      <c r="AC231" s="3"/>
    </row>
    <row r="232" ht="22.5" hidden="1" customHeight="1">
      <c r="A232" s="22"/>
      <c r="B232" s="37">
        <v>46206.0</v>
      </c>
      <c r="C232" s="41" t="s">
        <v>27</v>
      </c>
      <c r="D232" s="30" t="str">
        <f t="shared" si="11"/>
        <v>TTCTDTTH_12</v>
      </c>
      <c r="F232" s="16"/>
      <c r="G232" s="16" t="s">
        <v>841</v>
      </c>
      <c r="H232" s="16" t="s">
        <v>58</v>
      </c>
      <c r="I232" s="16" t="s">
        <v>792</v>
      </c>
      <c r="J232" s="16" t="s">
        <v>842</v>
      </c>
      <c r="K232" s="16" t="s">
        <v>843</v>
      </c>
      <c r="L232" s="16" t="s">
        <v>843</v>
      </c>
      <c r="M232" s="34" t="s">
        <v>844</v>
      </c>
      <c r="N232" s="14" t="s">
        <v>36</v>
      </c>
      <c r="O232" s="10"/>
      <c r="P232" s="11"/>
      <c r="Q232" s="10"/>
      <c r="R232" s="10"/>
      <c r="S232" s="10"/>
      <c r="T232" s="11"/>
      <c r="U232" s="10"/>
      <c r="V232" s="11"/>
      <c r="W232" s="10"/>
      <c r="X232" s="3"/>
      <c r="Y232" s="3"/>
      <c r="Z232" s="3"/>
      <c r="AA232" s="3"/>
      <c r="AB232" s="3"/>
      <c r="AC232" s="3"/>
    </row>
    <row r="233" ht="22.5" hidden="1" customHeight="1">
      <c r="A233" s="22"/>
      <c r="B233" s="37">
        <v>46206.0</v>
      </c>
      <c r="C233" s="41" t="s">
        <v>27</v>
      </c>
      <c r="D233" s="30" t="str">
        <f t="shared" si="11"/>
        <v>TTCTDTTH_13</v>
      </c>
      <c r="F233" s="16"/>
      <c r="G233" s="16" t="s">
        <v>845</v>
      </c>
      <c r="H233" s="16" t="s">
        <v>58</v>
      </c>
      <c r="I233" s="16" t="s">
        <v>792</v>
      </c>
      <c r="J233" s="16" t="s">
        <v>846</v>
      </c>
      <c r="K233" s="16" t="s">
        <v>847</v>
      </c>
      <c r="L233" s="16" t="s">
        <v>847</v>
      </c>
      <c r="M233" s="34" t="s">
        <v>848</v>
      </c>
      <c r="N233" s="14" t="s">
        <v>36</v>
      </c>
      <c r="O233" s="10"/>
      <c r="P233" s="11"/>
      <c r="Q233" s="10"/>
      <c r="R233" s="10"/>
      <c r="S233" s="10"/>
      <c r="T233" s="11"/>
      <c r="U233" s="10"/>
      <c r="V233" s="11"/>
      <c r="W233" s="10"/>
      <c r="X233" s="3"/>
      <c r="Y233" s="3"/>
      <c r="Z233" s="3"/>
      <c r="AA233" s="3"/>
      <c r="AB233" s="3"/>
      <c r="AC233" s="3"/>
    </row>
    <row r="234" ht="22.5" hidden="1" customHeight="1">
      <c r="A234" s="22"/>
      <c r="B234" s="37">
        <v>46206.0</v>
      </c>
      <c r="C234" s="41" t="s">
        <v>27</v>
      </c>
      <c r="D234" s="30" t="str">
        <f t="shared" si="11"/>
        <v>TTCTDTTH_14</v>
      </c>
      <c r="F234" s="16"/>
      <c r="G234" s="16" t="s">
        <v>849</v>
      </c>
      <c r="H234" s="16" t="s">
        <v>58</v>
      </c>
      <c r="I234" s="16" t="s">
        <v>792</v>
      </c>
      <c r="J234" s="16" t="s">
        <v>850</v>
      </c>
      <c r="K234" s="16" t="s">
        <v>851</v>
      </c>
      <c r="L234" s="16" t="s">
        <v>851</v>
      </c>
      <c r="M234" s="34" t="s">
        <v>852</v>
      </c>
      <c r="N234" s="14" t="s">
        <v>36</v>
      </c>
      <c r="O234" s="10"/>
      <c r="P234" s="11"/>
      <c r="Q234" s="10"/>
      <c r="R234" s="10"/>
      <c r="S234" s="10"/>
      <c r="T234" s="11"/>
      <c r="U234" s="10"/>
      <c r="V234" s="11"/>
      <c r="W234" s="10"/>
      <c r="X234" s="3"/>
      <c r="Y234" s="3"/>
      <c r="Z234" s="3"/>
      <c r="AA234" s="3"/>
      <c r="AB234" s="3"/>
      <c r="AC234" s="3"/>
    </row>
    <row r="235" ht="22.5" hidden="1" customHeight="1">
      <c r="A235" s="22"/>
      <c r="B235" s="37">
        <v>46206.0</v>
      </c>
      <c r="C235" s="41" t="s">
        <v>27</v>
      </c>
      <c r="D235" s="30" t="str">
        <f t="shared" si="11"/>
        <v>TTCTDTTH_15</v>
      </c>
      <c r="F235" s="16"/>
      <c r="G235" s="16" t="s">
        <v>853</v>
      </c>
      <c r="H235" s="16" t="s">
        <v>58</v>
      </c>
      <c r="I235" s="16" t="s">
        <v>792</v>
      </c>
      <c r="J235" s="16" t="s">
        <v>854</v>
      </c>
      <c r="K235" s="16" t="s">
        <v>855</v>
      </c>
      <c r="L235" s="16" t="s">
        <v>855</v>
      </c>
      <c r="M235" s="34" t="s">
        <v>856</v>
      </c>
      <c r="N235" s="14" t="s">
        <v>36</v>
      </c>
      <c r="O235" s="10"/>
      <c r="P235" s="11"/>
      <c r="Q235" s="10"/>
      <c r="R235" s="10"/>
      <c r="S235" s="10"/>
      <c r="T235" s="11"/>
      <c r="U235" s="10"/>
      <c r="V235" s="11"/>
      <c r="W235" s="10"/>
      <c r="X235" s="3"/>
      <c r="Y235" s="3"/>
      <c r="Z235" s="3"/>
      <c r="AA235" s="3"/>
      <c r="AB235" s="3"/>
      <c r="AC235" s="3"/>
    </row>
    <row r="236" ht="22.5" hidden="1" customHeight="1">
      <c r="A236" s="22"/>
      <c r="B236" s="37">
        <v>46206.0</v>
      </c>
      <c r="C236" s="41" t="s">
        <v>27</v>
      </c>
      <c r="D236" s="30" t="str">
        <f t="shared" si="11"/>
        <v>TTCTDTTH_16</v>
      </c>
      <c r="F236" s="16"/>
      <c r="G236" s="16" t="s">
        <v>857</v>
      </c>
      <c r="H236" s="16" t="s">
        <v>58</v>
      </c>
      <c r="I236" s="16" t="s">
        <v>792</v>
      </c>
      <c r="J236" s="16" t="s">
        <v>858</v>
      </c>
      <c r="K236" s="16" t="s">
        <v>859</v>
      </c>
      <c r="L236" s="16"/>
      <c r="M236" s="10"/>
      <c r="N236" s="14" t="s">
        <v>205</v>
      </c>
      <c r="O236" s="15" t="s">
        <v>206</v>
      </c>
      <c r="P236" s="11"/>
      <c r="Q236" s="10"/>
      <c r="R236" s="10"/>
      <c r="S236" s="10"/>
      <c r="T236" s="11"/>
      <c r="U236" s="10"/>
      <c r="V236" s="11"/>
      <c r="W236" s="10"/>
      <c r="X236" s="3"/>
      <c r="Y236" s="3"/>
      <c r="Z236" s="3"/>
      <c r="AA236" s="3"/>
      <c r="AB236" s="3"/>
      <c r="AC236" s="3"/>
    </row>
    <row r="237" ht="22.5" hidden="1" customHeight="1">
      <c r="A237" s="22"/>
      <c r="B237" s="37">
        <v>46206.0</v>
      </c>
      <c r="C237" s="41" t="s">
        <v>27</v>
      </c>
      <c r="D237" s="30" t="str">
        <f t="shared" si="11"/>
        <v>TTCTDTTH_17</v>
      </c>
      <c r="F237" s="16"/>
      <c r="G237" s="16" t="s">
        <v>860</v>
      </c>
      <c r="H237" s="16" t="s">
        <v>58</v>
      </c>
      <c r="I237" s="16" t="s">
        <v>792</v>
      </c>
      <c r="J237" s="16" t="s">
        <v>861</v>
      </c>
      <c r="K237" s="16" t="s">
        <v>862</v>
      </c>
      <c r="L237" s="16"/>
      <c r="M237" s="10"/>
      <c r="N237" s="14" t="s">
        <v>205</v>
      </c>
      <c r="O237" s="15" t="s">
        <v>206</v>
      </c>
      <c r="P237" s="11"/>
      <c r="Q237" s="10"/>
      <c r="R237" s="10"/>
      <c r="S237" s="10"/>
      <c r="T237" s="11"/>
      <c r="U237" s="10"/>
      <c r="V237" s="11"/>
      <c r="W237" s="10"/>
      <c r="X237" s="3"/>
      <c r="Y237" s="3"/>
      <c r="Z237" s="3"/>
      <c r="AA237" s="3"/>
      <c r="AB237" s="3"/>
      <c r="AC237" s="3"/>
    </row>
    <row r="238" ht="22.5" hidden="1" customHeight="1">
      <c r="A238" s="22"/>
      <c r="B238" s="37">
        <v>46206.0</v>
      </c>
      <c r="C238" s="41" t="s">
        <v>27</v>
      </c>
      <c r="D238" s="30" t="str">
        <f t="shared" si="11"/>
        <v>TTCTDTTH_18</v>
      </c>
      <c r="F238" s="16"/>
      <c r="G238" s="16" t="s">
        <v>863</v>
      </c>
      <c r="H238" s="16" t="s">
        <v>58</v>
      </c>
      <c r="I238" s="16" t="s">
        <v>792</v>
      </c>
      <c r="J238" s="16" t="s">
        <v>864</v>
      </c>
      <c r="K238" s="16" t="s">
        <v>865</v>
      </c>
      <c r="L238" s="16" t="s">
        <v>865</v>
      </c>
      <c r="M238" s="34" t="s">
        <v>866</v>
      </c>
      <c r="N238" s="14" t="s">
        <v>36</v>
      </c>
      <c r="O238" s="10"/>
      <c r="P238" s="11"/>
      <c r="Q238" s="10"/>
      <c r="R238" s="10"/>
      <c r="S238" s="10"/>
      <c r="T238" s="11"/>
      <c r="U238" s="10"/>
      <c r="V238" s="11"/>
      <c r="W238" s="10"/>
      <c r="X238" s="3"/>
      <c r="Y238" s="3"/>
      <c r="Z238" s="3"/>
      <c r="AA238" s="3"/>
      <c r="AB238" s="3"/>
      <c r="AC238" s="3"/>
    </row>
    <row r="239" ht="22.5" hidden="1" customHeight="1">
      <c r="A239" s="22"/>
      <c r="B239" s="37">
        <v>46206.0</v>
      </c>
      <c r="C239" s="41" t="s">
        <v>27</v>
      </c>
      <c r="D239" s="30" t="str">
        <f t="shared" si="11"/>
        <v>TTCTDTTH_19</v>
      </c>
      <c r="F239" s="16"/>
      <c r="G239" s="16" t="s">
        <v>867</v>
      </c>
      <c r="H239" s="16" t="s">
        <v>868</v>
      </c>
      <c r="I239" s="16" t="s">
        <v>792</v>
      </c>
      <c r="J239" s="16" t="s">
        <v>869</v>
      </c>
      <c r="K239" s="16" t="s">
        <v>870</v>
      </c>
      <c r="L239" s="16" t="s">
        <v>870</v>
      </c>
      <c r="M239" s="34" t="s">
        <v>871</v>
      </c>
      <c r="N239" s="14" t="s">
        <v>36</v>
      </c>
      <c r="O239" s="10"/>
      <c r="P239" s="11"/>
      <c r="Q239" s="10"/>
      <c r="R239" s="10"/>
      <c r="S239" s="10"/>
      <c r="T239" s="11"/>
      <c r="U239" s="10"/>
      <c r="V239" s="11"/>
      <c r="W239" s="10"/>
      <c r="X239" s="3"/>
      <c r="Y239" s="3"/>
      <c r="Z239" s="3"/>
      <c r="AA239" s="3"/>
      <c r="AB239" s="3"/>
      <c r="AC239" s="3"/>
    </row>
    <row r="240" ht="22.5" hidden="1" customHeight="1">
      <c r="A240" s="22"/>
      <c r="B240" s="37">
        <v>46206.0</v>
      </c>
      <c r="C240" s="41" t="s">
        <v>27</v>
      </c>
      <c r="D240" s="30" t="str">
        <f t="shared" si="11"/>
        <v>TTCTDTTH_20</v>
      </c>
      <c r="F240" s="16"/>
      <c r="G240" s="16" t="s">
        <v>872</v>
      </c>
      <c r="H240" s="16" t="s">
        <v>873</v>
      </c>
      <c r="I240" s="16" t="s">
        <v>792</v>
      </c>
      <c r="J240" s="16" t="s">
        <v>874</v>
      </c>
      <c r="K240" s="16" t="s">
        <v>875</v>
      </c>
      <c r="L240" s="16" t="s">
        <v>875</v>
      </c>
      <c r="M240" s="34" t="s">
        <v>876</v>
      </c>
      <c r="N240" s="14" t="s">
        <v>36</v>
      </c>
      <c r="O240" s="10"/>
      <c r="P240" s="11"/>
      <c r="Q240" s="10"/>
      <c r="R240" s="10"/>
      <c r="S240" s="10"/>
      <c r="T240" s="11"/>
      <c r="U240" s="10"/>
      <c r="V240" s="11"/>
      <c r="W240" s="10"/>
      <c r="X240" s="3"/>
      <c r="Y240" s="3"/>
      <c r="Z240" s="3"/>
      <c r="AA240" s="3"/>
      <c r="AB240" s="3"/>
      <c r="AC240" s="3"/>
    </row>
    <row r="241" ht="22.5" hidden="1" customHeight="1">
      <c r="A241" s="22"/>
      <c r="B241" s="37">
        <v>46206.0</v>
      </c>
      <c r="C241" s="41" t="s">
        <v>27</v>
      </c>
      <c r="D241" s="30" t="str">
        <f t="shared" si="11"/>
        <v>TTCTDTTH_21</v>
      </c>
      <c r="F241" s="16"/>
      <c r="G241" s="16" t="s">
        <v>877</v>
      </c>
      <c r="H241" s="16" t="s">
        <v>58</v>
      </c>
      <c r="I241" s="16" t="s">
        <v>792</v>
      </c>
      <c r="J241" s="16" t="s">
        <v>878</v>
      </c>
      <c r="K241" s="16" t="s">
        <v>879</v>
      </c>
      <c r="L241" s="16" t="s">
        <v>879</v>
      </c>
      <c r="M241" s="34" t="s">
        <v>880</v>
      </c>
      <c r="N241" s="14" t="s">
        <v>36</v>
      </c>
      <c r="O241" s="10"/>
      <c r="P241" s="11"/>
      <c r="Q241" s="10"/>
      <c r="R241" s="10"/>
      <c r="S241" s="10"/>
      <c r="T241" s="11"/>
      <c r="U241" s="10"/>
      <c r="V241" s="11"/>
      <c r="W241" s="10"/>
      <c r="X241" s="3"/>
      <c r="Y241" s="3"/>
      <c r="Z241" s="3"/>
      <c r="AA241" s="3"/>
      <c r="AB241" s="3"/>
      <c r="AC241" s="3"/>
    </row>
    <row r="242" ht="22.5" hidden="1" customHeight="1">
      <c r="A242" s="22"/>
      <c r="B242" s="37">
        <v>46206.0</v>
      </c>
      <c r="C242" s="41" t="s">
        <v>27</v>
      </c>
      <c r="D242" s="30" t="str">
        <f t="shared" si="11"/>
        <v>TTCTDTTH_22</v>
      </c>
      <c r="F242" s="16"/>
      <c r="G242" s="16" t="s">
        <v>881</v>
      </c>
      <c r="H242" s="16" t="s">
        <v>792</v>
      </c>
      <c r="I242" s="16" t="s">
        <v>792</v>
      </c>
      <c r="J242" s="16" t="s">
        <v>882</v>
      </c>
      <c r="K242" s="16" t="s">
        <v>883</v>
      </c>
      <c r="L242" s="16" t="s">
        <v>883</v>
      </c>
      <c r="M242" s="34" t="s">
        <v>884</v>
      </c>
      <c r="N242" s="14" t="s">
        <v>36</v>
      </c>
      <c r="O242" s="10"/>
      <c r="P242" s="11"/>
      <c r="Q242" s="10"/>
      <c r="R242" s="10"/>
      <c r="S242" s="10"/>
      <c r="T242" s="11"/>
      <c r="U242" s="10"/>
      <c r="V242" s="11"/>
      <c r="W242" s="10"/>
      <c r="X242" s="3"/>
      <c r="Y242" s="3"/>
      <c r="Z242" s="3"/>
      <c r="AA242" s="3"/>
      <c r="AB242" s="3"/>
      <c r="AC242" s="3"/>
    </row>
    <row r="243" ht="22.5" hidden="1" customHeight="1">
      <c r="A243" s="22"/>
      <c r="B243" s="37">
        <v>46206.0</v>
      </c>
      <c r="C243" s="41" t="s">
        <v>27</v>
      </c>
      <c r="D243" s="30" t="str">
        <f t="shared" si="11"/>
        <v>TTCTDTTH_23</v>
      </c>
      <c r="F243" s="16"/>
      <c r="G243" s="16" t="s">
        <v>885</v>
      </c>
      <c r="H243" s="16" t="s">
        <v>792</v>
      </c>
      <c r="I243" s="16" t="s">
        <v>792</v>
      </c>
      <c r="J243" s="16" t="s">
        <v>886</v>
      </c>
      <c r="K243" s="16" t="s">
        <v>887</v>
      </c>
      <c r="L243" s="16" t="s">
        <v>887</v>
      </c>
      <c r="M243" s="34" t="s">
        <v>888</v>
      </c>
      <c r="N243" s="14" t="s">
        <v>36</v>
      </c>
      <c r="O243" s="10"/>
      <c r="P243" s="11"/>
      <c r="Q243" s="10"/>
      <c r="R243" s="10"/>
      <c r="S243" s="10"/>
      <c r="T243" s="11"/>
      <c r="U243" s="10"/>
      <c r="V243" s="11"/>
      <c r="W243" s="10"/>
      <c r="X243" s="3"/>
      <c r="Y243" s="3"/>
      <c r="Z243" s="3"/>
      <c r="AA243" s="3"/>
      <c r="AB243" s="3"/>
      <c r="AC243" s="3"/>
    </row>
    <row r="244" ht="22.5" hidden="1" customHeight="1">
      <c r="A244" s="18"/>
      <c r="B244" s="19">
        <v>21.0</v>
      </c>
      <c r="C244" s="45" t="s">
        <v>27</v>
      </c>
      <c r="D244" s="25"/>
      <c r="E244" s="25" t="s">
        <v>889</v>
      </c>
      <c r="F244" s="25" t="s">
        <v>890</v>
      </c>
      <c r="G244" s="29" t="s">
        <v>891</v>
      </c>
      <c r="H244" s="27"/>
      <c r="I244" s="10"/>
      <c r="J244" s="10"/>
      <c r="K244" s="10"/>
      <c r="L244" s="10"/>
      <c r="M244" s="10"/>
      <c r="N244" s="11"/>
      <c r="O244" s="10"/>
      <c r="P244" s="11"/>
      <c r="Q244" s="10"/>
      <c r="R244" s="10"/>
      <c r="S244" s="10"/>
      <c r="T244" s="11"/>
      <c r="U244" s="10"/>
      <c r="V244" s="11"/>
      <c r="W244" s="10"/>
      <c r="X244" s="3"/>
      <c r="Y244" s="3"/>
      <c r="Z244" s="3"/>
      <c r="AA244" s="3"/>
      <c r="AB244" s="3"/>
      <c r="AC244" s="3"/>
    </row>
    <row r="245" ht="22.5" hidden="1" customHeight="1">
      <c r="A245" s="22"/>
      <c r="B245" s="37">
        <v>46206.0</v>
      </c>
      <c r="C245" s="41" t="s">
        <v>27</v>
      </c>
      <c r="D245" s="30" t="str">
        <f t="shared" ref="D245:D265" si="12">IF(G245&lt;&gt;"","TKCTDTTH_"&amp;TEXT(COUNTIF($G$245:G245,"&lt;&gt;"),"00"),"")</f>
        <v>TKCTDTTH_01</v>
      </c>
      <c r="F245" s="16"/>
      <c r="G245" s="16" t="s">
        <v>892</v>
      </c>
      <c r="H245" s="16" t="s">
        <v>893</v>
      </c>
      <c r="I245" s="16" t="s">
        <v>894</v>
      </c>
      <c r="J245" s="16" t="s">
        <v>895</v>
      </c>
      <c r="K245" s="16" t="s">
        <v>896</v>
      </c>
      <c r="L245" s="16" t="s">
        <v>896</v>
      </c>
      <c r="M245" s="34" t="s">
        <v>897</v>
      </c>
      <c r="N245" s="14" t="s">
        <v>36</v>
      </c>
      <c r="O245" s="10"/>
      <c r="P245" s="11"/>
      <c r="Q245" s="10"/>
      <c r="R245" s="10"/>
      <c r="S245" s="10"/>
      <c r="T245" s="11"/>
      <c r="U245" s="10"/>
      <c r="V245" s="11"/>
      <c r="W245" s="10"/>
      <c r="X245" s="3"/>
      <c r="Y245" s="3"/>
      <c r="Z245" s="3"/>
      <c r="AA245" s="3"/>
      <c r="AB245" s="3"/>
      <c r="AC245" s="3"/>
    </row>
    <row r="246" ht="22.5" hidden="1" customHeight="1">
      <c r="A246" s="22"/>
      <c r="B246" s="37">
        <v>46206.0</v>
      </c>
      <c r="C246" s="41" t="s">
        <v>27</v>
      </c>
      <c r="D246" s="30" t="str">
        <f t="shared" si="12"/>
        <v>TKCTDTTH_02</v>
      </c>
      <c r="F246" s="16"/>
      <c r="G246" s="16" t="s">
        <v>898</v>
      </c>
      <c r="H246" s="16" t="s">
        <v>899</v>
      </c>
      <c r="I246" s="16" t="s">
        <v>900</v>
      </c>
      <c r="J246" s="16" t="s">
        <v>901</v>
      </c>
      <c r="K246" s="16" t="s">
        <v>902</v>
      </c>
      <c r="L246" s="16" t="s">
        <v>902</v>
      </c>
      <c r="M246" s="34" t="s">
        <v>903</v>
      </c>
      <c r="N246" s="14" t="s">
        <v>36</v>
      </c>
      <c r="O246" s="10"/>
      <c r="P246" s="11"/>
      <c r="Q246" s="10"/>
      <c r="R246" s="10"/>
      <c r="S246" s="10"/>
      <c r="T246" s="11"/>
      <c r="U246" s="10"/>
      <c r="V246" s="11"/>
      <c r="W246" s="10"/>
      <c r="X246" s="3"/>
      <c r="Y246" s="3"/>
      <c r="Z246" s="3"/>
      <c r="AA246" s="3"/>
      <c r="AB246" s="3"/>
      <c r="AC246" s="3"/>
    </row>
    <row r="247" ht="22.5" hidden="1" customHeight="1">
      <c r="A247" s="22"/>
      <c r="B247" s="37">
        <v>46206.0</v>
      </c>
      <c r="C247" s="41" t="s">
        <v>27</v>
      </c>
      <c r="D247" s="30" t="str">
        <f t="shared" si="12"/>
        <v>TKCTDTTH_03</v>
      </c>
      <c r="F247" s="16"/>
      <c r="G247" s="16" t="s">
        <v>904</v>
      </c>
      <c r="H247" s="16" t="s">
        <v>905</v>
      </c>
      <c r="I247" s="16" t="s">
        <v>906</v>
      </c>
      <c r="J247" s="16" t="s">
        <v>907</v>
      </c>
      <c r="K247" s="16" t="s">
        <v>908</v>
      </c>
      <c r="L247" s="16" t="s">
        <v>908</v>
      </c>
      <c r="M247" s="34" t="s">
        <v>909</v>
      </c>
      <c r="N247" s="14" t="s">
        <v>36</v>
      </c>
      <c r="O247" s="10"/>
      <c r="P247" s="11"/>
      <c r="Q247" s="10"/>
      <c r="R247" s="10"/>
      <c r="S247" s="10"/>
      <c r="T247" s="11"/>
      <c r="U247" s="10"/>
      <c r="V247" s="11"/>
      <c r="W247" s="10"/>
      <c r="X247" s="3"/>
      <c r="Y247" s="3"/>
      <c r="Z247" s="3"/>
      <c r="AA247" s="3"/>
      <c r="AB247" s="3"/>
      <c r="AC247" s="3"/>
    </row>
    <row r="248" ht="22.5" hidden="1" customHeight="1">
      <c r="A248" s="22"/>
      <c r="B248" s="37">
        <v>46206.0</v>
      </c>
      <c r="C248" s="41" t="s">
        <v>27</v>
      </c>
      <c r="D248" s="30" t="str">
        <f t="shared" si="12"/>
        <v>TKCTDTTH_04</v>
      </c>
      <c r="F248" s="16"/>
      <c r="G248" s="16" t="s">
        <v>910</v>
      </c>
      <c r="H248" s="16" t="s">
        <v>905</v>
      </c>
      <c r="I248" s="16" t="s">
        <v>911</v>
      </c>
      <c r="J248" s="16" t="s">
        <v>912</v>
      </c>
      <c r="K248" s="16" t="s">
        <v>913</v>
      </c>
      <c r="L248" s="16" t="s">
        <v>913</v>
      </c>
      <c r="M248" s="34" t="s">
        <v>914</v>
      </c>
      <c r="N248" s="14" t="s">
        <v>36</v>
      </c>
      <c r="O248" s="10"/>
      <c r="P248" s="11"/>
      <c r="Q248" s="10"/>
      <c r="R248" s="10"/>
      <c r="S248" s="10"/>
      <c r="T248" s="11"/>
      <c r="U248" s="10"/>
      <c r="V248" s="11"/>
      <c r="W248" s="10"/>
      <c r="X248" s="3"/>
      <c r="Y248" s="3"/>
      <c r="Z248" s="3"/>
      <c r="AA248" s="3"/>
      <c r="AB248" s="3"/>
      <c r="AC248" s="3"/>
    </row>
    <row r="249" ht="22.5" hidden="1" customHeight="1">
      <c r="A249" s="22"/>
      <c r="B249" s="37">
        <v>46206.0</v>
      </c>
      <c r="C249" s="41" t="s">
        <v>27</v>
      </c>
      <c r="D249" s="30" t="str">
        <f t="shared" si="12"/>
        <v>TKCTDTTH_05</v>
      </c>
      <c r="F249" s="16"/>
      <c r="G249" s="16" t="s">
        <v>915</v>
      </c>
      <c r="H249" s="16" t="s">
        <v>905</v>
      </c>
      <c r="I249" s="16" t="s">
        <v>916</v>
      </c>
      <c r="J249" s="16" t="s">
        <v>917</v>
      </c>
      <c r="K249" s="16" t="s">
        <v>918</v>
      </c>
      <c r="L249" s="16" t="s">
        <v>918</v>
      </c>
      <c r="M249" s="34" t="s">
        <v>919</v>
      </c>
      <c r="N249" s="14" t="s">
        <v>36</v>
      </c>
      <c r="O249" s="10"/>
      <c r="P249" s="11"/>
      <c r="Q249" s="10"/>
      <c r="R249" s="10"/>
      <c r="S249" s="10"/>
      <c r="T249" s="11"/>
      <c r="U249" s="10"/>
      <c r="V249" s="11"/>
      <c r="W249" s="10"/>
      <c r="X249" s="3"/>
      <c r="Y249" s="3"/>
      <c r="Z249" s="3"/>
      <c r="AA249" s="3"/>
      <c r="AB249" s="3"/>
      <c r="AC249" s="3"/>
    </row>
    <row r="250" ht="22.5" hidden="1" customHeight="1">
      <c r="A250" s="22"/>
      <c r="B250" s="37">
        <v>46206.0</v>
      </c>
      <c r="C250" s="41" t="s">
        <v>27</v>
      </c>
      <c r="D250" s="30" t="str">
        <f t="shared" si="12"/>
        <v>TKCTDTTH_06</v>
      </c>
      <c r="F250" s="16"/>
      <c r="G250" s="16" t="s">
        <v>920</v>
      </c>
      <c r="H250" s="16" t="s">
        <v>921</v>
      </c>
      <c r="I250" s="16" t="s">
        <v>922</v>
      </c>
      <c r="J250" s="16" t="s">
        <v>422</v>
      </c>
      <c r="K250" s="16" t="s">
        <v>923</v>
      </c>
      <c r="L250" s="16" t="s">
        <v>923</v>
      </c>
      <c r="M250" s="34" t="s">
        <v>924</v>
      </c>
      <c r="N250" s="14" t="s">
        <v>36</v>
      </c>
      <c r="O250" s="10"/>
      <c r="P250" s="11"/>
      <c r="Q250" s="10"/>
      <c r="R250" s="10"/>
      <c r="S250" s="10"/>
      <c r="T250" s="11"/>
      <c r="U250" s="10"/>
      <c r="V250" s="11"/>
      <c r="W250" s="10"/>
      <c r="X250" s="3"/>
      <c r="Y250" s="3"/>
      <c r="Z250" s="3"/>
      <c r="AA250" s="3"/>
      <c r="AB250" s="3"/>
      <c r="AC250" s="3"/>
    </row>
    <row r="251" ht="22.5" hidden="1" customHeight="1">
      <c r="A251" s="22"/>
      <c r="B251" s="37">
        <v>46206.0</v>
      </c>
      <c r="C251" s="41" t="s">
        <v>27</v>
      </c>
      <c r="D251" s="30" t="str">
        <f t="shared" si="12"/>
        <v>TKCTDTTH_07</v>
      </c>
      <c r="F251" s="16"/>
      <c r="G251" s="16" t="s">
        <v>925</v>
      </c>
      <c r="H251" s="16" t="s">
        <v>792</v>
      </c>
      <c r="I251" s="16" t="s">
        <v>926</v>
      </c>
      <c r="J251" s="16" t="s">
        <v>927</v>
      </c>
      <c r="K251" s="16" t="s">
        <v>928</v>
      </c>
      <c r="L251" s="16" t="s">
        <v>928</v>
      </c>
      <c r="M251" s="34" t="s">
        <v>929</v>
      </c>
      <c r="N251" s="14" t="s">
        <v>36</v>
      </c>
      <c r="O251" s="10"/>
      <c r="P251" s="11"/>
      <c r="Q251" s="10"/>
      <c r="R251" s="10"/>
      <c r="S251" s="10"/>
      <c r="T251" s="11"/>
      <c r="U251" s="10"/>
      <c r="V251" s="11"/>
      <c r="W251" s="10"/>
      <c r="X251" s="3"/>
      <c r="Y251" s="3"/>
      <c r="Z251" s="3"/>
      <c r="AA251" s="3"/>
      <c r="AB251" s="3"/>
      <c r="AC251" s="3"/>
    </row>
    <row r="252" ht="22.5" hidden="1" customHeight="1">
      <c r="A252" s="22"/>
      <c r="B252" s="37">
        <v>46206.0</v>
      </c>
      <c r="C252" s="41" t="s">
        <v>27</v>
      </c>
      <c r="D252" s="30" t="str">
        <f t="shared" si="12"/>
        <v>TKCTDTTH_08</v>
      </c>
      <c r="F252" s="16"/>
      <c r="G252" s="16" t="s">
        <v>930</v>
      </c>
      <c r="H252" s="16" t="s">
        <v>931</v>
      </c>
      <c r="I252" s="16" t="s">
        <v>792</v>
      </c>
      <c r="J252" s="16" t="s">
        <v>932</v>
      </c>
      <c r="K252" s="16" t="s">
        <v>933</v>
      </c>
      <c r="L252" s="16" t="s">
        <v>933</v>
      </c>
      <c r="M252" s="34" t="s">
        <v>934</v>
      </c>
      <c r="N252" s="14" t="s">
        <v>36</v>
      </c>
      <c r="O252" s="10"/>
      <c r="P252" s="11"/>
      <c r="Q252" s="10"/>
      <c r="R252" s="10"/>
      <c r="S252" s="10"/>
      <c r="T252" s="11"/>
      <c r="U252" s="10"/>
      <c r="V252" s="11"/>
      <c r="W252" s="10"/>
      <c r="X252" s="3"/>
      <c r="Y252" s="3"/>
      <c r="Z252" s="3"/>
      <c r="AA252" s="3"/>
      <c r="AB252" s="3"/>
      <c r="AC252" s="3"/>
    </row>
    <row r="253" ht="22.5" hidden="1" customHeight="1">
      <c r="A253" s="22"/>
      <c r="B253" s="37">
        <v>46206.0</v>
      </c>
      <c r="C253" s="41" t="s">
        <v>27</v>
      </c>
      <c r="D253" s="30" t="str">
        <f t="shared" si="12"/>
        <v>TKCTDTTH_09</v>
      </c>
      <c r="F253" s="16"/>
      <c r="G253" s="16" t="s">
        <v>935</v>
      </c>
      <c r="H253" s="16" t="s">
        <v>936</v>
      </c>
      <c r="I253" s="16" t="s">
        <v>817</v>
      </c>
      <c r="J253" s="16" t="s">
        <v>937</v>
      </c>
      <c r="K253" s="16" t="s">
        <v>938</v>
      </c>
      <c r="L253" s="16" t="s">
        <v>938</v>
      </c>
      <c r="M253" s="34" t="s">
        <v>939</v>
      </c>
      <c r="N253" s="14" t="s">
        <v>36</v>
      </c>
      <c r="O253" s="10"/>
      <c r="P253" s="11"/>
      <c r="Q253" s="10"/>
      <c r="R253" s="10"/>
      <c r="S253" s="10"/>
      <c r="T253" s="11"/>
      <c r="U253" s="10"/>
      <c r="V253" s="11"/>
      <c r="W253" s="10"/>
      <c r="X253" s="3"/>
      <c r="Y253" s="3"/>
      <c r="Z253" s="3"/>
      <c r="AA253" s="3"/>
      <c r="AB253" s="3"/>
      <c r="AC253" s="3"/>
    </row>
    <row r="254" ht="22.5" hidden="1" customHeight="1">
      <c r="A254" s="22"/>
      <c r="B254" s="37">
        <v>46206.0</v>
      </c>
      <c r="C254" s="41" t="s">
        <v>27</v>
      </c>
      <c r="D254" s="30" t="str">
        <f t="shared" si="12"/>
        <v>TKCTDTTH_10</v>
      </c>
      <c r="F254" s="16"/>
      <c r="G254" s="16" t="s">
        <v>940</v>
      </c>
      <c r="H254" s="16" t="s">
        <v>792</v>
      </c>
      <c r="I254" s="16">
        <v>46023.0</v>
      </c>
      <c r="J254" s="16" t="s">
        <v>941</v>
      </c>
      <c r="K254" s="16" t="s">
        <v>942</v>
      </c>
      <c r="L254" s="16" t="s">
        <v>942</v>
      </c>
      <c r="M254" s="34" t="s">
        <v>943</v>
      </c>
      <c r="N254" s="14" t="s">
        <v>36</v>
      </c>
      <c r="O254" s="10"/>
      <c r="P254" s="11"/>
      <c r="Q254" s="10"/>
      <c r="R254" s="10"/>
      <c r="S254" s="10"/>
      <c r="T254" s="11"/>
      <c r="U254" s="10"/>
      <c r="V254" s="11"/>
      <c r="W254" s="10"/>
      <c r="X254" s="3"/>
      <c r="Y254" s="3"/>
      <c r="Z254" s="3"/>
      <c r="AA254" s="3"/>
      <c r="AB254" s="3"/>
      <c r="AC254" s="3"/>
    </row>
    <row r="255" ht="22.5" hidden="1" customHeight="1">
      <c r="A255" s="22"/>
      <c r="B255" s="37">
        <v>46206.0</v>
      </c>
      <c r="C255" s="41" t="s">
        <v>27</v>
      </c>
      <c r="D255" s="30" t="str">
        <f t="shared" si="12"/>
        <v>TKCTDTTH_11</v>
      </c>
      <c r="F255" s="16"/>
      <c r="G255" s="16" t="s">
        <v>944</v>
      </c>
      <c r="H255" s="16" t="s">
        <v>792</v>
      </c>
      <c r="I255" s="16">
        <v>46387.0</v>
      </c>
      <c r="J255" s="16" t="s">
        <v>945</v>
      </c>
      <c r="K255" s="16" t="s">
        <v>946</v>
      </c>
      <c r="L255" s="16" t="s">
        <v>946</v>
      </c>
      <c r="M255" s="34" t="s">
        <v>947</v>
      </c>
      <c r="N255" s="14" t="s">
        <v>36</v>
      </c>
      <c r="O255" s="10"/>
      <c r="P255" s="11"/>
      <c r="Q255" s="10"/>
      <c r="R255" s="10"/>
      <c r="S255" s="10"/>
      <c r="T255" s="11"/>
      <c r="U255" s="10"/>
      <c r="V255" s="11"/>
      <c r="W255" s="10"/>
      <c r="X255" s="3"/>
      <c r="Y255" s="3"/>
      <c r="Z255" s="3"/>
      <c r="AA255" s="3"/>
      <c r="AB255" s="3"/>
      <c r="AC255" s="3"/>
    </row>
    <row r="256" ht="22.5" hidden="1" customHeight="1">
      <c r="A256" s="22"/>
      <c r="B256" s="37">
        <v>46206.0</v>
      </c>
      <c r="C256" s="41" t="s">
        <v>27</v>
      </c>
      <c r="D256" s="30" t="str">
        <f t="shared" si="12"/>
        <v>TKCTDTTH_12</v>
      </c>
      <c r="F256" s="16"/>
      <c r="G256" s="16" t="s">
        <v>948</v>
      </c>
      <c r="H256" s="16" t="s">
        <v>451</v>
      </c>
      <c r="I256" s="16" t="s">
        <v>949</v>
      </c>
      <c r="J256" s="16" t="s">
        <v>950</v>
      </c>
      <c r="K256" s="16" t="s">
        <v>951</v>
      </c>
      <c r="L256" s="16" t="s">
        <v>951</v>
      </c>
      <c r="M256" s="34" t="s">
        <v>952</v>
      </c>
      <c r="N256" s="14" t="s">
        <v>36</v>
      </c>
      <c r="O256" s="10"/>
      <c r="P256" s="11"/>
      <c r="Q256" s="10"/>
      <c r="R256" s="10"/>
      <c r="S256" s="10"/>
      <c r="T256" s="11"/>
      <c r="U256" s="10"/>
      <c r="V256" s="11"/>
      <c r="W256" s="10"/>
      <c r="X256" s="3"/>
      <c r="Y256" s="3"/>
      <c r="Z256" s="3"/>
      <c r="AA256" s="3"/>
      <c r="AB256" s="3"/>
      <c r="AC256" s="3"/>
    </row>
    <row r="257" ht="22.5" hidden="1" customHeight="1">
      <c r="A257" s="22"/>
      <c r="B257" s="37">
        <v>46206.0</v>
      </c>
      <c r="C257" s="41" t="s">
        <v>27</v>
      </c>
      <c r="D257" s="30" t="str">
        <f t="shared" si="12"/>
        <v>TKCTDTTH_13</v>
      </c>
      <c r="F257" s="16"/>
      <c r="G257" s="16" t="s">
        <v>953</v>
      </c>
      <c r="H257" s="16" t="s">
        <v>954</v>
      </c>
      <c r="I257" s="16">
        <v>46023.0</v>
      </c>
      <c r="J257" s="16" t="s">
        <v>955</v>
      </c>
      <c r="K257" s="16" t="s">
        <v>956</v>
      </c>
      <c r="L257" s="16" t="s">
        <v>956</v>
      </c>
      <c r="M257" s="34" t="s">
        <v>957</v>
      </c>
      <c r="N257" s="14" t="s">
        <v>36</v>
      </c>
      <c r="O257" s="10"/>
      <c r="P257" s="11"/>
      <c r="Q257" s="10"/>
      <c r="R257" s="10"/>
      <c r="S257" s="10"/>
      <c r="T257" s="11"/>
      <c r="U257" s="10"/>
      <c r="V257" s="11"/>
      <c r="W257" s="10"/>
      <c r="X257" s="3"/>
      <c r="Y257" s="3"/>
      <c r="Z257" s="3"/>
      <c r="AA257" s="3"/>
      <c r="AB257" s="3"/>
      <c r="AC257" s="3"/>
    </row>
    <row r="258" ht="22.5" hidden="1" customHeight="1">
      <c r="A258" s="22"/>
      <c r="B258" s="37">
        <v>46206.0</v>
      </c>
      <c r="C258" s="41" t="s">
        <v>27</v>
      </c>
      <c r="D258" s="30" t="str">
        <f t="shared" si="12"/>
        <v>TKCTDTTH_14</v>
      </c>
      <c r="F258" s="16"/>
      <c r="G258" s="16" t="s">
        <v>958</v>
      </c>
      <c r="H258" s="16" t="s">
        <v>959</v>
      </c>
      <c r="I258" s="16">
        <v>46387.0</v>
      </c>
      <c r="J258" s="16" t="s">
        <v>960</v>
      </c>
      <c r="K258" s="16" t="s">
        <v>961</v>
      </c>
      <c r="L258" s="16" t="s">
        <v>961</v>
      </c>
      <c r="M258" s="34" t="s">
        <v>962</v>
      </c>
      <c r="N258" s="14" t="s">
        <v>36</v>
      </c>
      <c r="O258" s="10"/>
      <c r="P258" s="11"/>
      <c r="Q258" s="10"/>
      <c r="R258" s="10"/>
      <c r="S258" s="10"/>
      <c r="T258" s="11"/>
      <c r="U258" s="10"/>
      <c r="V258" s="11"/>
      <c r="W258" s="10"/>
      <c r="X258" s="3"/>
      <c r="Y258" s="3"/>
      <c r="Z258" s="3"/>
      <c r="AA258" s="3"/>
      <c r="AB258" s="3"/>
      <c r="AC258" s="3"/>
    </row>
    <row r="259" ht="22.5" hidden="1" customHeight="1">
      <c r="A259" s="22"/>
      <c r="B259" s="37">
        <v>46206.0</v>
      </c>
      <c r="C259" s="41" t="s">
        <v>27</v>
      </c>
      <c r="D259" s="30" t="str">
        <f t="shared" si="12"/>
        <v>TKCTDTTH_15</v>
      </c>
      <c r="F259" s="16"/>
      <c r="G259" s="16" t="s">
        <v>963</v>
      </c>
      <c r="H259" s="16" t="s">
        <v>792</v>
      </c>
      <c r="I259" s="16" t="s">
        <v>964</v>
      </c>
      <c r="J259" s="16" t="s">
        <v>965</v>
      </c>
      <c r="K259" s="16" t="s">
        <v>966</v>
      </c>
      <c r="L259" s="16" t="s">
        <v>966</v>
      </c>
      <c r="M259" s="34" t="s">
        <v>967</v>
      </c>
      <c r="N259" s="14" t="s">
        <v>36</v>
      </c>
      <c r="O259" s="10"/>
      <c r="P259" s="11"/>
      <c r="Q259" s="10"/>
      <c r="R259" s="10"/>
      <c r="S259" s="10"/>
      <c r="T259" s="11"/>
      <c r="U259" s="10"/>
      <c r="V259" s="11"/>
      <c r="W259" s="10"/>
      <c r="X259" s="3"/>
      <c r="Y259" s="3"/>
      <c r="Z259" s="3"/>
      <c r="AA259" s="3"/>
      <c r="AB259" s="3"/>
      <c r="AC259" s="3"/>
    </row>
    <row r="260" ht="22.5" hidden="1" customHeight="1">
      <c r="A260" s="22"/>
      <c r="B260" s="37">
        <v>46206.0</v>
      </c>
      <c r="C260" s="41" t="s">
        <v>27</v>
      </c>
      <c r="D260" s="30" t="str">
        <f t="shared" si="12"/>
        <v>TKCTDTTH_16</v>
      </c>
      <c r="F260" s="16"/>
      <c r="G260" s="16" t="s">
        <v>968</v>
      </c>
      <c r="H260" s="16" t="s">
        <v>969</v>
      </c>
      <c r="I260" s="16" t="s">
        <v>970</v>
      </c>
      <c r="J260" s="16" t="s">
        <v>971</v>
      </c>
      <c r="K260" s="16" t="s">
        <v>972</v>
      </c>
      <c r="L260" s="16" t="s">
        <v>972</v>
      </c>
      <c r="M260" s="34" t="s">
        <v>973</v>
      </c>
      <c r="N260" s="14" t="s">
        <v>36</v>
      </c>
      <c r="O260" s="10"/>
      <c r="P260" s="11"/>
      <c r="Q260" s="10"/>
      <c r="R260" s="10"/>
      <c r="S260" s="10"/>
      <c r="T260" s="11"/>
      <c r="U260" s="10"/>
      <c r="V260" s="11"/>
      <c r="W260" s="10"/>
      <c r="X260" s="3"/>
      <c r="Y260" s="3"/>
      <c r="Z260" s="3"/>
      <c r="AA260" s="3"/>
      <c r="AB260" s="3"/>
      <c r="AC260" s="3"/>
    </row>
    <row r="261" ht="22.5" hidden="1" customHeight="1">
      <c r="A261" s="22"/>
      <c r="B261" s="37">
        <v>46206.0</v>
      </c>
      <c r="C261" s="41" t="s">
        <v>27</v>
      </c>
      <c r="D261" s="30" t="str">
        <f t="shared" si="12"/>
        <v>TKCTDTTH_17</v>
      </c>
      <c r="F261" s="16"/>
      <c r="G261" s="16" t="s">
        <v>974</v>
      </c>
      <c r="H261" s="16" t="s">
        <v>905</v>
      </c>
      <c r="I261" s="16"/>
      <c r="J261" s="16" t="s">
        <v>975</v>
      </c>
      <c r="K261" s="16" t="s">
        <v>976</v>
      </c>
      <c r="L261" s="16" t="s">
        <v>976</v>
      </c>
      <c r="M261" s="34" t="s">
        <v>977</v>
      </c>
      <c r="N261" s="14" t="s">
        <v>36</v>
      </c>
      <c r="O261" s="10"/>
      <c r="P261" s="11"/>
      <c r="Q261" s="10"/>
      <c r="R261" s="10"/>
      <c r="S261" s="10"/>
      <c r="T261" s="11"/>
      <c r="U261" s="10"/>
      <c r="V261" s="11"/>
      <c r="W261" s="10"/>
      <c r="X261" s="3"/>
      <c r="Y261" s="3"/>
      <c r="Z261" s="3"/>
      <c r="AA261" s="3"/>
      <c r="AB261" s="3"/>
      <c r="AC261" s="3"/>
    </row>
    <row r="262" ht="22.5" hidden="1" customHeight="1">
      <c r="A262" s="22"/>
      <c r="B262" s="37">
        <v>46206.0</v>
      </c>
      <c r="C262" s="41" t="s">
        <v>27</v>
      </c>
      <c r="D262" s="30" t="str">
        <f t="shared" si="12"/>
        <v>TKCTDTTH_18</v>
      </c>
      <c r="F262" s="16"/>
      <c r="G262" s="16" t="s">
        <v>978</v>
      </c>
      <c r="H262" s="16" t="s">
        <v>792</v>
      </c>
      <c r="I262" s="16" t="s">
        <v>979</v>
      </c>
      <c r="J262" s="16" t="s">
        <v>980</v>
      </c>
      <c r="K262" s="16" t="s">
        <v>981</v>
      </c>
      <c r="L262" s="16" t="s">
        <v>981</v>
      </c>
      <c r="M262" s="34" t="s">
        <v>982</v>
      </c>
      <c r="N262" s="14" t="s">
        <v>36</v>
      </c>
      <c r="O262" s="10"/>
      <c r="P262" s="11"/>
      <c r="Q262" s="10"/>
      <c r="R262" s="10"/>
      <c r="S262" s="10"/>
      <c r="T262" s="11"/>
      <c r="U262" s="10"/>
      <c r="V262" s="11"/>
      <c r="W262" s="10"/>
      <c r="X262" s="3"/>
      <c r="Y262" s="3"/>
      <c r="Z262" s="3"/>
      <c r="AA262" s="3"/>
      <c r="AB262" s="3"/>
      <c r="AC262" s="3"/>
    </row>
    <row r="263" ht="22.5" hidden="1" customHeight="1">
      <c r="A263" s="22"/>
      <c r="B263" s="37">
        <v>46206.0</v>
      </c>
      <c r="C263" s="41" t="s">
        <v>27</v>
      </c>
      <c r="D263" s="30" t="str">
        <f t="shared" si="12"/>
        <v>TKCTDTTH_19</v>
      </c>
      <c r="F263" s="16"/>
      <c r="G263" s="16" t="s">
        <v>983</v>
      </c>
      <c r="H263" s="16" t="s">
        <v>984</v>
      </c>
      <c r="I263" s="16" t="s">
        <v>792</v>
      </c>
      <c r="J263" s="16" t="s">
        <v>985</v>
      </c>
      <c r="K263" s="16" t="s">
        <v>986</v>
      </c>
      <c r="L263" s="16" t="s">
        <v>986</v>
      </c>
      <c r="M263" s="34" t="s">
        <v>987</v>
      </c>
      <c r="N263" s="14" t="s">
        <v>36</v>
      </c>
      <c r="O263" s="10"/>
      <c r="P263" s="11"/>
      <c r="Q263" s="10"/>
      <c r="R263" s="10"/>
      <c r="S263" s="10"/>
      <c r="T263" s="11"/>
      <c r="U263" s="10"/>
      <c r="V263" s="11"/>
      <c r="W263" s="10"/>
      <c r="X263" s="3"/>
      <c r="Y263" s="3"/>
      <c r="Z263" s="3"/>
      <c r="AA263" s="3"/>
      <c r="AB263" s="3"/>
      <c r="AC263" s="3"/>
    </row>
    <row r="264" ht="22.5" hidden="1" customHeight="1">
      <c r="A264" s="22"/>
      <c r="B264" s="37">
        <v>46206.0</v>
      </c>
      <c r="C264" s="41" t="s">
        <v>27</v>
      </c>
      <c r="D264" s="30" t="str">
        <f t="shared" si="12"/>
        <v>TKCTDTTH_20</v>
      </c>
      <c r="F264" s="16"/>
      <c r="G264" s="16" t="s">
        <v>988</v>
      </c>
      <c r="H264" s="16" t="s">
        <v>432</v>
      </c>
      <c r="I264" s="16" t="s">
        <v>817</v>
      </c>
      <c r="J264" s="16" t="s">
        <v>989</v>
      </c>
      <c r="K264" s="16" t="s">
        <v>990</v>
      </c>
      <c r="L264" s="16" t="s">
        <v>990</v>
      </c>
      <c r="M264" s="34" t="s">
        <v>991</v>
      </c>
      <c r="N264" s="14" t="s">
        <v>36</v>
      </c>
      <c r="O264" s="10"/>
      <c r="P264" s="11"/>
      <c r="Q264" s="10"/>
      <c r="R264" s="10"/>
      <c r="S264" s="10"/>
      <c r="T264" s="11"/>
      <c r="U264" s="10"/>
      <c r="V264" s="11"/>
      <c r="W264" s="10"/>
      <c r="X264" s="3"/>
      <c r="Y264" s="3"/>
      <c r="Z264" s="3"/>
      <c r="AA264" s="3"/>
      <c r="AB264" s="3"/>
      <c r="AC264" s="3"/>
    </row>
    <row r="265" ht="22.5" hidden="1" customHeight="1">
      <c r="A265" s="22"/>
      <c r="B265" s="37">
        <v>46206.0</v>
      </c>
      <c r="C265" s="41" t="s">
        <v>27</v>
      </c>
      <c r="D265" s="30" t="str">
        <f t="shared" si="12"/>
        <v>TKCTDTTH_21</v>
      </c>
      <c r="F265" s="16"/>
      <c r="G265" s="16" t="s">
        <v>992</v>
      </c>
      <c r="H265" s="16" t="s">
        <v>993</v>
      </c>
      <c r="I265" s="16" t="s">
        <v>792</v>
      </c>
      <c r="J265" s="16" t="s">
        <v>994</v>
      </c>
      <c r="K265" s="16" t="s">
        <v>995</v>
      </c>
      <c r="L265" s="16" t="s">
        <v>995</v>
      </c>
      <c r="M265" s="34" t="s">
        <v>996</v>
      </c>
      <c r="N265" s="14" t="s">
        <v>36</v>
      </c>
      <c r="O265" s="10"/>
      <c r="P265" s="11"/>
      <c r="Q265" s="10"/>
      <c r="R265" s="10"/>
      <c r="S265" s="10"/>
      <c r="T265" s="11"/>
      <c r="U265" s="10"/>
      <c r="V265" s="11"/>
      <c r="W265" s="10"/>
      <c r="X265" s="3"/>
      <c r="Y265" s="3"/>
      <c r="Z265" s="3"/>
      <c r="AA265" s="3"/>
      <c r="AB265" s="3"/>
      <c r="AC265" s="3"/>
    </row>
    <row r="266" ht="22.5" hidden="1" customHeight="1">
      <c r="A266" s="18"/>
      <c r="B266" s="19">
        <v>22.0</v>
      </c>
      <c r="C266" s="45" t="s">
        <v>27</v>
      </c>
      <c r="D266" s="25"/>
      <c r="E266" s="25" t="s">
        <v>997</v>
      </c>
      <c r="F266" s="25" t="s">
        <v>29</v>
      </c>
      <c r="G266" s="29" t="s">
        <v>998</v>
      </c>
      <c r="H266" s="27"/>
      <c r="I266" s="10"/>
      <c r="J266" s="10"/>
      <c r="K266" s="10"/>
      <c r="L266" s="10"/>
      <c r="M266" s="10"/>
      <c r="N266" s="11"/>
      <c r="O266" s="10"/>
      <c r="P266" s="11"/>
      <c r="Q266" s="10"/>
      <c r="R266" s="10"/>
      <c r="S266" s="10"/>
      <c r="T266" s="11"/>
      <c r="U266" s="10"/>
      <c r="V266" s="11"/>
      <c r="W266" s="10"/>
      <c r="X266" s="3"/>
      <c r="Y266" s="3"/>
      <c r="Z266" s="3"/>
      <c r="AA266" s="3"/>
      <c r="AB266" s="3"/>
      <c r="AC266" s="3"/>
    </row>
    <row r="267" ht="22.5" hidden="1" customHeight="1">
      <c r="A267" s="22"/>
      <c r="B267" s="37">
        <v>46206.0</v>
      </c>
      <c r="C267" s="41" t="s">
        <v>27</v>
      </c>
      <c r="D267" s="30" t="str">
        <f t="shared" ref="D267:D276" si="13">IF(G267&lt;&gt;"","QLDKDTTH_"&amp;TEXT(COUNTIF($G$267:G267,"&lt;&gt;"),"00"),"")</f>
        <v>QLDKDTTH_01</v>
      </c>
      <c r="E267" s="30"/>
      <c r="F267" s="30"/>
      <c r="G267" s="30" t="s">
        <v>999</v>
      </c>
      <c r="H267" s="28" t="s">
        <v>1000</v>
      </c>
      <c r="I267" s="10"/>
      <c r="J267" s="15" t="s">
        <v>1001</v>
      </c>
      <c r="K267" s="15" t="s">
        <v>1002</v>
      </c>
      <c r="L267" s="15" t="s">
        <v>1002</v>
      </c>
      <c r="M267" s="34" t="s">
        <v>1003</v>
      </c>
      <c r="N267" s="14" t="s">
        <v>36</v>
      </c>
      <c r="O267" s="10"/>
      <c r="P267" s="11"/>
      <c r="Q267" s="10"/>
      <c r="R267" s="10"/>
      <c r="S267" s="10"/>
      <c r="T267" s="11"/>
      <c r="U267" s="10"/>
      <c r="V267" s="11"/>
      <c r="W267" s="10"/>
      <c r="X267" s="3"/>
      <c r="Y267" s="3"/>
      <c r="Z267" s="3"/>
      <c r="AA267" s="3"/>
      <c r="AB267" s="3"/>
      <c r="AC267" s="3"/>
    </row>
    <row r="268" ht="22.5" hidden="1" customHeight="1">
      <c r="A268" s="22"/>
      <c r="B268" s="37">
        <v>46206.0</v>
      </c>
      <c r="C268" s="41" t="s">
        <v>27</v>
      </c>
      <c r="D268" s="30" t="str">
        <f t="shared" si="13"/>
        <v>QLDKDTTH_02</v>
      </c>
      <c r="E268" s="30"/>
      <c r="F268" s="30"/>
      <c r="G268" s="30" t="s">
        <v>1004</v>
      </c>
      <c r="H268" s="28" t="s">
        <v>1000</v>
      </c>
      <c r="I268" s="10"/>
      <c r="J268" s="15" t="s">
        <v>1005</v>
      </c>
      <c r="K268" s="15" t="s">
        <v>1006</v>
      </c>
      <c r="L268" s="15" t="s">
        <v>1006</v>
      </c>
      <c r="M268" s="34" t="s">
        <v>1007</v>
      </c>
      <c r="N268" s="14" t="s">
        <v>36</v>
      </c>
      <c r="O268" s="10"/>
      <c r="P268" s="11"/>
      <c r="Q268" s="10"/>
      <c r="R268" s="10"/>
      <c r="S268" s="10"/>
      <c r="T268" s="11"/>
      <c r="U268" s="10"/>
      <c r="V268" s="11"/>
      <c r="W268" s="10"/>
      <c r="X268" s="3"/>
      <c r="Y268" s="3"/>
      <c r="Z268" s="3"/>
      <c r="AA268" s="3"/>
      <c r="AB268" s="3"/>
      <c r="AC268" s="3"/>
    </row>
    <row r="269" ht="22.5" hidden="1" customHeight="1">
      <c r="A269" s="22"/>
      <c r="B269" s="37">
        <v>46206.0</v>
      </c>
      <c r="C269" s="41" t="s">
        <v>27</v>
      </c>
      <c r="D269" s="30" t="str">
        <f t="shared" si="13"/>
        <v>QLDKDTTH_03</v>
      </c>
      <c r="E269" s="30"/>
      <c r="F269" s="30"/>
      <c r="G269" s="30" t="s">
        <v>1008</v>
      </c>
      <c r="H269" s="28" t="s">
        <v>1000</v>
      </c>
      <c r="I269" s="10"/>
      <c r="J269" s="15" t="s">
        <v>1009</v>
      </c>
      <c r="K269" s="15" t="s">
        <v>1010</v>
      </c>
      <c r="L269" s="15" t="s">
        <v>1010</v>
      </c>
      <c r="M269" s="34" t="s">
        <v>1011</v>
      </c>
      <c r="N269" s="14" t="s">
        <v>36</v>
      </c>
      <c r="O269" s="10"/>
      <c r="P269" s="11"/>
      <c r="Q269" s="10"/>
      <c r="R269" s="10"/>
      <c r="S269" s="10"/>
      <c r="T269" s="11"/>
      <c r="U269" s="10"/>
      <c r="V269" s="11"/>
      <c r="W269" s="10"/>
      <c r="X269" s="3"/>
      <c r="Y269" s="3"/>
      <c r="Z269" s="3"/>
      <c r="AA269" s="3"/>
      <c r="AB269" s="3"/>
      <c r="AC269" s="3"/>
    </row>
    <row r="270" ht="22.5" customHeight="1">
      <c r="A270" s="22"/>
      <c r="B270" s="37">
        <v>46206.0</v>
      </c>
      <c r="C270" s="41" t="s">
        <v>27</v>
      </c>
      <c r="D270" s="30" t="str">
        <f t="shared" si="13"/>
        <v>QLDKDTTH_04</v>
      </c>
      <c r="E270" s="30"/>
      <c r="F270" s="30"/>
      <c r="G270" s="30" t="s">
        <v>1012</v>
      </c>
      <c r="H270" s="28" t="s">
        <v>1000</v>
      </c>
      <c r="I270" s="10"/>
      <c r="J270" s="15" t="s">
        <v>1013</v>
      </c>
      <c r="K270" s="15" t="s">
        <v>1014</v>
      </c>
      <c r="L270" s="15" t="s">
        <v>1015</v>
      </c>
      <c r="M270" s="34" t="s">
        <v>1016</v>
      </c>
      <c r="N270" s="14" t="s">
        <v>63</v>
      </c>
      <c r="O270" s="10"/>
      <c r="P270" s="11"/>
      <c r="Q270" s="10"/>
      <c r="R270" s="10"/>
      <c r="S270" s="10"/>
      <c r="T270" s="11"/>
      <c r="U270" s="10"/>
      <c r="V270" s="11"/>
      <c r="W270" s="10"/>
      <c r="X270" s="3"/>
      <c r="Y270" s="3"/>
      <c r="Z270" s="3"/>
      <c r="AA270" s="3"/>
      <c r="AB270" s="3"/>
      <c r="AC270" s="3"/>
    </row>
    <row r="271" ht="22.5" hidden="1" customHeight="1">
      <c r="A271" s="22"/>
      <c r="B271" s="37">
        <v>46206.0</v>
      </c>
      <c r="C271" s="41" t="s">
        <v>27</v>
      </c>
      <c r="D271" s="30" t="str">
        <f t="shared" si="13"/>
        <v>QLDKDTTH_05</v>
      </c>
      <c r="E271" s="30"/>
      <c r="F271" s="30"/>
      <c r="G271" s="30" t="s">
        <v>1017</v>
      </c>
      <c r="H271" s="28" t="s">
        <v>1018</v>
      </c>
      <c r="I271" s="10"/>
      <c r="J271" s="15" t="s">
        <v>1019</v>
      </c>
      <c r="K271" s="15" t="s">
        <v>1020</v>
      </c>
      <c r="L271" s="10"/>
      <c r="M271" s="10"/>
      <c r="N271" s="14" t="s">
        <v>205</v>
      </c>
      <c r="O271" s="15" t="s">
        <v>1021</v>
      </c>
      <c r="P271" s="11"/>
      <c r="Q271" s="10"/>
      <c r="R271" s="10"/>
      <c r="S271" s="10"/>
      <c r="T271" s="11"/>
      <c r="U271" s="10"/>
      <c r="V271" s="11"/>
      <c r="W271" s="10"/>
      <c r="X271" s="3"/>
      <c r="Y271" s="3"/>
      <c r="Z271" s="3"/>
      <c r="AA271" s="3"/>
      <c r="AB271" s="3"/>
      <c r="AC271" s="3"/>
    </row>
    <row r="272" ht="22.5" hidden="1" customHeight="1">
      <c r="A272" s="22"/>
      <c r="B272" s="37">
        <v>46206.0</v>
      </c>
      <c r="C272" s="41" t="s">
        <v>27</v>
      </c>
      <c r="D272" s="30" t="str">
        <f t="shared" si="13"/>
        <v>QLDKDTTH_06</v>
      </c>
      <c r="E272" s="30"/>
      <c r="F272" s="30"/>
      <c r="G272" s="30" t="s">
        <v>1022</v>
      </c>
      <c r="H272" s="28" t="s">
        <v>1023</v>
      </c>
      <c r="I272" s="10"/>
      <c r="J272" s="15" t="s">
        <v>1019</v>
      </c>
      <c r="K272" s="15" t="s">
        <v>1024</v>
      </c>
      <c r="L272" s="10"/>
      <c r="M272" s="10"/>
      <c r="N272" s="14" t="s">
        <v>205</v>
      </c>
      <c r="O272" s="15" t="s">
        <v>1021</v>
      </c>
      <c r="P272" s="11"/>
      <c r="Q272" s="10"/>
      <c r="R272" s="10"/>
      <c r="S272" s="10"/>
      <c r="T272" s="11"/>
      <c r="U272" s="10"/>
      <c r="V272" s="11"/>
      <c r="W272" s="10"/>
      <c r="X272" s="3"/>
      <c r="Y272" s="3"/>
      <c r="Z272" s="3"/>
      <c r="AA272" s="3"/>
      <c r="AB272" s="3"/>
      <c r="AC272" s="3"/>
    </row>
    <row r="273" ht="22.5" customHeight="1">
      <c r="A273" s="22"/>
      <c r="B273" s="37">
        <v>46206.0</v>
      </c>
      <c r="C273" s="41" t="s">
        <v>27</v>
      </c>
      <c r="D273" s="30" t="str">
        <f t="shared" si="13"/>
        <v>QLDKDTTH_07</v>
      </c>
      <c r="E273" s="30"/>
      <c r="F273" s="30"/>
      <c r="G273" s="30" t="s">
        <v>1025</v>
      </c>
      <c r="H273" s="28" t="s">
        <v>1026</v>
      </c>
      <c r="I273" s="10"/>
      <c r="J273" s="15" t="s">
        <v>1027</v>
      </c>
      <c r="K273" s="15" t="s">
        <v>1028</v>
      </c>
      <c r="L273" s="15" t="s">
        <v>1029</v>
      </c>
      <c r="M273" s="17" t="s">
        <v>1030</v>
      </c>
      <c r="N273" s="14" t="s">
        <v>63</v>
      </c>
      <c r="O273" s="10"/>
      <c r="P273" s="11"/>
      <c r="Q273" s="10"/>
      <c r="R273" s="10"/>
      <c r="S273" s="10"/>
      <c r="T273" s="11"/>
      <c r="U273" s="10"/>
      <c r="V273" s="11"/>
      <c r="W273" s="10"/>
      <c r="X273" s="3"/>
      <c r="Y273" s="3"/>
      <c r="Z273" s="3"/>
      <c r="AA273" s="3"/>
      <c r="AB273" s="3"/>
      <c r="AC273" s="3"/>
    </row>
    <row r="274" ht="22.5" hidden="1" customHeight="1">
      <c r="A274" s="22"/>
      <c r="B274" s="37">
        <v>46206.0</v>
      </c>
      <c r="C274" s="41" t="s">
        <v>27</v>
      </c>
      <c r="D274" s="30" t="str">
        <f t="shared" si="13"/>
        <v>QLDKDTTH_08</v>
      </c>
      <c r="E274" s="30"/>
      <c r="F274" s="30"/>
      <c r="G274" s="30" t="s">
        <v>1031</v>
      </c>
      <c r="H274" s="28" t="s">
        <v>1026</v>
      </c>
      <c r="I274" s="10"/>
      <c r="J274" s="15" t="s">
        <v>1032</v>
      </c>
      <c r="K274" s="15" t="s">
        <v>1033</v>
      </c>
      <c r="L274" s="10"/>
      <c r="M274" s="10"/>
      <c r="N274" s="14" t="s">
        <v>205</v>
      </c>
      <c r="O274" s="15" t="s">
        <v>1021</v>
      </c>
      <c r="P274" s="11"/>
      <c r="Q274" s="10"/>
      <c r="R274" s="10"/>
      <c r="S274" s="10"/>
      <c r="T274" s="11"/>
      <c r="U274" s="10"/>
      <c r="V274" s="11"/>
      <c r="W274" s="10"/>
      <c r="X274" s="3"/>
      <c r="Y274" s="3"/>
      <c r="Z274" s="3"/>
      <c r="AA274" s="3"/>
      <c r="AB274" s="3"/>
      <c r="AC274" s="3"/>
    </row>
    <row r="275" ht="22.5" hidden="1" customHeight="1">
      <c r="A275" s="22"/>
      <c r="B275" s="37">
        <v>46206.0</v>
      </c>
      <c r="C275" s="41" t="s">
        <v>27</v>
      </c>
      <c r="D275" s="30" t="str">
        <f t="shared" si="13"/>
        <v>QLDKDTTH_09</v>
      </c>
      <c r="E275" s="30"/>
      <c r="F275" s="30"/>
      <c r="G275" s="30" t="s">
        <v>1034</v>
      </c>
      <c r="H275" s="28" t="s">
        <v>1026</v>
      </c>
      <c r="I275" s="10"/>
      <c r="J275" s="15" t="s">
        <v>1027</v>
      </c>
      <c r="K275" s="15" t="s">
        <v>1035</v>
      </c>
      <c r="L275" s="15" t="s">
        <v>1035</v>
      </c>
      <c r="M275" s="17" t="s">
        <v>1036</v>
      </c>
      <c r="N275" s="14" t="s">
        <v>36</v>
      </c>
      <c r="O275" s="10"/>
      <c r="P275" s="11"/>
      <c r="Q275" s="10"/>
      <c r="R275" s="10"/>
      <c r="S275" s="10"/>
      <c r="T275" s="11"/>
      <c r="U275" s="10"/>
      <c r="V275" s="11"/>
      <c r="W275" s="10"/>
      <c r="X275" s="3"/>
      <c r="Y275" s="3"/>
      <c r="Z275" s="3"/>
      <c r="AA275" s="3"/>
      <c r="AB275" s="3"/>
      <c r="AC275" s="3"/>
    </row>
    <row r="276">
      <c r="A276" s="46"/>
      <c r="B276" s="47"/>
      <c r="C276" s="47"/>
      <c r="D276" s="48" t="str">
        <f t="shared" si="13"/>
        <v/>
      </c>
      <c r="E276" s="48"/>
      <c r="F276" s="48"/>
      <c r="G276" s="48"/>
      <c r="H276" s="49"/>
      <c r="I276" s="3"/>
      <c r="J276" s="3"/>
      <c r="K276" s="3"/>
      <c r="L276" s="3"/>
      <c r="M276" s="3"/>
      <c r="N276" s="3"/>
      <c r="O276" s="3"/>
      <c r="P276" s="3"/>
      <c r="Q276" s="3"/>
      <c r="R276" s="3"/>
      <c r="S276" s="3"/>
      <c r="T276" s="3"/>
      <c r="U276" s="3"/>
      <c r="V276" s="3"/>
      <c r="W276" s="3"/>
      <c r="X276" s="3"/>
      <c r="Y276" s="3"/>
      <c r="Z276" s="3"/>
      <c r="AA276" s="3"/>
      <c r="AB276" s="3"/>
      <c r="AC276" s="3"/>
    </row>
    <row r="277">
      <c r="A277" s="50"/>
      <c r="B277" s="51">
        <v>23.0</v>
      </c>
      <c r="C277" s="49" t="s">
        <v>1037</v>
      </c>
      <c r="D277" s="52" t="str">
        <f t="shared" ref="D277:D288" si="14">IF(G277&lt;&gt;"","DKTGKH_"&amp;TEXT(COUNTIF($G$277:G277,"&lt;&gt;"),"00"),"")</f>
        <v>DKTGKH_01</v>
      </c>
      <c r="E277" s="52" t="s">
        <v>1038</v>
      </c>
      <c r="F277" s="52" t="s">
        <v>1039</v>
      </c>
      <c r="G277" s="53" t="s">
        <v>1040</v>
      </c>
      <c r="H277" s="54" t="s">
        <v>1041</v>
      </c>
      <c r="I277" s="3"/>
      <c r="J277" s="3"/>
      <c r="K277" s="3"/>
      <c r="L277" s="3"/>
      <c r="M277" s="3"/>
      <c r="N277" s="14" t="s">
        <v>205</v>
      </c>
      <c r="O277" s="55" t="s">
        <v>1042</v>
      </c>
      <c r="P277" s="3"/>
      <c r="Q277" s="3"/>
      <c r="R277" s="3"/>
      <c r="S277" s="3"/>
      <c r="T277" s="3"/>
      <c r="U277" s="3"/>
      <c r="V277" s="3"/>
      <c r="W277" s="3"/>
      <c r="X277" s="3"/>
      <c r="Y277" s="3"/>
      <c r="Z277" s="3"/>
      <c r="AA277" s="3"/>
      <c r="AB277" s="3"/>
      <c r="AC277" s="3"/>
    </row>
    <row r="278">
      <c r="A278" s="46"/>
      <c r="B278" s="56">
        <v>46209.0</v>
      </c>
      <c r="C278" s="49" t="s">
        <v>1037</v>
      </c>
      <c r="D278" s="57" t="str">
        <f t="shared" si="14"/>
        <v>DKTGKH_02</v>
      </c>
      <c r="E278" s="48"/>
      <c r="F278" s="48"/>
      <c r="G278" s="48" t="s">
        <v>1043</v>
      </c>
      <c r="H278" s="58" t="s">
        <v>1044</v>
      </c>
      <c r="I278" s="3"/>
      <c r="J278" s="14" t="s">
        <v>1045</v>
      </c>
      <c r="K278" s="14" t="s">
        <v>1046</v>
      </c>
      <c r="L278" s="3"/>
      <c r="M278" s="3"/>
      <c r="N278" s="14" t="s">
        <v>205</v>
      </c>
      <c r="O278" s="3"/>
      <c r="P278" s="3"/>
      <c r="Q278" s="3"/>
      <c r="R278" s="3"/>
      <c r="S278" s="3"/>
      <c r="T278" s="3"/>
      <c r="U278" s="3"/>
      <c r="V278" s="3"/>
      <c r="W278" s="3"/>
      <c r="X278" s="3"/>
      <c r="Y278" s="3"/>
      <c r="Z278" s="3"/>
      <c r="AA278" s="3"/>
      <c r="AB278" s="3"/>
      <c r="AC278" s="3"/>
    </row>
    <row r="279">
      <c r="A279" s="46"/>
      <c r="B279" s="56">
        <v>46209.0</v>
      </c>
      <c r="C279" s="49" t="s">
        <v>1037</v>
      </c>
      <c r="D279" s="57" t="str">
        <f t="shared" si="14"/>
        <v>DKTGKH_03</v>
      </c>
      <c r="E279" s="48"/>
      <c r="F279" s="48"/>
      <c r="G279" s="48" t="s">
        <v>1047</v>
      </c>
      <c r="H279" s="58" t="s">
        <v>1044</v>
      </c>
      <c r="I279" s="3"/>
      <c r="J279" s="14" t="s">
        <v>1048</v>
      </c>
      <c r="K279" s="14" t="s">
        <v>1049</v>
      </c>
      <c r="L279" s="3"/>
      <c r="M279" s="3"/>
      <c r="N279" s="14" t="s">
        <v>205</v>
      </c>
      <c r="O279" s="3"/>
      <c r="P279" s="3"/>
      <c r="Q279" s="3"/>
      <c r="R279" s="3"/>
      <c r="S279" s="3"/>
      <c r="T279" s="3"/>
      <c r="U279" s="3"/>
      <c r="V279" s="3"/>
      <c r="W279" s="3"/>
      <c r="X279" s="3"/>
      <c r="Y279" s="3"/>
      <c r="Z279" s="3"/>
      <c r="AA279" s="3"/>
      <c r="AB279" s="3"/>
      <c r="AC279" s="3"/>
    </row>
    <row r="280">
      <c r="A280" s="46"/>
      <c r="B280" s="56">
        <v>46209.0</v>
      </c>
      <c r="C280" s="49" t="s">
        <v>1037</v>
      </c>
      <c r="D280" s="57" t="str">
        <f t="shared" si="14"/>
        <v>DKTGKH_04</v>
      </c>
      <c r="E280" s="48"/>
      <c r="F280" s="48"/>
      <c r="G280" s="48" t="s">
        <v>1050</v>
      </c>
      <c r="H280" s="58" t="s">
        <v>1051</v>
      </c>
      <c r="I280" s="3"/>
      <c r="J280" s="14" t="s">
        <v>1052</v>
      </c>
      <c r="K280" s="14" t="s">
        <v>1053</v>
      </c>
      <c r="L280" s="3"/>
      <c r="M280" s="3"/>
      <c r="N280" s="14" t="s">
        <v>205</v>
      </c>
      <c r="O280" s="3"/>
      <c r="P280" s="3"/>
      <c r="Q280" s="3"/>
      <c r="R280" s="3"/>
      <c r="S280" s="3"/>
      <c r="T280" s="3"/>
      <c r="U280" s="3"/>
      <c r="V280" s="3"/>
      <c r="W280" s="3"/>
      <c r="X280" s="3"/>
      <c r="Y280" s="3"/>
      <c r="Z280" s="3"/>
      <c r="AA280" s="3"/>
      <c r="AB280" s="3"/>
      <c r="AC280" s="3"/>
    </row>
    <row r="281">
      <c r="A281" s="46"/>
      <c r="B281" s="56">
        <v>46209.0</v>
      </c>
      <c r="C281" s="49" t="s">
        <v>1037</v>
      </c>
      <c r="D281" s="57" t="str">
        <f t="shared" si="14"/>
        <v>DKTGKH_05</v>
      </c>
      <c r="E281" s="48"/>
      <c r="F281" s="48"/>
      <c r="G281" s="48" t="s">
        <v>1054</v>
      </c>
      <c r="H281" s="58" t="s">
        <v>1055</v>
      </c>
      <c r="I281" s="3"/>
      <c r="J281" s="14" t="s">
        <v>1056</v>
      </c>
      <c r="K281" s="14" t="s">
        <v>1057</v>
      </c>
      <c r="L281" s="3"/>
      <c r="M281" s="3"/>
      <c r="N281" s="14" t="s">
        <v>205</v>
      </c>
      <c r="O281" s="3"/>
      <c r="P281" s="3"/>
      <c r="Q281" s="3"/>
      <c r="R281" s="3"/>
      <c r="S281" s="3"/>
      <c r="T281" s="3"/>
      <c r="U281" s="3"/>
      <c r="V281" s="3"/>
      <c r="W281" s="3"/>
      <c r="X281" s="3"/>
      <c r="Y281" s="3"/>
      <c r="Z281" s="3"/>
      <c r="AA281" s="3"/>
      <c r="AB281" s="3"/>
      <c r="AC281" s="3"/>
    </row>
    <row r="282">
      <c r="A282" s="46"/>
      <c r="B282" s="56">
        <v>46209.0</v>
      </c>
      <c r="C282" s="49" t="s">
        <v>1037</v>
      </c>
      <c r="D282" s="57" t="str">
        <f t="shared" si="14"/>
        <v>DKTGKH_06</v>
      </c>
      <c r="E282" s="48"/>
      <c r="F282" s="48"/>
      <c r="G282" s="48" t="s">
        <v>1058</v>
      </c>
      <c r="H282" s="58" t="s">
        <v>1059</v>
      </c>
      <c r="I282" s="3"/>
      <c r="J282" s="14" t="s">
        <v>1060</v>
      </c>
      <c r="K282" s="14" t="s">
        <v>1061</v>
      </c>
      <c r="L282" s="3"/>
      <c r="M282" s="3"/>
      <c r="N282" s="14" t="s">
        <v>205</v>
      </c>
      <c r="O282" s="3"/>
      <c r="P282" s="3"/>
      <c r="Q282" s="3"/>
      <c r="R282" s="3"/>
      <c r="S282" s="3"/>
      <c r="T282" s="3"/>
      <c r="U282" s="3"/>
      <c r="V282" s="3"/>
      <c r="W282" s="3"/>
      <c r="X282" s="3"/>
      <c r="Y282" s="3"/>
      <c r="Z282" s="3"/>
      <c r="AA282" s="3"/>
      <c r="AB282" s="3"/>
      <c r="AC282" s="3"/>
    </row>
    <row r="283">
      <c r="A283" s="46"/>
      <c r="B283" s="56">
        <v>46209.0</v>
      </c>
      <c r="C283" s="49" t="s">
        <v>1037</v>
      </c>
      <c r="D283" s="57" t="str">
        <f t="shared" si="14"/>
        <v>DKTGKH_07</v>
      </c>
      <c r="E283" s="48"/>
      <c r="F283" s="48"/>
      <c r="G283" s="48" t="s">
        <v>1062</v>
      </c>
      <c r="H283" s="58" t="s">
        <v>1063</v>
      </c>
      <c r="I283" s="3"/>
      <c r="J283" s="14" t="s">
        <v>1064</v>
      </c>
      <c r="K283" s="14" t="s">
        <v>1065</v>
      </c>
      <c r="L283" s="14" t="s">
        <v>1066</v>
      </c>
      <c r="M283" s="55" t="s">
        <v>1067</v>
      </c>
      <c r="N283" s="14" t="s">
        <v>63</v>
      </c>
      <c r="O283" s="3"/>
      <c r="P283" s="3"/>
      <c r="Q283" s="3"/>
      <c r="R283" s="3"/>
      <c r="S283" s="3"/>
      <c r="T283" s="3"/>
      <c r="U283" s="3"/>
      <c r="V283" s="3"/>
      <c r="W283" s="3"/>
      <c r="X283" s="3"/>
      <c r="Y283" s="3"/>
      <c r="Z283" s="3"/>
      <c r="AA283" s="3"/>
      <c r="AB283" s="3"/>
      <c r="AC283" s="3"/>
    </row>
    <row r="284">
      <c r="A284" s="46"/>
      <c r="B284" s="56">
        <v>46209.0</v>
      </c>
      <c r="C284" s="49" t="s">
        <v>1037</v>
      </c>
      <c r="D284" s="57" t="str">
        <f t="shared" si="14"/>
        <v>DKTGKH_08</v>
      </c>
      <c r="E284" s="48"/>
      <c r="F284" s="48"/>
      <c r="G284" s="48" t="s">
        <v>1068</v>
      </c>
      <c r="H284" s="58" t="s">
        <v>1063</v>
      </c>
      <c r="I284" s="3"/>
      <c r="J284" s="14" t="s">
        <v>1069</v>
      </c>
      <c r="K284" s="14" t="s">
        <v>1070</v>
      </c>
      <c r="L284" s="14" t="s">
        <v>1070</v>
      </c>
      <c r="M284" s="59" t="s">
        <v>1071</v>
      </c>
      <c r="N284" s="14" t="s">
        <v>36</v>
      </c>
      <c r="O284" s="3"/>
      <c r="P284" s="3"/>
      <c r="Q284" s="3"/>
      <c r="R284" s="3"/>
      <c r="S284" s="3"/>
      <c r="T284" s="3"/>
      <c r="U284" s="3"/>
      <c r="V284" s="3"/>
      <c r="W284" s="3"/>
      <c r="X284" s="3"/>
      <c r="Y284" s="3"/>
      <c r="Z284" s="3"/>
      <c r="AA284" s="3"/>
      <c r="AB284" s="3"/>
      <c r="AC284" s="3"/>
    </row>
    <row r="285">
      <c r="A285" s="46"/>
      <c r="B285" s="56">
        <v>46209.0</v>
      </c>
      <c r="C285" s="49" t="s">
        <v>1037</v>
      </c>
      <c r="D285" s="57" t="str">
        <f t="shared" si="14"/>
        <v>DKTGKH_09</v>
      </c>
      <c r="E285" s="48"/>
      <c r="F285" s="48"/>
      <c r="G285" s="48" t="s">
        <v>1072</v>
      </c>
      <c r="H285" s="58" t="s">
        <v>1063</v>
      </c>
      <c r="I285" s="3"/>
      <c r="J285" s="14" t="s">
        <v>1073</v>
      </c>
      <c r="K285" s="14" t="s">
        <v>1074</v>
      </c>
      <c r="L285" s="14" t="s">
        <v>1074</v>
      </c>
      <c r="M285" s="59" t="s">
        <v>1075</v>
      </c>
      <c r="N285" s="14" t="s">
        <v>36</v>
      </c>
      <c r="O285" s="3"/>
      <c r="P285" s="3"/>
      <c r="Q285" s="3"/>
      <c r="R285" s="3"/>
      <c r="S285" s="3"/>
      <c r="T285" s="3"/>
      <c r="U285" s="3"/>
      <c r="V285" s="3"/>
      <c r="W285" s="3"/>
      <c r="X285" s="3"/>
      <c r="Y285" s="3"/>
      <c r="Z285" s="3"/>
      <c r="AA285" s="3"/>
      <c r="AB285" s="3"/>
      <c r="AC285" s="3"/>
    </row>
    <row r="286">
      <c r="A286" s="46"/>
      <c r="B286" s="56">
        <v>46209.0</v>
      </c>
      <c r="C286" s="49" t="s">
        <v>1037</v>
      </c>
      <c r="D286" s="57" t="str">
        <f t="shared" si="14"/>
        <v>DKTGKH_10</v>
      </c>
      <c r="E286" s="48"/>
      <c r="F286" s="48"/>
      <c r="G286" s="48" t="s">
        <v>1076</v>
      </c>
      <c r="H286" s="58" t="s">
        <v>1077</v>
      </c>
      <c r="I286" s="3"/>
      <c r="J286" s="14" t="s">
        <v>1073</v>
      </c>
      <c r="K286" s="14" t="s">
        <v>1078</v>
      </c>
      <c r="L286" s="14" t="s">
        <v>1078</v>
      </c>
      <c r="M286" s="59" t="s">
        <v>1079</v>
      </c>
      <c r="N286" s="14" t="s">
        <v>36</v>
      </c>
      <c r="O286" s="3"/>
      <c r="P286" s="3"/>
      <c r="Q286" s="3"/>
      <c r="R286" s="3"/>
      <c r="S286" s="3"/>
      <c r="T286" s="3"/>
      <c r="U286" s="3"/>
      <c r="V286" s="3"/>
      <c r="W286" s="3"/>
      <c r="X286" s="3"/>
      <c r="Y286" s="3"/>
      <c r="Z286" s="3"/>
      <c r="AA286" s="3"/>
      <c r="AB286" s="3"/>
      <c r="AC286" s="3"/>
    </row>
    <row r="287">
      <c r="A287" s="46"/>
      <c r="B287" s="56">
        <v>46209.0</v>
      </c>
      <c r="C287" s="49" t="s">
        <v>1037</v>
      </c>
      <c r="D287" s="57" t="str">
        <f t="shared" si="14"/>
        <v>DKTGKH_11</v>
      </c>
      <c r="E287" s="48"/>
      <c r="F287" s="48"/>
      <c r="G287" s="48" t="s">
        <v>1080</v>
      </c>
      <c r="H287" s="58" t="s">
        <v>1063</v>
      </c>
      <c r="I287" s="3"/>
      <c r="J287" s="14" t="s">
        <v>1081</v>
      </c>
      <c r="K287" s="14" t="s">
        <v>1082</v>
      </c>
      <c r="L287" s="14" t="s">
        <v>1082</v>
      </c>
      <c r="M287" s="59" t="s">
        <v>1083</v>
      </c>
      <c r="N287" s="14" t="s">
        <v>36</v>
      </c>
      <c r="O287" s="3"/>
      <c r="P287" s="3"/>
      <c r="Q287" s="3"/>
      <c r="R287" s="3"/>
      <c r="S287" s="3"/>
      <c r="T287" s="3"/>
      <c r="U287" s="3"/>
      <c r="V287" s="3"/>
      <c r="W287" s="3"/>
      <c r="X287" s="3"/>
      <c r="Y287" s="3"/>
      <c r="Z287" s="3"/>
      <c r="AA287" s="3"/>
      <c r="AB287" s="3"/>
      <c r="AC287" s="3"/>
    </row>
    <row r="288">
      <c r="A288" s="46"/>
      <c r="B288" s="56">
        <v>46209.0</v>
      </c>
      <c r="C288" s="49" t="s">
        <v>1037</v>
      </c>
      <c r="D288" s="57" t="str">
        <f t="shared" si="14"/>
        <v>DKTGKH_12</v>
      </c>
      <c r="E288" s="48"/>
      <c r="F288" s="48"/>
      <c r="G288" s="48" t="s">
        <v>1084</v>
      </c>
      <c r="H288" s="58" t="s">
        <v>1063</v>
      </c>
      <c r="I288" s="3"/>
      <c r="J288" s="14" t="s">
        <v>1085</v>
      </c>
      <c r="K288" s="14" t="s">
        <v>1086</v>
      </c>
      <c r="L288" s="14" t="s">
        <v>1087</v>
      </c>
      <c r="M288" s="59" t="s">
        <v>1088</v>
      </c>
      <c r="N288" s="14" t="s">
        <v>63</v>
      </c>
      <c r="O288" s="3"/>
      <c r="P288" s="3"/>
      <c r="Q288" s="3"/>
      <c r="R288" s="3"/>
      <c r="S288" s="3"/>
      <c r="T288" s="3"/>
      <c r="U288" s="3"/>
      <c r="V288" s="3"/>
      <c r="W288" s="3"/>
      <c r="X288" s="3"/>
      <c r="Y288" s="3"/>
      <c r="Z288" s="3"/>
      <c r="AA288" s="3"/>
      <c r="AB288" s="3"/>
      <c r="AC288" s="3"/>
    </row>
    <row r="289">
      <c r="A289" s="50"/>
      <c r="B289" s="51">
        <v>24.0</v>
      </c>
      <c r="C289" s="49" t="s">
        <v>1037</v>
      </c>
      <c r="D289" s="52" t="str">
        <f t="shared" ref="D289:D301" si="15">IF(G289&lt;&gt;"","KTDGKQHT_"&amp;TEXT(COUNTIF($G$289:G289,"&lt;&gt;"),"00"),"")</f>
        <v>KTDGKQHT_01</v>
      </c>
      <c r="E289" s="52" t="s">
        <v>1089</v>
      </c>
      <c r="F289" s="52" t="s">
        <v>29</v>
      </c>
      <c r="G289" s="53" t="s">
        <v>1090</v>
      </c>
      <c r="H289" s="58" t="s">
        <v>1091</v>
      </c>
      <c r="I289" s="3"/>
      <c r="J289" s="14" t="s">
        <v>1092</v>
      </c>
      <c r="K289" s="14" t="s">
        <v>1093</v>
      </c>
      <c r="L289" s="14" t="s">
        <v>1094</v>
      </c>
      <c r="M289" s="55" t="s">
        <v>1095</v>
      </c>
      <c r="N289" s="14" t="s">
        <v>63</v>
      </c>
      <c r="O289" s="3"/>
      <c r="P289" s="3"/>
      <c r="Q289" s="3"/>
      <c r="R289" s="3"/>
      <c r="S289" s="3"/>
      <c r="T289" s="3"/>
      <c r="U289" s="3"/>
      <c r="V289" s="3"/>
      <c r="W289" s="3"/>
      <c r="X289" s="3"/>
      <c r="Y289" s="3"/>
      <c r="Z289" s="3"/>
      <c r="AA289" s="3"/>
      <c r="AB289" s="3"/>
      <c r="AC289" s="3"/>
    </row>
    <row r="290">
      <c r="A290" s="46"/>
      <c r="B290" s="56">
        <v>46209.0</v>
      </c>
      <c r="C290" s="49" t="s">
        <v>1037</v>
      </c>
      <c r="D290" s="48" t="str">
        <f t="shared" si="15"/>
        <v>KTDGKQHT_02</v>
      </c>
      <c r="E290" s="48"/>
      <c r="F290" s="48"/>
      <c r="G290" s="48" t="s">
        <v>1096</v>
      </c>
      <c r="H290" s="58" t="s">
        <v>1091</v>
      </c>
      <c r="I290" s="3"/>
      <c r="J290" s="14" t="s">
        <v>1092</v>
      </c>
      <c r="K290" s="14" t="s">
        <v>1097</v>
      </c>
      <c r="L290" s="3"/>
      <c r="M290" s="3"/>
      <c r="N290" s="14" t="s">
        <v>205</v>
      </c>
      <c r="O290" s="3"/>
      <c r="P290" s="3"/>
      <c r="Q290" s="3"/>
      <c r="R290" s="3"/>
      <c r="S290" s="3"/>
      <c r="T290" s="3"/>
      <c r="U290" s="3"/>
      <c r="V290" s="3"/>
      <c r="W290" s="3"/>
      <c r="X290" s="3"/>
      <c r="Y290" s="3"/>
      <c r="Z290" s="3"/>
      <c r="AA290" s="3"/>
      <c r="AB290" s="3"/>
      <c r="AC290" s="3"/>
    </row>
    <row r="291">
      <c r="A291" s="46"/>
      <c r="B291" s="56">
        <v>46209.0</v>
      </c>
      <c r="C291" s="49" t="s">
        <v>1037</v>
      </c>
      <c r="D291" s="48" t="str">
        <f t="shared" si="15"/>
        <v>KTDGKQHT_03</v>
      </c>
      <c r="E291" s="48"/>
      <c r="F291" s="48"/>
      <c r="G291" s="48" t="s">
        <v>1098</v>
      </c>
      <c r="H291" s="58" t="s">
        <v>1099</v>
      </c>
      <c r="I291" s="3"/>
      <c r="J291" s="14" t="s">
        <v>1100</v>
      </c>
      <c r="K291" s="14" t="s">
        <v>1101</v>
      </c>
      <c r="L291" s="14" t="s">
        <v>1102</v>
      </c>
      <c r="M291" s="55" t="s">
        <v>1103</v>
      </c>
      <c r="N291" s="14" t="s">
        <v>63</v>
      </c>
      <c r="O291" s="3"/>
      <c r="P291" s="3"/>
      <c r="Q291" s="3"/>
      <c r="R291" s="3"/>
      <c r="S291" s="3"/>
      <c r="T291" s="3"/>
      <c r="U291" s="3"/>
      <c r="V291" s="3"/>
      <c r="W291" s="3"/>
      <c r="X291" s="3"/>
      <c r="Y291" s="3"/>
      <c r="Z291" s="3"/>
      <c r="AA291" s="3"/>
      <c r="AB291" s="3"/>
      <c r="AC291" s="3"/>
    </row>
    <row r="292">
      <c r="A292" s="46"/>
      <c r="B292" s="47"/>
      <c r="C292" s="49"/>
      <c r="D292" s="48" t="str">
        <f t="shared" si="15"/>
        <v>KTDGKQHT_04</v>
      </c>
      <c r="E292" s="48"/>
      <c r="F292" s="48"/>
      <c r="G292" s="48" t="s">
        <v>1104</v>
      </c>
      <c r="H292" s="58" t="s">
        <v>1099</v>
      </c>
      <c r="I292" s="3"/>
      <c r="J292" s="14" t="s">
        <v>1105</v>
      </c>
      <c r="K292" s="14" t="s">
        <v>1106</v>
      </c>
      <c r="L292" s="3"/>
      <c r="M292" s="3"/>
      <c r="N292" s="14" t="s">
        <v>205</v>
      </c>
      <c r="O292" s="3"/>
      <c r="P292" s="3"/>
      <c r="Q292" s="3"/>
      <c r="R292" s="3"/>
      <c r="S292" s="3"/>
      <c r="T292" s="3"/>
      <c r="U292" s="3"/>
      <c r="V292" s="3"/>
      <c r="W292" s="3"/>
      <c r="X292" s="3"/>
      <c r="Y292" s="3"/>
      <c r="Z292" s="3"/>
      <c r="AA292" s="3"/>
      <c r="AB292" s="3"/>
      <c r="AC292" s="3"/>
    </row>
    <row r="293">
      <c r="A293" s="46"/>
      <c r="B293" s="47"/>
      <c r="C293" s="47"/>
      <c r="D293" s="48" t="str">
        <f t="shared" si="15"/>
        <v>KTDGKQHT_05</v>
      </c>
      <c r="E293" s="48"/>
      <c r="F293" s="48"/>
      <c r="G293" s="48" t="s">
        <v>1107</v>
      </c>
      <c r="H293" s="58" t="s">
        <v>1099</v>
      </c>
      <c r="I293" s="3"/>
      <c r="J293" s="14" t="s">
        <v>1108</v>
      </c>
      <c r="K293" s="14" t="s">
        <v>1109</v>
      </c>
      <c r="L293" s="3"/>
      <c r="M293" s="3"/>
      <c r="N293" s="14" t="s">
        <v>205</v>
      </c>
      <c r="O293" s="3"/>
      <c r="P293" s="3"/>
      <c r="Q293" s="3"/>
      <c r="R293" s="3"/>
      <c r="S293" s="3"/>
      <c r="T293" s="3"/>
      <c r="U293" s="3"/>
      <c r="V293" s="3"/>
      <c r="W293" s="3"/>
      <c r="X293" s="3"/>
      <c r="Y293" s="3"/>
      <c r="Z293" s="3"/>
      <c r="AA293" s="3"/>
      <c r="AB293" s="3"/>
      <c r="AC293" s="3"/>
    </row>
    <row r="294">
      <c r="A294" s="46"/>
      <c r="B294" s="47"/>
      <c r="C294" s="47"/>
      <c r="D294" s="48" t="str">
        <f t="shared" si="15"/>
        <v>KTDGKQHT_06</v>
      </c>
      <c r="E294" s="48"/>
      <c r="F294" s="48"/>
      <c r="G294" s="48" t="s">
        <v>1110</v>
      </c>
      <c r="H294" s="58" t="s">
        <v>1099</v>
      </c>
      <c r="I294" s="3"/>
      <c r="J294" s="14" t="s">
        <v>1111</v>
      </c>
      <c r="K294" s="14" t="s">
        <v>1112</v>
      </c>
      <c r="L294" s="3"/>
      <c r="M294" s="3"/>
      <c r="N294" s="14" t="s">
        <v>205</v>
      </c>
      <c r="O294" s="3"/>
      <c r="P294" s="3"/>
      <c r="Q294" s="3"/>
      <c r="R294" s="3"/>
      <c r="S294" s="3"/>
      <c r="T294" s="3"/>
      <c r="U294" s="3"/>
      <c r="V294" s="3"/>
      <c r="W294" s="3"/>
      <c r="X294" s="3"/>
      <c r="Y294" s="3"/>
      <c r="Z294" s="3"/>
      <c r="AA294" s="3"/>
      <c r="AB294" s="3"/>
      <c r="AC294" s="3"/>
    </row>
    <row r="295">
      <c r="A295" s="46"/>
      <c r="B295" s="47"/>
      <c r="C295" s="47"/>
      <c r="D295" s="48" t="str">
        <f t="shared" si="15"/>
        <v>KTDGKQHT_07</v>
      </c>
      <c r="E295" s="48"/>
      <c r="F295" s="48"/>
      <c r="G295" s="48" t="s">
        <v>1113</v>
      </c>
      <c r="H295" s="58" t="s">
        <v>1114</v>
      </c>
      <c r="I295" s="3"/>
      <c r="J295" s="14" t="s">
        <v>1115</v>
      </c>
      <c r="K295" s="14" t="s">
        <v>1116</v>
      </c>
      <c r="L295" s="3"/>
      <c r="M295" s="3"/>
      <c r="N295" s="14" t="s">
        <v>205</v>
      </c>
      <c r="O295" s="3"/>
      <c r="P295" s="3"/>
      <c r="Q295" s="3"/>
      <c r="R295" s="3"/>
      <c r="S295" s="3"/>
      <c r="T295" s="3"/>
      <c r="U295" s="3"/>
      <c r="V295" s="3"/>
      <c r="W295" s="3"/>
      <c r="X295" s="3"/>
      <c r="Y295" s="3"/>
      <c r="Z295" s="3"/>
      <c r="AA295" s="3"/>
      <c r="AB295" s="3"/>
      <c r="AC295" s="3"/>
    </row>
    <row r="296">
      <c r="A296" s="46"/>
      <c r="B296" s="47"/>
      <c r="C296" s="47"/>
      <c r="D296" s="48" t="str">
        <f t="shared" si="15"/>
        <v>KTDGKQHT_08</v>
      </c>
      <c r="E296" s="48"/>
      <c r="F296" s="48"/>
      <c r="G296" s="48" t="s">
        <v>1117</v>
      </c>
      <c r="H296" s="58" t="s">
        <v>1118</v>
      </c>
      <c r="I296" s="3"/>
      <c r="J296" s="14" t="s">
        <v>1119</v>
      </c>
      <c r="K296" s="14" t="s">
        <v>1120</v>
      </c>
      <c r="L296" s="14" t="s">
        <v>1121</v>
      </c>
      <c r="M296" s="55" t="s">
        <v>1122</v>
      </c>
      <c r="N296" s="14" t="s">
        <v>63</v>
      </c>
      <c r="O296" s="3"/>
      <c r="P296" s="3"/>
      <c r="Q296" s="3"/>
      <c r="R296" s="3"/>
      <c r="S296" s="3"/>
      <c r="T296" s="3"/>
      <c r="U296" s="3"/>
      <c r="V296" s="3"/>
      <c r="W296" s="3"/>
      <c r="X296" s="3"/>
      <c r="Y296" s="3"/>
      <c r="Z296" s="3"/>
      <c r="AA296" s="3"/>
      <c r="AB296" s="3"/>
      <c r="AC296" s="3"/>
    </row>
    <row r="297">
      <c r="A297" s="46"/>
      <c r="B297" s="47"/>
      <c r="C297" s="47"/>
      <c r="D297" s="48" t="str">
        <f t="shared" si="15"/>
        <v>KTDGKQHT_09</v>
      </c>
      <c r="E297" s="48"/>
      <c r="F297" s="48"/>
      <c r="G297" s="48" t="s">
        <v>1123</v>
      </c>
      <c r="H297" s="58" t="s">
        <v>1118</v>
      </c>
      <c r="I297" s="3"/>
      <c r="J297" s="14" t="s">
        <v>1124</v>
      </c>
      <c r="K297" s="14" t="s">
        <v>1125</v>
      </c>
      <c r="L297" s="3"/>
      <c r="M297" s="3"/>
      <c r="N297" s="14" t="s">
        <v>205</v>
      </c>
      <c r="O297" s="3"/>
      <c r="P297" s="3"/>
      <c r="Q297" s="3"/>
      <c r="R297" s="3"/>
      <c r="S297" s="3"/>
      <c r="T297" s="3"/>
      <c r="U297" s="3"/>
      <c r="V297" s="3"/>
      <c r="W297" s="3"/>
      <c r="X297" s="3"/>
      <c r="Y297" s="3"/>
      <c r="Z297" s="3"/>
      <c r="AA297" s="3"/>
      <c r="AB297" s="3"/>
      <c r="AC297" s="3"/>
    </row>
    <row r="298">
      <c r="A298" s="46"/>
      <c r="B298" s="47"/>
      <c r="C298" s="47"/>
      <c r="D298" s="48" t="str">
        <f t="shared" si="15"/>
        <v>KTDGKQHT_10</v>
      </c>
      <c r="E298" s="48"/>
      <c r="F298" s="48"/>
      <c r="G298" s="48" t="s">
        <v>1126</v>
      </c>
      <c r="H298" s="58" t="s">
        <v>1118</v>
      </c>
      <c r="I298" s="3"/>
      <c r="J298" s="14" t="s">
        <v>1127</v>
      </c>
      <c r="K298" s="14" t="s">
        <v>1106</v>
      </c>
      <c r="L298" s="3"/>
      <c r="M298" s="3"/>
      <c r="N298" s="14" t="s">
        <v>205</v>
      </c>
      <c r="O298" s="3"/>
      <c r="P298" s="3"/>
      <c r="Q298" s="3"/>
      <c r="R298" s="3"/>
      <c r="S298" s="3"/>
      <c r="T298" s="3"/>
      <c r="U298" s="3"/>
      <c r="V298" s="3"/>
      <c r="W298" s="3"/>
      <c r="X298" s="3"/>
      <c r="Y298" s="3"/>
      <c r="Z298" s="3"/>
      <c r="AA298" s="3"/>
      <c r="AB298" s="3"/>
      <c r="AC298" s="3"/>
    </row>
    <row r="299">
      <c r="A299" s="46"/>
      <c r="B299" s="47"/>
      <c r="C299" s="47"/>
      <c r="D299" s="48" t="str">
        <f t="shared" si="15"/>
        <v>KTDGKQHT_11</v>
      </c>
      <c r="E299" s="48"/>
      <c r="F299" s="48"/>
      <c r="G299" s="48" t="s">
        <v>1128</v>
      </c>
      <c r="H299" s="58" t="s">
        <v>1118</v>
      </c>
      <c r="I299" s="3"/>
      <c r="J299" s="14" t="s">
        <v>1129</v>
      </c>
      <c r="K299" s="14" t="s">
        <v>1109</v>
      </c>
      <c r="L299" s="3"/>
      <c r="M299" s="3"/>
      <c r="N299" s="14" t="s">
        <v>205</v>
      </c>
      <c r="O299" s="3"/>
      <c r="P299" s="3"/>
      <c r="Q299" s="3"/>
      <c r="R299" s="3"/>
      <c r="S299" s="3"/>
      <c r="T299" s="3"/>
      <c r="U299" s="3"/>
      <c r="V299" s="3"/>
      <c r="W299" s="3"/>
      <c r="X299" s="3"/>
      <c r="Y299" s="3"/>
      <c r="Z299" s="3"/>
      <c r="AA299" s="3"/>
      <c r="AB299" s="3"/>
      <c r="AC299" s="3"/>
    </row>
    <row r="300">
      <c r="A300" s="46"/>
      <c r="B300" s="47"/>
      <c r="C300" s="47"/>
      <c r="D300" s="48" t="str">
        <f t="shared" si="15"/>
        <v>KTDGKQHT_12</v>
      </c>
      <c r="E300" s="48"/>
      <c r="F300" s="48"/>
      <c r="G300" s="48" t="s">
        <v>1110</v>
      </c>
      <c r="H300" s="58" t="s">
        <v>1118</v>
      </c>
      <c r="I300" s="3"/>
      <c r="J300" s="14" t="s">
        <v>1130</v>
      </c>
      <c r="K300" s="14" t="s">
        <v>1131</v>
      </c>
      <c r="L300" s="3"/>
      <c r="M300" s="3"/>
      <c r="N300" s="14" t="s">
        <v>205</v>
      </c>
      <c r="O300" s="3"/>
      <c r="P300" s="3"/>
      <c r="Q300" s="3"/>
      <c r="R300" s="3"/>
      <c r="S300" s="3"/>
      <c r="T300" s="3"/>
      <c r="U300" s="3"/>
      <c r="V300" s="3"/>
      <c r="W300" s="3"/>
      <c r="X300" s="3"/>
      <c r="Y300" s="3"/>
      <c r="Z300" s="3"/>
      <c r="AA300" s="3"/>
      <c r="AB300" s="3"/>
      <c r="AC300" s="3"/>
    </row>
    <row r="301">
      <c r="A301" s="46"/>
      <c r="B301" s="47"/>
      <c r="C301" s="47"/>
      <c r="D301" s="48" t="str">
        <f t="shared" si="15"/>
        <v>KTDGKQHT_13</v>
      </c>
      <c r="E301" s="48"/>
      <c r="F301" s="48"/>
      <c r="G301" s="48" t="s">
        <v>1132</v>
      </c>
      <c r="H301" s="58" t="s">
        <v>1114</v>
      </c>
      <c r="I301" s="3"/>
      <c r="J301" s="14" t="s">
        <v>1133</v>
      </c>
      <c r="K301" s="14" t="s">
        <v>1134</v>
      </c>
      <c r="L301" s="3"/>
      <c r="M301" s="3"/>
      <c r="N301" s="14" t="s">
        <v>205</v>
      </c>
      <c r="O301" s="3"/>
      <c r="P301" s="3"/>
      <c r="Q301" s="3"/>
      <c r="R301" s="3"/>
      <c r="S301" s="3"/>
      <c r="T301" s="3"/>
      <c r="U301" s="3"/>
      <c r="V301" s="3"/>
      <c r="W301" s="3"/>
      <c r="X301" s="3"/>
      <c r="Y301" s="3"/>
      <c r="Z301" s="3"/>
      <c r="AA301" s="3"/>
      <c r="AB301" s="3"/>
      <c r="AC301" s="3"/>
    </row>
    <row r="302">
      <c r="A302" s="50"/>
      <c r="B302" s="51">
        <v>25.0</v>
      </c>
      <c r="C302" s="51" t="str">
        <f t="shared" ref="C302:C307" si="16">IF(G302&lt;&gt;"","TTKTDGKQHT_"&amp;TEXT(COUNTIF($G$302:G302,"&lt;&gt;"),"00"),"")</f>
        <v>TTKTDGKQHT_01</v>
      </c>
      <c r="D302" s="52"/>
      <c r="E302" s="52" t="s">
        <v>1135</v>
      </c>
      <c r="F302" s="52" t="s">
        <v>29</v>
      </c>
      <c r="G302" s="53" t="s">
        <v>1136</v>
      </c>
      <c r="H302" s="58" t="s">
        <v>1137</v>
      </c>
      <c r="I302" s="3"/>
      <c r="J302" s="14" t="s">
        <v>1138</v>
      </c>
      <c r="K302" s="14" t="s">
        <v>1136</v>
      </c>
      <c r="L302" s="14" t="s">
        <v>1139</v>
      </c>
      <c r="M302" s="55" t="s">
        <v>1140</v>
      </c>
      <c r="N302" s="14" t="s">
        <v>63</v>
      </c>
      <c r="O302" s="3"/>
      <c r="P302" s="3"/>
      <c r="Q302" s="3"/>
      <c r="R302" s="3"/>
      <c r="S302" s="3"/>
      <c r="T302" s="3"/>
      <c r="U302" s="3"/>
      <c r="V302" s="3"/>
      <c r="W302" s="3"/>
      <c r="X302" s="3"/>
      <c r="Y302" s="3"/>
      <c r="Z302" s="3"/>
      <c r="AA302" s="3"/>
      <c r="AB302" s="3"/>
      <c r="AC302" s="3"/>
    </row>
    <row r="303">
      <c r="A303" s="46"/>
      <c r="B303" s="47"/>
      <c r="C303" s="60" t="str">
        <f t="shared" si="16"/>
        <v>TTKTDGKQHT_02</v>
      </c>
      <c r="D303" s="48"/>
      <c r="E303" s="48"/>
      <c r="F303" s="48"/>
      <c r="G303" s="48" t="s">
        <v>1141</v>
      </c>
      <c r="H303" s="58" t="s">
        <v>1137</v>
      </c>
      <c r="I303" s="3"/>
      <c r="J303" s="14" t="s">
        <v>1142</v>
      </c>
      <c r="K303" s="14" t="s">
        <v>1143</v>
      </c>
      <c r="L303" s="3"/>
      <c r="M303" s="3"/>
      <c r="N303" s="14" t="s">
        <v>205</v>
      </c>
      <c r="O303" s="3"/>
      <c r="P303" s="3"/>
      <c r="Q303" s="3"/>
      <c r="R303" s="3"/>
      <c r="S303" s="3"/>
      <c r="T303" s="3"/>
      <c r="U303" s="3"/>
      <c r="V303" s="3"/>
      <c r="W303" s="3"/>
      <c r="X303" s="3"/>
      <c r="Y303" s="3"/>
      <c r="Z303" s="3"/>
      <c r="AA303" s="3"/>
      <c r="AB303" s="3"/>
      <c r="AC303" s="3"/>
    </row>
    <row r="304">
      <c r="A304" s="46"/>
      <c r="B304" s="47"/>
      <c r="C304" s="60" t="str">
        <f t="shared" si="16"/>
        <v>TTKTDGKQHT_03</v>
      </c>
      <c r="D304" s="48"/>
      <c r="E304" s="48"/>
      <c r="F304" s="48"/>
      <c r="G304" s="48" t="s">
        <v>1144</v>
      </c>
      <c r="H304" s="58" t="s">
        <v>1137</v>
      </c>
      <c r="I304" s="3"/>
      <c r="J304" s="14" t="s">
        <v>1145</v>
      </c>
      <c r="K304" s="14" t="s">
        <v>1146</v>
      </c>
      <c r="L304" s="3"/>
      <c r="M304" s="3"/>
      <c r="N304" s="14" t="s">
        <v>205</v>
      </c>
      <c r="O304" s="3"/>
      <c r="P304" s="3"/>
      <c r="Q304" s="3"/>
      <c r="R304" s="3"/>
      <c r="S304" s="3"/>
      <c r="T304" s="3"/>
      <c r="U304" s="3"/>
      <c r="V304" s="3"/>
      <c r="W304" s="3"/>
      <c r="X304" s="3"/>
      <c r="Y304" s="3"/>
      <c r="Z304" s="3"/>
      <c r="AA304" s="3"/>
      <c r="AB304" s="3"/>
      <c r="AC304" s="3"/>
    </row>
    <row r="305">
      <c r="A305" s="46"/>
      <c r="B305" s="47"/>
      <c r="C305" s="60" t="str">
        <f t="shared" si="16"/>
        <v>TTKTDGKQHT_04</v>
      </c>
      <c r="D305" s="48"/>
      <c r="E305" s="48"/>
      <c r="F305" s="48"/>
      <c r="G305" s="48" t="s">
        <v>1147</v>
      </c>
      <c r="H305" s="58" t="s">
        <v>1137</v>
      </c>
      <c r="I305" s="3"/>
      <c r="J305" s="14" t="s">
        <v>1148</v>
      </c>
      <c r="K305" s="14" t="s">
        <v>1149</v>
      </c>
      <c r="L305" s="3"/>
      <c r="M305" s="3"/>
      <c r="N305" s="14" t="s">
        <v>205</v>
      </c>
      <c r="O305" s="3"/>
      <c r="P305" s="3"/>
      <c r="Q305" s="3"/>
      <c r="R305" s="3"/>
      <c r="S305" s="3"/>
      <c r="T305" s="3"/>
      <c r="U305" s="3"/>
      <c r="V305" s="3"/>
      <c r="W305" s="3"/>
      <c r="X305" s="3"/>
      <c r="Y305" s="3"/>
      <c r="Z305" s="3"/>
      <c r="AA305" s="3"/>
      <c r="AB305" s="3"/>
      <c r="AC305" s="3"/>
    </row>
    <row r="306">
      <c r="A306" s="46"/>
      <c r="B306" s="47"/>
      <c r="C306" s="60" t="str">
        <f t="shared" si="16"/>
        <v>TTKTDGKQHT_05</v>
      </c>
      <c r="D306" s="48"/>
      <c r="E306" s="48"/>
      <c r="F306" s="48"/>
      <c r="G306" s="48" t="s">
        <v>1150</v>
      </c>
      <c r="H306" s="58" t="s">
        <v>1137</v>
      </c>
      <c r="I306" s="3"/>
      <c r="J306" s="14" t="s">
        <v>1151</v>
      </c>
      <c r="K306" s="14" t="s">
        <v>1149</v>
      </c>
      <c r="L306" s="3"/>
      <c r="M306" s="3"/>
      <c r="N306" s="14" t="s">
        <v>205</v>
      </c>
      <c r="O306" s="3"/>
      <c r="P306" s="3"/>
      <c r="Q306" s="3"/>
      <c r="R306" s="3"/>
      <c r="S306" s="3"/>
      <c r="T306" s="3"/>
      <c r="U306" s="3"/>
      <c r="V306" s="3"/>
      <c r="W306" s="3"/>
      <c r="X306" s="3"/>
      <c r="Y306" s="3"/>
      <c r="Z306" s="3"/>
      <c r="AA306" s="3"/>
      <c r="AB306" s="3"/>
      <c r="AC306" s="3"/>
    </row>
    <row r="307">
      <c r="A307" s="46"/>
      <c r="B307" s="47"/>
      <c r="C307" s="60" t="str">
        <f t="shared" si="16"/>
        <v>TTKTDGKQHT_06</v>
      </c>
      <c r="D307" s="48"/>
      <c r="E307" s="48"/>
      <c r="F307" s="48"/>
      <c r="G307" s="48" t="s">
        <v>1152</v>
      </c>
      <c r="H307" s="58" t="s">
        <v>1137</v>
      </c>
      <c r="I307" s="3"/>
      <c r="J307" s="14" t="s">
        <v>1153</v>
      </c>
      <c r="K307" s="14" t="s">
        <v>1154</v>
      </c>
      <c r="L307" s="3"/>
      <c r="M307" s="3"/>
      <c r="N307" s="14" t="s">
        <v>205</v>
      </c>
      <c r="O307" s="3"/>
      <c r="P307" s="3"/>
      <c r="Q307" s="3"/>
      <c r="R307" s="3"/>
      <c r="S307" s="3"/>
      <c r="T307" s="3"/>
      <c r="U307" s="3"/>
      <c r="V307" s="3"/>
      <c r="W307" s="3"/>
      <c r="X307" s="3"/>
      <c r="Y307" s="3"/>
      <c r="Z307" s="3"/>
      <c r="AA307" s="3"/>
      <c r="AB307" s="3"/>
      <c r="AC307" s="3"/>
    </row>
    <row r="308">
      <c r="A308" s="50"/>
      <c r="B308" s="51">
        <v>26.0</v>
      </c>
      <c r="C308" s="51" t="str">
        <f t="shared" ref="C308:C331" si="17">IF(G308&lt;&gt;"","QLKTLBG_"&amp;TEXT(COUNTIF($G$308:G308,"&lt;&gt;"),"00"),"")</f>
        <v>QLKTLBG_01</v>
      </c>
      <c r="D308" s="52"/>
      <c r="E308" s="52" t="s">
        <v>1155</v>
      </c>
      <c r="F308" s="52" t="s">
        <v>29</v>
      </c>
      <c r="G308" s="53" t="s">
        <v>1156</v>
      </c>
      <c r="H308" s="58" t="s">
        <v>1137</v>
      </c>
      <c r="I308" s="3"/>
      <c r="J308" s="14" t="s">
        <v>1157</v>
      </c>
      <c r="K308" s="14" t="s">
        <v>1156</v>
      </c>
      <c r="L308" s="3"/>
      <c r="M308" s="3"/>
      <c r="N308" s="3"/>
      <c r="O308" s="3"/>
      <c r="P308" s="3"/>
      <c r="Q308" s="3"/>
      <c r="R308" s="3"/>
      <c r="S308" s="3"/>
      <c r="T308" s="3"/>
      <c r="U308" s="3"/>
      <c r="V308" s="3"/>
      <c r="W308" s="3"/>
      <c r="X308" s="3"/>
      <c r="Y308" s="3"/>
      <c r="Z308" s="3"/>
      <c r="AA308" s="3"/>
      <c r="AB308" s="3"/>
      <c r="AC308" s="3"/>
    </row>
    <row r="309">
      <c r="A309" s="46"/>
      <c r="B309" s="47"/>
      <c r="C309" s="60" t="str">
        <f t="shared" si="17"/>
        <v>QLKTLBG_02</v>
      </c>
      <c r="D309" s="48"/>
      <c r="E309" s="48"/>
      <c r="F309" s="48"/>
      <c r="G309" s="48" t="s">
        <v>1158</v>
      </c>
      <c r="H309" s="58" t="s">
        <v>1137</v>
      </c>
      <c r="I309" s="3"/>
      <c r="J309" s="14" t="s">
        <v>1157</v>
      </c>
      <c r="K309" s="14" t="s">
        <v>1159</v>
      </c>
      <c r="L309" s="14" t="s">
        <v>1160</v>
      </c>
      <c r="M309" s="59" t="s">
        <v>1161</v>
      </c>
      <c r="N309" s="14" t="s">
        <v>63</v>
      </c>
      <c r="O309" s="3"/>
      <c r="P309" s="3"/>
      <c r="Q309" s="3"/>
      <c r="R309" s="3"/>
      <c r="S309" s="3"/>
      <c r="T309" s="3"/>
      <c r="U309" s="3"/>
      <c r="V309" s="3"/>
      <c r="W309" s="3"/>
      <c r="X309" s="3"/>
      <c r="Y309" s="3"/>
      <c r="Z309" s="3"/>
      <c r="AA309" s="3"/>
      <c r="AB309" s="3"/>
      <c r="AC309" s="3"/>
    </row>
    <row r="310">
      <c r="A310" s="46"/>
      <c r="B310" s="47"/>
      <c r="C310" s="60" t="str">
        <f t="shared" si="17"/>
        <v>QLKTLBG_03</v>
      </c>
      <c r="D310" s="48"/>
      <c r="E310" s="48"/>
      <c r="F310" s="48"/>
      <c r="G310" s="48" t="s">
        <v>1162</v>
      </c>
      <c r="H310" s="58" t="s">
        <v>1137</v>
      </c>
      <c r="I310" s="3"/>
      <c r="J310" s="14" t="s">
        <v>1163</v>
      </c>
      <c r="K310" s="14" t="s">
        <v>1164</v>
      </c>
      <c r="L310" s="14" t="s">
        <v>1165</v>
      </c>
      <c r="M310" s="59" t="s">
        <v>1166</v>
      </c>
      <c r="N310" s="14" t="s">
        <v>63</v>
      </c>
      <c r="O310" s="3"/>
      <c r="P310" s="3"/>
      <c r="Q310" s="3"/>
      <c r="R310" s="3"/>
      <c r="S310" s="3"/>
      <c r="T310" s="3"/>
      <c r="U310" s="3"/>
      <c r="V310" s="3"/>
      <c r="W310" s="3"/>
      <c r="X310" s="3"/>
      <c r="Y310" s="3"/>
      <c r="Z310" s="3"/>
      <c r="AA310" s="3"/>
      <c r="AB310" s="3"/>
      <c r="AC310" s="3"/>
    </row>
    <row r="311">
      <c r="A311" s="46"/>
      <c r="B311" s="47"/>
      <c r="C311" s="60" t="str">
        <f t="shared" si="17"/>
        <v>QLKTLBG_04</v>
      </c>
      <c r="D311" s="48"/>
      <c r="E311" s="48"/>
      <c r="F311" s="48"/>
      <c r="G311" s="48" t="s">
        <v>1167</v>
      </c>
      <c r="H311" s="58" t="s">
        <v>1137</v>
      </c>
      <c r="I311" s="3"/>
      <c r="J311" s="14" t="s">
        <v>1168</v>
      </c>
      <c r="K311" s="14" t="s">
        <v>1169</v>
      </c>
      <c r="L311" s="14" t="s">
        <v>1169</v>
      </c>
      <c r="M311" s="59" t="s">
        <v>1170</v>
      </c>
      <c r="N311" s="14" t="s">
        <v>36</v>
      </c>
      <c r="O311" s="3"/>
      <c r="P311" s="3"/>
      <c r="Q311" s="3"/>
      <c r="R311" s="3"/>
      <c r="S311" s="3"/>
      <c r="T311" s="3"/>
      <c r="U311" s="3"/>
      <c r="V311" s="3"/>
      <c r="W311" s="3"/>
      <c r="X311" s="3"/>
      <c r="Y311" s="3"/>
      <c r="Z311" s="3"/>
      <c r="AA311" s="3"/>
      <c r="AB311" s="3"/>
      <c r="AC311" s="3"/>
    </row>
    <row r="312">
      <c r="A312" s="46"/>
      <c r="B312" s="47"/>
      <c r="C312" s="60" t="str">
        <f t="shared" si="17"/>
        <v>QLKTLBG_05</v>
      </c>
      <c r="D312" s="48"/>
      <c r="E312" s="48"/>
      <c r="F312" s="48"/>
      <c r="G312" s="48" t="s">
        <v>1171</v>
      </c>
      <c r="H312" s="58" t="s">
        <v>1137</v>
      </c>
      <c r="I312" s="3"/>
      <c r="J312" s="14" t="s">
        <v>1172</v>
      </c>
      <c r="K312" s="14" t="s">
        <v>1173</v>
      </c>
      <c r="L312" s="14" t="s">
        <v>1173</v>
      </c>
      <c r="M312" s="59" t="s">
        <v>1174</v>
      </c>
      <c r="N312" s="14" t="s">
        <v>36</v>
      </c>
      <c r="O312" s="3"/>
      <c r="P312" s="3"/>
      <c r="Q312" s="3"/>
      <c r="R312" s="3"/>
      <c r="S312" s="3"/>
      <c r="T312" s="3"/>
      <c r="U312" s="3"/>
      <c r="V312" s="3"/>
      <c r="W312" s="3"/>
      <c r="X312" s="3"/>
      <c r="Y312" s="3"/>
      <c r="Z312" s="3"/>
      <c r="AA312" s="3"/>
      <c r="AB312" s="3"/>
      <c r="AC312" s="3"/>
    </row>
    <row r="313">
      <c r="A313" s="46"/>
      <c r="B313" s="47"/>
      <c r="C313" s="60" t="str">
        <f t="shared" si="17"/>
        <v>QLKTLBG_06</v>
      </c>
      <c r="D313" s="48"/>
      <c r="E313" s="48"/>
      <c r="F313" s="48"/>
      <c r="G313" s="48" t="s">
        <v>1175</v>
      </c>
      <c r="H313" s="58" t="s">
        <v>1137</v>
      </c>
      <c r="I313" s="3"/>
      <c r="J313" s="14" t="s">
        <v>1176</v>
      </c>
      <c r="K313" s="14" t="s">
        <v>1177</v>
      </c>
      <c r="L313" s="14" t="s">
        <v>1177</v>
      </c>
      <c r="M313" s="59" t="s">
        <v>1178</v>
      </c>
      <c r="N313" s="14" t="s">
        <v>36</v>
      </c>
      <c r="O313" s="3"/>
      <c r="P313" s="3"/>
      <c r="Q313" s="3"/>
      <c r="R313" s="3"/>
      <c r="S313" s="3"/>
      <c r="T313" s="3"/>
      <c r="U313" s="3"/>
      <c r="V313" s="3"/>
      <c r="W313" s="3"/>
      <c r="X313" s="3"/>
      <c r="Y313" s="3"/>
      <c r="Z313" s="3"/>
      <c r="AA313" s="3"/>
      <c r="AB313" s="3"/>
      <c r="AC313" s="3"/>
    </row>
    <row r="314">
      <c r="A314" s="46"/>
      <c r="B314" s="47"/>
      <c r="C314" s="60" t="str">
        <f t="shared" si="17"/>
        <v>QLKTLBG_07</v>
      </c>
      <c r="D314" s="48"/>
      <c r="E314" s="48"/>
      <c r="F314" s="48"/>
      <c r="G314" s="48" t="s">
        <v>1179</v>
      </c>
      <c r="H314" s="58" t="s">
        <v>1137</v>
      </c>
      <c r="I314" s="3"/>
      <c r="J314" s="14" t="s">
        <v>1180</v>
      </c>
      <c r="K314" s="14" t="s">
        <v>1181</v>
      </c>
      <c r="L314" s="14" t="s">
        <v>1181</v>
      </c>
      <c r="M314" s="59" t="s">
        <v>1182</v>
      </c>
      <c r="N314" s="14" t="s">
        <v>36</v>
      </c>
      <c r="O314" s="3"/>
      <c r="P314" s="3"/>
      <c r="Q314" s="3"/>
      <c r="R314" s="3"/>
      <c r="S314" s="3"/>
      <c r="T314" s="3"/>
      <c r="U314" s="3"/>
      <c r="V314" s="3"/>
      <c r="W314" s="3"/>
      <c r="X314" s="3"/>
      <c r="Y314" s="3"/>
      <c r="Z314" s="3"/>
      <c r="AA314" s="3"/>
      <c r="AB314" s="3"/>
      <c r="AC314" s="3"/>
    </row>
    <row r="315">
      <c r="A315" s="46"/>
      <c r="B315" s="47"/>
      <c r="C315" s="60" t="str">
        <f t="shared" si="17"/>
        <v>QLKTLBG_08</v>
      </c>
      <c r="D315" s="48"/>
      <c r="E315" s="48"/>
      <c r="F315" s="48"/>
      <c r="G315" s="48" t="s">
        <v>1183</v>
      </c>
      <c r="H315" s="58" t="s">
        <v>1137</v>
      </c>
      <c r="I315" s="3"/>
      <c r="J315" s="14" t="s">
        <v>1184</v>
      </c>
      <c r="K315" s="14" t="s">
        <v>1185</v>
      </c>
      <c r="L315" s="14" t="s">
        <v>1186</v>
      </c>
      <c r="M315" s="59" t="s">
        <v>1187</v>
      </c>
      <c r="N315" s="14" t="s">
        <v>63</v>
      </c>
      <c r="O315" s="3"/>
      <c r="P315" s="3"/>
      <c r="Q315" s="3"/>
      <c r="R315" s="3"/>
      <c r="S315" s="3"/>
      <c r="T315" s="3"/>
      <c r="U315" s="3"/>
      <c r="V315" s="3"/>
      <c r="W315" s="3"/>
      <c r="X315" s="3"/>
      <c r="Y315" s="3"/>
      <c r="Z315" s="3"/>
      <c r="AA315" s="3"/>
      <c r="AB315" s="3"/>
      <c r="AC315" s="3"/>
    </row>
    <row r="316">
      <c r="A316" s="46"/>
      <c r="B316" s="47"/>
      <c r="C316" s="60" t="str">
        <f t="shared" si="17"/>
        <v>QLKTLBG_09</v>
      </c>
      <c r="D316" s="48"/>
      <c r="E316" s="48"/>
      <c r="F316" s="48"/>
      <c r="G316" s="48" t="s">
        <v>1188</v>
      </c>
      <c r="H316" s="58" t="s">
        <v>1137</v>
      </c>
      <c r="I316" s="3"/>
      <c r="J316" s="14" t="s">
        <v>1189</v>
      </c>
      <c r="K316" s="14" t="s">
        <v>1190</v>
      </c>
      <c r="L316" s="3"/>
      <c r="M316" s="3"/>
      <c r="N316" s="14" t="s">
        <v>205</v>
      </c>
      <c r="O316" s="3"/>
      <c r="P316" s="3"/>
      <c r="Q316" s="3"/>
      <c r="R316" s="3"/>
      <c r="S316" s="3"/>
      <c r="T316" s="3"/>
      <c r="U316" s="3"/>
      <c r="V316" s="3"/>
      <c r="W316" s="3"/>
      <c r="X316" s="3"/>
      <c r="Y316" s="3"/>
      <c r="Z316" s="3"/>
      <c r="AA316" s="3"/>
      <c r="AB316" s="3"/>
      <c r="AC316" s="3"/>
    </row>
    <row r="317">
      <c r="A317" s="46"/>
      <c r="B317" s="47"/>
      <c r="C317" s="60" t="str">
        <f t="shared" si="17"/>
        <v>QLKTLBG_10</v>
      </c>
      <c r="D317" s="48"/>
      <c r="E317" s="48"/>
      <c r="F317" s="48"/>
      <c r="G317" s="48" t="s">
        <v>1191</v>
      </c>
      <c r="H317" s="58" t="s">
        <v>1137</v>
      </c>
      <c r="I317" s="3"/>
      <c r="J317" s="14" t="s">
        <v>1192</v>
      </c>
      <c r="K317" s="14" t="s">
        <v>1193</v>
      </c>
      <c r="L317" s="3"/>
      <c r="M317" s="3"/>
      <c r="N317" s="14" t="s">
        <v>205</v>
      </c>
      <c r="O317" s="3"/>
      <c r="P317" s="3"/>
      <c r="Q317" s="3"/>
      <c r="R317" s="3"/>
      <c r="S317" s="3"/>
      <c r="T317" s="3"/>
      <c r="U317" s="3"/>
      <c r="V317" s="3"/>
      <c r="W317" s="3"/>
      <c r="X317" s="3"/>
      <c r="Y317" s="3"/>
      <c r="Z317" s="3"/>
      <c r="AA317" s="3"/>
      <c r="AB317" s="3"/>
      <c r="AC317" s="3"/>
    </row>
    <row r="318">
      <c r="A318" s="46"/>
      <c r="B318" s="47"/>
      <c r="C318" s="60" t="str">
        <f t="shared" si="17"/>
        <v>QLKTLBG_11</v>
      </c>
      <c r="D318" s="48"/>
      <c r="E318" s="48"/>
      <c r="F318" s="48"/>
      <c r="G318" s="48" t="s">
        <v>1194</v>
      </c>
      <c r="H318" s="58" t="s">
        <v>1137</v>
      </c>
      <c r="I318" s="3"/>
      <c r="J318" s="14" t="s">
        <v>1195</v>
      </c>
      <c r="K318" s="14" t="s">
        <v>1196</v>
      </c>
      <c r="L318" s="3"/>
      <c r="M318" s="3"/>
      <c r="N318" s="14" t="s">
        <v>205</v>
      </c>
      <c r="O318" s="3"/>
      <c r="P318" s="3"/>
      <c r="Q318" s="3"/>
      <c r="R318" s="3"/>
      <c r="S318" s="3"/>
      <c r="T318" s="3"/>
      <c r="U318" s="3"/>
      <c r="V318" s="3"/>
      <c r="W318" s="3"/>
      <c r="X318" s="3"/>
      <c r="Y318" s="3"/>
      <c r="Z318" s="3"/>
      <c r="AA318" s="3"/>
      <c r="AB318" s="3"/>
      <c r="AC318" s="3"/>
    </row>
    <row r="319">
      <c r="A319" s="46"/>
      <c r="B319" s="47"/>
      <c r="C319" s="60" t="str">
        <f t="shared" si="17"/>
        <v>QLKTLBG_12</v>
      </c>
      <c r="D319" s="48"/>
      <c r="E319" s="48"/>
      <c r="F319" s="48"/>
      <c r="G319" s="48" t="s">
        <v>1197</v>
      </c>
      <c r="H319" s="58" t="s">
        <v>1137</v>
      </c>
      <c r="I319" s="3"/>
      <c r="J319" s="14" t="s">
        <v>1198</v>
      </c>
      <c r="K319" s="14" t="s">
        <v>1199</v>
      </c>
      <c r="L319" s="3"/>
      <c r="M319" s="3"/>
      <c r="N319" s="14" t="s">
        <v>205</v>
      </c>
      <c r="O319" s="3"/>
      <c r="P319" s="3"/>
      <c r="Q319" s="3"/>
      <c r="R319" s="3"/>
      <c r="S319" s="3"/>
      <c r="T319" s="3"/>
      <c r="U319" s="3"/>
      <c r="V319" s="3"/>
      <c r="W319" s="3"/>
      <c r="X319" s="3"/>
      <c r="Y319" s="3"/>
      <c r="Z319" s="3"/>
      <c r="AA319" s="3"/>
      <c r="AB319" s="3"/>
      <c r="AC319" s="3"/>
    </row>
    <row r="320">
      <c r="A320" s="46"/>
      <c r="B320" s="47"/>
      <c r="C320" s="60" t="str">
        <f t="shared" si="17"/>
        <v>QLKTLBG_13</v>
      </c>
      <c r="D320" s="48"/>
      <c r="E320" s="48"/>
      <c r="F320" s="48"/>
      <c r="G320" s="48" t="s">
        <v>1200</v>
      </c>
      <c r="H320" s="58" t="s">
        <v>1137</v>
      </c>
      <c r="I320" s="3"/>
      <c r="J320" s="14" t="s">
        <v>1201</v>
      </c>
      <c r="K320" s="14" t="s">
        <v>1202</v>
      </c>
      <c r="L320" s="3"/>
      <c r="M320" s="3"/>
      <c r="N320" s="14" t="s">
        <v>205</v>
      </c>
      <c r="O320" s="3"/>
      <c r="P320" s="3"/>
      <c r="Q320" s="3"/>
      <c r="R320" s="3"/>
      <c r="S320" s="3"/>
      <c r="T320" s="3"/>
      <c r="U320" s="3"/>
      <c r="V320" s="3"/>
      <c r="W320" s="3"/>
      <c r="X320" s="3"/>
      <c r="Y320" s="3"/>
      <c r="Z320" s="3"/>
      <c r="AA320" s="3"/>
      <c r="AB320" s="3"/>
      <c r="AC320" s="3"/>
    </row>
    <row r="321">
      <c r="A321" s="46"/>
      <c r="B321" s="47"/>
      <c r="C321" s="60" t="str">
        <f t="shared" si="17"/>
        <v>QLKTLBG_14</v>
      </c>
      <c r="D321" s="48"/>
      <c r="E321" s="48"/>
      <c r="F321" s="48"/>
      <c r="G321" s="48" t="s">
        <v>1203</v>
      </c>
      <c r="H321" s="58" t="s">
        <v>1137</v>
      </c>
      <c r="I321" s="3"/>
      <c r="J321" s="14" t="s">
        <v>1204</v>
      </c>
      <c r="K321" s="14" t="s">
        <v>1205</v>
      </c>
      <c r="L321" s="3"/>
      <c r="M321" s="3"/>
      <c r="N321" s="14" t="s">
        <v>205</v>
      </c>
      <c r="O321" s="3"/>
      <c r="P321" s="3"/>
      <c r="Q321" s="3"/>
      <c r="R321" s="3"/>
      <c r="S321" s="3"/>
      <c r="T321" s="3"/>
      <c r="U321" s="3"/>
      <c r="V321" s="3"/>
      <c r="W321" s="3"/>
      <c r="X321" s="3"/>
      <c r="Y321" s="3"/>
      <c r="Z321" s="3"/>
      <c r="AA321" s="3"/>
      <c r="AB321" s="3"/>
      <c r="AC321" s="3"/>
    </row>
    <row r="322">
      <c r="A322" s="46"/>
      <c r="B322" s="47"/>
      <c r="C322" s="60" t="str">
        <f t="shared" si="17"/>
        <v>QLKTLBG_15</v>
      </c>
      <c r="D322" s="48"/>
      <c r="E322" s="48"/>
      <c r="F322" s="48"/>
      <c r="G322" s="48" t="s">
        <v>1206</v>
      </c>
      <c r="H322" s="58" t="s">
        <v>1137</v>
      </c>
      <c r="I322" s="3"/>
      <c r="J322" s="14" t="s">
        <v>1207</v>
      </c>
      <c r="K322" s="14" t="s">
        <v>1074</v>
      </c>
      <c r="L322" s="3"/>
      <c r="M322" s="3"/>
      <c r="N322" s="14" t="s">
        <v>205</v>
      </c>
      <c r="O322" s="3"/>
      <c r="P322" s="3"/>
      <c r="Q322" s="3"/>
      <c r="R322" s="3"/>
      <c r="S322" s="3"/>
      <c r="T322" s="3"/>
      <c r="U322" s="3"/>
      <c r="V322" s="3"/>
      <c r="W322" s="3"/>
      <c r="X322" s="3"/>
      <c r="Y322" s="3"/>
      <c r="Z322" s="3"/>
      <c r="AA322" s="3"/>
      <c r="AB322" s="3"/>
      <c r="AC322" s="3"/>
    </row>
    <row r="323">
      <c r="A323" s="46"/>
      <c r="B323" s="47"/>
      <c r="C323" s="60" t="str">
        <f t="shared" si="17"/>
        <v>QLKTLBG_16</v>
      </c>
      <c r="D323" s="48"/>
      <c r="E323" s="48"/>
      <c r="F323" s="48"/>
      <c r="G323" s="48" t="s">
        <v>1208</v>
      </c>
      <c r="H323" s="58" t="s">
        <v>1137</v>
      </c>
      <c r="I323" s="3"/>
      <c r="J323" s="14" t="s">
        <v>1209</v>
      </c>
      <c r="K323" s="14" t="s">
        <v>1210</v>
      </c>
      <c r="L323" s="3"/>
      <c r="M323" s="3"/>
      <c r="N323" s="14" t="s">
        <v>205</v>
      </c>
      <c r="O323" s="3"/>
      <c r="P323" s="3"/>
      <c r="Q323" s="3"/>
      <c r="R323" s="3"/>
      <c r="S323" s="3"/>
      <c r="T323" s="3"/>
      <c r="U323" s="3"/>
      <c r="V323" s="3"/>
      <c r="W323" s="3"/>
      <c r="X323" s="3"/>
      <c r="Y323" s="3"/>
      <c r="Z323" s="3"/>
      <c r="AA323" s="3"/>
      <c r="AB323" s="3"/>
      <c r="AC323" s="3"/>
    </row>
    <row r="324">
      <c r="A324" s="46"/>
      <c r="B324" s="47"/>
      <c r="C324" s="60" t="str">
        <f t="shared" si="17"/>
        <v>QLKTLBG_17</v>
      </c>
      <c r="D324" s="48"/>
      <c r="E324" s="48"/>
      <c r="F324" s="48"/>
      <c r="G324" s="48" t="s">
        <v>1211</v>
      </c>
      <c r="H324" s="58" t="s">
        <v>1137</v>
      </c>
      <c r="I324" s="3"/>
      <c r="J324" s="14" t="s">
        <v>1212</v>
      </c>
      <c r="K324" s="14" t="s">
        <v>1213</v>
      </c>
      <c r="L324" s="3"/>
      <c r="M324" s="3"/>
      <c r="N324" s="14" t="s">
        <v>205</v>
      </c>
      <c r="O324" s="3"/>
      <c r="P324" s="3"/>
      <c r="Q324" s="3"/>
      <c r="R324" s="3"/>
      <c r="S324" s="3"/>
      <c r="T324" s="3"/>
      <c r="U324" s="3"/>
      <c r="V324" s="3"/>
      <c r="W324" s="3"/>
      <c r="X324" s="3"/>
      <c r="Y324" s="3"/>
      <c r="Z324" s="3"/>
      <c r="AA324" s="3"/>
      <c r="AB324" s="3"/>
      <c r="AC324" s="3"/>
    </row>
    <row r="325">
      <c r="A325" s="46"/>
      <c r="B325" s="47"/>
      <c r="C325" s="60" t="str">
        <f t="shared" si="17"/>
        <v>QLKTLBG_18</v>
      </c>
      <c r="D325" s="48"/>
      <c r="E325" s="48"/>
      <c r="F325" s="48"/>
      <c r="G325" s="48" t="s">
        <v>1214</v>
      </c>
      <c r="H325" s="58" t="s">
        <v>1137</v>
      </c>
      <c r="I325" s="3"/>
      <c r="J325" s="14" t="s">
        <v>1215</v>
      </c>
      <c r="K325" s="14" t="s">
        <v>1216</v>
      </c>
      <c r="L325" s="3"/>
      <c r="M325" s="3"/>
      <c r="N325" s="14" t="s">
        <v>205</v>
      </c>
      <c r="O325" s="3"/>
      <c r="P325" s="3"/>
      <c r="Q325" s="3"/>
      <c r="R325" s="3"/>
      <c r="S325" s="3"/>
      <c r="T325" s="3"/>
      <c r="U325" s="3"/>
      <c r="V325" s="3"/>
      <c r="W325" s="3"/>
      <c r="X325" s="3"/>
      <c r="Y325" s="3"/>
      <c r="Z325" s="3"/>
      <c r="AA325" s="3"/>
      <c r="AB325" s="3"/>
      <c r="AC325" s="3"/>
    </row>
    <row r="326">
      <c r="A326" s="46"/>
      <c r="B326" s="47"/>
      <c r="C326" s="60" t="str">
        <f t="shared" si="17"/>
        <v>QLKTLBG_19</v>
      </c>
      <c r="D326" s="48"/>
      <c r="E326" s="48"/>
      <c r="F326" s="48"/>
      <c r="G326" s="48" t="s">
        <v>1217</v>
      </c>
      <c r="H326" s="58" t="s">
        <v>1137</v>
      </c>
      <c r="I326" s="3"/>
      <c r="J326" s="14" t="s">
        <v>1218</v>
      </c>
      <c r="K326" s="14" t="s">
        <v>1219</v>
      </c>
      <c r="L326" s="3"/>
      <c r="M326" s="3"/>
      <c r="N326" s="14" t="s">
        <v>205</v>
      </c>
      <c r="O326" s="3"/>
      <c r="P326" s="3"/>
      <c r="Q326" s="3"/>
      <c r="R326" s="3"/>
      <c r="S326" s="3"/>
      <c r="T326" s="3"/>
      <c r="U326" s="3"/>
      <c r="V326" s="3"/>
      <c r="W326" s="3"/>
      <c r="X326" s="3"/>
      <c r="Y326" s="3"/>
      <c r="Z326" s="3"/>
      <c r="AA326" s="3"/>
      <c r="AB326" s="3"/>
      <c r="AC326" s="3"/>
    </row>
    <row r="327">
      <c r="A327" s="46"/>
      <c r="B327" s="47"/>
      <c r="C327" s="60" t="str">
        <f t="shared" si="17"/>
        <v>QLKTLBG_20</v>
      </c>
      <c r="D327" s="48"/>
      <c r="E327" s="48"/>
      <c r="F327" s="48"/>
      <c r="G327" s="48" t="s">
        <v>1220</v>
      </c>
      <c r="H327" s="58" t="s">
        <v>1137</v>
      </c>
      <c r="I327" s="3"/>
      <c r="J327" s="14" t="s">
        <v>1221</v>
      </c>
      <c r="K327" s="14" t="s">
        <v>1222</v>
      </c>
      <c r="L327" s="3"/>
      <c r="M327" s="3"/>
      <c r="N327" s="14" t="s">
        <v>205</v>
      </c>
      <c r="O327" s="3"/>
      <c r="P327" s="3"/>
      <c r="Q327" s="3"/>
      <c r="R327" s="3"/>
      <c r="S327" s="3"/>
      <c r="T327" s="3"/>
      <c r="U327" s="3"/>
      <c r="V327" s="3"/>
      <c r="W327" s="3"/>
      <c r="X327" s="3"/>
      <c r="Y327" s="3"/>
      <c r="Z327" s="3"/>
      <c r="AA327" s="3"/>
      <c r="AB327" s="3"/>
      <c r="AC327" s="3"/>
    </row>
    <row r="328">
      <c r="A328" s="46"/>
      <c r="B328" s="47"/>
      <c r="C328" s="60" t="str">
        <f t="shared" si="17"/>
        <v>QLKTLBG_21</v>
      </c>
      <c r="D328" s="48"/>
      <c r="E328" s="48"/>
      <c r="F328" s="48"/>
      <c r="G328" s="48" t="s">
        <v>1223</v>
      </c>
      <c r="H328" s="58" t="s">
        <v>1137</v>
      </c>
      <c r="I328" s="3"/>
      <c r="J328" s="14" t="s">
        <v>1224</v>
      </c>
      <c r="K328" s="14" t="s">
        <v>1225</v>
      </c>
      <c r="L328" s="3"/>
      <c r="M328" s="3"/>
      <c r="N328" s="14" t="s">
        <v>205</v>
      </c>
      <c r="O328" s="3"/>
      <c r="P328" s="3"/>
      <c r="Q328" s="3"/>
      <c r="R328" s="3"/>
      <c r="S328" s="3"/>
      <c r="T328" s="3"/>
      <c r="U328" s="3"/>
      <c r="V328" s="3"/>
      <c r="W328" s="3"/>
      <c r="X328" s="3"/>
      <c r="Y328" s="3"/>
      <c r="Z328" s="3"/>
      <c r="AA328" s="3"/>
      <c r="AB328" s="3"/>
      <c r="AC328" s="3"/>
    </row>
    <row r="329">
      <c r="A329" s="46"/>
      <c r="B329" s="47"/>
      <c r="C329" s="60" t="str">
        <f t="shared" si="17"/>
        <v>QLKTLBG_22</v>
      </c>
      <c r="D329" s="48"/>
      <c r="E329" s="48"/>
      <c r="F329" s="48"/>
      <c r="G329" s="48" t="s">
        <v>1226</v>
      </c>
      <c r="H329" s="58" t="s">
        <v>1137</v>
      </c>
      <c r="I329" s="3"/>
      <c r="J329" s="14" t="s">
        <v>1227</v>
      </c>
      <c r="K329" s="14" t="s">
        <v>1228</v>
      </c>
      <c r="L329" s="3"/>
      <c r="M329" s="3"/>
      <c r="N329" s="14" t="s">
        <v>205</v>
      </c>
      <c r="O329" s="3"/>
      <c r="P329" s="3"/>
      <c r="Q329" s="3"/>
      <c r="R329" s="3"/>
      <c r="S329" s="3"/>
      <c r="T329" s="3"/>
      <c r="U329" s="3"/>
      <c r="V329" s="3"/>
      <c r="W329" s="3"/>
      <c r="X329" s="3"/>
      <c r="Y329" s="3"/>
      <c r="Z329" s="3"/>
      <c r="AA329" s="3"/>
      <c r="AB329" s="3"/>
      <c r="AC329" s="3"/>
    </row>
    <row r="330">
      <c r="A330" s="46"/>
      <c r="B330" s="47"/>
      <c r="C330" s="60" t="str">
        <f t="shared" si="17"/>
        <v>QLKTLBG_23</v>
      </c>
      <c r="D330" s="48"/>
      <c r="E330" s="48"/>
      <c r="F330" s="48"/>
      <c r="G330" s="48" t="s">
        <v>798</v>
      </c>
      <c r="H330" s="58" t="s">
        <v>1229</v>
      </c>
      <c r="I330" s="3"/>
      <c r="J330" s="14" t="s">
        <v>1230</v>
      </c>
      <c r="K330" s="14" t="s">
        <v>1231</v>
      </c>
      <c r="L330" s="3"/>
      <c r="M330" s="3"/>
      <c r="N330" s="14" t="s">
        <v>205</v>
      </c>
      <c r="O330" s="3"/>
      <c r="P330" s="3"/>
      <c r="Q330" s="3"/>
      <c r="R330" s="3"/>
      <c r="S330" s="3"/>
      <c r="T330" s="3"/>
      <c r="U330" s="3"/>
      <c r="V330" s="3"/>
      <c r="W330" s="3"/>
      <c r="X330" s="3"/>
      <c r="Y330" s="3"/>
      <c r="Z330" s="3"/>
      <c r="AA330" s="3"/>
      <c r="AB330" s="3"/>
      <c r="AC330" s="3"/>
    </row>
    <row r="331">
      <c r="A331" s="46"/>
      <c r="B331" s="47"/>
      <c r="C331" s="60" t="str">
        <f t="shared" si="17"/>
        <v>QLKTLBG_24</v>
      </c>
      <c r="D331" s="48"/>
      <c r="E331" s="48"/>
      <c r="F331" s="48"/>
      <c r="G331" s="48" t="s">
        <v>1232</v>
      </c>
      <c r="H331" s="58" t="s">
        <v>1229</v>
      </c>
      <c r="I331" s="3"/>
      <c r="J331" s="14" t="s">
        <v>1233</v>
      </c>
      <c r="K331" s="14" t="s">
        <v>1234</v>
      </c>
      <c r="L331" s="3"/>
      <c r="M331" s="3"/>
      <c r="N331" s="14" t="s">
        <v>205</v>
      </c>
      <c r="O331" s="3"/>
      <c r="P331" s="3"/>
      <c r="Q331" s="3"/>
      <c r="R331" s="3"/>
      <c r="S331" s="3"/>
      <c r="T331" s="3"/>
      <c r="U331" s="3"/>
      <c r="V331" s="3"/>
      <c r="W331" s="3"/>
      <c r="X331" s="3"/>
      <c r="Y331" s="3"/>
      <c r="Z331" s="3"/>
      <c r="AA331" s="3"/>
      <c r="AB331" s="3"/>
      <c r="AC331" s="3"/>
    </row>
    <row r="332">
      <c r="A332" s="50"/>
      <c r="B332" s="51">
        <v>27.0</v>
      </c>
      <c r="C332" s="51" t="str">
        <f t="shared" ref="C332:C337" si="18">IF(G332&lt;&gt;"","TTKTLBG_"&amp;TEXT(COUNTIF($G$332:G332,"&lt;&gt;"),"00"),"")</f>
        <v>TTKTLBG_01</v>
      </c>
      <c r="D332" s="52"/>
      <c r="E332" s="52" t="s">
        <v>1235</v>
      </c>
      <c r="F332" s="52" t="s">
        <v>29</v>
      </c>
      <c r="G332" s="53" t="s">
        <v>1236</v>
      </c>
      <c r="H332" s="58" t="s">
        <v>1237</v>
      </c>
      <c r="I332" s="3"/>
      <c r="J332" s="14" t="s">
        <v>1238</v>
      </c>
      <c r="K332" s="14" t="s">
        <v>1239</v>
      </c>
      <c r="L332" s="14" t="s">
        <v>1160</v>
      </c>
      <c r="M332" s="55" t="s">
        <v>1240</v>
      </c>
      <c r="N332" s="14" t="s">
        <v>63</v>
      </c>
      <c r="O332" s="3"/>
      <c r="P332" s="3"/>
      <c r="Q332" s="3"/>
      <c r="R332" s="3"/>
      <c r="S332" s="3"/>
      <c r="T332" s="3"/>
      <c r="U332" s="3"/>
      <c r="V332" s="3"/>
      <c r="W332" s="3"/>
      <c r="X332" s="3"/>
      <c r="Y332" s="3"/>
      <c r="Z332" s="3"/>
      <c r="AA332" s="3"/>
      <c r="AB332" s="3"/>
      <c r="AC332" s="3"/>
    </row>
    <row r="333">
      <c r="A333" s="46"/>
      <c r="B333" s="47"/>
      <c r="C333" s="60" t="str">
        <f t="shared" si="18"/>
        <v>TTKTLBG_02</v>
      </c>
      <c r="D333" s="48"/>
      <c r="E333" s="48"/>
      <c r="F333" s="48"/>
      <c r="G333" s="48" t="s">
        <v>1241</v>
      </c>
      <c r="H333" s="58" t="s">
        <v>1137</v>
      </c>
      <c r="I333" s="3"/>
      <c r="J333" s="14" t="s">
        <v>1242</v>
      </c>
      <c r="K333" s="14" t="s">
        <v>1243</v>
      </c>
      <c r="L333" s="14" t="s">
        <v>1244</v>
      </c>
      <c r="M333" s="55" t="s">
        <v>1245</v>
      </c>
      <c r="N333" s="14" t="s">
        <v>63</v>
      </c>
      <c r="O333" s="3"/>
      <c r="P333" s="3"/>
      <c r="Q333" s="3"/>
      <c r="R333" s="3"/>
      <c r="S333" s="3"/>
      <c r="T333" s="3"/>
      <c r="U333" s="3"/>
      <c r="V333" s="3"/>
      <c r="W333" s="3"/>
      <c r="X333" s="3"/>
      <c r="Y333" s="3"/>
      <c r="Z333" s="3"/>
      <c r="AA333" s="3"/>
      <c r="AB333" s="3"/>
      <c r="AC333" s="3"/>
    </row>
    <row r="334">
      <c r="A334" s="46"/>
      <c r="B334" s="47"/>
      <c r="C334" s="60" t="str">
        <f t="shared" si="18"/>
        <v>TTKTLBG_03</v>
      </c>
      <c r="D334" s="48"/>
      <c r="E334" s="48"/>
      <c r="F334" s="48"/>
      <c r="G334" s="48" t="s">
        <v>1147</v>
      </c>
      <c r="H334" s="58" t="s">
        <v>1237</v>
      </c>
      <c r="I334" s="3"/>
      <c r="J334" s="14" t="s">
        <v>1246</v>
      </c>
      <c r="K334" s="14" t="s">
        <v>1239</v>
      </c>
      <c r="L334" s="3"/>
      <c r="M334" s="3"/>
      <c r="N334" s="14" t="s">
        <v>205</v>
      </c>
      <c r="O334" s="3"/>
      <c r="P334" s="3"/>
      <c r="Q334" s="3"/>
      <c r="R334" s="3"/>
      <c r="S334" s="3"/>
      <c r="T334" s="3"/>
      <c r="U334" s="3"/>
      <c r="V334" s="3"/>
      <c r="W334" s="3"/>
      <c r="X334" s="3"/>
      <c r="Y334" s="3"/>
      <c r="Z334" s="3"/>
      <c r="AA334" s="3"/>
      <c r="AB334" s="3"/>
      <c r="AC334" s="3"/>
    </row>
    <row r="335">
      <c r="A335" s="46"/>
      <c r="B335" s="47"/>
      <c r="C335" s="60" t="str">
        <f t="shared" si="18"/>
        <v>TTKTLBG_04</v>
      </c>
      <c r="D335" s="48"/>
      <c r="E335" s="48"/>
      <c r="F335" s="48"/>
      <c r="G335" s="48" t="s">
        <v>1247</v>
      </c>
      <c r="H335" s="58" t="s">
        <v>1237</v>
      </c>
      <c r="I335" s="3"/>
      <c r="J335" s="14" t="s">
        <v>1248</v>
      </c>
      <c r="K335" s="14" t="s">
        <v>1239</v>
      </c>
      <c r="L335" s="3"/>
      <c r="M335" s="3"/>
      <c r="N335" s="14" t="s">
        <v>205</v>
      </c>
      <c r="O335" s="3"/>
      <c r="P335" s="3"/>
      <c r="Q335" s="3"/>
      <c r="R335" s="3"/>
      <c r="S335" s="3"/>
      <c r="T335" s="3"/>
      <c r="U335" s="3"/>
      <c r="V335" s="3"/>
      <c r="W335" s="3"/>
      <c r="X335" s="3"/>
      <c r="Y335" s="3"/>
      <c r="Z335" s="3"/>
      <c r="AA335" s="3"/>
      <c r="AB335" s="3"/>
      <c r="AC335" s="3"/>
    </row>
    <row r="336">
      <c r="A336" s="46"/>
      <c r="B336" s="47"/>
      <c r="C336" s="60" t="str">
        <f t="shared" si="18"/>
        <v>TTKTLBG_05</v>
      </c>
      <c r="D336" s="48"/>
      <c r="E336" s="48"/>
      <c r="F336" s="48"/>
      <c r="G336" s="48" t="s">
        <v>1152</v>
      </c>
      <c r="H336" s="58" t="s">
        <v>1249</v>
      </c>
      <c r="I336" s="3"/>
      <c r="J336" s="14" t="s">
        <v>1250</v>
      </c>
      <c r="K336" s="14" t="s">
        <v>1251</v>
      </c>
      <c r="L336" s="3"/>
      <c r="M336" s="3"/>
      <c r="N336" s="14" t="s">
        <v>205</v>
      </c>
      <c r="O336" s="3"/>
      <c r="P336" s="3"/>
      <c r="Q336" s="3"/>
      <c r="R336" s="3"/>
      <c r="S336" s="3"/>
      <c r="T336" s="3"/>
      <c r="U336" s="3"/>
      <c r="V336" s="3"/>
      <c r="W336" s="3"/>
      <c r="X336" s="3"/>
      <c r="Y336" s="3"/>
      <c r="Z336" s="3"/>
      <c r="AA336" s="3"/>
      <c r="AB336" s="3"/>
      <c r="AC336" s="3"/>
    </row>
    <row r="337">
      <c r="A337" s="46"/>
      <c r="B337" s="47"/>
      <c r="C337" s="60" t="str">
        <f t="shared" si="18"/>
        <v>TTKTLBG_06</v>
      </c>
      <c r="D337" s="48"/>
      <c r="E337" s="48"/>
      <c r="F337" s="48"/>
      <c r="G337" s="48" t="s">
        <v>78</v>
      </c>
      <c r="H337" s="58" t="s">
        <v>1137</v>
      </c>
      <c r="I337" s="3"/>
      <c r="J337" s="14" t="s">
        <v>1252</v>
      </c>
      <c r="K337" s="14" t="s">
        <v>1253</v>
      </c>
      <c r="L337" s="3"/>
      <c r="M337" s="3"/>
      <c r="N337" s="14" t="s">
        <v>205</v>
      </c>
      <c r="O337" s="3"/>
      <c r="P337" s="3"/>
      <c r="Q337" s="3"/>
      <c r="R337" s="3"/>
      <c r="S337" s="3"/>
      <c r="T337" s="3"/>
      <c r="U337" s="3"/>
      <c r="V337" s="3"/>
      <c r="W337" s="3"/>
      <c r="X337" s="3"/>
      <c r="Y337" s="3"/>
      <c r="Z337" s="3"/>
      <c r="AA337" s="3"/>
      <c r="AB337" s="3"/>
      <c r="AC337" s="3"/>
    </row>
    <row r="338">
      <c r="A338" s="50"/>
      <c r="B338" s="51">
        <v>28.0</v>
      </c>
      <c r="C338" s="51" t="str">
        <f t="shared" ref="C338:C352" si="19">IF(G338&lt;&gt;"","QLNHCH_"&amp;TEXT(COUNTIF($G$338:G338,"&lt;&gt;"),"00"),"")</f>
        <v>QLNHCH_01</v>
      </c>
      <c r="D338" s="52"/>
      <c r="E338" s="52" t="s">
        <v>1254</v>
      </c>
      <c r="F338" s="52" t="s">
        <v>29</v>
      </c>
      <c r="G338" s="53" t="s">
        <v>1255</v>
      </c>
      <c r="H338" s="58" t="s">
        <v>1137</v>
      </c>
      <c r="I338" s="3"/>
      <c r="J338" s="14" t="s">
        <v>1256</v>
      </c>
      <c r="K338" s="14" t="s">
        <v>1257</v>
      </c>
      <c r="L338" s="14" t="s">
        <v>1257</v>
      </c>
      <c r="M338" s="3"/>
      <c r="N338" s="14" t="s">
        <v>36</v>
      </c>
      <c r="O338" s="3"/>
      <c r="P338" s="3"/>
      <c r="Q338" s="3"/>
      <c r="R338" s="3"/>
      <c r="S338" s="3"/>
      <c r="T338" s="3"/>
      <c r="U338" s="3"/>
      <c r="V338" s="3"/>
      <c r="W338" s="3"/>
      <c r="X338" s="3"/>
      <c r="Y338" s="3"/>
      <c r="Z338" s="3"/>
      <c r="AA338" s="3"/>
      <c r="AB338" s="3"/>
      <c r="AC338" s="3"/>
    </row>
    <row r="339">
      <c r="A339" s="46"/>
      <c r="B339" s="47"/>
      <c r="C339" s="60" t="str">
        <f t="shared" si="19"/>
        <v>QLNHCH_02</v>
      </c>
      <c r="D339" s="48"/>
      <c r="E339" s="48"/>
      <c r="F339" s="48"/>
      <c r="G339" s="48" t="s">
        <v>1258</v>
      </c>
      <c r="H339" s="58" t="s">
        <v>1137</v>
      </c>
      <c r="I339" s="3"/>
      <c r="J339" s="14" t="s">
        <v>1256</v>
      </c>
      <c r="K339" s="14" t="s">
        <v>1259</v>
      </c>
      <c r="L339" s="14" t="s">
        <v>1260</v>
      </c>
      <c r="M339" s="3"/>
      <c r="N339" s="14" t="s">
        <v>63</v>
      </c>
      <c r="O339" s="3"/>
      <c r="P339" s="3"/>
      <c r="Q339" s="3"/>
      <c r="R339" s="3"/>
      <c r="S339" s="3"/>
      <c r="T339" s="3"/>
      <c r="U339" s="3"/>
      <c r="V339" s="3"/>
      <c r="W339" s="3"/>
      <c r="X339" s="3"/>
      <c r="Y339" s="3"/>
      <c r="Z339" s="3"/>
      <c r="AA339" s="3"/>
      <c r="AB339" s="3"/>
      <c r="AC339" s="3"/>
    </row>
    <row r="340">
      <c r="A340" s="46"/>
      <c r="B340" s="47"/>
      <c r="C340" s="60" t="str">
        <f t="shared" si="19"/>
        <v>QLNHCH_03</v>
      </c>
      <c r="D340" s="48"/>
      <c r="E340" s="48"/>
      <c r="F340" s="48"/>
      <c r="G340" s="48" t="s">
        <v>1158</v>
      </c>
      <c r="H340" s="58" t="s">
        <v>1137</v>
      </c>
      <c r="I340" s="3"/>
      <c r="J340" s="14" t="s">
        <v>1256</v>
      </c>
      <c r="K340" s="14" t="s">
        <v>1261</v>
      </c>
      <c r="L340" s="14" t="s">
        <v>1261</v>
      </c>
      <c r="M340" s="3"/>
      <c r="N340" s="14" t="s">
        <v>36</v>
      </c>
      <c r="O340" s="3"/>
      <c r="P340" s="3"/>
      <c r="Q340" s="3"/>
      <c r="R340" s="3"/>
      <c r="S340" s="3"/>
      <c r="T340" s="3"/>
      <c r="U340" s="3"/>
      <c r="V340" s="3"/>
      <c r="W340" s="3"/>
      <c r="X340" s="3"/>
      <c r="Y340" s="3"/>
      <c r="Z340" s="3"/>
      <c r="AA340" s="3"/>
      <c r="AB340" s="3"/>
      <c r="AC340" s="3"/>
    </row>
    <row r="341">
      <c r="A341" s="46"/>
      <c r="B341" s="47"/>
      <c r="C341" s="60" t="str">
        <f t="shared" si="19"/>
        <v>QLNHCH_04</v>
      </c>
      <c r="D341" s="48"/>
      <c r="E341" s="48"/>
      <c r="F341" s="48"/>
      <c r="G341" s="48" t="s">
        <v>1162</v>
      </c>
      <c r="H341" s="58" t="s">
        <v>1137</v>
      </c>
      <c r="I341" s="3"/>
      <c r="J341" s="14" t="s">
        <v>1262</v>
      </c>
      <c r="K341" s="14" t="s">
        <v>1263</v>
      </c>
      <c r="L341" s="14" t="s">
        <v>1264</v>
      </c>
      <c r="M341" s="3"/>
      <c r="N341" s="14" t="s">
        <v>63</v>
      </c>
      <c r="O341" s="3"/>
      <c r="P341" s="3"/>
      <c r="Q341" s="3"/>
      <c r="R341" s="3"/>
      <c r="S341" s="3"/>
      <c r="T341" s="3"/>
      <c r="U341" s="3"/>
      <c r="V341" s="3"/>
      <c r="W341" s="3"/>
      <c r="X341" s="3"/>
      <c r="Y341" s="3"/>
      <c r="Z341" s="3"/>
      <c r="AA341" s="3"/>
      <c r="AB341" s="3"/>
      <c r="AC341" s="3"/>
    </row>
    <row r="342">
      <c r="A342" s="46"/>
      <c r="B342" s="47"/>
      <c r="C342" s="60" t="str">
        <f t="shared" si="19"/>
        <v>QLNHCH_05</v>
      </c>
      <c r="D342" s="48"/>
      <c r="E342" s="48"/>
      <c r="F342" s="48"/>
      <c r="G342" s="48" t="s">
        <v>1167</v>
      </c>
      <c r="H342" s="58" t="s">
        <v>1137</v>
      </c>
      <c r="I342" s="3"/>
      <c r="J342" s="14" t="s">
        <v>1265</v>
      </c>
      <c r="K342" s="14" t="s">
        <v>1074</v>
      </c>
      <c r="L342" s="14" t="s">
        <v>1074</v>
      </c>
      <c r="M342" s="3"/>
      <c r="N342" s="14" t="s">
        <v>36</v>
      </c>
      <c r="O342" s="3"/>
      <c r="P342" s="3"/>
      <c r="Q342" s="3"/>
      <c r="R342" s="3"/>
      <c r="S342" s="3"/>
      <c r="T342" s="3"/>
      <c r="U342" s="3"/>
      <c r="V342" s="3"/>
      <c r="W342" s="3"/>
      <c r="X342" s="3"/>
      <c r="Y342" s="3"/>
      <c r="Z342" s="3"/>
      <c r="AA342" s="3"/>
      <c r="AB342" s="3"/>
      <c r="AC342" s="3"/>
    </row>
    <row r="343">
      <c r="A343" s="46"/>
      <c r="B343" s="47"/>
      <c r="C343" s="60" t="str">
        <f t="shared" si="19"/>
        <v>QLNHCH_06</v>
      </c>
      <c r="D343" s="48"/>
      <c r="E343" s="48"/>
      <c r="F343" s="48"/>
      <c r="G343" s="48" t="s">
        <v>1266</v>
      </c>
      <c r="H343" s="58" t="s">
        <v>1137</v>
      </c>
      <c r="I343" s="3"/>
      <c r="J343" s="14" t="s">
        <v>1267</v>
      </c>
      <c r="K343" s="14" t="s">
        <v>1074</v>
      </c>
      <c r="L343" s="14" t="s">
        <v>1074</v>
      </c>
      <c r="M343" s="3"/>
      <c r="N343" s="14" t="s">
        <v>36</v>
      </c>
      <c r="O343" s="3"/>
      <c r="P343" s="3"/>
      <c r="Q343" s="3"/>
      <c r="R343" s="3"/>
      <c r="S343" s="3"/>
      <c r="T343" s="3"/>
      <c r="U343" s="3"/>
      <c r="V343" s="3"/>
      <c r="W343" s="3"/>
      <c r="X343" s="3"/>
      <c r="Y343" s="3"/>
      <c r="Z343" s="3"/>
      <c r="AA343" s="3"/>
      <c r="AB343" s="3"/>
      <c r="AC343" s="3"/>
    </row>
    <row r="344">
      <c r="A344" s="46"/>
      <c r="B344" s="47"/>
      <c r="C344" s="60" t="str">
        <f t="shared" si="19"/>
        <v>QLNHCH_07</v>
      </c>
      <c r="D344" s="48"/>
      <c r="E344" s="48"/>
      <c r="F344" s="48"/>
      <c r="G344" s="48" t="s">
        <v>1183</v>
      </c>
      <c r="H344" s="58" t="s">
        <v>1137</v>
      </c>
      <c r="I344" s="3"/>
      <c r="J344" s="14" t="s">
        <v>1268</v>
      </c>
      <c r="K344" s="14" t="s">
        <v>1269</v>
      </c>
      <c r="L344" s="14" t="s">
        <v>1269</v>
      </c>
      <c r="M344" s="3"/>
      <c r="N344" s="14" t="s">
        <v>36</v>
      </c>
      <c r="O344" s="3"/>
      <c r="P344" s="3"/>
      <c r="Q344" s="3"/>
      <c r="R344" s="3"/>
      <c r="S344" s="3"/>
      <c r="T344" s="3"/>
      <c r="U344" s="3"/>
      <c r="V344" s="3"/>
      <c r="W344" s="3"/>
      <c r="X344" s="3"/>
      <c r="Y344" s="3"/>
      <c r="Z344" s="3"/>
      <c r="AA344" s="3"/>
      <c r="AB344" s="3"/>
      <c r="AC344" s="3"/>
    </row>
    <row r="345">
      <c r="A345" s="46"/>
      <c r="B345" s="47"/>
      <c r="C345" s="60" t="str">
        <f t="shared" si="19"/>
        <v>QLNHCH_08</v>
      </c>
      <c r="D345" s="48"/>
      <c r="E345" s="48"/>
      <c r="F345" s="48"/>
      <c r="G345" s="48" t="s">
        <v>1270</v>
      </c>
      <c r="H345" s="58" t="s">
        <v>1137</v>
      </c>
      <c r="I345" s="3"/>
      <c r="J345" s="14" t="s">
        <v>1271</v>
      </c>
      <c r="K345" s="14" t="s">
        <v>1272</v>
      </c>
      <c r="L345" s="14" t="s">
        <v>1273</v>
      </c>
      <c r="M345" s="3"/>
      <c r="N345" s="14" t="s">
        <v>63</v>
      </c>
      <c r="O345" s="3"/>
      <c r="P345" s="3"/>
      <c r="Q345" s="3"/>
      <c r="R345" s="3"/>
      <c r="S345" s="3"/>
      <c r="T345" s="3"/>
      <c r="U345" s="3"/>
      <c r="V345" s="3"/>
      <c r="W345" s="3"/>
      <c r="X345" s="3"/>
      <c r="Y345" s="3"/>
      <c r="Z345" s="3"/>
      <c r="AA345" s="3"/>
      <c r="AB345" s="3"/>
      <c r="AC345" s="3"/>
    </row>
    <row r="346">
      <c r="A346" s="46"/>
      <c r="B346" s="47"/>
      <c r="C346" s="60" t="str">
        <f t="shared" si="19"/>
        <v>QLNHCH_09</v>
      </c>
      <c r="D346" s="48"/>
      <c r="E346" s="48"/>
      <c r="F346" s="48"/>
      <c r="G346" s="48" t="s">
        <v>1203</v>
      </c>
      <c r="H346" s="58" t="s">
        <v>1137</v>
      </c>
      <c r="I346" s="3"/>
      <c r="J346" s="14" t="s">
        <v>1274</v>
      </c>
      <c r="K346" s="14" t="s">
        <v>1205</v>
      </c>
      <c r="L346" s="14" t="s">
        <v>1205</v>
      </c>
      <c r="M346" s="3"/>
      <c r="N346" s="14" t="s">
        <v>36</v>
      </c>
      <c r="O346" s="3"/>
      <c r="P346" s="3"/>
      <c r="Q346" s="3"/>
      <c r="R346" s="3"/>
      <c r="S346" s="3"/>
      <c r="T346" s="3"/>
      <c r="U346" s="3"/>
      <c r="V346" s="3"/>
      <c r="W346" s="3"/>
      <c r="X346" s="3"/>
      <c r="Y346" s="3"/>
      <c r="Z346" s="3"/>
      <c r="AA346" s="3"/>
      <c r="AB346" s="3"/>
      <c r="AC346" s="3"/>
    </row>
    <row r="347">
      <c r="A347" s="46"/>
      <c r="B347" s="47"/>
      <c r="C347" s="60" t="str">
        <f t="shared" si="19"/>
        <v>QLNHCH_10</v>
      </c>
      <c r="D347" s="48"/>
      <c r="E347" s="48"/>
      <c r="F347" s="48"/>
      <c r="G347" s="48" t="s">
        <v>1206</v>
      </c>
      <c r="H347" s="58" t="s">
        <v>1137</v>
      </c>
      <c r="I347" s="3"/>
      <c r="J347" s="14" t="s">
        <v>1275</v>
      </c>
      <c r="K347" s="14" t="s">
        <v>1074</v>
      </c>
      <c r="L347" s="14" t="s">
        <v>1074</v>
      </c>
      <c r="M347" s="3"/>
      <c r="N347" s="14" t="s">
        <v>36</v>
      </c>
      <c r="O347" s="3"/>
      <c r="P347" s="3"/>
      <c r="Q347" s="3"/>
      <c r="R347" s="3"/>
      <c r="S347" s="3"/>
      <c r="T347" s="3"/>
      <c r="U347" s="3"/>
      <c r="V347" s="3"/>
      <c r="W347" s="3"/>
      <c r="X347" s="3"/>
      <c r="Y347" s="3"/>
      <c r="Z347" s="3"/>
      <c r="AA347" s="3"/>
      <c r="AB347" s="3"/>
      <c r="AC347" s="3"/>
    </row>
    <row r="348">
      <c r="A348" s="46"/>
      <c r="B348" s="47"/>
      <c r="C348" s="60" t="str">
        <f t="shared" si="19"/>
        <v>QLNHCH_11</v>
      </c>
      <c r="D348" s="48"/>
      <c r="E348" s="48"/>
      <c r="F348" s="48"/>
      <c r="G348" s="48" t="s">
        <v>1208</v>
      </c>
      <c r="H348" s="58" t="s">
        <v>1137</v>
      </c>
      <c r="I348" s="3"/>
      <c r="J348" s="14" t="s">
        <v>1276</v>
      </c>
      <c r="K348" s="14" t="s">
        <v>1277</v>
      </c>
      <c r="L348" s="3"/>
      <c r="M348" s="3"/>
      <c r="N348" s="3"/>
      <c r="O348" s="3"/>
      <c r="P348" s="3"/>
      <c r="Q348" s="3"/>
      <c r="R348" s="3"/>
      <c r="S348" s="3"/>
      <c r="T348" s="3"/>
      <c r="U348" s="3"/>
      <c r="V348" s="3"/>
      <c r="W348" s="3"/>
      <c r="X348" s="3"/>
      <c r="Y348" s="3"/>
      <c r="Z348" s="3"/>
      <c r="AA348" s="3"/>
      <c r="AB348" s="3"/>
      <c r="AC348" s="3"/>
    </row>
    <row r="349">
      <c r="A349" s="46"/>
      <c r="B349" s="47"/>
      <c r="C349" s="60" t="str">
        <f t="shared" si="19"/>
        <v>QLNHCH_12</v>
      </c>
      <c r="D349" s="48"/>
      <c r="E349" s="48"/>
      <c r="F349" s="48"/>
      <c r="G349" s="48" t="s">
        <v>1211</v>
      </c>
      <c r="H349" s="58" t="s">
        <v>1137</v>
      </c>
      <c r="I349" s="3"/>
      <c r="J349" s="14" t="s">
        <v>1278</v>
      </c>
      <c r="K349" s="14" t="s">
        <v>1213</v>
      </c>
      <c r="L349" s="3"/>
      <c r="M349" s="3"/>
      <c r="N349" s="3"/>
      <c r="O349" s="3"/>
      <c r="P349" s="3"/>
      <c r="Q349" s="3"/>
      <c r="R349" s="3"/>
      <c r="S349" s="3"/>
      <c r="T349" s="3"/>
      <c r="U349" s="3"/>
      <c r="V349" s="3"/>
      <c r="W349" s="3"/>
      <c r="X349" s="3"/>
      <c r="Y349" s="3"/>
      <c r="Z349" s="3"/>
      <c r="AA349" s="3"/>
      <c r="AB349" s="3"/>
      <c r="AC349" s="3"/>
    </row>
    <row r="350">
      <c r="A350" s="46"/>
      <c r="B350" s="47"/>
      <c r="C350" s="60" t="str">
        <f t="shared" si="19"/>
        <v>QLNHCH_13</v>
      </c>
      <c r="D350" s="48"/>
      <c r="E350" s="48"/>
      <c r="F350" s="48"/>
      <c r="G350" s="48" t="s">
        <v>1279</v>
      </c>
      <c r="H350" s="58" t="s">
        <v>1280</v>
      </c>
      <c r="I350" s="3"/>
      <c r="J350" s="14" t="s">
        <v>1281</v>
      </c>
      <c r="K350" s="14" t="s">
        <v>1282</v>
      </c>
      <c r="L350" s="3"/>
      <c r="M350" s="3"/>
      <c r="N350" s="3"/>
      <c r="O350" s="3"/>
      <c r="P350" s="3"/>
      <c r="Q350" s="3"/>
      <c r="R350" s="3"/>
      <c r="S350" s="3"/>
      <c r="T350" s="3"/>
      <c r="U350" s="3"/>
      <c r="V350" s="3"/>
      <c r="W350" s="3"/>
      <c r="X350" s="3"/>
      <c r="Y350" s="3"/>
      <c r="Z350" s="3"/>
      <c r="AA350" s="3"/>
      <c r="AB350" s="3"/>
      <c r="AC350" s="3"/>
    </row>
    <row r="351">
      <c r="A351" s="46"/>
      <c r="B351" s="47"/>
      <c r="C351" s="60" t="str">
        <f t="shared" si="19"/>
        <v>QLNHCH_14</v>
      </c>
      <c r="D351" s="48"/>
      <c r="E351" s="48"/>
      <c r="F351" s="48"/>
      <c r="G351" s="48" t="s">
        <v>1283</v>
      </c>
      <c r="H351" s="58" t="s">
        <v>1284</v>
      </c>
      <c r="I351" s="3"/>
      <c r="J351" s="14" t="s">
        <v>1281</v>
      </c>
      <c r="K351" s="14" t="s">
        <v>1285</v>
      </c>
      <c r="L351" s="3"/>
      <c r="M351" s="3"/>
      <c r="N351" s="3"/>
      <c r="O351" s="3"/>
      <c r="P351" s="3"/>
      <c r="Q351" s="3"/>
      <c r="R351" s="3"/>
      <c r="S351" s="3"/>
      <c r="T351" s="3"/>
      <c r="U351" s="3"/>
      <c r="V351" s="3"/>
      <c r="W351" s="3"/>
      <c r="X351" s="3"/>
      <c r="Y351" s="3"/>
      <c r="Z351" s="3"/>
      <c r="AA351" s="3"/>
      <c r="AB351" s="3"/>
      <c r="AC351" s="3"/>
    </row>
    <row r="352">
      <c r="A352" s="46"/>
      <c r="B352" s="47"/>
      <c r="C352" s="60" t="str">
        <f t="shared" si="19"/>
        <v>QLNHCH_15</v>
      </c>
      <c r="D352" s="48"/>
      <c r="E352" s="48"/>
      <c r="F352" s="48"/>
      <c r="G352" s="48" t="s">
        <v>1286</v>
      </c>
      <c r="H352" s="58" t="s">
        <v>1137</v>
      </c>
      <c r="I352" s="3"/>
      <c r="J352" s="14" t="s">
        <v>1287</v>
      </c>
      <c r="K352" s="14" t="s">
        <v>1288</v>
      </c>
      <c r="L352" s="3"/>
      <c r="M352" s="3"/>
      <c r="N352" s="3"/>
      <c r="O352" s="3"/>
      <c r="P352" s="3"/>
      <c r="Q352" s="3"/>
      <c r="R352" s="3"/>
      <c r="S352" s="3"/>
      <c r="T352" s="3"/>
      <c r="U352" s="3"/>
      <c r="V352" s="3"/>
      <c r="W352" s="3"/>
      <c r="X352" s="3"/>
      <c r="Y352" s="3"/>
      <c r="Z352" s="3"/>
      <c r="AA352" s="3"/>
      <c r="AB352" s="3"/>
      <c r="AC352" s="3"/>
    </row>
    <row r="353">
      <c r="A353" s="50"/>
      <c r="B353" s="51">
        <v>29.0</v>
      </c>
      <c r="C353" s="51"/>
      <c r="D353" s="52"/>
      <c r="E353" s="52" t="s">
        <v>1289</v>
      </c>
      <c r="F353" s="52" t="s">
        <v>29</v>
      </c>
      <c r="G353" s="53" t="s">
        <v>1290</v>
      </c>
      <c r="H353" s="58" t="s">
        <v>1237</v>
      </c>
      <c r="I353" s="3"/>
      <c r="J353" s="14" t="s">
        <v>1291</v>
      </c>
      <c r="K353" s="14" t="s">
        <v>1292</v>
      </c>
      <c r="L353" s="3"/>
      <c r="M353" s="3"/>
      <c r="N353" s="3"/>
      <c r="O353" s="3"/>
      <c r="P353" s="3"/>
      <c r="Q353" s="3"/>
      <c r="R353" s="3"/>
      <c r="S353" s="3"/>
      <c r="T353" s="3"/>
      <c r="U353" s="3"/>
      <c r="V353" s="3"/>
      <c r="W353" s="3"/>
      <c r="X353" s="3"/>
      <c r="Y353" s="3"/>
      <c r="Z353" s="3"/>
      <c r="AA353" s="3"/>
      <c r="AB353" s="3"/>
      <c r="AC353" s="3"/>
    </row>
    <row r="354">
      <c r="A354" s="46"/>
      <c r="B354" s="47"/>
      <c r="C354" s="47"/>
      <c r="D354" s="48"/>
      <c r="E354" s="48"/>
      <c r="F354" s="48"/>
      <c r="G354" s="48" t="s">
        <v>1241</v>
      </c>
      <c r="H354" s="58" t="s">
        <v>1137</v>
      </c>
      <c r="I354" s="3"/>
      <c r="J354" s="14" t="s">
        <v>1293</v>
      </c>
      <c r="K354" s="14" t="s">
        <v>1243</v>
      </c>
      <c r="L354" s="3"/>
      <c r="M354" s="3"/>
      <c r="N354" s="3"/>
      <c r="O354" s="3"/>
      <c r="P354" s="3"/>
      <c r="Q354" s="3"/>
      <c r="R354" s="3"/>
      <c r="S354" s="3"/>
      <c r="T354" s="3"/>
      <c r="U354" s="3"/>
      <c r="V354" s="3"/>
      <c r="W354" s="3"/>
      <c r="X354" s="3"/>
      <c r="Y354" s="3"/>
      <c r="Z354" s="3"/>
      <c r="AA354" s="3"/>
      <c r="AB354" s="3"/>
      <c r="AC354" s="3"/>
    </row>
    <row r="355">
      <c r="A355" s="46"/>
      <c r="B355" s="47"/>
      <c r="C355" s="47"/>
      <c r="D355" s="48"/>
      <c r="E355" s="48"/>
      <c r="F355" s="48"/>
      <c r="G355" s="48" t="s">
        <v>1147</v>
      </c>
      <c r="H355" s="58" t="s">
        <v>1237</v>
      </c>
      <c r="I355" s="3"/>
      <c r="J355" s="14" t="s">
        <v>1294</v>
      </c>
      <c r="K355" s="14" t="s">
        <v>1292</v>
      </c>
      <c r="L355" s="3"/>
      <c r="M355" s="3"/>
      <c r="N355" s="3"/>
      <c r="O355" s="3"/>
      <c r="P355" s="3"/>
      <c r="Q355" s="3"/>
      <c r="R355" s="3"/>
      <c r="S355" s="3"/>
      <c r="T355" s="3"/>
      <c r="U355" s="3"/>
      <c r="V355" s="3"/>
      <c r="W355" s="3"/>
      <c r="X355" s="3"/>
      <c r="Y355" s="3"/>
      <c r="Z355" s="3"/>
      <c r="AA355" s="3"/>
      <c r="AB355" s="3"/>
      <c r="AC355" s="3"/>
    </row>
    <row r="356">
      <c r="A356" s="46"/>
      <c r="B356" s="47"/>
      <c r="C356" s="47"/>
      <c r="D356" s="48"/>
      <c r="E356" s="48"/>
      <c r="F356" s="48"/>
      <c r="G356" s="48" t="s">
        <v>1247</v>
      </c>
      <c r="H356" s="58" t="s">
        <v>1237</v>
      </c>
      <c r="I356" s="3"/>
      <c r="J356" s="14" t="s">
        <v>1295</v>
      </c>
      <c r="K356" s="14" t="s">
        <v>1292</v>
      </c>
      <c r="L356" s="3"/>
      <c r="M356" s="3"/>
      <c r="N356" s="3"/>
      <c r="O356" s="3"/>
      <c r="P356" s="3"/>
      <c r="Q356" s="3"/>
      <c r="R356" s="3"/>
      <c r="S356" s="3"/>
      <c r="T356" s="3"/>
      <c r="U356" s="3"/>
      <c r="V356" s="3"/>
      <c r="W356" s="3"/>
      <c r="X356" s="3"/>
      <c r="Y356" s="3"/>
      <c r="Z356" s="3"/>
      <c r="AA356" s="3"/>
      <c r="AB356" s="3"/>
      <c r="AC356" s="3"/>
    </row>
    <row r="357">
      <c r="A357" s="46"/>
      <c r="B357" s="47"/>
      <c r="C357" s="47"/>
      <c r="D357" s="48"/>
      <c r="E357" s="48"/>
      <c r="F357" s="48"/>
      <c r="G357" s="48" t="s">
        <v>1152</v>
      </c>
      <c r="H357" s="58" t="s">
        <v>1249</v>
      </c>
      <c r="I357" s="3"/>
      <c r="J357" s="14" t="s">
        <v>1296</v>
      </c>
      <c r="K357" s="14" t="s">
        <v>1251</v>
      </c>
      <c r="L357" s="3"/>
      <c r="M357" s="3"/>
      <c r="N357" s="3"/>
      <c r="O357" s="3"/>
      <c r="P357" s="3"/>
      <c r="Q357" s="3"/>
      <c r="R357" s="3"/>
      <c r="S357" s="3"/>
      <c r="T357" s="3"/>
      <c r="U357" s="3"/>
      <c r="V357" s="3"/>
      <c r="W357" s="3"/>
      <c r="X357" s="3"/>
      <c r="Y357" s="3"/>
      <c r="Z357" s="3"/>
      <c r="AA357" s="3"/>
      <c r="AB357" s="3"/>
      <c r="AC357" s="3"/>
    </row>
    <row r="358">
      <c r="A358" s="46"/>
      <c r="B358" s="47"/>
      <c r="C358" s="47"/>
      <c r="D358" s="48"/>
      <c r="E358" s="48"/>
      <c r="F358" s="48"/>
      <c r="G358" s="48" t="s">
        <v>78</v>
      </c>
      <c r="H358" s="58" t="s">
        <v>1137</v>
      </c>
      <c r="I358" s="3"/>
      <c r="J358" s="14" t="s">
        <v>1297</v>
      </c>
      <c r="K358" s="14" t="s">
        <v>1253</v>
      </c>
      <c r="L358" s="3"/>
      <c r="M358" s="3"/>
      <c r="N358" s="3"/>
      <c r="O358" s="3"/>
      <c r="P358" s="3"/>
      <c r="Q358" s="3"/>
      <c r="R358" s="3"/>
      <c r="S358" s="3"/>
      <c r="T358" s="3"/>
      <c r="U358" s="3"/>
      <c r="V358" s="3"/>
      <c r="W358" s="3"/>
      <c r="X358" s="3"/>
      <c r="Y358" s="3"/>
      <c r="Z358" s="3"/>
      <c r="AA358" s="3"/>
      <c r="AB358" s="3"/>
      <c r="AC358" s="3"/>
    </row>
    <row r="359">
      <c r="A359" s="50"/>
      <c r="B359" s="51">
        <v>30.0</v>
      </c>
      <c r="C359" s="51"/>
      <c r="D359" s="52"/>
      <c r="E359" s="52" t="s">
        <v>1298</v>
      </c>
      <c r="F359" s="52" t="s">
        <v>29</v>
      </c>
      <c r="G359" s="53" t="s">
        <v>1299</v>
      </c>
      <c r="H359" s="58" t="s">
        <v>1137</v>
      </c>
      <c r="I359" s="3"/>
      <c r="J359" s="14" t="s">
        <v>1300</v>
      </c>
      <c r="K359" s="14" t="s">
        <v>1299</v>
      </c>
      <c r="L359" s="3"/>
      <c r="M359" s="3"/>
      <c r="N359" s="3"/>
      <c r="O359" s="3"/>
      <c r="P359" s="3"/>
      <c r="Q359" s="3"/>
      <c r="R359" s="3"/>
      <c r="S359" s="3"/>
      <c r="T359" s="3"/>
      <c r="U359" s="3"/>
      <c r="V359" s="3"/>
      <c r="W359" s="3"/>
      <c r="X359" s="3"/>
      <c r="Y359" s="3"/>
      <c r="Z359" s="3"/>
      <c r="AA359" s="3"/>
      <c r="AB359" s="3"/>
      <c r="AC359" s="3"/>
    </row>
    <row r="360">
      <c r="A360" s="46"/>
      <c r="B360" s="47"/>
      <c r="C360" s="47"/>
      <c r="D360" s="48"/>
      <c r="E360" s="48"/>
      <c r="F360" s="48"/>
      <c r="G360" s="48" t="s">
        <v>1158</v>
      </c>
      <c r="H360" s="58" t="s">
        <v>1137</v>
      </c>
      <c r="I360" s="3"/>
      <c r="J360" s="14" t="s">
        <v>1301</v>
      </c>
      <c r="K360" s="14" t="s">
        <v>1261</v>
      </c>
      <c r="L360" s="3"/>
      <c r="M360" s="3"/>
      <c r="N360" s="3"/>
      <c r="O360" s="3"/>
      <c r="P360" s="3"/>
      <c r="Q360" s="3"/>
      <c r="R360" s="3"/>
      <c r="S360" s="3"/>
      <c r="T360" s="3"/>
      <c r="U360" s="3"/>
      <c r="V360" s="3"/>
      <c r="W360" s="3"/>
      <c r="X360" s="3"/>
      <c r="Y360" s="3"/>
      <c r="Z360" s="3"/>
      <c r="AA360" s="3"/>
      <c r="AB360" s="3"/>
      <c r="AC360" s="3"/>
    </row>
    <row r="361">
      <c r="A361" s="46"/>
      <c r="B361" s="47"/>
      <c r="C361" s="47"/>
      <c r="D361" s="48"/>
      <c r="E361" s="48"/>
      <c r="F361" s="48"/>
      <c r="G361" s="48" t="s">
        <v>1162</v>
      </c>
      <c r="H361" s="58" t="s">
        <v>1137</v>
      </c>
      <c r="I361" s="3"/>
      <c r="J361" s="14" t="s">
        <v>1302</v>
      </c>
      <c r="K361" s="14" t="s">
        <v>1263</v>
      </c>
      <c r="L361" s="3"/>
      <c r="M361" s="3"/>
      <c r="N361" s="3"/>
      <c r="O361" s="3"/>
      <c r="P361" s="3"/>
      <c r="Q361" s="3"/>
      <c r="R361" s="3"/>
      <c r="S361" s="3"/>
      <c r="T361" s="3"/>
      <c r="U361" s="3"/>
      <c r="V361" s="3"/>
      <c r="W361" s="3"/>
      <c r="X361" s="3"/>
      <c r="Y361" s="3"/>
      <c r="Z361" s="3"/>
      <c r="AA361" s="3"/>
      <c r="AB361" s="3"/>
      <c r="AC361" s="3"/>
    </row>
    <row r="362">
      <c r="A362" s="46"/>
      <c r="B362" s="47"/>
      <c r="C362" s="47"/>
      <c r="D362" s="48"/>
      <c r="E362" s="48"/>
      <c r="F362" s="48"/>
      <c r="G362" s="48" t="s">
        <v>1167</v>
      </c>
      <c r="H362" s="58" t="s">
        <v>1137</v>
      </c>
      <c r="I362" s="3"/>
      <c r="J362" s="14" t="s">
        <v>1303</v>
      </c>
      <c r="K362" s="14" t="s">
        <v>1074</v>
      </c>
      <c r="L362" s="3"/>
      <c r="M362" s="3"/>
      <c r="N362" s="3"/>
      <c r="O362" s="3"/>
      <c r="P362" s="3"/>
      <c r="Q362" s="3"/>
      <c r="R362" s="3"/>
      <c r="S362" s="3"/>
      <c r="T362" s="3"/>
      <c r="U362" s="3"/>
      <c r="V362" s="3"/>
      <c r="W362" s="3"/>
      <c r="X362" s="3"/>
      <c r="Y362" s="3"/>
      <c r="Z362" s="3"/>
      <c r="AA362" s="3"/>
      <c r="AB362" s="3"/>
      <c r="AC362" s="3"/>
    </row>
    <row r="363">
      <c r="A363" s="46"/>
      <c r="B363" s="47"/>
      <c r="C363" s="47"/>
      <c r="D363" s="48"/>
      <c r="E363" s="48"/>
      <c r="F363" s="48"/>
      <c r="G363" s="48" t="s">
        <v>1183</v>
      </c>
      <c r="H363" s="58" t="s">
        <v>1137</v>
      </c>
      <c r="I363" s="3"/>
      <c r="J363" s="14" t="s">
        <v>1304</v>
      </c>
      <c r="K363" s="14" t="s">
        <v>1305</v>
      </c>
      <c r="L363" s="3"/>
      <c r="M363" s="3"/>
      <c r="N363" s="3"/>
      <c r="O363" s="3"/>
      <c r="P363" s="3"/>
      <c r="Q363" s="3"/>
      <c r="R363" s="3"/>
      <c r="S363" s="3"/>
      <c r="T363" s="3"/>
      <c r="U363" s="3"/>
      <c r="V363" s="3"/>
      <c r="W363" s="3"/>
      <c r="X363" s="3"/>
      <c r="Y363" s="3"/>
      <c r="Z363" s="3"/>
      <c r="AA363" s="3"/>
      <c r="AB363" s="3"/>
      <c r="AC363" s="3"/>
    </row>
    <row r="364">
      <c r="A364" s="46"/>
      <c r="B364" s="47"/>
      <c r="C364" s="47"/>
      <c r="D364" s="48"/>
      <c r="E364" s="48"/>
      <c r="F364" s="48"/>
      <c r="G364" s="48" t="s">
        <v>1306</v>
      </c>
      <c r="H364" s="58" t="s">
        <v>1137</v>
      </c>
      <c r="I364" s="3"/>
      <c r="J364" s="14" t="s">
        <v>1307</v>
      </c>
      <c r="K364" s="14" t="s">
        <v>1308</v>
      </c>
      <c r="L364" s="3"/>
      <c r="M364" s="3"/>
      <c r="N364" s="3"/>
      <c r="O364" s="3"/>
      <c r="P364" s="3"/>
      <c r="Q364" s="3"/>
      <c r="R364" s="3"/>
      <c r="S364" s="3"/>
      <c r="T364" s="3"/>
      <c r="U364" s="3"/>
      <c r="V364" s="3"/>
      <c r="W364" s="3"/>
      <c r="X364" s="3"/>
      <c r="Y364" s="3"/>
      <c r="Z364" s="3"/>
      <c r="AA364" s="3"/>
      <c r="AB364" s="3"/>
      <c r="AC364" s="3"/>
    </row>
    <row r="365">
      <c r="A365" s="46"/>
      <c r="B365" s="47"/>
      <c r="C365" s="47"/>
      <c r="D365" s="48"/>
      <c r="E365" s="48"/>
      <c r="F365" s="48"/>
      <c r="G365" s="48" t="s">
        <v>1270</v>
      </c>
      <c r="H365" s="58" t="s">
        <v>1137</v>
      </c>
      <c r="I365" s="3"/>
      <c r="J365" s="14" t="s">
        <v>1309</v>
      </c>
      <c r="K365" s="14" t="s">
        <v>1310</v>
      </c>
      <c r="L365" s="3"/>
      <c r="M365" s="3"/>
      <c r="N365" s="3"/>
      <c r="O365" s="3"/>
      <c r="P365" s="3"/>
      <c r="Q365" s="3"/>
      <c r="R365" s="3"/>
      <c r="S365" s="3"/>
      <c r="T365" s="3"/>
      <c r="U365" s="3"/>
      <c r="V365" s="3"/>
      <c r="W365" s="3"/>
      <c r="X365" s="3"/>
      <c r="Y365" s="3"/>
      <c r="Z365" s="3"/>
      <c r="AA365" s="3"/>
      <c r="AB365" s="3"/>
      <c r="AC365" s="3"/>
    </row>
    <row r="366">
      <c r="A366" s="46"/>
      <c r="B366" s="47"/>
      <c r="C366" s="47"/>
      <c r="D366" s="48"/>
      <c r="E366" s="48"/>
      <c r="F366" s="48"/>
      <c r="G366" s="48" t="s">
        <v>1203</v>
      </c>
      <c r="H366" s="58" t="s">
        <v>1137</v>
      </c>
      <c r="I366" s="3"/>
      <c r="J366" s="14" t="s">
        <v>1311</v>
      </c>
      <c r="K366" s="14" t="s">
        <v>1205</v>
      </c>
      <c r="L366" s="3"/>
      <c r="M366" s="3"/>
      <c r="N366" s="3"/>
      <c r="O366" s="3"/>
      <c r="P366" s="3"/>
      <c r="Q366" s="3"/>
      <c r="R366" s="3"/>
      <c r="S366" s="3"/>
      <c r="T366" s="3"/>
      <c r="U366" s="3"/>
      <c r="V366" s="3"/>
      <c r="W366" s="3"/>
      <c r="X366" s="3"/>
      <c r="Y366" s="3"/>
      <c r="Z366" s="3"/>
      <c r="AA366" s="3"/>
      <c r="AB366" s="3"/>
      <c r="AC366" s="3"/>
    </row>
    <row r="367">
      <c r="A367" s="46"/>
      <c r="B367" s="47"/>
      <c r="C367" s="47"/>
      <c r="D367" s="48"/>
      <c r="E367" s="48"/>
      <c r="F367" s="48"/>
      <c r="G367" s="48" t="s">
        <v>1206</v>
      </c>
      <c r="H367" s="58" t="s">
        <v>1137</v>
      </c>
      <c r="I367" s="3"/>
      <c r="J367" s="14" t="s">
        <v>1312</v>
      </c>
      <c r="K367" s="14" t="s">
        <v>1074</v>
      </c>
      <c r="L367" s="3"/>
      <c r="M367" s="3"/>
      <c r="N367" s="3"/>
      <c r="O367" s="3"/>
      <c r="P367" s="3"/>
      <c r="Q367" s="3"/>
      <c r="R367" s="3"/>
      <c r="S367" s="3"/>
      <c r="T367" s="3"/>
      <c r="U367" s="3"/>
      <c r="V367" s="3"/>
      <c r="W367" s="3"/>
      <c r="X367" s="3"/>
      <c r="Y367" s="3"/>
      <c r="Z367" s="3"/>
      <c r="AA367" s="3"/>
      <c r="AB367" s="3"/>
      <c r="AC367" s="3"/>
    </row>
    <row r="368">
      <c r="A368" s="46"/>
      <c r="B368" s="47"/>
      <c r="C368" s="47"/>
      <c r="D368" s="48"/>
      <c r="E368" s="48"/>
      <c r="F368" s="48"/>
      <c r="G368" s="48" t="s">
        <v>1208</v>
      </c>
      <c r="H368" s="58" t="s">
        <v>1137</v>
      </c>
      <c r="I368" s="3"/>
      <c r="J368" s="14" t="s">
        <v>1313</v>
      </c>
      <c r="K368" s="14" t="s">
        <v>1314</v>
      </c>
      <c r="L368" s="3"/>
      <c r="M368" s="3"/>
      <c r="N368" s="3"/>
      <c r="O368" s="3"/>
      <c r="P368" s="3"/>
      <c r="Q368" s="3"/>
      <c r="R368" s="3"/>
      <c r="S368" s="3"/>
      <c r="T368" s="3"/>
      <c r="U368" s="3"/>
      <c r="V368" s="3"/>
      <c r="W368" s="3"/>
      <c r="X368" s="3"/>
      <c r="Y368" s="3"/>
      <c r="Z368" s="3"/>
      <c r="AA368" s="3"/>
      <c r="AB368" s="3"/>
      <c r="AC368" s="3"/>
    </row>
    <row r="369">
      <c r="A369" s="46"/>
      <c r="B369" s="47"/>
      <c r="C369" s="47"/>
      <c r="D369" s="48"/>
      <c r="E369" s="48"/>
      <c r="F369" s="48"/>
      <c r="G369" s="48" t="s">
        <v>1315</v>
      </c>
      <c r="H369" s="58" t="s">
        <v>1137</v>
      </c>
      <c r="I369" s="3"/>
      <c r="J369" s="14" t="s">
        <v>1316</v>
      </c>
      <c r="K369" s="14" t="s">
        <v>1308</v>
      </c>
      <c r="L369" s="3"/>
      <c r="M369" s="3"/>
      <c r="N369" s="3"/>
      <c r="O369" s="3"/>
      <c r="P369" s="3"/>
      <c r="Q369" s="3"/>
      <c r="R369" s="3"/>
      <c r="S369" s="3"/>
      <c r="T369" s="3"/>
      <c r="U369" s="3"/>
      <c r="V369" s="3"/>
      <c r="W369" s="3"/>
      <c r="X369" s="3"/>
      <c r="Y369" s="3"/>
      <c r="Z369" s="3"/>
      <c r="AA369" s="3"/>
      <c r="AB369" s="3"/>
      <c r="AC369" s="3"/>
    </row>
    <row r="370">
      <c r="A370" s="46"/>
      <c r="B370" s="47"/>
      <c r="C370" s="47"/>
      <c r="D370" s="48"/>
      <c r="E370" s="48"/>
      <c r="F370" s="48"/>
      <c r="G370" s="48" t="s">
        <v>1317</v>
      </c>
      <c r="H370" s="58" t="s">
        <v>1318</v>
      </c>
      <c r="I370" s="3"/>
      <c r="J370" s="14" t="s">
        <v>1319</v>
      </c>
      <c r="K370" s="14" t="s">
        <v>1320</v>
      </c>
      <c r="L370" s="3"/>
      <c r="M370" s="3"/>
      <c r="N370" s="3"/>
      <c r="O370" s="3"/>
      <c r="P370" s="3"/>
      <c r="Q370" s="3"/>
      <c r="R370" s="3"/>
      <c r="S370" s="3"/>
      <c r="T370" s="3"/>
      <c r="U370" s="3"/>
      <c r="V370" s="3"/>
      <c r="W370" s="3"/>
      <c r="X370" s="3"/>
      <c r="Y370" s="3"/>
      <c r="Z370" s="3"/>
      <c r="AA370" s="3"/>
      <c r="AB370" s="3"/>
      <c r="AC370" s="3"/>
    </row>
    <row r="371">
      <c r="A371" s="46"/>
      <c r="B371" s="47"/>
      <c r="C371" s="47"/>
      <c r="D371" s="48"/>
      <c r="E371" s="48"/>
      <c r="F371" s="48"/>
      <c r="G371" s="48" t="s">
        <v>1321</v>
      </c>
      <c r="H371" s="58" t="s">
        <v>1322</v>
      </c>
      <c r="I371" s="3"/>
      <c r="J371" s="14" t="s">
        <v>1319</v>
      </c>
      <c r="K371" s="14" t="s">
        <v>1323</v>
      </c>
      <c r="L371" s="3"/>
      <c r="M371" s="3"/>
      <c r="N371" s="3"/>
      <c r="O371" s="3"/>
      <c r="P371" s="3"/>
      <c r="Q371" s="3"/>
      <c r="R371" s="3"/>
      <c r="S371" s="3"/>
      <c r="T371" s="3"/>
      <c r="U371" s="3"/>
      <c r="V371" s="3"/>
      <c r="W371" s="3"/>
      <c r="X371" s="3"/>
      <c r="Y371" s="3"/>
      <c r="Z371" s="3"/>
      <c r="AA371" s="3"/>
      <c r="AB371" s="3"/>
      <c r="AC371" s="3"/>
    </row>
    <row r="372">
      <c r="A372" s="46"/>
      <c r="B372" s="47"/>
      <c r="C372" s="47"/>
      <c r="D372" s="48"/>
      <c r="E372" s="48"/>
      <c r="F372" s="48"/>
      <c r="G372" s="48" t="s">
        <v>1324</v>
      </c>
      <c r="H372" s="58" t="s">
        <v>1137</v>
      </c>
      <c r="I372" s="3"/>
      <c r="J372" s="14" t="s">
        <v>1325</v>
      </c>
      <c r="K372" s="14" t="s">
        <v>1326</v>
      </c>
      <c r="L372" s="3"/>
      <c r="M372" s="3"/>
      <c r="N372" s="3"/>
      <c r="O372" s="3"/>
      <c r="P372" s="3"/>
      <c r="Q372" s="3"/>
      <c r="R372" s="3"/>
      <c r="S372" s="3"/>
      <c r="T372" s="3"/>
      <c r="U372" s="3"/>
      <c r="V372" s="3"/>
      <c r="W372" s="3"/>
      <c r="X372" s="3"/>
      <c r="Y372" s="3"/>
      <c r="Z372" s="3"/>
      <c r="AA372" s="3"/>
      <c r="AB372" s="3"/>
      <c r="AC372" s="3"/>
    </row>
    <row r="373">
      <c r="A373" s="50"/>
      <c r="B373" s="51">
        <v>31.0</v>
      </c>
      <c r="C373" s="51"/>
      <c r="D373" s="52"/>
      <c r="E373" s="52" t="s">
        <v>1327</v>
      </c>
      <c r="F373" s="52" t="s">
        <v>29</v>
      </c>
      <c r="G373" s="53" t="s">
        <v>1328</v>
      </c>
      <c r="H373" s="58" t="s">
        <v>1237</v>
      </c>
      <c r="I373" s="3"/>
      <c r="J373" s="14" t="s">
        <v>1329</v>
      </c>
      <c r="K373" s="14" t="s">
        <v>1330</v>
      </c>
      <c r="L373" s="3"/>
      <c r="M373" s="3"/>
      <c r="N373" s="3"/>
      <c r="O373" s="3"/>
      <c r="P373" s="3"/>
      <c r="Q373" s="3"/>
      <c r="R373" s="3"/>
      <c r="S373" s="3"/>
      <c r="T373" s="3"/>
      <c r="U373" s="3"/>
      <c r="V373" s="3"/>
      <c r="W373" s="3"/>
      <c r="X373" s="3"/>
      <c r="Y373" s="3"/>
      <c r="Z373" s="3"/>
      <c r="AA373" s="3"/>
      <c r="AB373" s="3"/>
      <c r="AC373" s="3"/>
    </row>
    <row r="374">
      <c r="A374" s="46"/>
      <c r="B374" s="47"/>
      <c r="C374" s="47"/>
      <c r="D374" s="48"/>
      <c r="E374" s="48"/>
      <c r="F374" s="48"/>
      <c r="G374" s="48" t="s">
        <v>1241</v>
      </c>
      <c r="H374" s="58" t="s">
        <v>1137</v>
      </c>
      <c r="I374" s="3"/>
      <c r="J374" s="14" t="s">
        <v>1331</v>
      </c>
      <c r="K374" s="14" t="s">
        <v>1243</v>
      </c>
      <c r="L374" s="3"/>
      <c r="M374" s="3"/>
      <c r="N374" s="3"/>
      <c r="O374" s="3"/>
      <c r="P374" s="3"/>
      <c r="Q374" s="3"/>
      <c r="R374" s="3"/>
      <c r="S374" s="3"/>
      <c r="T374" s="3"/>
      <c r="U374" s="3"/>
      <c r="V374" s="3"/>
      <c r="W374" s="3"/>
      <c r="X374" s="3"/>
      <c r="Y374" s="3"/>
      <c r="Z374" s="3"/>
      <c r="AA374" s="3"/>
      <c r="AB374" s="3"/>
      <c r="AC374" s="3"/>
    </row>
    <row r="375">
      <c r="A375" s="46"/>
      <c r="B375" s="47"/>
      <c r="C375" s="47"/>
      <c r="D375" s="48"/>
      <c r="E375" s="48"/>
      <c r="F375" s="48"/>
      <c r="G375" s="48" t="s">
        <v>1147</v>
      </c>
      <c r="H375" s="58" t="s">
        <v>1237</v>
      </c>
      <c r="I375" s="3"/>
      <c r="J375" s="14" t="s">
        <v>1332</v>
      </c>
      <c r="K375" s="14" t="s">
        <v>1292</v>
      </c>
      <c r="L375" s="3"/>
      <c r="M375" s="3"/>
      <c r="N375" s="3"/>
      <c r="O375" s="3"/>
      <c r="P375" s="3"/>
      <c r="Q375" s="3"/>
      <c r="R375" s="3"/>
      <c r="S375" s="3"/>
      <c r="T375" s="3"/>
      <c r="U375" s="3"/>
      <c r="V375" s="3"/>
      <c r="W375" s="3"/>
      <c r="X375" s="3"/>
      <c r="Y375" s="3"/>
      <c r="Z375" s="3"/>
      <c r="AA375" s="3"/>
      <c r="AB375" s="3"/>
      <c r="AC375" s="3"/>
    </row>
    <row r="376">
      <c r="A376" s="46"/>
      <c r="B376" s="47"/>
      <c r="C376" s="47"/>
      <c r="D376" s="48"/>
      <c r="E376" s="48"/>
      <c r="F376" s="48"/>
      <c r="G376" s="48" t="s">
        <v>1247</v>
      </c>
      <c r="H376" s="58" t="s">
        <v>1237</v>
      </c>
      <c r="I376" s="3"/>
      <c r="J376" s="14" t="s">
        <v>1333</v>
      </c>
      <c r="K376" s="14" t="s">
        <v>1292</v>
      </c>
      <c r="L376" s="3"/>
      <c r="M376" s="3"/>
      <c r="N376" s="3"/>
      <c r="O376" s="3"/>
      <c r="P376" s="3"/>
      <c r="Q376" s="3"/>
      <c r="R376" s="3"/>
      <c r="S376" s="3"/>
      <c r="T376" s="3"/>
      <c r="U376" s="3"/>
      <c r="V376" s="3"/>
      <c r="W376" s="3"/>
      <c r="X376" s="3"/>
      <c r="Y376" s="3"/>
      <c r="Z376" s="3"/>
      <c r="AA376" s="3"/>
      <c r="AB376" s="3"/>
      <c r="AC376" s="3"/>
    </row>
    <row r="377">
      <c r="A377" s="46"/>
      <c r="B377" s="47"/>
      <c r="C377" s="47"/>
      <c r="D377" s="48"/>
      <c r="E377" s="48"/>
      <c r="F377" s="48"/>
      <c r="G377" s="48" t="s">
        <v>1152</v>
      </c>
      <c r="H377" s="58" t="s">
        <v>1249</v>
      </c>
      <c r="I377" s="3"/>
      <c r="J377" s="14" t="s">
        <v>1334</v>
      </c>
      <c r="K377" s="14" t="s">
        <v>1335</v>
      </c>
      <c r="L377" s="3"/>
      <c r="M377" s="3"/>
      <c r="N377" s="3"/>
      <c r="O377" s="3"/>
      <c r="P377" s="3"/>
      <c r="Q377" s="3"/>
      <c r="R377" s="3"/>
      <c r="S377" s="3"/>
      <c r="T377" s="3"/>
      <c r="U377" s="3"/>
      <c r="V377" s="3"/>
      <c r="W377" s="3"/>
      <c r="X377" s="3"/>
      <c r="Y377" s="3"/>
      <c r="Z377" s="3"/>
      <c r="AA377" s="3"/>
      <c r="AB377" s="3"/>
      <c r="AC377" s="3"/>
    </row>
    <row r="378">
      <c r="A378" s="46"/>
      <c r="B378" s="47"/>
      <c r="C378" s="47"/>
      <c r="D378" s="48"/>
      <c r="E378" s="48"/>
      <c r="F378" s="48"/>
      <c r="G378" s="48" t="s">
        <v>78</v>
      </c>
      <c r="H378" s="58" t="s">
        <v>1137</v>
      </c>
      <c r="I378" s="3"/>
      <c r="J378" s="14" t="s">
        <v>1336</v>
      </c>
      <c r="K378" s="14" t="s">
        <v>1253</v>
      </c>
      <c r="L378" s="3"/>
      <c r="M378" s="3"/>
      <c r="N378" s="3"/>
      <c r="O378" s="3"/>
      <c r="P378" s="3"/>
      <c r="Q378" s="3"/>
      <c r="R378" s="3"/>
      <c r="S378" s="3"/>
      <c r="T378" s="3"/>
      <c r="U378" s="3"/>
      <c r="V378" s="3"/>
      <c r="W378" s="3"/>
      <c r="X378" s="3"/>
      <c r="Y378" s="3"/>
      <c r="Z378" s="3"/>
      <c r="AA378" s="3"/>
      <c r="AB378" s="3"/>
      <c r="AC378" s="3"/>
    </row>
    <row r="379">
      <c r="A379" s="46"/>
      <c r="B379" s="47"/>
      <c r="C379" s="47"/>
      <c r="D379" s="48"/>
      <c r="E379" s="48"/>
      <c r="F379" s="48"/>
      <c r="G379" s="48" t="s">
        <v>1337</v>
      </c>
      <c r="H379" s="58" t="s">
        <v>1137</v>
      </c>
      <c r="I379" s="3"/>
      <c r="J379" s="14" t="s">
        <v>1338</v>
      </c>
      <c r="K379" s="14" t="s">
        <v>1339</v>
      </c>
      <c r="L379" s="3"/>
      <c r="M379" s="3"/>
      <c r="N379" s="3"/>
      <c r="O379" s="3"/>
      <c r="P379" s="3"/>
      <c r="Q379" s="3"/>
      <c r="R379" s="3"/>
      <c r="S379" s="3"/>
      <c r="T379" s="3"/>
      <c r="U379" s="3"/>
      <c r="V379" s="3"/>
      <c r="W379" s="3"/>
      <c r="X379" s="3"/>
      <c r="Y379" s="3"/>
      <c r="Z379" s="3"/>
      <c r="AA379" s="3"/>
      <c r="AB379" s="3"/>
      <c r="AC379" s="3"/>
    </row>
    <row r="380">
      <c r="A380" s="50"/>
      <c r="B380" s="51">
        <v>32.0</v>
      </c>
      <c r="C380" s="51"/>
      <c r="D380" s="52"/>
      <c r="E380" s="52" t="s">
        <v>1340</v>
      </c>
      <c r="F380" s="52" t="s">
        <v>1039</v>
      </c>
      <c r="G380" s="53" t="s">
        <v>1341</v>
      </c>
      <c r="H380" s="58" t="s">
        <v>1137</v>
      </c>
      <c r="I380" s="3"/>
      <c r="J380" s="14" t="s">
        <v>1342</v>
      </c>
      <c r="K380" s="14" t="s">
        <v>1341</v>
      </c>
      <c r="L380" s="3"/>
      <c r="M380" s="3"/>
      <c r="N380" s="3"/>
      <c r="O380" s="3"/>
      <c r="P380" s="3"/>
      <c r="Q380" s="3"/>
      <c r="R380" s="3"/>
      <c r="S380" s="3"/>
      <c r="T380" s="3"/>
      <c r="U380" s="3"/>
      <c r="V380" s="3"/>
      <c r="W380" s="3"/>
      <c r="X380" s="3"/>
      <c r="Y380" s="3"/>
      <c r="Z380" s="3"/>
      <c r="AA380" s="3"/>
      <c r="AB380" s="3"/>
      <c r="AC380" s="3"/>
    </row>
    <row r="381">
      <c r="A381" s="46"/>
      <c r="B381" s="47"/>
      <c r="C381" s="47"/>
      <c r="D381" s="48"/>
      <c r="E381" s="48"/>
      <c r="F381" s="48"/>
      <c r="G381" s="48" t="s">
        <v>1158</v>
      </c>
      <c r="H381" s="58" t="s">
        <v>1137</v>
      </c>
      <c r="I381" s="3"/>
      <c r="J381" s="14" t="s">
        <v>1342</v>
      </c>
      <c r="K381" s="14" t="s">
        <v>1261</v>
      </c>
      <c r="L381" s="3"/>
      <c r="M381" s="3"/>
      <c r="N381" s="3"/>
      <c r="O381" s="3"/>
      <c r="P381" s="3"/>
      <c r="Q381" s="3"/>
      <c r="R381" s="3"/>
      <c r="S381" s="3"/>
      <c r="T381" s="3"/>
      <c r="U381" s="3"/>
      <c r="V381" s="3"/>
      <c r="W381" s="3"/>
      <c r="X381" s="3"/>
      <c r="Y381" s="3"/>
      <c r="Z381" s="3"/>
      <c r="AA381" s="3"/>
      <c r="AB381" s="3"/>
      <c r="AC381" s="3"/>
    </row>
    <row r="382">
      <c r="A382" s="46"/>
      <c r="B382" s="47"/>
      <c r="C382" s="47"/>
      <c r="D382" s="48"/>
      <c r="E382" s="48"/>
      <c r="F382" s="48"/>
      <c r="G382" s="48" t="s">
        <v>1343</v>
      </c>
      <c r="H382" s="58" t="s">
        <v>1137</v>
      </c>
      <c r="I382" s="3"/>
      <c r="J382" s="14" t="s">
        <v>1344</v>
      </c>
      <c r="K382" s="14" t="s">
        <v>1345</v>
      </c>
      <c r="L382" s="3"/>
      <c r="M382" s="3"/>
      <c r="N382" s="3"/>
      <c r="O382" s="3"/>
      <c r="P382" s="3"/>
      <c r="Q382" s="3"/>
      <c r="R382" s="3"/>
      <c r="S382" s="3"/>
      <c r="T382" s="3"/>
      <c r="U382" s="3"/>
      <c r="V382" s="3"/>
      <c r="W382" s="3"/>
      <c r="X382" s="3"/>
      <c r="Y382" s="3"/>
      <c r="Z382" s="3"/>
      <c r="AA382" s="3"/>
      <c r="AB382" s="3"/>
      <c r="AC382" s="3"/>
    </row>
    <row r="383">
      <c r="A383" s="46"/>
      <c r="B383" s="47"/>
      <c r="C383" s="47"/>
      <c r="D383" s="48"/>
      <c r="E383" s="48"/>
      <c r="F383" s="48"/>
      <c r="G383" s="48" t="s">
        <v>1346</v>
      </c>
      <c r="H383" s="58" t="s">
        <v>1347</v>
      </c>
      <c r="I383" s="3"/>
      <c r="J383" s="14" t="s">
        <v>1348</v>
      </c>
      <c r="K383" s="14" t="s">
        <v>1349</v>
      </c>
      <c r="L383" s="3"/>
      <c r="M383" s="3"/>
      <c r="N383" s="3"/>
      <c r="O383" s="3"/>
      <c r="P383" s="3"/>
      <c r="Q383" s="3"/>
      <c r="R383" s="3"/>
      <c r="S383" s="3"/>
      <c r="T383" s="3"/>
      <c r="U383" s="3"/>
      <c r="V383" s="3"/>
      <c r="W383" s="3"/>
      <c r="X383" s="3"/>
      <c r="Y383" s="3"/>
      <c r="Z383" s="3"/>
      <c r="AA383" s="3"/>
      <c r="AB383" s="3"/>
      <c r="AC383" s="3"/>
    </row>
    <row r="384">
      <c r="A384" s="46"/>
      <c r="B384" s="47"/>
      <c r="C384" s="47"/>
      <c r="D384" s="48"/>
      <c r="E384" s="48"/>
      <c r="F384" s="48"/>
      <c r="G384" s="48" t="s">
        <v>1350</v>
      </c>
      <c r="H384" s="58" t="s">
        <v>1351</v>
      </c>
      <c r="I384" s="3"/>
      <c r="J384" s="14" t="s">
        <v>1352</v>
      </c>
      <c r="K384" s="14" t="s">
        <v>1353</v>
      </c>
      <c r="L384" s="3"/>
      <c r="M384" s="3"/>
      <c r="N384" s="3"/>
      <c r="O384" s="3"/>
      <c r="P384" s="3"/>
      <c r="Q384" s="3"/>
      <c r="R384" s="3"/>
      <c r="S384" s="3"/>
      <c r="T384" s="3"/>
      <c r="U384" s="3"/>
      <c r="V384" s="3"/>
      <c r="W384" s="3"/>
      <c r="X384" s="3"/>
      <c r="Y384" s="3"/>
      <c r="Z384" s="3"/>
      <c r="AA384" s="3"/>
      <c r="AB384" s="3"/>
      <c r="AC384" s="3"/>
    </row>
    <row r="385">
      <c r="A385" s="46"/>
      <c r="B385" s="47"/>
      <c r="C385" s="47"/>
      <c r="D385" s="48"/>
      <c r="E385" s="48"/>
      <c r="F385" s="48"/>
      <c r="G385" s="48" t="s">
        <v>1354</v>
      </c>
      <c r="H385" s="58" t="s">
        <v>1347</v>
      </c>
      <c r="I385" s="3"/>
      <c r="J385" s="14" t="s">
        <v>1355</v>
      </c>
      <c r="K385" s="14" t="s">
        <v>1356</v>
      </c>
      <c r="L385" s="3"/>
      <c r="M385" s="3"/>
      <c r="N385" s="3"/>
      <c r="O385" s="3"/>
      <c r="P385" s="3"/>
      <c r="Q385" s="3"/>
      <c r="R385" s="3"/>
      <c r="S385" s="3"/>
      <c r="T385" s="3"/>
      <c r="U385" s="3"/>
      <c r="V385" s="3"/>
      <c r="W385" s="3"/>
      <c r="X385" s="3"/>
      <c r="Y385" s="3"/>
      <c r="Z385" s="3"/>
      <c r="AA385" s="3"/>
      <c r="AB385" s="3"/>
      <c r="AC385" s="3"/>
    </row>
    <row r="386">
      <c r="A386" s="46"/>
      <c r="B386" s="47"/>
      <c r="C386" s="47"/>
      <c r="D386" s="48"/>
      <c r="E386" s="48"/>
      <c r="F386" s="48"/>
      <c r="G386" s="48" t="s">
        <v>1357</v>
      </c>
      <c r="H386" s="58" t="s">
        <v>1351</v>
      </c>
      <c r="I386" s="3"/>
      <c r="J386" s="14" t="s">
        <v>1358</v>
      </c>
      <c r="K386" s="14" t="s">
        <v>1359</v>
      </c>
      <c r="L386" s="3"/>
      <c r="M386" s="3"/>
      <c r="N386" s="3"/>
      <c r="O386" s="3"/>
      <c r="P386" s="3"/>
      <c r="Q386" s="3"/>
      <c r="R386" s="3"/>
      <c r="S386" s="3"/>
      <c r="T386" s="3"/>
      <c r="U386" s="3"/>
      <c r="V386" s="3"/>
      <c r="W386" s="3"/>
      <c r="X386" s="3"/>
      <c r="Y386" s="3"/>
      <c r="Z386" s="3"/>
      <c r="AA386" s="3"/>
      <c r="AB386" s="3"/>
      <c r="AC386" s="3"/>
    </row>
    <row r="387">
      <c r="A387" s="46"/>
      <c r="B387" s="47"/>
      <c r="C387" s="47"/>
      <c r="D387" s="48"/>
      <c r="E387" s="48"/>
      <c r="F387" s="48"/>
      <c r="G387" s="48" t="s">
        <v>1360</v>
      </c>
      <c r="H387" s="58" t="s">
        <v>1361</v>
      </c>
      <c r="I387" s="3"/>
      <c r="J387" s="14" t="s">
        <v>1362</v>
      </c>
      <c r="K387" s="14" t="s">
        <v>1363</v>
      </c>
      <c r="L387" s="3"/>
      <c r="M387" s="3"/>
      <c r="N387" s="3"/>
      <c r="O387" s="3"/>
      <c r="P387" s="3"/>
      <c r="Q387" s="3"/>
      <c r="R387" s="3"/>
      <c r="S387" s="3"/>
      <c r="T387" s="3"/>
      <c r="U387" s="3"/>
      <c r="V387" s="3"/>
      <c r="W387" s="3"/>
      <c r="X387" s="3"/>
      <c r="Y387" s="3"/>
      <c r="Z387" s="3"/>
      <c r="AA387" s="3"/>
      <c r="AB387" s="3"/>
      <c r="AC387" s="3"/>
    </row>
    <row r="388">
      <c r="A388" s="46"/>
      <c r="B388" s="47"/>
      <c r="C388" s="47"/>
      <c r="D388" s="48"/>
      <c r="E388" s="48"/>
      <c r="F388" s="48"/>
      <c r="G388" s="48" t="s">
        <v>1364</v>
      </c>
      <c r="H388" s="58" t="s">
        <v>1365</v>
      </c>
      <c r="I388" s="3"/>
      <c r="J388" s="14" t="s">
        <v>1366</v>
      </c>
      <c r="K388" s="14" t="s">
        <v>1367</v>
      </c>
      <c r="L388" s="3"/>
      <c r="M388" s="3"/>
      <c r="N388" s="3"/>
      <c r="O388" s="3"/>
      <c r="P388" s="3"/>
      <c r="Q388" s="3"/>
      <c r="R388" s="3"/>
      <c r="S388" s="3"/>
      <c r="T388" s="3"/>
      <c r="U388" s="3"/>
      <c r="V388" s="3"/>
      <c r="W388" s="3"/>
      <c r="X388" s="3"/>
      <c r="Y388" s="3"/>
      <c r="Z388" s="3"/>
      <c r="AA388" s="3"/>
      <c r="AB388" s="3"/>
      <c r="AC388" s="3"/>
    </row>
    <row r="389">
      <c r="A389" s="50"/>
      <c r="B389" s="51">
        <v>33.0</v>
      </c>
      <c r="C389" s="51"/>
      <c r="D389" s="52"/>
      <c r="E389" s="52" t="s">
        <v>1368</v>
      </c>
      <c r="F389" s="52" t="s">
        <v>29</v>
      </c>
      <c r="G389" s="53" t="s">
        <v>1369</v>
      </c>
      <c r="H389" s="58" t="s">
        <v>1137</v>
      </c>
      <c r="I389" s="3"/>
      <c r="J389" s="14" t="s">
        <v>1370</v>
      </c>
      <c r="K389" s="14" t="s">
        <v>1369</v>
      </c>
      <c r="L389" s="3"/>
      <c r="M389" s="3"/>
      <c r="N389" s="3"/>
      <c r="O389" s="3"/>
      <c r="P389" s="3"/>
      <c r="Q389" s="3"/>
      <c r="R389" s="3"/>
      <c r="S389" s="3"/>
      <c r="T389" s="3"/>
      <c r="U389" s="3"/>
      <c r="V389" s="3"/>
      <c r="W389" s="3"/>
      <c r="X389" s="3"/>
      <c r="Y389" s="3"/>
      <c r="Z389" s="3"/>
      <c r="AA389" s="3"/>
      <c r="AB389" s="3"/>
      <c r="AC389" s="3"/>
    </row>
    <row r="390">
      <c r="A390" s="46"/>
      <c r="B390" s="47"/>
      <c r="C390" s="47"/>
      <c r="D390" s="48"/>
      <c r="E390" s="48"/>
      <c r="F390" s="48"/>
      <c r="G390" s="48" t="s">
        <v>1158</v>
      </c>
      <c r="H390" s="58" t="s">
        <v>1137</v>
      </c>
      <c r="I390" s="3"/>
      <c r="J390" s="14" t="s">
        <v>1370</v>
      </c>
      <c r="K390" s="14" t="s">
        <v>1261</v>
      </c>
      <c r="L390" s="3"/>
      <c r="M390" s="3"/>
      <c r="N390" s="3"/>
      <c r="O390" s="3"/>
      <c r="P390" s="3"/>
      <c r="Q390" s="3"/>
      <c r="R390" s="3"/>
      <c r="S390" s="3"/>
      <c r="T390" s="3"/>
      <c r="U390" s="3"/>
      <c r="V390" s="3"/>
      <c r="W390" s="3"/>
      <c r="X390" s="3"/>
      <c r="Y390" s="3"/>
      <c r="Z390" s="3"/>
      <c r="AA390" s="3"/>
      <c r="AB390" s="3"/>
      <c r="AC390" s="3"/>
    </row>
    <row r="391">
      <c r="A391" s="46"/>
      <c r="B391" s="47"/>
      <c r="C391" s="47"/>
      <c r="D391" s="48"/>
      <c r="E391" s="48"/>
      <c r="F391" s="48"/>
      <c r="G391" s="48" t="s">
        <v>1162</v>
      </c>
      <c r="H391" s="58" t="s">
        <v>1137</v>
      </c>
      <c r="I391" s="3"/>
      <c r="J391" s="14" t="s">
        <v>1371</v>
      </c>
      <c r="K391" s="14" t="s">
        <v>1263</v>
      </c>
      <c r="L391" s="3"/>
      <c r="M391" s="3"/>
      <c r="N391" s="3"/>
      <c r="O391" s="3"/>
      <c r="P391" s="3"/>
      <c r="Q391" s="3"/>
      <c r="R391" s="3"/>
      <c r="S391" s="3"/>
      <c r="T391" s="3"/>
      <c r="U391" s="3"/>
      <c r="V391" s="3"/>
      <c r="W391" s="3"/>
      <c r="X391" s="3"/>
      <c r="Y391" s="3"/>
      <c r="Z391" s="3"/>
      <c r="AA391" s="3"/>
      <c r="AB391" s="3"/>
      <c r="AC391" s="3"/>
    </row>
    <row r="392">
      <c r="A392" s="46"/>
      <c r="B392" s="47"/>
      <c r="C392" s="47"/>
      <c r="D392" s="48"/>
      <c r="E392" s="48"/>
      <c r="F392" s="48"/>
      <c r="G392" s="48" t="s">
        <v>1167</v>
      </c>
      <c r="H392" s="58" t="s">
        <v>1137</v>
      </c>
      <c r="I392" s="3"/>
      <c r="J392" s="14" t="s">
        <v>1372</v>
      </c>
      <c r="K392" s="14" t="s">
        <v>1074</v>
      </c>
      <c r="L392" s="3"/>
      <c r="M392" s="3"/>
      <c r="N392" s="3"/>
      <c r="O392" s="3"/>
      <c r="P392" s="3"/>
      <c r="Q392" s="3"/>
      <c r="R392" s="3"/>
      <c r="S392" s="3"/>
      <c r="T392" s="3"/>
      <c r="U392" s="3"/>
      <c r="V392" s="3"/>
      <c r="W392" s="3"/>
      <c r="X392" s="3"/>
      <c r="Y392" s="3"/>
      <c r="Z392" s="3"/>
      <c r="AA392" s="3"/>
      <c r="AB392" s="3"/>
      <c r="AC392" s="3"/>
    </row>
    <row r="393">
      <c r="A393" s="46"/>
      <c r="B393" s="47"/>
      <c r="C393" s="47"/>
      <c r="D393" s="48"/>
      <c r="E393" s="48"/>
      <c r="F393" s="48"/>
      <c r="G393" s="48" t="s">
        <v>1183</v>
      </c>
      <c r="H393" s="58" t="s">
        <v>1137</v>
      </c>
      <c r="I393" s="3"/>
      <c r="J393" s="14" t="s">
        <v>1373</v>
      </c>
      <c r="K393" s="14" t="s">
        <v>1374</v>
      </c>
      <c r="L393" s="3"/>
      <c r="M393" s="3"/>
      <c r="N393" s="3"/>
      <c r="O393" s="3"/>
      <c r="P393" s="3"/>
      <c r="Q393" s="3"/>
      <c r="R393" s="3"/>
      <c r="S393" s="3"/>
      <c r="T393" s="3"/>
      <c r="U393" s="3"/>
      <c r="V393" s="3"/>
      <c r="W393" s="3"/>
      <c r="X393" s="3"/>
      <c r="Y393" s="3"/>
      <c r="Z393" s="3"/>
      <c r="AA393" s="3"/>
      <c r="AB393" s="3"/>
      <c r="AC393" s="3"/>
    </row>
    <row r="394">
      <c r="A394" s="46"/>
      <c r="B394" s="47"/>
      <c r="C394" s="47"/>
      <c r="D394" s="48"/>
      <c r="E394" s="48"/>
      <c r="F394" s="48"/>
      <c r="G394" s="48" t="s">
        <v>1306</v>
      </c>
      <c r="H394" s="58" t="s">
        <v>1137</v>
      </c>
      <c r="I394" s="3"/>
      <c r="J394" s="14" t="s">
        <v>1375</v>
      </c>
      <c r="K394" s="14" t="s">
        <v>1308</v>
      </c>
      <c r="L394" s="3"/>
      <c r="M394" s="3"/>
      <c r="N394" s="3"/>
      <c r="O394" s="3"/>
      <c r="P394" s="3"/>
      <c r="Q394" s="3"/>
      <c r="R394" s="3"/>
      <c r="S394" s="3"/>
      <c r="T394" s="3"/>
      <c r="U394" s="3"/>
      <c r="V394" s="3"/>
      <c r="W394" s="3"/>
      <c r="X394" s="3"/>
      <c r="Y394" s="3"/>
      <c r="Z394" s="3"/>
      <c r="AA394" s="3"/>
      <c r="AB394" s="3"/>
      <c r="AC394" s="3"/>
    </row>
    <row r="395">
      <c r="A395" s="46"/>
      <c r="B395" s="47"/>
      <c r="C395" s="47"/>
      <c r="D395" s="48"/>
      <c r="E395" s="48"/>
      <c r="F395" s="48"/>
      <c r="G395" s="48" t="s">
        <v>1203</v>
      </c>
      <c r="H395" s="58" t="s">
        <v>1376</v>
      </c>
      <c r="I395" s="3"/>
      <c r="J395" s="14" t="s">
        <v>1377</v>
      </c>
      <c r="K395" s="14" t="s">
        <v>1378</v>
      </c>
      <c r="L395" s="3"/>
      <c r="M395" s="3"/>
      <c r="N395" s="3"/>
      <c r="O395" s="3"/>
      <c r="P395" s="3"/>
      <c r="Q395" s="3"/>
      <c r="R395" s="3"/>
      <c r="S395" s="3"/>
      <c r="T395" s="3"/>
      <c r="U395" s="3"/>
      <c r="V395" s="3"/>
      <c r="W395" s="3"/>
      <c r="X395" s="3"/>
      <c r="Y395" s="3"/>
      <c r="Z395" s="3"/>
      <c r="AA395" s="3"/>
      <c r="AB395" s="3"/>
      <c r="AC395" s="3"/>
    </row>
    <row r="396">
      <c r="A396" s="46"/>
      <c r="B396" s="47"/>
      <c r="C396" s="47"/>
      <c r="D396" s="48"/>
      <c r="E396" s="48"/>
      <c r="F396" s="48"/>
      <c r="G396" s="48" t="s">
        <v>1206</v>
      </c>
      <c r="H396" s="58" t="s">
        <v>1376</v>
      </c>
      <c r="I396" s="3"/>
      <c r="J396" s="14" t="s">
        <v>1379</v>
      </c>
      <c r="K396" s="14" t="s">
        <v>1074</v>
      </c>
      <c r="L396" s="3"/>
      <c r="M396" s="3"/>
      <c r="N396" s="3"/>
      <c r="O396" s="3"/>
      <c r="P396" s="3"/>
      <c r="Q396" s="3"/>
      <c r="R396" s="3"/>
      <c r="S396" s="3"/>
      <c r="T396" s="3"/>
      <c r="U396" s="3"/>
      <c r="V396" s="3"/>
      <c r="W396" s="3"/>
      <c r="X396" s="3"/>
      <c r="Y396" s="3"/>
      <c r="Z396" s="3"/>
      <c r="AA396" s="3"/>
      <c r="AB396" s="3"/>
      <c r="AC396" s="3"/>
    </row>
    <row r="397">
      <c r="A397" s="46"/>
      <c r="B397" s="47"/>
      <c r="C397" s="47"/>
      <c r="D397" s="48"/>
      <c r="E397" s="48"/>
      <c r="F397" s="48"/>
      <c r="G397" s="48" t="s">
        <v>1208</v>
      </c>
      <c r="H397" s="58" t="s">
        <v>1376</v>
      </c>
      <c r="I397" s="3"/>
      <c r="J397" s="14" t="s">
        <v>1380</v>
      </c>
      <c r="K397" s="14" t="s">
        <v>1381</v>
      </c>
      <c r="L397" s="3"/>
      <c r="M397" s="3"/>
      <c r="N397" s="3"/>
      <c r="O397" s="3"/>
      <c r="P397" s="3"/>
      <c r="Q397" s="3"/>
      <c r="R397" s="3"/>
      <c r="S397" s="3"/>
      <c r="T397" s="3"/>
      <c r="U397" s="3"/>
      <c r="V397" s="3"/>
      <c r="W397" s="3"/>
      <c r="X397" s="3"/>
      <c r="Y397" s="3"/>
      <c r="Z397" s="3"/>
      <c r="AA397" s="3"/>
      <c r="AB397" s="3"/>
      <c r="AC397" s="3"/>
    </row>
    <row r="398">
      <c r="A398" s="46"/>
      <c r="B398" s="47"/>
      <c r="C398" s="47"/>
      <c r="D398" s="48"/>
      <c r="E398" s="48"/>
      <c r="F398" s="48"/>
      <c r="G398" s="48" t="s">
        <v>1315</v>
      </c>
      <c r="H398" s="58" t="s">
        <v>1376</v>
      </c>
      <c r="I398" s="3"/>
      <c r="J398" s="14" t="s">
        <v>1382</v>
      </c>
      <c r="K398" s="14" t="s">
        <v>1308</v>
      </c>
      <c r="L398" s="3"/>
      <c r="M398" s="3"/>
      <c r="N398" s="3"/>
      <c r="O398" s="3"/>
      <c r="P398" s="3"/>
      <c r="Q398" s="3"/>
      <c r="R398" s="3"/>
      <c r="S398" s="3"/>
      <c r="T398" s="3"/>
      <c r="U398" s="3"/>
      <c r="V398" s="3"/>
      <c r="W398" s="3"/>
      <c r="X398" s="3"/>
      <c r="Y398" s="3"/>
      <c r="Z398" s="3"/>
      <c r="AA398" s="3"/>
      <c r="AB398" s="3"/>
      <c r="AC398" s="3"/>
    </row>
    <row r="399">
      <c r="A399" s="46"/>
      <c r="B399" s="47"/>
      <c r="C399" s="47"/>
      <c r="D399" s="48"/>
      <c r="E399" s="48"/>
      <c r="F399" s="48"/>
      <c r="G399" s="48" t="s">
        <v>1383</v>
      </c>
      <c r="H399" s="58" t="s">
        <v>1384</v>
      </c>
      <c r="I399" s="3"/>
      <c r="J399" s="14" t="s">
        <v>1385</v>
      </c>
      <c r="K399" s="14" t="s">
        <v>1386</v>
      </c>
      <c r="L399" s="3"/>
      <c r="M399" s="3"/>
      <c r="N399" s="3"/>
      <c r="O399" s="3"/>
      <c r="P399" s="3"/>
      <c r="Q399" s="3"/>
      <c r="R399" s="3"/>
      <c r="S399" s="3"/>
      <c r="T399" s="3"/>
      <c r="U399" s="3"/>
      <c r="V399" s="3"/>
      <c r="W399" s="3"/>
      <c r="X399" s="3"/>
      <c r="Y399" s="3"/>
      <c r="Z399" s="3"/>
      <c r="AA399" s="3"/>
      <c r="AB399" s="3"/>
      <c r="AC399" s="3"/>
    </row>
    <row r="400">
      <c r="A400" s="46"/>
      <c r="B400" s="47"/>
      <c r="C400" s="47"/>
      <c r="D400" s="48"/>
      <c r="E400" s="48"/>
      <c r="F400" s="48"/>
      <c r="G400" s="48" t="s">
        <v>1387</v>
      </c>
      <c r="H400" s="58" t="s">
        <v>1388</v>
      </c>
      <c r="I400" s="3"/>
      <c r="J400" s="14" t="s">
        <v>1385</v>
      </c>
      <c r="K400" s="14" t="s">
        <v>1389</v>
      </c>
      <c r="L400" s="3"/>
      <c r="M400" s="3"/>
      <c r="N400" s="3"/>
      <c r="O400" s="3"/>
      <c r="P400" s="3"/>
      <c r="Q400" s="3"/>
      <c r="R400" s="3"/>
      <c r="S400" s="3"/>
      <c r="T400" s="3"/>
      <c r="U400" s="3"/>
      <c r="V400" s="3"/>
      <c r="W400" s="3"/>
      <c r="X400" s="3"/>
      <c r="Y400" s="3"/>
      <c r="Z400" s="3"/>
      <c r="AA400" s="3"/>
      <c r="AB400" s="3"/>
      <c r="AC400" s="3"/>
    </row>
    <row r="401">
      <c r="A401" s="46"/>
      <c r="B401" s="47"/>
      <c r="C401" s="47"/>
      <c r="D401" s="48"/>
      <c r="E401" s="48"/>
      <c r="F401" s="48"/>
      <c r="G401" s="48" t="s">
        <v>1220</v>
      </c>
      <c r="H401" s="58" t="s">
        <v>1137</v>
      </c>
      <c r="I401" s="3"/>
      <c r="J401" s="14" t="s">
        <v>1390</v>
      </c>
      <c r="K401" s="14" t="s">
        <v>1222</v>
      </c>
      <c r="L401" s="3"/>
      <c r="M401" s="3"/>
      <c r="N401" s="3"/>
      <c r="O401" s="3"/>
      <c r="P401" s="3"/>
      <c r="Q401" s="3"/>
      <c r="R401" s="3"/>
      <c r="S401" s="3"/>
      <c r="T401" s="3"/>
      <c r="U401" s="3"/>
      <c r="V401" s="3"/>
      <c r="W401" s="3"/>
      <c r="X401" s="3"/>
      <c r="Y401" s="3"/>
      <c r="Z401" s="3"/>
      <c r="AA401" s="3"/>
      <c r="AB401" s="3"/>
      <c r="AC401" s="3"/>
    </row>
    <row r="402">
      <c r="A402" s="46"/>
      <c r="B402" s="47"/>
      <c r="C402" s="47"/>
      <c r="D402" s="48"/>
      <c r="E402" s="48"/>
      <c r="F402" s="48"/>
      <c r="G402" s="48" t="s">
        <v>1223</v>
      </c>
      <c r="H402" s="58" t="s">
        <v>1137</v>
      </c>
      <c r="I402" s="3"/>
      <c r="J402" s="14" t="s">
        <v>1391</v>
      </c>
      <c r="K402" s="14" t="s">
        <v>1225</v>
      </c>
      <c r="L402" s="3"/>
      <c r="M402" s="3"/>
      <c r="N402" s="3"/>
      <c r="O402" s="3"/>
      <c r="P402" s="3"/>
      <c r="Q402" s="3"/>
      <c r="R402" s="3"/>
      <c r="S402" s="3"/>
      <c r="T402" s="3"/>
      <c r="U402" s="3"/>
      <c r="V402" s="3"/>
      <c r="W402" s="3"/>
      <c r="X402" s="3"/>
      <c r="Y402" s="3"/>
      <c r="Z402" s="3"/>
      <c r="AA402" s="3"/>
      <c r="AB402" s="3"/>
      <c r="AC402" s="3"/>
    </row>
    <row r="403">
      <c r="A403" s="46"/>
      <c r="B403" s="47"/>
      <c r="C403" s="47"/>
      <c r="D403" s="48"/>
      <c r="E403" s="48"/>
      <c r="F403" s="48"/>
      <c r="G403" s="48" t="s">
        <v>1226</v>
      </c>
      <c r="H403" s="58" t="s">
        <v>1137</v>
      </c>
      <c r="I403" s="3"/>
      <c r="J403" s="14" t="s">
        <v>1392</v>
      </c>
      <c r="K403" s="14" t="s">
        <v>1228</v>
      </c>
      <c r="L403" s="3"/>
      <c r="M403" s="3"/>
      <c r="N403" s="3"/>
      <c r="O403" s="3"/>
      <c r="P403" s="3"/>
      <c r="Q403" s="3"/>
      <c r="R403" s="3"/>
      <c r="S403" s="3"/>
      <c r="T403" s="3"/>
      <c r="U403" s="3"/>
      <c r="V403" s="3"/>
      <c r="W403" s="3"/>
      <c r="X403" s="3"/>
      <c r="Y403" s="3"/>
      <c r="Z403" s="3"/>
      <c r="AA403" s="3"/>
      <c r="AB403" s="3"/>
      <c r="AC403" s="3"/>
    </row>
    <row r="404">
      <c r="A404" s="50"/>
      <c r="B404" s="51">
        <v>34.0</v>
      </c>
      <c r="C404" s="51"/>
      <c r="D404" s="52"/>
      <c r="E404" s="52" t="s">
        <v>1393</v>
      </c>
      <c r="F404" s="52" t="s">
        <v>284</v>
      </c>
      <c r="G404" s="53" t="s">
        <v>1394</v>
      </c>
      <c r="H404" s="58" t="s">
        <v>1395</v>
      </c>
      <c r="I404" s="3"/>
      <c r="J404" s="14" t="s">
        <v>1396</v>
      </c>
      <c r="K404" s="14" t="s">
        <v>1394</v>
      </c>
      <c r="L404" s="3"/>
      <c r="M404" s="3"/>
      <c r="N404" s="3"/>
      <c r="O404" s="3"/>
      <c r="P404" s="3"/>
      <c r="Q404" s="3"/>
      <c r="R404" s="3"/>
      <c r="S404" s="3"/>
      <c r="T404" s="3"/>
      <c r="U404" s="3"/>
      <c r="V404" s="3"/>
      <c r="W404" s="3"/>
      <c r="X404" s="3"/>
      <c r="Y404" s="3"/>
      <c r="Z404" s="3"/>
      <c r="AA404" s="3"/>
      <c r="AB404" s="3"/>
      <c r="AC404" s="3"/>
    </row>
    <row r="405">
      <c r="A405" s="46"/>
      <c r="B405" s="47"/>
      <c r="C405" s="47"/>
      <c r="D405" s="48"/>
      <c r="E405" s="48"/>
      <c r="F405" s="48"/>
      <c r="G405" s="48" t="s">
        <v>1158</v>
      </c>
      <c r="H405" s="58" t="s">
        <v>1137</v>
      </c>
      <c r="I405" s="3"/>
      <c r="J405" s="14" t="s">
        <v>1370</v>
      </c>
      <c r="K405" s="14" t="s">
        <v>1397</v>
      </c>
      <c r="L405" s="3"/>
      <c r="M405" s="3"/>
      <c r="N405" s="3"/>
      <c r="O405" s="3"/>
      <c r="P405" s="3"/>
      <c r="Q405" s="3"/>
      <c r="R405" s="3"/>
      <c r="S405" s="3"/>
      <c r="T405" s="3"/>
      <c r="U405" s="3"/>
      <c r="V405" s="3"/>
      <c r="W405" s="3"/>
      <c r="X405" s="3"/>
      <c r="Y405" s="3"/>
      <c r="Z405" s="3"/>
      <c r="AA405" s="3"/>
      <c r="AB405" s="3"/>
      <c r="AC405" s="3"/>
    </row>
    <row r="406">
      <c r="A406" s="46"/>
      <c r="B406" s="47"/>
      <c r="C406" s="47"/>
      <c r="D406" s="48"/>
      <c r="E406" s="48"/>
      <c r="F406" s="48"/>
      <c r="G406" s="48" t="s">
        <v>1398</v>
      </c>
      <c r="H406" s="58" t="s">
        <v>1399</v>
      </c>
      <c r="I406" s="3"/>
      <c r="J406" s="14" t="s">
        <v>1400</v>
      </c>
      <c r="K406" s="14" t="s">
        <v>1401</v>
      </c>
      <c r="L406" s="3"/>
      <c r="M406" s="3"/>
      <c r="N406" s="3"/>
      <c r="O406" s="3"/>
      <c r="P406" s="3"/>
      <c r="Q406" s="3"/>
      <c r="R406" s="3"/>
      <c r="S406" s="3"/>
      <c r="T406" s="3"/>
      <c r="U406" s="3"/>
      <c r="V406" s="3"/>
      <c r="W406" s="3"/>
      <c r="X406" s="3"/>
      <c r="Y406" s="3"/>
      <c r="Z406" s="3"/>
      <c r="AA406" s="3"/>
      <c r="AB406" s="3"/>
      <c r="AC406" s="3"/>
    </row>
    <row r="407">
      <c r="A407" s="46"/>
      <c r="B407" s="47"/>
      <c r="C407" s="47"/>
      <c r="D407" s="48"/>
      <c r="E407" s="48"/>
      <c r="F407" s="48"/>
      <c r="G407" s="48" t="s">
        <v>1402</v>
      </c>
      <c r="H407" s="58" t="s">
        <v>1403</v>
      </c>
      <c r="I407" s="3"/>
      <c r="J407" s="14" t="s">
        <v>1400</v>
      </c>
      <c r="K407" s="14" t="s">
        <v>1404</v>
      </c>
      <c r="L407" s="3"/>
      <c r="M407" s="3"/>
      <c r="N407" s="3"/>
      <c r="O407" s="3"/>
      <c r="P407" s="3"/>
      <c r="Q407" s="3"/>
      <c r="R407" s="3"/>
      <c r="S407" s="3"/>
      <c r="T407" s="3"/>
      <c r="U407" s="3"/>
      <c r="V407" s="3"/>
      <c r="W407" s="3"/>
      <c r="X407" s="3"/>
      <c r="Y407" s="3"/>
      <c r="Z407" s="3"/>
      <c r="AA407" s="3"/>
      <c r="AB407" s="3"/>
      <c r="AC407" s="3"/>
    </row>
    <row r="408">
      <c r="A408" s="46"/>
      <c r="B408" s="47"/>
      <c r="C408" s="47"/>
      <c r="D408" s="48"/>
      <c r="E408" s="48"/>
      <c r="F408" s="48"/>
      <c r="G408" s="48" t="s">
        <v>1405</v>
      </c>
      <c r="H408" s="58" t="s">
        <v>1406</v>
      </c>
      <c r="I408" s="3"/>
      <c r="J408" s="14" t="s">
        <v>1400</v>
      </c>
      <c r="K408" s="14" t="s">
        <v>1407</v>
      </c>
      <c r="L408" s="3"/>
      <c r="M408" s="3"/>
      <c r="N408" s="3"/>
      <c r="O408" s="3"/>
      <c r="P408" s="3"/>
      <c r="Q408" s="3"/>
      <c r="R408" s="3"/>
      <c r="S408" s="3"/>
      <c r="T408" s="3"/>
      <c r="U408" s="3"/>
      <c r="V408" s="3"/>
      <c r="W408" s="3"/>
      <c r="X408" s="3"/>
      <c r="Y408" s="3"/>
      <c r="Z408" s="3"/>
      <c r="AA408" s="3"/>
      <c r="AB408" s="3"/>
      <c r="AC408" s="3"/>
    </row>
    <row r="409">
      <c r="A409" s="46"/>
      <c r="B409" s="47"/>
      <c r="C409" s="47"/>
      <c r="D409" s="48"/>
      <c r="E409" s="48"/>
      <c r="F409" s="48"/>
      <c r="G409" s="48" t="s">
        <v>1408</v>
      </c>
      <c r="H409" s="58" t="s">
        <v>1409</v>
      </c>
      <c r="I409" s="49"/>
      <c r="J409" s="14" t="s">
        <v>1410</v>
      </c>
      <c r="K409" s="14" t="s">
        <v>1411</v>
      </c>
      <c r="L409" s="3"/>
      <c r="M409" s="3"/>
      <c r="N409" s="3"/>
      <c r="O409" s="3"/>
      <c r="P409" s="3"/>
      <c r="Q409" s="3"/>
      <c r="R409" s="3"/>
      <c r="S409" s="3"/>
      <c r="T409" s="3"/>
      <c r="U409" s="3"/>
      <c r="V409" s="3"/>
      <c r="W409" s="3"/>
      <c r="X409" s="3"/>
      <c r="Y409" s="3"/>
      <c r="Z409" s="3"/>
      <c r="AA409" s="3"/>
      <c r="AB409" s="3"/>
      <c r="AC409" s="3"/>
    </row>
    <row r="410">
      <c r="A410" s="46"/>
      <c r="B410" s="47"/>
      <c r="C410" s="47"/>
      <c r="D410" s="48"/>
      <c r="E410" s="48"/>
      <c r="F410" s="48"/>
      <c r="G410" s="48" t="s">
        <v>1412</v>
      </c>
      <c r="H410" s="58" t="s">
        <v>1409</v>
      </c>
      <c r="I410" s="49"/>
      <c r="J410" s="14" t="s">
        <v>1410</v>
      </c>
      <c r="K410" s="14" t="s">
        <v>1413</v>
      </c>
      <c r="L410" s="3"/>
      <c r="M410" s="3"/>
      <c r="N410" s="3"/>
      <c r="O410" s="3"/>
      <c r="P410" s="3"/>
      <c r="Q410" s="3"/>
      <c r="R410" s="3"/>
      <c r="S410" s="3"/>
      <c r="T410" s="3"/>
      <c r="U410" s="3"/>
      <c r="V410" s="3"/>
      <c r="W410" s="3"/>
      <c r="X410" s="3"/>
      <c r="Y410" s="3"/>
      <c r="Z410" s="3"/>
      <c r="AA410" s="3"/>
      <c r="AB410" s="3"/>
      <c r="AC410" s="3"/>
    </row>
    <row r="411">
      <c r="A411" s="46"/>
      <c r="B411" s="47"/>
      <c r="C411" s="47"/>
      <c r="D411" s="48"/>
      <c r="E411" s="48"/>
      <c r="F411" s="48"/>
      <c r="G411" s="48" t="s">
        <v>1414</v>
      </c>
      <c r="H411" s="58" t="s">
        <v>1409</v>
      </c>
      <c r="I411" s="49"/>
      <c r="J411" s="14" t="s">
        <v>1415</v>
      </c>
      <c r="K411" s="14" t="s">
        <v>1416</v>
      </c>
      <c r="L411" s="3"/>
      <c r="M411" s="3"/>
      <c r="N411" s="3"/>
      <c r="O411" s="3"/>
      <c r="P411" s="3"/>
      <c r="Q411" s="3"/>
      <c r="R411" s="3"/>
      <c r="S411" s="3"/>
      <c r="T411" s="3"/>
      <c r="U411" s="3"/>
      <c r="V411" s="3"/>
      <c r="W411" s="3"/>
      <c r="X411" s="3"/>
      <c r="Y411" s="3"/>
      <c r="Z411" s="3"/>
      <c r="AA411" s="3"/>
      <c r="AB411" s="3"/>
      <c r="AC411" s="3"/>
    </row>
    <row r="412">
      <c r="A412" s="50"/>
      <c r="B412" s="51">
        <v>35.0</v>
      </c>
      <c r="C412" s="51"/>
      <c r="D412" s="52"/>
      <c r="E412" s="52" t="s">
        <v>1417</v>
      </c>
      <c r="F412" s="52" t="s">
        <v>284</v>
      </c>
      <c r="G412" s="53" t="s">
        <v>1418</v>
      </c>
      <c r="H412" s="58" t="s">
        <v>1419</v>
      </c>
      <c r="I412" s="49"/>
      <c r="J412" s="14" t="s">
        <v>1420</v>
      </c>
      <c r="K412" s="14" t="s">
        <v>1421</v>
      </c>
      <c r="L412" s="3"/>
      <c r="M412" s="3"/>
      <c r="N412" s="3"/>
      <c r="O412" s="3"/>
      <c r="P412" s="3"/>
      <c r="Q412" s="3"/>
      <c r="R412" s="3"/>
      <c r="S412" s="3"/>
      <c r="T412" s="3"/>
      <c r="U412" s="3"/>
      <c r="V412" s="3"/>
      <c r="W412" s="3"/>
      <c r="X412" s="3"/>
      <c r="Y412" s="3"/>
      <c r="Z412" s="3"/>
      <c r="AA412" s="3"/>
      <c r="AB412" s="3"/>
      <c r="AC412" s="3"/>
    </row>
    <row r="413">
      <c r="A413" s="46"/>
      <c r="B413" s="47"/>
      <c r="C413" s="47"/>
      <c r="D413" s="48"/>
      <c r="E413" s="48"/>
      <c r="F413" s="48"/>
      <c r="G413" s="48" t="s">
        <v>1422</v>
      </c>
      <c r="H413" s="58" t="s">
        <v>1423</v>
      </c>
      <c r="I413" s="49"/>
      <c r="J413" s="14" t="s">
        <v>1420</v>
      </c>
      <c r="K413" s="14" t="s">
        <v>1424</v>
      </c>
      <c r="L413" s="3"/>
      <c r="M413" s="3"/>
      <c r="N413" s="3"/>
      <c r="O413" s="3"/>
      <c r="P413" s="3"/>
      <c r="Q413" s="3"/>
      <c r="R413" s="3"/>
      <c r="S413" s="3"/>
      <c r="T413" s="3"/>
      <c r="U413" s="3"/>
      <c r="V413" s="3"/>
      <c r="W413" s="3"/>
      <c r="X413" s="3"/>
      <c r="Y413" s="3"/>
      <c r="Z413" s="3"/>
      <c r="AA413" s="3"/>
      <c r="AB413" s="3"/>
      <c r="AC413" s="3"/>
    </row>
    <row r="414">
      <c r="A414" s="46"/>
      <c r="B414" s="47"/>
      <c r="C414" s="47"/>
      <c r="D414" s="48"/>
      <c r="E414" s="48"/>
      <c r="F414" s="48"/>
      <c r="G414" s="48" t="s">
        <v>1425</v>
      </c>
      <c r="H414" s="58" t="s">
        <v>1426</v>
      </c>
      <c r="I414" s="49"/>
      <c r="J414" s="14" t="s">
        <v>1420</v>
      </c>
      <c r="K414" s="14" t="s">
        <v>1427</v>
      </c>
      <c r="L414" s="3"/>
      <c r="M414" s="3"/>
      <c r="N414" s="3"/>
      <c r="O414" s="3"/>
      <c r="P414" s="3"/>
      <c r="Q414" s="3"/>
      <c r="R414" s="3"/>
      <c r="S414" s="3"/>
      <c r="T414" s="3"/>
      <c r="U414" s="3"/>
      <c r="V414" s="3"/>
      <c r="W414" s="3"/>
      <c r="X414" s="3"/>
      <c r="Y414" s="3"/>
      <c r="Z414" s="3"/>
      <c r="AA414" s="3"/>
      <c r="AB414" s="3"/>
      <c r="AC414" s="3"/>
    </row>
    <row r="415">
      <c r="A415" s="46"/>
      <c r="B415" s="47"/>
      <c r="C415" s="47"/>
      <c r="D415" s="48"/>
      <c r="E415" s="48"/>
      <c r="F415" s="48"/>
      <c r="G415" s="48" t="s">
        <v>1428</v>
      </c>
      <c r="H415" s="58" t="s">
        <v>1429</v>
      </c>
      <c r="I415" s="49"/>
      <c r="J415" s="14" t="s">
        <v>1430</v>
      </c>
      <c r="K415" s="14" t="s">
        <v>1431</v>
      </c>
      <c r="L415" s="3"/>
      <c r="M415" s="3"/>
      <c r="N415" s="3"/>
      <c r="O415" s="3"/>
      <c r="P415" s="3"/>
      <c r="Q415" s="3"/>
      <c r="R415" s="3"/>
      <c r="S415" s="3"/>
      <c r="T415" s="3"/>
      <c r="U415" s="3"/>
      <c r="V415" s="3"/>
      <c r="W415" s="3"/>
      <c r="X415" s="3"/>
      <c r="Y415" s="3"/>
      <c r="Z415" s="3"/>
      <c r="AA415" s="3"/>
      <c r="AB415" s="3"/>
      <c r="AC415" s="3"/>
    </row>
    <row r="416">
      <c r="A416" s="46"/>
      <c r="B416" s="47"/>
      <c r="C416" s="47"/>
      <c r="D416" s="48"/>
      <c r="E416" s="48"/>
      <c r="F416" s="48"/>
      <c r="G416" s="48" t="s">
        <v>1432</v>
      </c>
      <c r="H416" s="58" t="s">
        <v>1426</v>
      </c>
      <c r="I416" s="49"/>
      <c r="J416" s="14" t="s">
        <v>1430</v>
      </c>
      <c r="K416" s="14" t="s">
        <v>1427</v>
      </c>
      <c r="L416" s="3"/>
      <c r="M416" s="3"/>
      <c r="N416" s="3"/>
      <c r="O416" s="3"/>
      <c r="P416" s="3"/>
      <c r="Q416" s="3"/>
      <c r="R416" s="3"/>
      <c r="S416" s="3"/>
      <c r="T416" s="3"/>
      <c r="U416" s="3"/>
      <c r="V416" s="3"/>
      <c r="W416" s="3"/>
      <c r="X416" s="3"/>
      <c r="Y416" s="3"/>
      <c r="Z416" s="3"/>
      <c r="AA416" s="3"/>
      <c r="AB416" s="3"/>
      <c r="AC416" s="3"/>
    </row>
    <row r="417">
      <c r="A417" s="50"/>
      <c r="B417" s="51">
        <v>36.0</v>
      </c>
      <c r="C417" s="51"/>
      <c r="D417" s="52"/>
      <c r="E417" s="52" t="s">
        <v>1433</v>
      </c>
      <c r="F417" s="52" t="s">
        <v>284</v>
      </c>
      <c r="G417" s="53" t="s">
        <v>1434</v>
      </c>
      <c r="H417" s="58" t="s">
        <v>1435</v>
      </c>
      <c r="I417" s="3"/>
      <c r="J417" s="14" t="s">
        <v>1436</v>
      </c>
      <c r="K417" s="14" t="s">
        <v>1437</v>
      </c>
      <c r="L417" s="3"/>
      <c r="M417" s="3"/>
      <c r="N417" s="3"/>
      <c r="O417" s="3"/>
      <c r="P417" s="3"/>
      <c r="Q417" s="3"/>
      <c r="R417" s="3"/>
      <c r="S417" s="3"/>
      <c r="T417" s="3"/>
      <c r="U417" s="3"/>
      <c r="V417" s="3"/>
      <c r="W417" s="3"/>
      <c r="X417" s="3"/>
      <c r="Y417" s="3"/>
      <c r="Z417" s="3"/>
      <c r="AA417" s="3"/>
      <c r="AB417" s="3"/>
      <c r="AC417" s="3"/>
    </row>
    <row r="418">
      <c r="A418" s="46"/>
      <c r="B418" s="47"/>
      <c r="C418" s="47"/>
      <c r="D418" s="48"/>
      <c r="E418" s="48"/>
      <c r="F418" s="48"/>
      <c r="G418" s="48" t="s">
        <v>1438</v>
      </c>
      <c r="H418" s="58" t="s">
        <v>1091</v>
      </c>
      <c r="I418" s="3"/>
      <c r="J418" s="14" t="s">
        <v>1439</v>
      </c>
      <c r="K418" s="14" t="s">
        <v>1440</v>
      </c>
      <c r="L418" s="3"/>
      <c r="M418" s="3"/>
      <c r="N418" s="3"/>
      <c r="O418" s="3"/>
      <c r="P418" s="3"/>
      <c r="Q418" s="3"/>
      <c r="R418" s="3"/>
      <c r="S418" s="3"/>
      <c r="T418" s="3"/>
      <c r="U418" s="3"/>
      <c r="V418" s="3"/>
      <c r="W418" s="3"/>
      <c r="X418" s="3"/>
      <c r="Y418" s="3"/>
      <c r="Z418" s="3"/>
      <c r="AA418" s="3"/>
      <c r="AB418" s="3"/>
      <c r="AC418" s="3"/>
    </row>
    <row r="419">
      <c r="A419" s="46"/>
      <c r="B419" s="47"/>
      <c r="C419" s="47"/>
      <c r="D419" s="48"/>
      <c r="E419" s="48"/>
      <c r="F419" s="48"/>
      <c r="G419" s="48" t="s">
        <v>1441</v>
      </c>
      <c r="H419" s="58" t="s">
        <v>1091</v>
      </c>
      <c r="I419" s="3"/>
      <c r="J419" s="14" t="s">
        <v>1442</v>
      </c>
      <c r="K419" s="14" t="s">
        <v>1440</v>
      </c>
      <c r="L419" s="3"/>
      <c r="M419" s="3"/>
      <c r="N419" s="3"/>
      <c r="O419" s="3"/>
      <c r="P419" s="3"/>
      <c r="Q419" s="3"/>
      <c r="R419" s="3"/>
      <c r="S419" s="3"/>
      <c r="T419" s="3"/>
      <c r="U419" s="3"/>
      <c r="V419" s="3"/>
      <c r="W419" s="3"/>
      <c r="X419" s="3"/>
      <c r="Y419" s="3"/>
      <c r="Z419" s="3"/>
      <c r="AA419" s="3"/>
      <c r="AB419" s="3"/>
      <c r="AC419" s="3"/>
    </row>
    <row r="420">
      <c r="A420" s="46"/>
      <c r="B420" s="47"/>
      <c r="C420" s="47"/>
      <c r="D420" s="48"/>
      <c r="E420" s="48"/>
      <c r="F420" s="48"/>
      <c r="G420" s="48" t="s">
        <v>1443</v>
      </c>
      <c r="H420" s="58" t="s">
        <v>1444</v>
      </c>
      <c r="I420" s="49"/>
      <c r="J420" s="14" t="s">
        <v>1436</v>
      </c>
      <c r="K420" s="14" t="s">
        <v>1445</v>
      </c>
      <c r="L420" s="3"/>
      <c r="M420" s="3"/>
      <c r="N420" s="3"/>
      <c r="O420" s="3"/>
      <c r="P420" s="3"/>
      <c r="Q420" s="3"/>
      <c r="R420" s="3"/>
      <c r="S420" s="3"/>
      <c r="T420" s="3"/>
      <c r="U420" s="3"/>
      <c r="V420" s="3"/>
      <c r="W420" s="3"/>
      <c r="X420" s="3"/>
      <c r="Y420" s="3"/>
      <c r="Z420" s="3"/>
      <c r="AA420" s="3"/>
      <c r="AB420" s="3"/>
      <c r="AC420" s="3"/>
    </row>
    <row r="421">
      <c r="A421" s="50"/>
      <c r="B421" s="51">
        <v>37.0</v>
      </c>
      <c r="C421" s="51"/>
      <c r="D421" s="52"/>
      <c r="E421" s="52" t="s">
        <v>1446</v>
      </c>
      <c r="F421" s="52" t="s">
        <v>284</v>
      </c>
      <c r="G421" s="53" t="s">
        <v>1447</v>
      </c>
      <c r="H421" s="58" t="s">
        <v>1448</v>
      </c>
      <c r="I421" s="3"/>
      <c r="J421" s="14" t="s">
        <v>1449</v>
      </c>
      <c r="K421" s="14" t="s">
        <v>1450</v>
      </c>
      <c r="L421" s="3"/>
      <c r="M421" s="3"/>
      <c r="N421" s="3"/>
      <c r="O421" s="3"/>
      <c r="P421" s="3"/>
      <c r="Q421" s="3"/>
      <c r="R421" s="3"/>
      <c r="S421" s="3"/>
      <c r="T421" s="3"/>
      <c r="U421" s="3"/>
      <c r="V421" s="3"/>
      <c r="W421" s="3"/>
      <c r="X421" s="3"/>
      <c r="Y421" s="3"/>
      <c r="Z421" s="3"/>
      <c r="AA421" s="3"/>
      <c r="AB421" s="3"/>
      <c r="AC421" s="3"/>
    </row>
    <row r="422">
      <c r="A422" s="46"/>
      <c r="B422" s="47"/>
      <c r="C422" s="47"/>
      <c r="D422" s="48"/>
      <c r="E422" s="48"/>
      <c r="F422" s="48"/>
      <c r="G422" s="48" t="s">
        <v>1451</v>
      </c>
      <c r="H422" s="58" t="s">
        <v>1452</v>
      </c>
      <c r="I422" s="3"/>
      <c r="J422" s="14" t="s">
        <v>1449</v>
      </c>
      <c r="K422" s="14" t="s">
        <v>1453</v>
      </c>
      <c r="L422" s="3"/>
      <c r="M422" s="3"/>
      <c r="N422" s="3"/>
      <c r="O422" s="3"/>
      <c r="P422" s="3"/>
      <c r="Q422" s="3"/>
      <c r="R422" s="3"/>
      <c r="S422" s="3"/>
      <c r="T422" s="3"/>
      <c r="U422" s="3"/>
      <c r="V422" s="3"/>
      <c r="W422" s="3"/>
      <c r="X422" s="3"/>
      <c r="Y422" s="3"/>
      <c r="Z422" s="3"/>
      <c r="AA422" s="3"/>
      <c r="AB422" s="3"/>
      <c r="AC422" s="3"/>
    </row>
    <row r="423">
      <c r="A423" s="46"/>
      <c r="B423" s="47"/>
      <c r="C423" s="47"/>
      <c r="D423" s="48"/>
      <c r="E423" s="48"/>
      <c r="F423" s="48"/>
      <c r="G423" s="48" t="s">
        <v>1454</v>
      </c>
      <c r="H423" s="58" t="s">
        <v>1455</v>
      </c>
      <c r="I423" s="49"/>
      <c r="J423" s="14" t="s">
        <v>1449</v>
      </c>
      <c r="K423" s="14" t="s">
        <v>1456</v>
      </c>
      <c r="L423" s="3"/>
      <c r="M423" s="3"/>
      <c r="N423" s="3"/>
      <c r="O423" s="3"/>
      <c r="P423" s="3"/>
      <c r="Q423" s="3"/>
      <c r="R423" s="3"/>
      <c r="S423" s="3"/>
      <c r="T423" s="3"/>
      <c r="U423" s="3"/>
      <c r="V423" s="3"/>
      <c r="W423" s="3"/>
      <c r="X423" s="3"/>
      <c r="Y423" s="3"/>
      <c r="Z423" s="3"/>
      <c r="AA423" s="3"/>
      <c r="AB423" s="3"/>
      <c r="AC423" s="3"/>
    </row>
    <row r="424">
      <c r="A424" s="61"/>
      <c r="B424" s="49"/>
      <c r="C424" s="49"/>
      <c r="D424" s="58"/>
      <c r="E424" s="58"/>
      <c r="F424" s="58"/>
      <c r="G424" s="48" t="s">
        <v>1457</v>
      </c>
      <c r="H424" s="58" t="s">
        <v>1458</v>
      </c>
      <c r="I424" s="49"/>
      <c r="J424" s="14" t="s">
        <v>1449</v>
      </c>
      <c r="K424" s="14" t="s">
        <v>1459</v>
      </c>
      <c r="L424" s="3"/>
      <c r="M424" s="3"/>
      <c r="N424" s="3"/>
      <c r="O424" s="3"/>
      <c r="P424" s="3"/>
      <c r="Q424" s="3"/>
      <c r="R424" s="3"/>
      <c r="S424" s="3"/>
      <c r="T424" s="3"/>
      <c r="U424" s="3"/>
      <c r="V424" s="3"/>
      <c r="W424" s="3"/>
      <c r="X424" s="3"/>
      <c r="Y424" s="3"/>
      <c r="Z424" s="3"/>
      <c r="AA424" s="3"/>
      <c r="AB424" s="3"/>
      <c r="AC424" s="3"/>
    </row>
    <row r="425">
      <c r="A425" s="61"/>
      <c r="B425" s="49"/>
      <c r="C425" s="49"/>
      <c r="D425" s="58"/>
      <c r="E425" s="58"/>
      <c r="F425" s="58"/>
      <c r="G425" s="58" t="s">
        <v>1460</v>
      </c>
      <c r="H425" s="58" t="s">
        <v>1461</v>
      </c>
      <c r="I425" s="49"/>
      <c r="J425" s="14" t="s">
        <v>1462</v>
      </c>
      <c r="K425" s="14" t="s">
        <v>1463</v>
      </c>
      <c r="L425" s="3"/>
      <c r="M425" s="3"/>
      <c r="N425" s="3"/>
      <c r="O425" s="3"/>
      <c r="P425" s="3"/>
      <c r="Q425" s="3"/>
      <c r="R425" s="3"/>
      <c r="S425" s="3"/>
      <c r="T425" s="3"/>
      <c r="U425" s="3"/>
      <c r="V425" s="3"/>
      <c r="W425" s="3"/>
      <c r="X425" s="3"/>
      <c r="Y425" s="3"/>
      <c r="Z425" s="3"/>
      <c r="AA425" s="3"/>
      <c r="AB425" s="3"/>
      <c r="AC425" s="3"/>
    </row>
    <row r="426">
      <c r="A426" s="50"/>
      <c r="B426" s="51">
        <v>38.0</v>
      </c>
      <c r="C426" s="51"/>
      <c r="D426" s="52"/>
      <c r="E426" s="52" t="s">
        <v>1464</v>
      </c>
      <c r="F426" s="52" t="s">
        <v>284</v>
      </c>
      <c r="G426" s="53" t="s">
        <v>1465</v>
      </c>
      <c r="H426" s="58" t="s">
        <v>1466</v>
      </c>
      <c r="I426" s="49"/>
      <c r="J426" s="14" t="s">
        <v>1467</v>
      </c>
      <c r="K426" s="14" t="s">
        <v>1468</v>
      </c>
      <c r="L426" s="3"/>
      <c r="M426" s="3"/>
      <c r="N426" s="3"/>
      <c r="O426" s="3"/>
      <c r="P426" s="3"/>
      <c r="Q426" s="3"/>
      <c r="R426" s="3"/>
      <c r="S426" s="3"/>
      <c r="T426" s="3"/>
      <c r="U426" s="3"/>
      <c r="V426" s="3"/>
      <c r="W426" s="3"/>
      <c r="X426" s="3"/>
      <c r="Y426" s="3"/>
      <c r="Z426" s="3"/>
      <c r="AA426" s="3"/>
      <c r="AB426" s="3"/>
      <c r="AC426" s="3"/>
    </row>
    <row r="427">
      <c r="A427" s="46"/>
      <c r="B427" s="47"/>
      <c r="C427" s="47"/>
      <c r="D427" s="48"/>
      <c r="E427" s="48"/>
      <c r="F427" s="48"/>
      <c r="G427" s="48" t="s">
        <v>1469</v>
      </c>
      <c r="H427" s="58" t="s">
        <v>1466</v>
      </c>
      <c r="I427" s="49"/>
      <c r="J427" s="14" t="s">
        <v>1470</v>
      </c>
      <c r="K427" s="14" t="s">
        <v>1471</v>
      </c>
      <c r="L427" s="3"/>
      <c r="M427" s="3"/>
      <c r="N427" s="3"/>
      <c r="O427" s="3"/>
      <c r="P427" s="3"/>
      <c r="Q427" s="3"/>
      <c r="R427" s="3"/>
      <c r="S427" s="3"/>
      <c r="T427" s="3"/>
      <c r="U427" s="3"/>
      <c r="V427" s="3"/>
      <c r="W427" s="3"/>
      <c r="X427" s="3"/>
      <c r="Y427" s="3"/>
      <c r="Z427" s="3"/>
      <c r="AA427" s="3"/>
      <c r="AB427" s="3"/>
      <c r="AC427" s="3"/>
    </row>
    <row r="428">
      <c r="A428" s="46"/>
      <c r="B428" s="47"/>
      <c r="C428" s="47"/>
      <c r="D428" s="48"/>
      <c r="E428" s="48"/>
      <c r="F428" s="48"/>
      <c r="G428" s="48" t="s">
        <v>1472</v>
      </c>
      <c r="H428" s="58" t="s">
        <v>1466</v>
      </c>
      <c r="I428" s="49"/>
      <c r="J428" s="14" t="s">
        <v>1473</v>
      </c>
      <c r="K428" s="14" t="s">
        <v>1474</v>
      </c>
      <c r="L428" s="3"/>
      <c r="M428" s="3"/>
      <c r="N428" s="3"/>
      <c r="O428" s="3"/>
      <c r="P428" s="3"/>
      <c r="Q428" s="3"/>
      <c r="R428" s="3"/>
      <c r="S428" s="3"/>
      <c r="T428" s="3"/>
      <c r="U428" s="3"/>
      <c r="V428" s="3"/>
      <c r="W428" s="3"/>
      <c r="X428" s="3"/>
      <c r="Y428" s="3"/>
      <c r="Z428" s="3"/>
      <c r="AA428" s="3"/>
      <c r="AB428" s="3"/>
      <c r="AC428" s="3"/>
    </row>
    <row r="429">
      <c r="A429" s="62"/>
      <c r="B429" s="63" t="s">
        <v>1475</v>
      </c>
      <c r="C429" s="63"/>
      <c r="D429" s="64"/>
      <c r="E429" s="64" t="s">
        <v>1476</v>
      </c>
      <c r="F429" s="65"/>
      <c r="G429" s="65"/>
      <c r="H429" s="65"/>
      <c r="I429" s="3"/>
      <c r="J429" s="3"/>
      <c r="K429" s="3"/>
      <c r="L429" s="3"/>
      <c r="M429" s="3"/>
      <c r="N429" s="3"/>
      <c r="O429" s="3"/>
      <c r="P429" s="3"/>
      <c r="Q429" s="3"/>
      <c r="R429" s="3"/>
      <c r="S429" s="3"/>
      <c r="T429" s="3"/>
      <c r="U429" s="3"/>
      <c r="V429" s="3"/>
      <c r="W429" s="3"/>
      <c r="X429" s="3"/>
      <c r="Y429" s="3"/>
      <c r="Z429" s="3"/>
      <c r="AA429" s="3"/>
      <c r="AB429" s="3"/>
      <c r="AC429" s="3"/>
    </row>
    <row r="430">
      <c r="A430" s="66"/>
      <c r="B430" s="67"/>
      <c r="C430" s="67"/>
      <c r="D430" s="68"/>
      <c r="E430" s="68"/>
      <c r="F430" s="69"/>
      <c r="G430" s="69"/>
      <c r="H430" s="65"/>
      <c r="I430" s="3"/>
      <c r="J430" s="3"/>
      <c r="K430" s="3"/>
      <c r="L430" s="3"/>
      <c r="M430" s="3"/>
      <c r="N430" s="3"/>
      <c r="O430" s="3"/>
      <c r="P430" s="3"/>
      <c r="Q430" s="3"/>
      <c r="R430" s="3"/>
      <c r="S430" s="3"/>
      <c r="T430" s="3"/>
      <c r="U430" s="3"/>
      <c r="V430" s="3"/>
      <c r="W430" s="3"/>
      <c r="X430" s="3"/>
      <c r="Y430" s="3"/>
      <c r="Z430" s="3"/>
      <c r="AA430" s="3"/>
      <c r="AB430" s="3"/>
      <c r="AC430" s="3"/>
    </row>
    <row r="431">
      <c r="A431" s="50"/>
      <c r="B431" s="51">
        <v>39.0</v>
      </c>
      <c r="C431" s="51"/>
      <c r="D431" s="52"/>
      <c r="E431" s="52" t="s">
        <v>1477</v>
      </c>
      <c r="F431" s="52" t="s">
        <v>788</v>
      </c>
      <c r="G431" s="53" t="s">
        <v>1478</v>
      </c>
      <c r="H431" s="49"/>
      <c r="I431" s="3"/>
      <c r="J431" s="3"/>
      <c r="K431" s="3"/>
      <c r="L431" s="3"/>
      <c r="M431" s="3"/>
      <c r="N431" s="3"/>
      <c r="O431" s="3"/>
      <c r="P431" s="3"/>
      <c r="Q431" s="3"/>
      <c r="R431" s="3"/>
      <c r="S431" s="3"/>
      <c r="T431" s="3"/>
      <c r="U431" s="3"/>
      <c r="V431" s="3"/>
      <c r="W431" s="3"/>
      <c r="X431" s="3"/>
      <c r="Y431" s="3"/>
      <c r="Z431" s="3"/>
      <c r="AA431" s="3"/>
      <c r="AB431" s="3"/>
      <c r="AC431" s="3"/>
    </row>
    <row r="432">
      <c r="A432" s="46"/>
      <c r="B432" s="47"/>
      <c r="C432" s="47"/>
      <c r="D432" s="48"/>
      <c r="E432" s="48"/>
      <c r="F432" s="48"/>
      <c r="G432" s="48"/>
      <c r="H432" s="49"/>
      <c r="I432" s="3"/>
      <c r="J432" s="3"/>
      <c r="K432" s="3"/>
      <c r="L432" s="3"/>
      <c r="M432" s="3"/>
      <c r="N432" s="3"/>
      <c r="O432" s="3"/>
      <c r="P432" s="3"/>
      <c r="Q432" s="3"/>
      <c r="R432" s="3"/>
      <c r="S432" s="3"/>
      <c r="T432" s="3"/>
      <c r="U432" s="3"/>
      <c r="V432" s="3"/>
      <c r="W432" s="3"/>
      <c r="X432" s="3"/>
      <c r="Y432" s="3"/>
      <c r="Z432" s="3"/>
      <c r="AA432" s="3"/>
      <c r="AB432" s="3"/>
      <c r="AC432" s="3"/>
    </row>
    <row r="433">
      <c r="A433" s="50"/>
      <c r="B433" s="51">
        <v>40.0</v>
      </c>
      <c r="C433" s="51"/>
      <c r="D433" s="52"/>
      <c r="E433" s="52" t="s">
        <v>1479</v>
      </c>
      <c r="F433" s="52" t="s">
        <v>29</v>
      </c>
      <c r="G433" s="53" t="s">
        <v>1480</v>
      </c>
      <c r="H433" s="49"/>
      <c r="I433" s="3"/>
      <c r="J433" s="3"/>
      <c r="K433" s="3"/>
      <c r="L433" s="3"/>
      <c r="M433" s="3"/>
      <c r="N433" s="3"/>
      <c r="O433" s="3"/>
      <c r="P433" s="3"/>
      <c r="Q433" s="3"/>
      <c r="R433" s="3"/>
      <c r="S433" s="3"/>
      <c r="T433" s="3"/>
      <c r="U433" s="3"/>
      <c r="V433" s="3"/>
      <c r="W433" s="3"/>
      <c r="X433" s="3"/>
      <c r="Y433" s="3"/>
      <c r="Z433" s="3"/>
      <c r="AA433" s="3"/>
      <c r="AB433" s="3"/>
      <c r="AC433" s="3"/>
    </row>
    <row r="434">
      <c r="A434" s="46"/>
      <c r="B434" s="47"/>
      <c r="C434" s="47"/>
      <c r="D434" s="48"/>
      <c r="E434" s="48"/>
      <c r="F434" s="48"/>
      <c r="G434" s="48"/>
      <c r="H434" s="49"/>
      <c r="I434" s="3"/>
      <c r="J434" s="3"/>
      <c r="K434" s="3"/>
      <c r="L434" s="3"/>
      <c r="M434" s="3"/>
      <c r="N434" s="3"/>
      <c r="O434" s="3"/>
      <c r="P434" s="3"/>
      <c r="Q434" s="3"/>
      <c r="R434" s="3"/>
      <c r="S434" s="3"/>
      <c r="T434" s="3"/>
      <c r="U434" s="3"/>
      <c r="V434" s="3"/>
      <c r="W434" s="3"/>
      <c r="X434" s="3"/>
      <c r="Y434" s="3"/>
      <c r="Z434" s="3"/>
      <c r="AA434" s="3"/>
      <c r="AB434" s="3"/>
      <c r="AC434" s="3"/>
    </row>
    <row r="435">
      <c r="A435" s="50"/>
      <c r="B435" s="51">
        <v>41.0</v>
      </c>
      <c r="C435" s="51"/>
      <c r="D435" s="52"/>
      <c r="E435" s="52" t="s">
        <v>1481</v>
      </c>
      <c r="F435" s="52" t="s">
        <v>1482</v>
      </c>
      <c r="G435" s="53" t="s">
        <v>1483</v>
      </c>
      <c r="H435" s="49"/>
      <c r="I435" s="3"/>
      <c r="J435" s="3"/>
      <c r="K435" s="3"/>
      <c r="L435" s="3"/>
      <c r="M435" s="3"/>
      <c r="N435" s="3"/>
      <c r="O435" s="3"/>
      <c r="P435" s="3"/>
      <c r="Q435" s="3"/>
      <c r="R435" s="3"/>
      <c r="S435" s="3"/>
      <c r="T435" s="3"/>
      <c r="U435" s="3"/>
      <c r="V435" s="3"/>
      <c r="W435" s="3"/>
      <c r="X435" s="3"/>
      <c r="Y435" s="3"/>
      <c r="Z435" s="3"/>
      <c r="AA435" s="3"/>
      <c r="AB435" s="3"/>
      <c r="AC435" s="3"/>
    </row>
    <row r="436">
      <c r="A436" s="46"/>
      <c r="B436" s="47"/>
      <c r="C436" s="47"/>
      <c r="D436" s="48"/>
      <c r="E436" s="48"/>
      <c r="F436" s="48"/>
      <c r="G436" s="48"/>
      <c r="H436" s="49"/>
      <c r="I436" s="3"/>
      <c r="J436" s="3"/>
      <c r="K436" s="3"/>
      <c r="L436" s="3"/>
      <c r="M436" s="3"/>
      <c r="N436" s="3"/>
      <c r="O436" s="3"/>
      <c r="P436" s="3"/>
      <c r="Q436" s="3"/>
      <c r="R436" s="3"/>
      <c r="S436" s="3"/>
      <c r="T436" s="3"/>
      <c r="U436" s="3"/>
      <c r="V436" s="3"/>
      <c r="W436" s="3"/>
      <c r="X436" s="3"/>
      <c r="Y436" s="3"/>
      <c r="Z436" s="3"/>
      <c r="AA436" s="3"/>
      <c r="AB436" s="3"/>
      <c r="AC436" s="3"/>
    </row>
    <row r="437">
      <c r="A437" s="50"/>
      <c r="B437" s="51">
        <v>42.0</v>
      </c>
      <c r="C437" s="51"/>
      <c r="D437" s="52"/>
      <c r="E437" s="52" t="s">
        <v>1484</v>
      </c>
      <c r="F437" s="52" t="s">
        <v>1482</v>
      </c>
      <c r="G437" s="53" t="s">
        <v>1485</v>
      </c>
      <c r="H437" s="49"/>
      <c r="I437" s="3"/>
      <c r="J437" s="3"/>
      <c r="K437" s="3"/>
      <c r="L437" s="3"/>
      <c r="M437" s="3"/>
      <c r="N437" s="3"/>
      <c r="O437" s="3"/>
      <c r="P437" s="3"/>
      <c r="Q437" s="3"/>
      <c r="R437" s="3"/>
      <c r="S437" s="3"/>
      <c r="T437" s="3"/>
      <c r="U437" s="3"/>
      <c r="V437" s="3"/>
      <c r="W437" s="3"/>
      <c r="X437" s="3"/>
      <c r="Y437" s="3"/>
      <c r="Z437" s="3"/>
      <c r="AA437" s="3"/>
      <c r="AB437" s="3"/>
      <c r="AC437" s="3"/>
    </row>
    <row r="438">
      <c r="A438" s="46"/>
      <c r="B438" s="47"/>
      <c r="C438" s="47"/>
      <c r="D438" s="48"/>
      <c r="E438" s="48"/>
      <c r="F438" s="48"/>
      <c r="G438" s="48"/>
      <c r="H438" s="49"/>
      <c r="I438" s="3"/>
      <c r="J438" s="3"/>
      <c r="K438" s="3"/>
      <c r="L438" s="3"/>
      <c r="M438" s="3"/>
      <c r="N438" s="3"/>
      <c r="O438" s="3"/>
      <c r="P438" s="3"/>
      <c r="Q438" s="3"/>
      <c r="R438" s="3"/>
      <c r="S438" s="3"/>
      <c r="T438" s="3"/>
      <c r="U438" s="3"/>
      <c r="V438" s="3"/>
      <c r="W438" s="3"/>
      <c r="X438" s="3"/>
      <c r="Y438" s="3"/>
      <c r="Z438" s="3"/>
      <c r="AA438" s="3"/>
      <c r="AB438" s="3"/>
      <c r="AC438" s="3"/>
    </row>
    <row r="439">
      <c r="A439" s="50"/>
      <c r="B439" s="51">
        <v>43.0</v>
      </c>
      <c r="C439" s="51"/>
      <c r="D439" s="52"/>
      <c r="E439" s="52" t="s">
        <v>1486</v>
      </c>
      <c r="F439" s="52" t="s">
        <v>788</v>
      </c>
      <c r="G439" s="53" t="s">
        <v>1487</v>
      </c>
      <c r="H439" s="49"/>
      <c r="I439" s="3"/>
      <c r="J439" s="3"/>
      <c r="K439" s="3"/>
      <c r="L439" s="3"/>
      <c r="M439" s="3"/>
      <c r="N439" s="3"/>
      <c r="O439" s="3"/>
      <c r="P439" s="3"/>
      <c r="Q439" s="3"/>
      <c r="R439" s="3"/>
      <c r="S439" s="3"/>
      <c r="T439" s="3"/>
      <c r="U439" s="3"/>
      <c r="V439" s="3"/>
      <c r="W439" s="3"/>
      <c r="X439" s="3"/>
      <c r="Y439" s="3"/>
      <c r="Z439" s="3"/>
      <c r="AA439" s="3"/>
      <c r="AB439" s="3"/>
      <c r="AC439" s="3"/>
    </row>
    <row r="440">
      <c r="A440" s="46"/>
      <c r="B440" s="47"/>
      <c r="C440" s="47"/>
      <c r="D440" s="48"/>
      <c r="E440" s="48"/>
      <c r="F440" s="48"/>
      <c r="G440" s="48"/>
      <c r="H440" s="49"/>
      <c r="I440" s="3"/>
      <c r="J440" s="3"/>
      <c r="K440" s="3"/>
      <c r="L440" s="3"/>
      <c r="M440" s="3"/>
      <c r="N440" s="3"/>
      <c r="O440" s="3"/>
      <c r="P440" s="3"/>
      <c r="Q440" s="3"/>
      <c r="R440" s="3"/>
      <c r="S440" s="3"/>
      <c r="T440" s="3"/>
      <c r="U440" s="3"/>
      <c r="V440" s="3"/>
      <c r="W440" s="3"/>
      <c r="X440" s="3"/>
      <c r="Y440" s="3"/>
      <c r="Z440" s="3"/>
      <c r="AA440" s="3"/>
      <c r="AB440" s="3"/>
      <c r="AC440" s="3"/>
    </row>
    <row r="441">
      <c r="A441" s="50"/>
      <c r="B441" s="51">
        <v>44.0</v>
      </c>
      <c r="C441" s="51"/>
      <c r="D441" s="52"/>
      <c r="E441" s="52" t="s">
        <v>1488</v>
      </c>
      <c r="F441" s="52" t="s">
        <v>788</v>
      </c>
      <c r="G441" s="53" t="s">
        <v>1489</v>
      </c>
      <c r="H441" s="49"/>
      <c r="I441" s="3"/>
      <c r="J441" s="3"/>
      <c r="K441" s="3"/>
      <c r="L441" s="3"/>
      <c r="M441" s="3"/>
      <c r="N441" s="3"/>
      <c r="O441" s="3"/>
      <c r="P441" s="3"/>
      <c r="Q441" s="3"/>
      <c r="R441" s="3"/>
      <c r="S441" s="3"/>
      <c r="T441" s="3"/>
      <c r="U441" s="3"/>
      <c r="V441" s="3"/>
      <c r="W441" s="3"/>
      <c r="X441" s="3"/>
      <c r="Y441" s="3"/>
      <c r="Z441" s="3"/>
      <c r="AA441" s="3"/>
      <c r="AB441" s="3"/>
      <c r="AC441" s="3"/>
    </row>
    <row r="442">
      <c r="A442" s="46"/>
      <c r="B442" s="47"/>
      <c r="C442" s="47"/>
      <c r="D442" s="48"/>
      <c r="E442" s="48"/>
      <c r="F442" s="48"/>
      <c r="G442" s="48"/>
      <c r="H442" s="49"/>
      <c r="I442" s="3"/>
      <c r="J442" s="3"/>
      <c r="K442" s="3"/>
      <c r="L442" s="3"/>
      <c r="M442" s="3"/>
      <c r="N442" s="3"/>
      <c r="O442" s="3"/>
      <c r="P442" s="3"/>
      <c r="Q442" s="3"/>
      <c r="R442" s="3"/>
      <c r="S442" s="3"/>
      <c r="T442" s="3"/>
      <c r="U442" s="3"/>
      <c r="V442" s="3"/>
      <c r="W442" s="3"/>
      <c r="X442" s="3"/>
      <c r="Y442" s="3"/>
      <c r="Z442" s="3"/>
      <c r="AA442" s="3"/>
      <c r="AB442" s="3"/>
      <c r="AC442" s="3"/>
    </row>
    <row r="443">
      <c r="A443" s="50"/>
      <c r="B443" s="51">
        <v>45.0</v>
      </c>
      <c r="C443" s="51"/>
      <c r="D443" s="52"/>
      <c r="E443" s="52" t="s">
        <v>1490</v>
      </c>
      <c r="F443" s="52" t="s">
        <v>1491</v>
      </c>
      <c r="G443" s="53" t="s">
        <v>1492</v>
      </c>
      <c r="H443" s="49"/>
      <c r="I443" s="3"/>
      <c r="J443" s="3"/>
      <c r="K443" s="3"/>
      <c r="L443" s="3"/>
      <c r="M443" s="3"/>
      <c r="N443" s="3"/>
      <c r="O443" s="3"/>
      <c r="P443" s="3"/>
      <c r="Q443" s="3"/>
      <c r="R443" s="3"/>
      <c r="S443" s="3"/>
      <c r="T443" s="3"/>
      <c r="U443" s="3"/>
      <c r="V443" s="3"/>
      <c r="W443" s="3"/>
      <c r="X443" s="3"/>
      <c r="Y443" s="3"/>
      <c r="Z443" s="3"/>
      <c r="AA443" s="3"/>
      <c r="AB443" s="3"/>
      <c r="AC443" s="3"/>
    </row>
    <row r="444">
      <c r="A444" s="61"/>
      <c r="B444" s="49"/>
      <c r="C444" s="49"/>
      <c r="D444" s="58"/>
      <c r="E444" s="58"/>
      <c r="F444" s="58"/>
      <c r="G444" s="58"/>
      <c r="H444" s="49"/>
      <c r="I444" s="3"/>
      <c r="J444" s="3"/>
      <c r="K444" s="3"/>
      <c r="L444" s="3"/>
      <c r="M444" s="3"/>
      <c r="N444" s="3"/>
      <c r="O444" s="3"/>
      <c r="P444" s="3"/>
      <c r="Q444" s="3"/>
      <c r="R444" s="3"/>
      <c r="S444" s="3"/>
      <c r="T444" s="3"/>
      <c r="U444" s="3"/>
      <c r="V444" s="3"/>
      <c r="W444" s="3"/>
      <c r="X444" s="3"/>
      <c r="Y444" s="3"/>
      <c r="Z444" s="3"/>
      <c r="AA444" s="3"/>
      <c r="AB444" s="3"/>
      <c r="AC444" s="3"/>
    </row>
    <row r="445">
      <c r="A445" s="50"/>
      <c r="B445" s="51">
        <v>46.0</v>
      </c>
      <c r="C445" s="51"/>
      <c r="D445" s="52"/>
      <c r="E445" s="52" t="s">
        <v>1493</v>
      </c>
      <c r="F445" s="52" t="s">
        <v>788</v>
      </c>
      <c r="G445" s="53" t="s">
        <v>1494</v>
      </c>
      <c r="H445" s="49"/>
      <c r="I445" s="3"/>
      <c r="J445" s="3"/>
      <c r="K445" s="3"/>
      <c r="L445" s="3"/>
      <c r="M445" s="3"/>
      <c r="N445" s="3"/>
      <c r="O445" s="3"/>
      <c r="P445" s="3"/>
      <c r="Q445" s="3"/>
      <c r="R445" s="3"/>
      <c r="S445" s="3"/>
      <c r="T445" s="3"/>
      <c r="U445" s="3"/>
      <c r="V445" s="3"/>
      <c r="W445" s="3"/>
      <c r="X445" s="3"/>
      <c r="Y445" s="3"/>
      <c r="Z445" s="3"/>
      <c r="AA445" s="3"/>
      <c r="AB445" s="3"/>
      <c r="AC445" s="3"/>
    </row>
    <row r="446">
      <c r="A446" s="61"/>
      <c r="B446" s="49"/>
      <c r="C446" s="49"/>
      <c r="D446" s="58"/>
      <c r="E446" s="58"/>
      <c r="F446" s="58"/>
      <c r="G446" s="58"/>
      <c r="H446" s="49"/>
      <c r="I446" s="3"/>
      <c r="J446" s="3"/>
      <c r="K446" s="3"/>
      <c r="L446" s="3"/>
      <c r="M446" s="3"/>
      <c r="N446" s="3"/>
      <c r="O446" s="3"/>
      <c r="P446" s="3"/>
      <c r="Q446" s="3"/>
      <c r="R446" s="3"/>
      <c r="S446" s="3"/>
      <c r="T446" s="3"/>
      <c r="U446" s="3"/>
      <c r="V446" s="3"/>
      <c r="W446" s="3"/>
      <c r="X446" s="3"/>
      <c r="Y446" s="3"/>
      <c r="Z446" s="3"/>
      <c r="AA446" s="3"/>
      <c r="AB446" s="3"/>
      <c r="AC446" s="3"/>
    </row>
    <row r="447">
      <c r="A447" s="50"/>
      <c r="B447" s="51">
        <v>47.0</v>
      </c>
      <c r="C447" s="51"/>
      <c r="D447" s="52"/>
      <c r="E447" s="52" t="s">
        <v>1495</v>
      </c>
      <c r="F447" s="52" t="s">
        <v>1496</v>
      </c>
      <c r="G447" s="53" t="s">
        <v>1497</v>
      </c>
      <c r="H447" s="49"/>
      <c r="I447" s="3"/>
      <c r="J447" s="3"/>
      <c r="K447" s="3"/>
      <c r="L447" s="3"/>
      <c r="M447" s="3"/>
      <c r="N447" s="3"/>
      <c r="O447" s="3"/>
      <c r="P447" s="3"/>
      <c r="Q447" s="3"/>
      <c r="R447" s="3"/>
      <c r="S447" s="3"/>
      <c r="T447" s="3"/>
      <c r="U447" s="3"/>
      <c r="V447" s="3"/>
      <c r="W447" s="3"/>
      <c r="X447" s="3"/>
      <c r="Y447" s="3"/>
      <c r="Z447" s="3"/>
      <c r="AA447" s="3"/>
      <c r="AB447" s="3"/>
      <c r="AC447" s="3"/>
    </row>
    <row r="448">
      <c r="A448" s="46"/>
      <c r="B448" s="47"/>
      <c r="C448" s="47"/>
      <c r="D448" s="48"/>
      <c r="E448" s="48"/>
      <c r="F448" s="48"/>
      <c r="G448" s="48"/>
      <c r="H448" s="49"/>
      <c r="I448" s="3"/>
      <c r="J448" s="3"/>
      <c r="K448" s="3"/>
      <c r="L448" s="3"/>
      <c r="M448" s="3"/>
      <c r="N448" s="3"/>
      <c r="O448" s="3"/>
      <c r="P448" s="3"/>
      <c r="Q448" s="3"/>
      <c r="R448" s="3"/>
      <c r="S448" s="3"/>
      <c r="T448" s="3"/>
      <c r="U448" s="3"/>
      <c r="V448" s="3"/>
      <c r="W448" s="3"/>
      <c r="X448" s="3"/>
      <c r="Y448" s="3"/>
      <c r="Z448" s="3"/>
      <c r="AA448" s="3"/>
      <c r="AB448" s="3"/>
      <c r="AC448" s="3"/>
    </row>
    <row r="449">
      <c r="A449" s="50"/>
      <c r="B449" s="51">
        <v>48.0</v>
      </c>
      <c r="C449" s="51"/>
      <c r="D449" s="52"/>
      <c r="E449" s="52" t="s">
        <v>1498</v>
      </c>
      <c r="F449" s="52" t="s">
        <v>788</v>
      </c>
      <c r="G449" s="53" t="s">
        <v>1499</v>
      </c>
      <c r="H449" s="49"/>
      <c r="I449" s="3"/>
      <c r="J449" s="3"/>
      <c r="K449" s="3"/>
      <c r="L449" s="3"/>
      <c r="M449" s="3"/>
      <c r="N449" s="3"/>
      <c r="O449" s="3"/>
      <c r="P449" s="3"/>
      <c r="Q449" s="3"/>
      <c r="R449" s="3"/>
      <c r="S449" s="3"/>
      <c r="T449" s="3"/>
      <c r="U449" s="3"/>
      <c r="V449" s="3"/>
      <c r="W449" s="3"/>
      <c r="X449" s="3"/>
      <c r="Y449" s="3"/>
      <c r="Z449" s="3"/>
      <c r="AA449" s="3"/>
      <c r="AB449" s="3"/>
      <c r="AC449" s="3"/>
    </row>
    <row r="450">
      <c r="A450" s="46"/>
      <c r="B450" s="47"/>
      <c r="C450" s="47"/>
      <c r="D450" s="48"/>
      <c r="E450" s="48"/>
      <c r="F450" s="48"/>
      <c r="G450" s="48"/>
      <c r="H450" s="49"/>
      <c r="I450" s="3"/>
      <c r="J450" s="3"/>
      <c r="K450" s="3"/>
      <c r="L450" s="3"/>
      <c r="M450" s="3"/>
      <c r="N450" s="3"/>
      <c r="O450" s="3"/>
      <c r="P450" s="3"/>
      <c r="Q450" s="3"/>
      <c r="R450" s="3"/>
      <c r="S450" s="3"/>
      <c r="T450" s="3"/>
      <c r="U450" s="3"/>
      <c r="V450" s="3"/>
      <c r="W450" s="3"/>
      <c r="X450" s="3"/>
      <c r="Y450" s="3"/>
      <c r="Z450" s="3"/>
      <c r="AA450" s="3"/>
      <c r="AB450" s="3"/>
      <c r="AC450" s="3"/>
    </row>
    <row r="451">
      <c r="A451" s="50"/>
      <c r="B451" s="51">
        <v>49.0</v>
      </c>
      <c r="C451" s="51"/>
      <c r="D451" s="52"/>
      <c r="E451" s="52" t="s">
        <v>1500</v>
      </c>
      <c r="F451" s="52" t="s">
        <v>1482</v>
      </c>
      <c r="G451" s="53" t="s">
        <v>1501</v>
      </c>
      <c r="H451" s="49"/>
      <c r="I451" s="3"/>
      <c r="J451" s="3"/>
      <c r="K451" s="3"/>
      <c r="L451" s="3"/>
      <c r="M451" s="3"/>
      <c r="N451" s="3"/>
      <c r="O451" s="3"/>
      <c r="P451" s="3"/>
      <c r="Q451" s="3"/>
      <c r="R451" s="3"/>
      <c r="S451" s="3"/>
      <c r="T451" s="3"/>
      <c r="U451" s="3"/>
      <c r="V451" s="3"/>
      <c r="W451" s="3"/>
      <c r="X451" s="3"/>
      <c r="Y451" s="3"/>
      <c r="Z451" s="3"/>
      <c r="AA451" s="3"/>
      <c r="AB451" s="3"/>
      <c r="AC451" s="3"/>
    </row>
    <row r="452">
      <c r="A452" s="46"/>
      <c r="B452" s="47"/>
      <c r="C452" s="47"/>
      <c r="D452" s="48"/>
      <c r="E452" s="48"/>
      <c r="F452" s="48"/>
      <c r="G452" s="48"/>
      <c r="H452" s="49"/>
      <c r="I452" s="3"/>
      <c r="J452" s="3"/>
      <c r="K452" s="3"/>
      <c r="L452" s="3"/>
      <c r="M452" s="3"/>
      <c r="N452" s="3"/>
      <c r="O452" s="3"/>
      <c r="P452" s="3"/>
      <c r="Q452" s="3"/>
      <c r="R452" s="3"/>
      <c r="S452" s="3"/>
      <c r="T452" s="3"/>
      <c r="U452" s="3"/>
      <c r="V452" s="3"/>
      <c r="W452" s="3"/>
      <c r="X452" s="3"/>
      <c r="Y452" s="3"/>
      <c r="Z452" s="3"/>
      <c r="AA452" s="3"/>
      <c r="AB452" s="3"/>
      <c r="AC452" s="3"/>
    </row>
    <row r="453">
      <c r="A453" s="50"/>
      <c r="B453" s="51">
        <v>50.0</v>
      </c>
      <c r="C453" s="51"/>
      <c r="D453" s="52"/>
      <c r="E453" s="52" t="s">
        <v>1502</v>
      </c>
      <c r="F453" s="52" t="s">
        <v>788</v>
      </c>
      <c r="G453" s="53" t="s">
        <v>1503</v>
      </c>
      <c r="H453" s="49"/>
      <c r="I453" s="3"/>
      <c r="J453" s="3"/>
      <c r="K453" s="3"/>
      <c r="L453" s="3"/>
      <c r="M453" s="3"/>
      <c r="N453" s="3"/>
      <c r="O453" s="3"/>
      <c r="P453" s="3"/>
      <c r="Q453" s="3"/>
      <c r="R453" s="3"/>
      <c r="S453" s="3"/>
      <c r="T453" s="3"/>
      <c r="U453" s="3"/>
      <c r="V453" s="3"/>
      <c r="W453" s="3"/>
      <c r="X453" s="3"/>
      <c r="Y453" s="3"/>
      <c r="Z453" s="3"/>
      <c r="AA453" s="3"/>
      <c r="AB453" s="3"/>
      <c r="AC453" s="3"/>
    </row>
    <row r="454">
      <c r="A454" s="46"/>
      <c r="B454" s="47"/>
      <c r="C454" s="47"/>
      <c r="D454" s="48"/>
      <c r="E454" s="48"/>
      <c r="F454" s="48"/>
      <c r="G454" s="48"/>
      <c r="H454" s="49"/>
      <c r="I454" s="3"/>
      <c r="J454" s="3"/>
      <c r="K454" s="3"/>
      <c r="L454" s="3"/>
      <c r="M454" s="3"/>
      <c r="N454" s="3"/>
      <c r="O454" s="3"/>
      <c r="P454" s="3"/>
      <c r="Q454" s="3"/>
      <c r="R454" s="3"/>
      <c r="S454" s="3"/>
      <c r="T454" s="3"/>
      <c r="U454" s="3"/>
      <c r="V454" s="3"/>
      <c r="W454" s="3"/>
      <c r="X454" s="3"/>
      <c r="Y454" s="3"/>
      <c r="Z454" s="3"/>
      <c r="AA454" s="3"/>
      <c r="AB454" s="3"/>
      <c r="AC454" s="3"/>
    </row>
    <row r="455">
      <c r="A455" s="62"/>
      <c r="B455" s="63" t="s">
        <v>1504</v>
      </c>
      <c r="C455" s="63"/>
      <c r="D455" s="64"/>
      <c r="E455" s="64" t="s">
        <v>1505</v>
      </c>
      <c r="F455" s="65"/>
      <c r="G455" s="65"/>
      <c r="H455" s="65"/>
      <c r="I455" s="3"/>
      <c r="J455" s="3"/>
      <c r="K455" s="3"/>
      <c r="L455" s="3"/>
      <c r="M455" s="3"/>
      <c r="N455" s="3"/>
      <c r="O455" s="3"/>
      <c r="P455" s="3"/>
      <c r="Q455" s="3"/>
      <c r="R455" s="3"/>
      <c r="S455" s="3"/>
      <c r="T455" s="3"/>
      <c r="U455" s="3"/>
      <c r="V455" s="3"/>
      <c r="W455" s="3"/>
      <c r="X455" s="3"/>
      <c r="Y455" s="3"/>
      <c r="Z455" s="3"/>
      <c r="AA455" s="3"/>
      <c r="AB455" s="3"/>
      <c r="AC455" s="3"/>
    </row>
    <row r="456">
      <c r="A456" s="62"/>
      <c r="B456" s="63" t="s">
        <v>1506</v>
      </c>
      <c r="C456" s="63"/>
      <c r="D456" s="64"/>
      <c r="E456" s="64" t="s">
        <v>1507</v>
      </c>
      <c r="F456" s="65"/>
      <c r="G456" s="65"/>
      <c r="H456" s="65"/>
      <c r="I456" s="3"/>
      <c r="J456" s="3"/>
      <c r="K456" s="3"/>
      <c r="L456" s="3"/>
      <c r="M456" s="3"/>
      <c r="N456" s="3"/>
      <c r="O456" s="3"/>
      <c r="P456" s="3"/>
      <c r="Q456" s="3"/>
      <c r="R456" s="3"/>
      <c r="S456" s="3"/>
      <c r="T456" s="3"/>
      <c r="U456" s="3"/>
      <c r="V456" s="3"/>
      <c r="W456" s="3"/>
      <c r="X456" s="3"/>
      <c r="Y456" s="3"/>
      <c r="Z456" s="3"/>
      <c r="AA456" s="3"/>
      <c r="AB456" s="3"/>
      <c r="AC456" s="3"/>
    </row>
    <row r="457">
      <c r="A457" s="50"/>
      <c r="B457" s="51">
        <v>51.0</v>
      </c>
      <c r="C457" s="51"/>
      <c r="D457" s="52"/>
      <c r="E457" s="52" t="s">
        <v>1508</v>
      </c>
      <c r="F457" s="52" t="s">
        <v>788</v>
      </c>
      <c r="G457" s="53" t="s">
        <v>1509</v>
      </c>
      <c r="H457" s="49"/>
      <c r="I457" s="3"/>
      <c r="J457" s="3"/>
      <c r="K457" s="3"/>
      <c r="L457" s="3"/>
      <c r="M457" s="3"/>
      <c r="N457" s="3"/>
      <c r="O457" s="3"/>
      <c r="P457" s="3"/>
      <c r="Q457" s="3"/>
      <c r="R457" s="3"/>
      <c r="S457" s="3"/>
      <c r="T457" s="3"/>
      <c r="U457" s="3"/>
      <c r="V457" s="3"/>
      <c r="W457" s="3"/>
      <c r="X457" s="3"/>
      <c r="Y457" s="3"/>
      <c r="Z457" s="3"/>
      <c r="AA457" s="3"/>
      <c r="AB457" s="3"/>
      <c r="AC457" s="3"/>
    </row>
    <row r="458">
      <c r="A458" s="46"/>
      <c r="B458" s="47"/>
      <c r="C458" s="47"/>
      <c r="D458" s="48"/>
      <c r="E458" s="48"/>
      <c r="F458" s="48"/>
      <c r="G458" s="48"/>
      <c r="H458" s="49"/>
      <c r="I458" s="3"/>
      <c r="J458" s="3"/>
      <c r="K458" s="3"/>
      <c r="L458" s="3"/>
      <c r="M458" s="3"/>
      <c r="N458" s="3"/>
      <c r="O458" s="3"/>
      <c r="P458" s="3"/>
      <c r="Q458" s="3"/>
      <c r="R458" s="3"/>
      <c r="S458" s="3"/>
      <c r="T458" s="3"/>
      <c r="U458" s="3"/>
      <c r="V458" s="3"/>
      <c r="W458" s="3"/>
      <c r="X458" s="3"/>
      <c r="Y458" s="3"/>
      <c r="Z458" s="3"/>
      <c r="AA458" s="3"/>
      <c r="AB458" s="3"/>
      <c r="AC458" s="3"/>
    </row>
    <row r="459">
      <c r="A459" s="50"/>
      <c r="B459" s="51">
        <v>52.0</v>
      </c>
      <c r="C459" s="51"/>
      <c r="D459" s="52"/>
      <c r="E459" s="52" t="s">
        <v>1510</v>
      </c>
      <c r="F459" s="52" t="s">
        <v>1511</v>
      </c>
      <c r="G459" s="53" t="s">
        <v>1512</v>
      </c>
      <c r="H459" s="49"/>
      <c r="I459" s="3"/>
      <c r="J459" s="3"/>
      <c r="K459" s="3"/>
      <c r="L459" s="3"/>
      <c r="M459" s="3"/>
      <c r="N459" s="3"/>
      <c r="O459" s="3"/>
      <c r="P459" s="3"/>
      <c r="Q459" s="3"/>
      <c r="R459" s="3"/>
      <c r="S459" s="3"/>
      <c r="T459" s="3"/>
      <c r="U459" s="3"/>
      <c r="V459" s="3"/>
      <c r="W459" s="3"/>
      <c r="X459" s="3"/>
      <c r="Y459" s="3"/>
      <c r="Z459" s="3"/>
      <c r="AA459" s="3"/>
      <c r="AB459" s="3"/>
      <c r="AC459" s="3"/>
    </row>
    <row r="460">
      <c r="A460" s="61"/>
      <c r="B460" s="49"/>
      <c r="C460" s="49"/>
      <c r="D460" s="58"/>
      <c r="E460" s="58"/>
      <c r="F460" s="58"/>
      <c r="G460" s="58"/>
      <c r="H460" s="49"/>
      <c r="I460" s="3"/>
      <c r="J460" s="3"/>
      <c r="K460" s="3"/>
      <c r="L460" s="3"/>
      <c r="M460" s="3"/>
      <c r="N460" s="3"/>
      <c r="O460" s="3"/>
      <c r="P460" s="3"/>
      <c r="Q460" s="3"/>
      <c r="R460" s="3"/>
      <c r="S460" s="3"/>
      <c r="T460" s="3"/>
      <c r="U460" s="3"/>
      <c r="V460" s="3"/>
      <c r="W460" s="3"/>
      <c r="X460" s="3"/>
      <c r="Y460" s="3"/>
      <c r="Z460" s="3"/>
      <c r="AA460" s="3"/>
      <c r="AB460" s="3"/>
      <c r="AC460" s="3"/>
    </row>
    <row r="461">
      <c r="A461" s="50"/>
      <c r="B461" s="51">
        <v>53.0</v>
      </c>
      <c r="C461" s="51"/>
      <c r="D461" s="52"/>
      <c r="E461" s="52" t="s">
        <v>1513</v>
      </c>
      <c r="F461" s="52" t="s">
        <v>1514</v>
      </c>
      <c r="G461" s="53" t="s">
        <v>1515</v>
      </c>
      <c r="H461" s="49"/>
      <c r="I461" s="3"/>
      <c r="J461" s="3"/>
      <c r="K461" s="3"/>
      <c r="L461" s="3"/>
      <c r="M461" s="3"/>
      <c r="N461" s="3"/>
      <c r="O461" s="3"/>
      <c r="P461" s="3"/>
      <c r="Q461" s="3"/>
      <c r="R461" s="3"/>
      <c r="S461" s="3"/>
      <c r="T461" s="3"/>
      <c r="U461" s="3"/>
      <c r="V461" s="3"/>
      <c r="W461" s="3"/>
      <c r="X461" s="3"/>
      <c r="Y461" s="3"/>
      <c r="Z461" s="3"/>
      <c r="AA461" s="3"/>
      <c r="AB461" s="3"/>
      <c r="AC461" s="3"/>
    </row>
    <row r="462">
      <c r="A462" s="61"/>
      <c r="B462" s="49"/>
      <c r="C462" s="49"/>
      <c r="D462" s="58"/>
      <c r="E462" s="58"/>
      <c r="F462" s="58"/>
      <c r="G462" s="58"/>
      <c r="H462" s="49"/>
      <c r="I462" s="3"/>
      <c r="J462" s="3"/>
      <c r="K462" s="3"/>
      <c r="L462" s="3"/>
      <c r="M462" s="3"/>
      <c r="N462" s="3"/>
      <c r="O462" s="3"/>
      <c r="P462" s="3"/>
      <c r="Q462" s="3"/>
      <c r="R462" s="3"/>
      <c r="S462" s="3"/>
      <c r="T462" s="3"/>
      <c r="U462" s="3"/>
      <c r="V462" s="3"/>
      <c r="W462" s="3"/>
      <c r="X462" s="3"/>
      <c r="Y462" s="3"/>
      <c r="Z462" s="3"/>
      <c r="AA462" s="3"/>
      <c r="AB462" s="3"/>
      <c r="AC462" s="3"/>
    </row>
    <row r="463">
      <c r="A463" s="50"/>
      <c r="B463" s="51">
        <v>54.0</v>
      </c>
      <c r="C463" s="51"/>
      <c r="D463" s="52"/>
      <c r="E463" s="52" t="s">
        <v>1516</v>
      </c>
      <c r="F463" s="52" t="s">
        <v>788</v>
      </c>
      <c r="G463" s="53" t="s">
        <v>1517</v>
      </c>
      <c r="H463" s="49"/>
      <c r="I463" s="3"/>
      <c r="J463" s="3"/>
      <c r="K463" s="3"/>
      <c r="L463" s="3"/>
      <c r="M463" s="3"/>
      <c r="N463" s="3"/>
      <c r="O463" s="3"/>
      <c r="P463" s="3"/>
      <c r="Q463" s="3"/>
      <c r="R463" s="3"/>
      <c r="S463" s="3"/>
      <c r="T463" s="3"/>
      <c r="U463" s="3"/>
      <c r="V463" s="3"/>
      <c r="W463" s="3"/>
      <c r="X463" s="3"/>
      <c r="Y463" s="3"/>
      <c r="Z463" s="3"/>
      <c r="AA463" s="3"/>
      <c r="AB463" s="3"/>
      <c r="AC463" s="3"/>
    </row>
    <row r="464">
      <c r="A464" s="46"/>
      <c r="B464" s="47"/>
      <c r="C464" s="47"/>
      <c r="D464" s="48"/>
      <c r="E464" s="48"/>
      <c r="F464" s="48"/>
      <c r="G464" s="48"/>
      <c r="H464" s="49"/>
      <c r="I464" s="3"/>
      <c r="J464" s="3"/>
      <c r="K464" s="3"/>
      <c r="L464" s="3"/>
      <c r="M464" s="3"/>
      <c r="N464" s="3"/>
      <c r="O464" s="3"/>
      <c r="P464" s="3"/>
      <c r="Q464" s="3"/>
      <c r="R464" s="3"/>
      <c r="S464" s="3"/>
      <c r="T464" s="3"/>
      <c r="U464" s="3"/>
      <c r="V464" s="3"/>
      <c r="W464" s="3"/>
      <c r="X464" s="3"/>
      <c r="Y464" s="3"/>
      <c r="Z464" s="3"/>
      <c r="AA464" s="3"/>
      <c r="AB464" s="3"/>
      <c r="AC464" s="3"/>
    </row>
    <row r="465">
      <c r="A465" s="50"/>
      <c r="B465" s="51">
        <v>55.0</v>
      </c>
      <c r="C465" s="51"/>
      <c r="D465" s="52"/>
      <c r="E465" s="52" t="s">
        <v>1518</v>
      </c>
      <c r="F465" s="52" t="s">
        <v>788</v>
      </c>
      <c r="G465" s="53" t="s">
        <v>1519</v>
      </c>
      <c r="H465" s="49"/>
      <c r="I465" s="3"/>
      <c r="J465" s="3"/>
      <c r="K465" s="3"/>
      <c r="L465" s="3"/>
      <c r="M465" s="3"/>
      <c r="N465" s="3"/>
      <c r="O465" s="3"/>
      <c r="P465" s="3"/>
      <c r="Q465" s="3"/>
      <c r="R465" s="3"/>
      <c r="S465" s="3"/>
      <c r="T465" s="3"/>
      <c r="U465" s="3"/>
      <c r="V465" s="3"/>
      <c r="W465" s="3"/>
      <c r="X465" s="3"/>
      <c r="Y465" s="3"/>
      <c r="Z465" s="3"/>
      <c r="AA465" s="3"/>
      <c r="AB465" s="3"/>
      <c r="AC465" s="3"/>
    </row>
    <row r="466">
      <c r="A466" s="46"/>
      <c r="B466" s="47"/>
      <c r="C466" s="47"/>
      <c r="D466" s="48"/>
      <c r="E466" s="48"/>
      <c r="F466" s="48"/>
      <c r="G466" s="48"/>
      <c r="H466" s="49"/>
      <c r="I466" s="3"/>
      <c r="J466" s="3"/>
      <c r="K466" s="3"/>
      <c r="L466" s="3"/>
      <c r="M466" s="3"/>
      <c r="N466" s="3"/>
      <c r="O466" s="3"/>
      <c r="P466" s="3"/>
      <c r="Q466" s="3"/>
      <c r="R466" s="3"/>
      <c r="S466" s="3"/>
      <c r="T466" s="3"/>
      <c r="U466" s="3"/>
      <c r="V466" s="3"/>
      <c r="W466" s="3"/>
      <c r="X466" s="3"/>
      <c r="Y466" s="3"/>
      <c r="Z466" s="3"/>
      <c r="AA466" s="3"/>
      <c r="AB466" s="3"/>
      <c r="AC466" s="3"/>
    </row>
    <row r="467">
      <c r="A467" s="50"/>
      <c r="B467" s="51">
        <v>56.0</v>
      </c>
      <c r="C467" s="51"/>
      <c r="D467" s="52"/>
      <c r="E467" s="52" t="s">
        <v>1520</v>
      </c>
      <c r="F467" s="52" t="s">
        <v>788</v>
      </c>
      <c r="G467" s="53" t="s">
        <v>1521</v>
      </c>
      <c r="H467" s="49"/>
      <c r="I467" s="3"/>
      <c r="J467" s="3"/>
      <c r="K467" s="3"/>
      <c r="L467" s="3"/>
      <c r="M467" s="3"/>
      <c r="N467" s="3"/>
      <c r="O467" s="3"/>
      <c r="P467" s="3"/>
      <c r="Q467" s="3"/>
      <c r="R467" s="3"/>
      <c r="S467" s="3"/>
      <c r="T467" s="3"/>
      <c r="U467" s="3"/>
      <c r="V467" s="3"/>
      <c r="W467" s="3"/>
      <c r="X467" s="3"/>
      <c r="Y467" s="3"/>
      <c r="Z467" s="3"/>
      <c r="AA467" s="3"/>
      <c r="AB467" s="3"/>
      <c r="AC467" s="3"/>
    </row>
    <row r="468">
      <c r="A468" s="46"/>
      <c r="B468" s="47"/>
      <c r="C468" s="47"/>
      <c r="D468" s="48"/>
      <c r="E468" s="48"/>
      <c r="F468" s="48"/>
      <c r="G468" s="48"/>
      <c r="H468" s="49"/>
      <c r="I468" s="3"/>
      <c r="J468" s="3"/>
      <c r="K468" s="3"/>
      <c r="L468" s="3"/>
      <c r="M468" s="3"/>
      <c r="N468" s="3"/>
      <c r="O468" s="3"/>
      <c r="P468" s="3"/>
      <c r="Q468" s="3"/>
      <c r="R468" s="3"/>
      <c r="S468" s="3"/>
      <c r="T468" s="3"/>
      <c r="U468" s="3"/>
      <c r="V468" s="3"/>
      <c r="W468" s="3"/>
      <c r="X468" s="3"/>
      <c r="Y468" s="3"/>
      <c r="Z468" s="3"/>
      <c r="AA468" s="3"/>
      <c r="AB468" s="3"/>
      <c r="AC468" s="3"/>
    </row>
    <row r="469">
      <c r="A469" s="50"/>
      <c r="B469" s="51">
        <v>57.0</v>
      </c>
      <c r="C469" s="51"/>
      <c r="D469" s="52"/>
      <c r="E469" s="52" t="s">
        <v>1522</v>
      </c>
      <c r="F469" s="52" t="s">
        <v>788</v>
      </c>
      <c r="G469" s="53" t="s">
        <v>1523</v>
      </c>
      <c r="H469" s="3"/>
      <c r="I469" s="3"/>
      <c r="J469" s="49"/>
      <c r="K469" s="3"/>
      <c r="L469" s="3"/>
      <c r="M469" s="3"/>
      <c r="N469" s="3"/>
      <c r="O469" s="3"/>
      <c r="P469" s="3"/>
      <c r="Q469" s="3"/>
      <c r="R469" s="3"/>
      <c r="S469" s="3"/>
      <c r="T469" s="3"/>
      <c r="U469" s="3"/>
      <c r="V469" s="3"/>
      <c r="W469" s="3"/>
      <c r="X469" s="3"/>
      <c r="Y469" s="3"/>
      <c r="Z469" s="3"/>
      <c r="AA469" s="3"/>
      <c r="AB469" s="3"/>
      <c r="AC469" s="3"/>
    </row>
    <row r="470">
      <c r="A470" s="46"/>
      <c r="B470" s="47"/>
      <c r="C470" s="47"/>
      <c r="D470" s="48"/>
      <c r="E470" s="48"/>
      <c r="F470" s="48"/>
      <c r="G470" s="48"/>
      <c r="H470" s="3"/>
      <c r="I470" s="3"/>
      <c r="J470" s="49"/>
      <c r="K470" s="3"/>
      <c r="L470" s="3"/>
      <c r="M470" s="3"/>
      <c r="N470" s="3"/>
      <c r="O470" s="3"/>
      <c r="P470" s="3"/>
      <c r="Q470" s="3"/>
      <c r="R470" s="3"/>
      <c r="S470" s="3"/>
      <c r="T470" s="3"/>
      <c r="U470" s="3"/>
      <c r="V470" s="3"/>
      <c r="W470" s="3"/>
      <c r="X470" s="3"/>
      <c r="Y470" s="3"/>
      <c r="Z470" s="3"/>
      <c r="AA470" s="3"/>
      <c r="AB470" s="3"/>
      <c r="AC470" s="3"/>
    </row>
    <row r="471">
      <c r="A471" s="50"/>
      <c r="B471" s="51">
        <v>58.0</v>
      </c>
      <c r="C471" s="51"/>
      <c r="D471" s="52"/>
      <c r="E471" s="52" t="s">
        <v>1524</v>
      </c>
      <c r="F471" s="52" t="s">
        <v>29</v>
      </c>
      <c r="G471" s="53" t="s">
        <v>1525</v>
      </c>
      <c r="H471" s="3"/>
      <c r="I471" s="3"/>
      <c r="J471" s="49"/>
      <c r="K471" s="3"/>
      <c r="L471" s="3"/>
      <c r="M471" s="3"/>
      <c r="N471" s="3"/>
      <c r="O471" s="3"/>
      <c r="P471" s="3"/>
      <c r="Q471" s="3"/>
      <c r="R471" s="3"/>
      <c r="S471" s="3"/>
      <c r="T471" s="3"/>
      <c r="U471" s="3"/>
      <c r="V471" s="3"/>
      <c r="W471" s="3"/>
      <c r="X471" s="3"/>
      <c r="Y471" s="3"/>
      <c r="Z471" s="3"/>
      <c r="AA471" s="3"/>
      <c r="AB471" s="3"/>
      <c r="AC471" s="3"/>
    </row>
    <row r="472">
      <c r="A472" s="46"/>
      <c r="B472" s="47"/>
      <c r="C472" s="47"/>
      <c r="D472" s="48"/>
      <c r="E472" s="48"/>
      <c r="F472" s="48"/>
      <c r="G472" s="48"/>
      <c r="H472" s="3"/>
      <c r="I472" s="3"/>
      <c r="J472" s="49"/>
      <c r="K472" s="3"/>
      <c r="L472" s="3"/>
      <c r="M472" s="3"/>
      <c r="N472" s="3"/>
      <c r="O472" s="3"/>
      <c r="P472" s="3"/>
      <c r="Q472" s="3"/>
      <c r="R472" s="3"/>
      <c r="S472" s="3"/>
      <c r="T472" s="3"/>
      <c r="U472" s="3"/>
      <c r="V472" s="3"/>
      <c r="W472" s="3"/>
      <c r="X472" s="3"/>
      <c r="Y472" s="3"/>
      <c r="Z472" s="3"/>
      <c r="AA472" s="3"/>
      <c r="AB472" s="3"/>
      <c r="AC472" s="3"/>
    </row>
    <row r="473">
      <c r="A473" s="50"/>
      <c r="B473" s="51">
        <v>59.0</v>
      </c>
      <c r="C473" s="51"/>
      <c r="D473" s="52"/>
      <c r="E473" s="52" t="s">
        <v>1526</v>
      </c>
      <c r="F473" s="52" t="s">
        <v>1527</v>
      </c>
      <c r="G473" s="53" t="s">
        <v>1528</v>
      </c>
      <c r="H473" s="3"/>
      <c r="I473" s="3"/>
      <c r="J473" s="49"/>
      <c r="K473" s="3"/>
      <c r="L473" s="3"/>
      <c r="M473" s="3"/>
      <c r="N473" s="3"/>
      <c r="O473" s="3"/>
      <c r="P473" s="3"/>
      <c r="Q473" s="3"/>
      <c r="R473" s="3"/>
      <c r="S473" s="3"/>
      <c r="T473" s="3"/>
      <c r="U473" s="3"/>
      <c r="V473" s="3"/>
      <c r="W473" s="3"/>
      <c r="X473" s="3"/>
      <c r="Y473" s="3"/>
      <c r="Z473" s="3"/>
      <c r="AA473" s="3"/>
      <c r="AB473" s="3"/>
      <c r="AC473" s="3"/>
    </row>
    <row r="474">
      <c r="A474" s="46"/>
      <c r="B474" s="47"/>
      <c r="C474" s="47"/>
      <c r="D474" s="48"/>
      <c r="E474" s="48"/>
      <c r="F474" s="48"/>
      <c r="G474" s="48"/>
      <c r="H474" s="3"/>
      <c r="I474" s="3"/>
      <c r="J474" s="49"/>
      <c r="K474" s="3"/>
      <c r="L474" s="3"/>
      <c r="M474" s="3"/>
      <c r="N474" s="3"/>
      <c r="O474" s="3"/>
      <c r="P474" s="3"/>
      <c r="Q474" s="3"/>
      <c r="R474" s="3"/>
      <c r="S474" s="3"/>
      <c r="T474" s="3"/>
      <c r="U474" s="3"/>
      <c r="V474" s="3"/>
      <c r="W474" s="3"/>
      <c r="X474" s="3"/>
      <c r="Y474" s="3"/>
      <c r="Z474" s="3"/>
      <c r="AA474" s="3"/>
      <c r="AB474" s="3"/>
      <c r="AC474" s="3"/>
    </row>
    <row r="475">
      <c r="A475" s="50"/>
      <c r="B475" s="51">
        <v>60.0</v>
      </c>
      <c r="C475" s="51"/>
      <c r="D475" s="52"/>
      <c r="E475" s="52" t="s">
        <v>1529</v>
      </c>
      <c r="F475" s="52" t="s">
        <v>1482</v>
      </c>
      <c r="G475" s="53" t="s">
        <v>1530</v>
      </c>
      <c r="H475" s="3"/>
      <c r="I475" s="3"/>
      <c r="J475" s="49"/>
      <c r="K475" s="3"/>
      <c r="L475" s="3"/>
      <c r="M475" s="3"/>
      <c r="N475" s="3"/>
      <c r="O475" s="3"/>
      <c r="P475" s="3"/>
      <c r="Q475" s="3"/>
      <c r="R475" s="3"/>
      <c r="S475" s="3"/>
      <c r="T475" s="3"/>
      <c r="U475" s="3"/>
      <c r="V475" s="3"/>
      <c r="W475" s="3"/>
      <c r="X475" s="3"/>
      <c r="Y475" s="3"/>
      <c r="Z475" s="3"/>
      <c r="AA475" s="3"/>
      <c r="AB475" s="3"/>
      <c r="AC475" s="3"/>
    </row>
    <row r="476">
      <c r="A476" s="46"/>
      <c r="B476" s="47"/>
      <c r="C476" s="47"/>
      <c r="D476" s="48"/>
      <c r="E476" s="48"/>
      <c r="F476" s="48"/>
      <c r="G476" s="48"/>
      <c r="H476" s="3"/>
      <c r="I476" s="3"/>
      <c r="J476" s="49"/>
      <c r="K476" s="3"/>
      <c r="L476" s="3"/>
      <c r="M476" s="3"/>
      <c r="N476" s="3"/>
      <c r="O476" s="3"/>
      <c r="P476" s="3"/>
      <c r="Q476" s="3"/>
      <c r="R476" s="3"/>
      <c r="S476" s="3"/>
      <c r="T476" s="3"/>
      <c r="U476" s="3"/>
      <c r="V476" s="3"/>
      <c r="W476" s="3"/>
      <c r="X476" s="3"/>
      <c r="Y476" s="3"/>
      <c r="Z476" s="3"/>
      <c r="AA476" s="3"/>
      <c r="AB476" s="3"/>
      <c r="AC476" s="3"/>
    </row>
    <row r="477">
      <c r="A477" s="50"/>
      <c r="B477" s="51">
        <v>61.0</v>
      </c>
      <c r="C477" s="51"/>
      <c r="D477" s="52"/>
      <c r="E477" s="52" t="s">
        <v>1531</v>
      </c>
      <c r="F477" s="52" t="s">
        <v>1527</v>
      </c>
      <c r="G477" s="53" t="s">
        <v>1532</v>
      </c>
      <c r="H477" s="3"/>
      <c r="I477" s="3"/>
      <c r="J477" s="49"/>
      <c r="K477" s="3"/>
      <c r="L477" s="3"/>
      <c r="M477" s="3"/>
      <c r="N477" s="3"/>
      <c r="O477" s="3"/>
      <c r="P477" s="3"/>
      <c r="Q477" s="3"/>
      <c r="R477" s="3"/>
      <c r="S477" s="3"/>
      <c r="T477" s="3"/>
      <c r="U477" s="3"/>
      <c r="V477" s="3"/>
      <c r="W477" s="3"/>
      <c r="X477" s="3"/>
      <c r="Y477" s="3"/>
      <c r="Z477" s="3"/>
      <c r="AA477" s="3"/>
      <c r="AB477" s="3"/>
      <c r="AC477" s="3"/>
    </row>
    <row r="478">
      <c r="A478" s="46"/>
      <c r="B478" s="47"/>
      <c r="C478" s="47"/>
      <c r="D478" s="48"/>
      <c r="E478" s="48"/>
      <c r="F478" s="48"/>
      <c r="G478" s="48"/>
      <c r="H478" s="3"/>
      <c r="I478" s="3"/>
      <c r="J478" s="49"/>
      <c r="K478" s="3"/>
      <c r="L478" s="3"/>
      <c r="M478" s="3"/>
      <c r="N478" s="3"/>
      <c r="O478" s="3"/>
      <c r="P478" s="3"/>
      <c r="Q478" s="3"/>
      <c r="R478" s="3"/>
      <c r="S478" s="3"/>
      <c r="T478" s="3"/>
      <c r="U478" s="3"/>
      <c r="V478" s="3"/>
      <c r="W478" s="3"/>
      <c r="X478" s="3"/>
      <c r="Y478" s="3"/>
      <c r="Z478" s="3"/>
      <c r="AA478" s="3"/>
      <c r="AB478" s="3"/>
      <c r="AC478" s="3"/>
    </row>
    <row r="479">
      <c r="A479" s="50"/>
      <c r="B479" s="51">
        <v>62.0</v>
      </c>
      <c r="C479" s="51"/>
      <c r="D479" s="52"/>
      <c r="E479" s="52" t="s">
        <v>1533</v>
      </c>
      <c r="F479" s="52" t="s">
        <v>1527</v>
      </c>
      <c r="G479" s="53" t="s">
        <v>1534</v>
      </c>
      <c r="H479" s="3"/>
      <c r="I479" s="3"/>
      <c r="J479" s="49"/>
      <c r="K479" s="3"/>
      <c r="L479" s="3"/>
      <c r="M479" s="3"/>
      <c r="N479" s="3"/>
      <c r="O479" s="3"/>
      <c r="P479" s="3"/>
      <c r="Q479" s="3"/>
      <c r="R479" s="3"/>
      <c r="S479" s="3"/>
      <c r="T479" s="3"/>
      <c r="U479" s="3"/>
      <c r="V479" s="3"/>
      <c r="W479" s="3"/>
      <c r="X479" s="3"/>
      <c r="Y479" s="3"/>
      <c r="Z479" s="3"/>
      <c r="AA479" s="3"/>
      <c r="AB479" s="3"/>
      <c r="AC479" s="3"/>
    </row>
    <row r="480">
      <c r="A480" s="46"/>
      <c r="B480" s="47"/>
      <c r="C480" s="47"/>
      <c r="D480" s="48"/>
      <c r="E480" s="48"/>
      <c r="F480" s="48"/>
      <c r="G480" s="48"/>
      <c r="H480" s="3"/>
      <c r="I480" s="3"/>
      <c r="J480" s="49"/>
      <c r="K480" s="3"/>
      <c r="L480" s="3"/>
      <c r="M480" s="3"/>
      <c r="N480" s="3"/>
      <c r="O480" s="3"/>
      <c r="P480" s="3"/>
      <c r="Q480" s="3"/>
      <c r="R480" s="3"/>
      <c r="S480" s="3"/>
      <c r="T480" s="3"/>
      <c r="U480" s="3"/>
      <c r="V480" s="3"/>
      <c r="W480" s="3"/>
      <c r="X480" s="3"/>
      <c r="Y480" s="3"/>
      <c r="Z480" s="3"/>
      <c r="AA480" s="3"/>
      <c r="AB480" s="3"/>
      <c r="AC480" s="3"/>
    </row>
    <row r="481">
      <c r="A481" s="50"/>
      <c r="B481" s="51">
        <v>63.0</v>
      </c>
      <c r="C481" s="51"/>
      <c r="D481" s="52"/>
      <c r="E481" s="52" t="s">
        <v>1535</v>
      </c>
      <c r="F481" s="52" t="s">
        <v>1536</v>
      </c>
      <c r="G481" s="53" t="s">
        <v>1537</v>
      </c>
      <c r="H481" s="3"/>
      <c r="I481" s="3"/>
      <c r="J481" s="49"/>
      <c r="K481" s="3"/>
      <c r="L481" s="3"/>
      <c r="M481" s="3"/>
      <c r="N481" s="3"/>
      <c r="O481" s="3"/>
      <c r="P481" s="3"/>
      <c r="Q481" s="3"/>
      <c r="R481" s="3"/>
      <c r="S481" s="3"/>
      <c r="T481" s="3"/>
      <c r="U481" s="3"/>
      <c r="V481" s="3"/>
      <c r="W481" s="3"/>
      <c r="X481" s="3"/>
      <c r="Y481" s="3"/>
      <c r="Z481" s="3"/>
      <c r="AA481" s="3"/>
      <c r="AB481" s="3"/>
      <c r="AC481" s="3"/>
    </row>
    <row r="482">
      <c r="A482" s="46"/>
      <c r="B482" s="47"/>
      <c r="C482" s="47"/>
      <c r="D482" s="48"/>
      <c r="E482" s="48"/>
      <c r="F482" s="48"/>
      <c r="G482" s="48"/>
      <c r="H482" s="3"/>
      <c r="I482" s="3"/>
      <c r="J482" s="49"/>
      <c r="K482" s="3"/>
      <c r="L482" s="3"/>
      <c r="M482" s="3"/>
      <c r="N482" s="3"/>
      <c r="O482" s="3"/>
      <c r="P482" s="3"/>
      <c r="Q482" s="3"/>
      <c r="R482" s="3"/>
      <c r="S482" s="3"/>
      <c r="T482" s="3"/>
      <c r="U482" s="3"/>
      <c r="V482" s="3"/>
      <c r="W482" s="3"/>
      <c r="X482" s="3"/>
      <c r="Y482" s="3"/>
      <c r="Z482" s="3"/>
      <c r="AA482" s="3"/>
      <c r="AB482" s="3"/>
      <c r="AC482" s="3"/>
    </row>
    <row r="483">
      <c r="A483" s="50"/>
      <c r="B483" s="51">
        <v>64.0</v>
      </c>
      <c r="C483" s="51"/>
      <c r="D483" s="52"/>
      <c r="E483" s="52" t="s">
        <v>1538</v>
      </c>
      <c r="F483" s="52" t="s">
        <v>1511</v>
      </c>
      <c r="G483" s="53" t="s">
        <v>1539</v>
      </c>
      <c r="H483" s="49"/>
      <c r="I483" s="3"/>
      <c r="J483" s="3"/>
      <c r="K483" s="3"/>
      <c r="L483" s="3"/>
      <c r="M483" s="3"/>
      <c r="N483" s="3"/>
      <c r="O483" s="3"/>
      <c r="P483" s="3"/>
      <c r="Q483" s="3"/>
      <c r="R483" s="3"/>
      <c r="S483" s="3"/>
      <c r="T483" s="3"/>
      <c r="U483" s="3"/>
      <c r="V483" s="3"/>
      <c r="W483" s="3"/>
      <c r="X483" s="3"/>
      <c r="Y483" s="3"/>
      <c r="Z483" s="3"/>
      <c r="AA483" s="3"/>
      <c r="AB483" s="3"/>
      <c r="AC483" s="3"/>
    </row>
    <row r="484">
      <c r="A484" s="61"/>
      <c r="B484" s="49"/>
      <c r="C484" s="49"/>
      <c r="D484" s="58"/>
      <c r="E484" s="58"/>
      <c r="F484" s="58"/>
      <c r="G484" s="58"/>
      <c r="H484" s="49"/>
      <c r="I484" s="3"/>
      <c r="J484" s="3"/>
      <c r="K484" s="3"/>
      <c r="L484" s="3"/>
      <c r="M484" s="3"/>
      <c r="N484" s="3"/>
      <c r="O484" s="3"/>
      <c r="P484" s="3"/>
      <c r="Q484" s="3"/>
      <c r="R484" s="3"/>
      <c r="S484" s="3"/>
      <c r="T484" s="3"/>
      <c r="U484" s="3"/>
      <c r="V484" s="3"/>
      <c r="W484" s="3"/>
      <c r="X484" s="3"/>
      <c r="Y484" s="3"/>
      <c r="Z484" s="3"/>
      <c r="AA484" s="3"/>
      <c r="AB484" s="3"/>
      <c r="AC484" s="3"/>
    </row>
    <row r="485">
      <c r="A485" s="50"/>
      <c r="B485" s="51">
        <v>65.0</v>
      </c>
      <c r="C485" s="51"/>
      <c r="D485" s="52"/>
      <c r="E485" s="52" t="s">
        <v>1540</v>
      </c>
      <c r="F485" s="52" t="s">
        <v>1482</v>
      </c>
      <c r="G485" s="53" t="s">
        <v>1541</v>
      </c>
      <c r="H485" s="49"/>
      <c r="I485" s="3"/>
      <c r="J485" s="3"/>
      <c r="K485" s="3"/>
      <c r="L485" s="3"/>
      <c r="M485" s="3"/>
      <c r="N485" s="3"/>
      <c r="O485" s="3"/>
      <c r="P485" s="3"/>
      <c r="Q485" s="3"/>
      <c r="R485" s="3"/>
      <c r="S485" s="3"/>
      <c r="T485" s="3"/>
      <c r="U485" s="3"/>
      <c r="V485" s="3"/>
      <c r="W485" s="3"/>
      <c r="X485" s="3"/>
      <c r="Y485" s="3"/>
      <c r="Z485" s="3"/>
      <c r="AA485" s="3"/>
      <c r="AB485" s="3"/>
      <c r="AC485" s="3"/>
    </row>
    <row r="486">
      <c r="A486" s="61"/>
      <c r="B486" s="49"/>
      <c r="C486" s="49"/>
      <c r="D486" s="58"/>
      <c r="E486" s="58"/>
      <c r="F486" s="58"/>
      <c r="G486" s="58"/>
      <c r="H486" s="49"/>
      <c r="I486" s="3"/>
      <c r="J486" s="3"/>
      <c r="K486" s="3"/>
      <c r="L486" s="3"/>
      <c r="M486" s="3"/>
      <c r="N486" s="3"/>
      <c r="O486" s="3"/>
      <c r="P486" s="3"/>
      <c r="Q486" s="3"/>
      <c r="R486" s="3"/>
      <c r="S486" s="3"/>
      <c r="T486" s="3"/>
      <c r="U486" s="3"/>
      <c r="V486" s="3"/>
      <c r="W486" s="3"/>
      <c r="X486" s="3"/>
      <c r="Y486" s="3"/>
      <c r="Z486" s="3"/>
      <c r="AA486" s="3"/>
      <c r="AB486" s="3"/>
      <c r="AC486" s="3"/>
    </row>
    <row r="487">
      <c r="A487" s="50"/>
      <c r="B487" s="51">
        <v>66.0</v>
      </c>
      <c r="C487" s="51"/>
      <c r="D487" s="52"/>
      <c r="E487" s="52" t="s">
        <v>1542</v>
      </c>
      <c r="F487" s="52" t="s">
        <v>788</v>
      </c>
      <c r="G487" s="53" t="s">
        <v>1543</v>
      </c>
      <c r="H487" s="49"/>
      <c r="I487" s="3"/>
      <c r="J487" s="3"/>
      <c r="K487" s="3"/>
      <c r="L487" s="3"/>
      <c r="M487" s="3"/>
      <c r="N487" s="3"/>
      <c r="O487" s="3"/>
      <c r="P487" s="3"/>
      <c r="Q487" s="3"/>
      <c r="R487" s="3"/>
      <c r="S487" s="3"/>
      <c r="T487" s="3"/>
      <c r="U487" s="3"/>
      <c r="V487" s="3"/>
      <c r="W487" s="3"/>
      <c r="X487" s="3"/>
      <c r="Y487" s="3"/>
      <c r="Z487" s="3"/>
      <c r="AA487" s="3"/>
      <c r="AB487" s="3"/>
      <c r="AC487" s="3"/>
    </row>
    <row r="488">
      <c r="A488" s="46"/>
      <c r="B488" s="47"/>
      <c r="C488" s="47"/>
      <c r="D488" s="48"/>
      <c r="E488" s="48"/>
      <c r="F488" s="48"/>
      <c r="G488" s="48"/>
      <c r="H488" s="49"/>
      <c r="I488" s="3"/>
      <c r="J488" s="3"/>
      <c r="K488" s="3"/>
      <c r="L488" s="3"/>
      <c r="M488" s="3"/>
      <c r="N488" s="3"/>
      <c r="O488" s="3"/>
      <c r="P488" s="3"/>
      <c r="Q488" s="3"/>
      <c r="R488" s="3"/>
      <c r="S488" s="3"/>
      <c r="T488" s="3"/>
      <c r="U488" s="3"/>
      <c r="V488" s="3"/>
      <c r="W488" s="3"/>
      <c r="X488" s="3"/>
      <c r="Y488" s="3"/>
      <c r="Z488" s="3"/>
      <c r="AA488" s="3"/>
      <c r="AB488" s="3"/>
      <c r="AC488" s="3"/>
    </row>
    <row r="489">
      <c r="A489" s="50"/>
      <c r="B489" s="51">
        <v>67.0</v>
      </c>
      <c r="C489" s="51"/>
      <c r="D489" s="52"/>
      <c r="E489" s="52" t="s">
        <v>1544</v>
      </c>
      <c r="F489" s="52" t="s">
        <v>1545</v>
      </c>
      <c r="G489" s="53" t="s">
        <v>1546</v>
      </c>
      <c r="H489" s="49"/>
      <c r="I489" s="3"/>
      <c r="J489" s="3"/>
      <c r="K489" s="3"/>
      <c r="L489" s="3"/>
      <c r="M489" s="3"/>
      <c r="N489" s="3"/>
      <c r="O489" s="3"/>
      <c r="P489" s="3"/>
      <c r="Q489" s="3"/>
      <c r="R489" s="3"/>
      <c r="S489" s="3"/>
      <c r="T489" s="3"/>
      <c r="U489" s="3"/>
      <c r="V489" s="3"/>
      <c r="W489" s="3"/>
      <c r="X489" s="3"/>
      <c r="Y489" s="3"/>
      <c r="Z489" s="3"/>
      <c r="AA489" s="3"/>
      <c r="AB489" s="3"/>
      <c r="AC489" s="3"/>
    </row>
    <row r="490">
      <c r="A490" s="46"/>
      <c r="B490" s="47"/>
      <c r="C490" s="47"/>
      <c r="D490" s="48"/>
      <c r="E490" s="48"/>
      <c r="F490" s="48"/>
      <c r="G490" s="48"/>
      <c r="H490" s="49"/>
      <c r="I490" s="3"/>
      <c r="J490" s="3"/>
      <c r="K490" s="3"/>
      <c r="L490" s="3"/>
      <c r="M490" s="3"/>
      <c r="N490" s="3"/>
      <c r="O490" s="3"/>
      <c r="P490" s="3"/>
      <c r="Q490" s="3"/>
      <c r="R490" s="3"/>
      <c r="S490" s="3"/>
      <c r="T490" s="3"/>
      <c r="U490" s="3"/>
      <c r="V490" s="3"/>
      <c r="W490" s="3"/>
      <c r="X490" s="3"/>
      <c r="Y490" s="3"/>
      <c r="Z490" s="3"/>
      <c r="AA490" s="3"/>
      <c r="AB490" s="3"/>
      <c r="AC490" s="3"/>
    </row>
    <row r="491">
      <c r="A491" s="62"/>
      <c r="B491" s="63" t="s">
        <v>1547</v>
      </c>
      <c r="C491" s="63"/>
      <c r="D491" s="64"/>
      <c r="E491" s="64" t="s">
        <v>1548</v>
      </c>
      <c r="F491" s="65"/>
      <c r="G491" s="65"/>
      <c r="H491" s="65"/>
      <c r="I491" s="3"/>
      <c r="J491" s="3"/>
      <c r="K491" s="3"/>
      <c r="L491" s="3"/>
      <c r="M491" s="3"/>
      <c r="N491" s="3"/>
      <c r="O491" s="3"/>
      <c r="P491" s="3"/>
      <c r="Q491" s="3"/>
      <c r="R491" s="3"/>
      <c r="S491" s="3"/>
      <c r="T491" s="3"/>
      <c r="U491" s="3"/>
      <c r="V491" s="3"/>
      <c r="W491" s="3"/>
      <c r="X491" s="3"/>
      <c r="Y491" s="3"/>
      <c r="Z491" s="3"/>
      <c r="AA491" s="3"/>
      <c r="AB491" s="3"/>
      <c r="AC491" s="3"/>
    </row>
    <row r="492">
      <c r="A492" s="50"/>
      <c r="B492" s="51">
        <v>68.0</v>
      </c>
      <c r="C492" s="51"/>
      <c r="D492" s="52"/>
      <c r="E492" s="52" t="s">
        <v>1549</v>
      </c>
      <c r="F492" s="52" t="s">
        <v>1514</v>
      </c>
      <c r="G492" s="53" t="s">
        <v>1550</v>
      </c>
      <c r="H492" s="49"/>
      <c r="I492" s="3"/>
      <c r="J492" s="3"/>
      <c r="K492" s="3"/>
      <c r="L492" s="3"/>
      <c r="M492" s="3"/>
      <c r="N492" s="3"/>
      <c r="O492" s="3"/>
      <c r="P492" s="3"/>
      <c r="Q492" s="3"/>
      <c r="R492" s="3"/>
      <c r="S492" s="3"/>
      <c r="T492" s="3"/>
      <c r="U492" s="3"/>
      <c r="V492" s="3"/>
      <c r="W492" s="3"/>
      <c r="X492" s="3"/>
      <c r="Y492" s="3"/>
      <c r="Z492" s="3"/>
      <c r="AA492" s="3"/>
      <c r="AB492" s="3"/>
      <c r="AC492" s="3"/>
    </row>
    <row r="493">
      <c r="A493" s="46"/>
      <c r="B493" s="47"/>
      <c r="C493" s="47"/>
      <c r="D493" s="48"/>
      <c r="E493" s="48"/>
      <c r="F493" s="48"/>
      <c r="G493" s="48"/>
      <c r="H493" s="49"/>
      <c r="I493" s="3"/>
      <c r="J493" s="3"/>
      <c r="K493" s="3"/>
      <c r="L493" s="3"/>
      <c r="M493" s="3"/>
      <c r="N493" s="3"/>
      <c r="O493" s="3"/>
      <c r="P493" s="3"/>
      <c r="Q493" s="3"/>
      <c r="R493" s="3"/>
      <c r="S493" s="3"/>
      <c r="T493" s="3"/>
      <c r="U493" s="3"/>
      <c r="V493" s="3"/>
      <c r="W493" s="3"/>
      <c r="X493" s="3"/>
      <c r="Y493" s="3"/>
      <c r="Z493" s="3"/>
      <c r="AA493" s="3"/>
      <c r="AB493" s="3"/>
      <c r="AC493" s="3"/>
    </row>
    <row r="494">
      <c r="A494" s="50"/>
      <c r="B494" s="51">
        <v>69.0</v>
      </c>
      <c r="C494" s="51"/>
      <c r="D494" s="52"/>
      <c r="E494" s="52" t="s">
        <v>1551</v>
      </c>
      <c r="F494" s="52" t="s">
        <v>788</v>
      </c>
      <c r="G494" s="53" t="s">
        <v>1552</v>
      </c>
      <c r="H494" s="49"/>
      <c r="I494" s="3"/>
      <c r="J494" s="3"/>
      <c r="K494" s="3"/>
      <c r="L494" s="3"/>
      <c r="M494" s="3"/>
      <c r="N494" s="3"/>
      <c r="O494" s="3"/>
      <c r="P494" s="3"/>
      <c r="Q494" s="3"/>
      <c r="R494" s="3"/>
      <c r="S494" s="3"/>
      <c r="T494" s="3"/>
      <c r="U494" s="3"/>
      <c r="V494" s="3"/>
      <c r="W494" s="3"/>
      <c r="X494" s="3"/>
      <c r="Y494" s="3"/>
      <c r="Z494" s="3"/>
      <c r="AA494" s="3"/>
      <c r="AB494" s="3"/>
      <c r="AC494" s="3"/>
    </row>
    <row r="495">
      <c r="A495" s="46"/>
      <c r="B495" s="47"/>
      <c r="C495" s="47"/>
      <c r="D495" s="48"/>
      <c r="E495" s="48"/>
      <c r="F495" s="48"/>
      <c r="G495" s="48"/>
      <c r="H495" s="49"/>
      <c r="I495" s="3"/>
      <c r="J495" s="3"/>
      <c r="K495" s="3"/>
      <c r="L495" s="3"/>
      <c r="M495" s="3"/>
      <c r="N495" s="3"/>
      <c r="O495" s="3"/>
      <c r="P495" s="3"/>
      <c r="Q495" s="3"/>
      <c r="R495" s="3"/>
      <c r="S495" s="3"/>
      <c r="T495" s="3"/>
      <c r="U495" s="3"/>
      <c r="V495" s="3"/>
      <c r="W495" s="3"/>
      <c r="X495" s="3"/>
      <c r="Y495" s="3"/>
      <c r="Z495" s="3"/>
      <c r="AA495" s="3"/>
      <c r="AB495" s="3"/>
      <c r="AC495" s="3"/>
    </row>
    <row r="496">
      <c r="A496" s="50"/>
      <c r="B496" s="51">
        <v>70.0</v>
      </c>
      <c r="C496" s="51"/>
      <c r="D496" s="52"/>
      <c r="E496" s="52" t="s">
        <v>1553</v>
      </c>
      <c r="F496" s="52" t="s">
        <v>788</v>
      </c>
      <c r="G496" s="53" t="s">
        <v>1554</v>
      </c>
      <c r="H496" s="3"/>
      <c r="I496" s="3"/>
      <c r="J496" s="49"/>
      <c r="K496" s="3"/>
      <c r="L496" s="3"/>
      <c r="M496" s="3"/>
      <c r="N496" s="3"/>
      <c r="O496" s="3"/>
      <c r="P496" s="3"/>
      <c r="Q496" s="3"/>
      <c r="R496" s="3"/>
      <c r="S496" s="3"/>
      <c r="T496" s="3"/>
      <c r="U496" s="3"/>
      <c r="V496" s="3"/>
      <c r="W496" s="3"/>
      <c r="X496" s="3"/>
      <c r="Y496" s="3"/>
      <c r="Z496" s="3"/>
      <c r="AA496" s="3"/>
      <c r="AB496" s="3"/>
      <c r="AC496" s="3"/>
    </row>
    <row r="497">
      <c r="A497" s="46"/>
      <c r="B497" s="47"/>
      <c r="C497" s="47"/>
      <c r="D497" s="48"/>
      <c r="E497" s="48"/>
      <c r="F497" s="48"/>
      <c r="G497" s="48"/>
      <c r="H497" s="3"/>
      <c r="I497" s="3"/>
      <c r="J497" s="49"/>
      <c r="K497" s="3"/>
      <c r="L497" s="3"/>
      <c r="M497" s="3"/>
      <c r="N497" s="3"/>
      <c r="O497" s="3"/>
      <c r="P497" s="3"/>
      <c r="Q497" s="3"/>
      <c r="R497" s="3"/>
      <c r="S497" s="3"/>
      <c r="T497" s="3"/>
      <c r="U497" s="3"/>
      <c r="V497" s="3"/>
      <c r="W497" s="3"/>
      <c r="X497" s="3"/>
      <c r="Y497" s="3"/>
      <c r="Z497" s="3"/>
      <c r="AA497" s="3"/>
      <c r="AB497" s="3"/>
      <c r="AC497" s="3"/>
    </row>
    <row r="498">
      <c r="A498" s="50"/>
      <c r="B498" s="51">
        <v>71.0</v>
      </c>
      <c r="C498" s="51"/>
      <c r="D498" s="52"/>
      <c r="E498" s="52" t="s">
        <v>1555</v>
      </c>
      <c r="F498" s="52" t="s">
        <v>1514</v>
      </c>
      <c r="G498" s="53" t="s">
        <v>1556</v>
      </c>
      <c r="H498" s="3"/>
      <c r="I498" s="3"/>
      <c r="J498" s="49"/>
      <c r="K498" s="3"/>
      <c r="L498" s="3"/>
      <c r="M498" s="3"/>
      <c r="N498" s="3"/>
      <c r="O498" s="3"/>
      <c r="P498" s="3"/>
      <c r="Q498" s="3"/>
      <c r="R498" s="3"/>
      <c r="S498" s="3"/>
      <c r="T498" s="3"/>
      <c r="U498" s="3"/>
      <c r="V498" s="3"/>
      <c r="W498" s="3"/>
      <c r="X498" s="3"/>
      <c r="Y498" s="3"/>
      <c r="Z498" s="3"/>
      <c r="AA498" s="3"/>
      <c r="AB498" s="3"/>
      <c r="AC498" s="3"/>
    </row>
    <row r="499">
      <c r="A499" s="46"/>
      <c r="B499" s="47"/>
      <c r="C499" s="47"/>
      <c r="D499" s="48"/>
      <c r="E499" s="48"/>
      <c r="F499" s="48"/>
      <c r="G499" s="48"/>
      <c r="H499" s="3"/>
      <c r="I499" s="3"/>
      <c r="J499" s="49"/>
      <c r="K499" s="3"/>
      <c r="L499" s="3"/>
      <c r="M499" s="3"/>
      <c r="N499" s="3"/>
      <c r="O499" s="3"/>
      <c r="P499" s="3"/>
      <c r="Q499" s="3"/>
      <c r="R499" s="3"/>
      <c r="S499" s="3"/>
      <c r="T499" s="3"/>
      <c r="U499" s="3"/>
      <c r="V499" s="3"/>
      <c r="W499" s="3"/>
      <c r="X499" s="3"/>
      <c r="Y499" s="3"/>
      <c r="Z499" s="3"/>
      <c r="AA499" s="3"/>
      <c r="AB499" s="3"/>
      <c r="AC499" s="3"/>
    </row>
    <row r="500">
      <c r="A500" s="50"/>
      <c r="B500" s="51">
        <v>72.0</v>
      </c>
      <c r="C500" s="51"/>
      <c r="D500" s="52"/>
      <c r="E500" s="52" t="s">
        <v>1557</v>
      </c>
      <c r="F500" s="52" t="s">
        <v>1527</v>
      </c>
      <c r="G500" s="53" t="s">
        <v>1558</v>
      </c>
      <c r="H500" s="3"/>
      <c r="I500" s="3"/>
      <c r="J500" s="49"/>
      <c r="K500" s="3"/>
      <c r="L500" s="3"/>
      <c r="M500" s="3"/>
      <c r="N500" s="3"/>
      <c r="O500" s="3"/>
      <c r="P500" s="3"/>
      <c r="Q500" s="3"/>
      <c r="R500" s="3"/>
      <c r="S500" s="3"/>
      <c r="T500" s="3"/>
      <c r="U500" s="3"/>
      <c r="V500" s="3"/>
      <c r="W500" s="3"/>
      <c r="X500" s="3"/>
      <c r="Y500" s="3"/>
      <c r="Z500" s="3"/>
      <c r="AA500" s="3"/>
      <c r="AB500" s="3"/>
      <c r="AC500" s="3"/>
    </row>
    <row r="501">
      <c r="A501" s="46"/>
      <c r="B501" s="47"/>
      <c r="C501" s="47"/>
      <c r="D501" s="48"/>
      <c r="E501" s="48"/>
      <c r="F501" s="48"/>
      <c r="G501" s="48"/>
      <c r="H501" s="3"/>
      <c r="I501" s="3"/>
      <c r="J501" s="49"/>
      <c r="K501" s="3"/>
      <c r="L501" s="3"/>
      <c r="M501" s="3"/>
      <c r="N501" s="3"/>
      <c r="O501" s="3"/>
      <c r="P501" s="3"/>
      <c r="Q501" s="3"/>
      <c r="R501" s="3"/>
      <c r="S501" s="3"/>
      <c r="T501" s="3"/>
      <c r="U501" s="3"/>
      <c r="V501" s="3"/>
      <c r="W501" s="3"/>
      <c r="X501" s="3"/>
      <c r="Y501" s="3"/>
      <c r="Z501" s="3"/>
      <c r="AA501" s="3"/>
      <c r="AB501" s="3"/>
      <c r="AC501" s="3"/>
    </row>
    <row r="502">
      <c r="A502" s="50"/>
      <c r="B502" s="51">
        <v>73.0</v>
      </c>
      <c r="C502" s="51"/>
      <c r="D502" s="52"/>
      <c r="E502" s="52" t="s">
        <v>1559</v>
      </c>
      <c r="F502" s="52" t="s">
        <v>1527</v>
      </c>
      <c r="G502" s="53" t="s">
        <v>1560</v>
      </c>
      <c r="H502" s="3"/>
      <c r="I502" s="3"/>
      <c r="J502" s="49"/>
      <c r="K502" s="3"/>
      <c r="L502" s="3"/>
      <c r="M502" s="3"/>
      <c r="N502" s="3"/>
      <c r="O502" s="3"/>
      <c r="P502" s="3"/>
      <c r="Q502" s="3"/>
      <c r="R502" s="3"/>
      <c r="S502" s="3"/>
      <c r="T502" s="3"/>
      <c r="U502" s="3"/>
      <c r="V502" s="3"/>
      <c r="W502" s="3"/>
      <c r="X502" s="3"/>
      <c r="Y502" s="3"/>
      <c r="Z502" s="3"/>
      <c r="AA502" s="3"/>
      <c r="AB502" s="3"/>
      <c r="AC502" s="3"/>
    </row>
    <row r="503">
      <c r="A503" s="46"/>
      <c r="B503" s="47"/>
      <c r="C503" s="47"/>
      <c r="D503" s="48"/>
      <c r="E503" s="48"/>
      <c r="F503" s="48"/>
      <c r="G503" s="48"/>
      <c r="H503" s="3"/>
      <c r="I503" s="3"/>
      <c r="J503" s="49"/>
      <c r="K503" s="3"/>
      <c r="L503" s="3"/>
      <c r="M503" s="3"/>
      <c r="N503" s="3"/>
      <c r="O503" s="3"/>
      <c r="P503" s="3"/>
      <c r="Q503" s="3"/>
      <c r="R503" s="3"/>
      <c r="S503" s="3"/>
      <c r="T503" s="3"/>
      <c r="U503" s="3"/>
      <c r="V503" s="3"/>
      <c r="W503" s="3"/>
      <c r="X503" s="3"/>
      <c r="Y503" s="3"/>
      <c r="Z503" s="3"/>
      <c r="AA503" s="3"/>
      <c r="AB503" s="3"/>
      <c r="AC503" s="3"/>
    </row>
    <row r="504">
      <c r="A504" s="50"/>
      <c r="B504" s="51">
        <v>74.0</v>
      </c>
      <c r="C504" s="51"/>
      <c r="D504" s="52"/>
      <c r="E504" s="52" t="s">
        <v>1561</v>
      </c>
      <c r="F504" s="52" t="s">
        <v>1511</v>
      </c>
      <c r="G504" s="53" t="s">
        <v>1562</v>
      </c>
      <c r="H504" s="3"/>
      <c r="I504" s="3"/>
      <c r="J504" s="49"/>
      <c r="K504" s="3"/>
      <c r="L504" s="3"/>
      <c r="M504" s="3"/>
      <c r="N504" s="3"/>
      <c r="O504" s="3"/>
      <c r="P504" s="3"/>
      <c r="Q504" s="3"/>
      <c r="R504" s="3"/>
      <c r="S504" s="3"/>
      <c r="T504" s="3"/>
      <c r="U504" s="3"/>
      <c r="V504" s="3"/>
      <c r="W504" s="3"/>
      <c r="X504" s="3"/>
      <c r="Y504" s="3"/>
      <c r="Z504" s="3"/>
      <c r="AA504" s="3"/>
      <c r="AB504" s="3"/>
      <c r="AC504" s="3"/>
    </row>
    <row r="505">
      <c r="A505" s="46"/>
      <c r="B505" s="47"/>
      <c r="C505" s="47"/>
      <c r="D505" s="48"/>
      <c r="E505" s="48"/>
      <c r="F505" s="48"/>
      <c r="G505" s="48"/>
      <c r="H505" s="3"/>
      <c r="I505" s="3"/>
      <c r="J505" s="49"/>
      <c r="K505" s="3"/>
      <c r="L505" s="3"/>
      <c r="M505" s="3"/>
      <c r="N505" s="3"/>
      <c r="O505" s="3"/>
      <c r="P505" s="3"/>
      <c r="Q505" s="3"/>
      <c r="R505" s="3"/>
      <c r="S505" s="3"/>
      <c r="T505" s="3"/>
      <c r="U505" s="3"/>
      <c r="V505" s="3"/>
      <c r="W505" s="3"/>
      <c r="X505" s="3"/>
      <c r="Y505" s="3"/>
      <c r="Z505" s="3"/>
      <c r="AA505" s="3"/>
      <c r="AB505" s="3"/>
      <c r="AC505" s="3"/>
    </row>
    <row r="506">
      <c r="A506" s="50"/>
      <c r="B506" s="51">
        <v>75.0</v>
      </c>
      <c r="C506" s="51"/>
      <c r="D506" s="52"/>
      <c r="E506" s="52" t="s">
        <v>1563</v>
      </c>
      <c r="F506" s="52" t="s">
        <v>1511</v>
      </c>
      <c r="G506" s="53" t="s">
        <v>1564</v>
      </c>
      <c r="H506" s="3"/>
      <c r="I506" s="3"/>
      <c r="J506" s="49"/>
      <c r="K506" s="3"/>
      <c r="L506" s="3"/>
      <c r="M506" s="3"/>
      <c r="N506" s="3"/>
      <c r="O506" s="3"/>
      <c r="P506" s="3"/>
      <c r="Q506" s="3"/>
      <c r="R506" s="3"/>
      <c r="S506" s="3"/>
      <c r="T506" s="3"/>
      <c r="U506" s="3"/>
      <c r="V506" s="3"/>
      <c r="W506" s="3"/>
      <c r="X506" s="3"/>
      <c r="Y506" s="3"/>
      <c r="Z506" s="3"/>
      <c r="AA506" s="3"/>
      <c r="AB506" s="3"/>
      <c r="AC506" s="3"/>
    </row>
    <row r="507">
      <c r="A507" s="46"/>
      <c r="B507" s="47"/>
      <c r="C507" s="47"/>
      <c r="D507" s="48"/>
      <c r="E507" s="48"/>
      <c r="F507" s="48"/>
      <c r="G507" s="48"/>
      <c r="H507" s="3"/>
      <c r="I507" s="3"/>
      <c r="J507" s="49"/>
      <c r="K507" s="3"/>
      <c r="L507" s="3"/>
      <c r="M507" s="3"/>
      <c r="N507" s="3"/>
      <c r="O507" s="3"/>
      <c r="P507" s="3"/>
      <c r="Q507" s="3"/>
      <c r="R507" s="3"/>
      <c r="S507" s="3"/>
      <c r="T507" s="3"/>
      <c r="U507" s="3"/>
      <c r="V507" s="3"/>
      <c r="W507" s="3"/>
      <c r="X507" s="3"/>
      <c r="Y507" s="3"/>
      <c r="Z507" s="3"/>
      <c r="AA507" s="3"/>
      <c r="AB507" s="3"/>
      <c r="AC507" s="3"/>
    </row>
    <row r="508">
      <c r="A508" s="50"/>
      <c r="B508" s="51">
        <v>76.0</v>
      </c>
      <c r="C508" s="51"/>
      <c r="D508" s="52"/>
      <c r="E508" s="52" t="s">
        <v>1565</v>
      </c>
      <c r="F508" s="52" t="s">
        <v>1527</v>
      </c>
      <c r="G508" s="53" t="s">
        <v>1566</v>
      </c>
      <c r="H508" s="3"/>
      <c r="I508" s="3"/>
      <c r="J508" s="49"/>
      <c r="K508" s="3"/>
      <c r="L508" s="3"/>
      <c r="M508" s="3"/>
      <c r="N508" s="3"/>
      <c r="O508" s="3"/>
      <c r="P508" s="3"/>
      <c r="Q508" s="3"/>
      <c r="R508" s="3"/>
      <c r="S508" s="3"/>
      <c r="T508" s="3"/>
      <c r="U508" s="3"/>
      <c r="V508" s="3"/>
      <c r="W508" s="3"/>
      <c r="X508" s="3"/>
      <c r="Y508" s="3"/>
      <c r="Z508" s="3"/>
      <c r="AA508" s="3"/>
      <c r="AB508" s="3"/>
      <c r="AC508" s="3"/>
    </row>
    <row r="509">
      <c r="A509" s="46"/>
      <c r="B509" s="47"/>
      <c r="C509" s="47"/>
      <c r="D509" s="48"/>
      <c r="E509" s="48"/>
      <c r="F509" s="48"/>
      <c r="G509" s="48"/>
      <c r="H509" s="3"/>
      <c r="I509" s="3"/>
      <c r="J509" s="49"/>
      <c r="K509" s="3"/>
      <c r="L509" s="3"/>
      <c r="M509" s="3"/>
      <c r="N509" s="3"/>
      <c r="O509" s="3"/>
      <c r="P509" s="3"/>
      <c r="Q509" s="3"/>
      <c r="R509" s="3"/>
      <c r="S509" s="3"/>
      <c r="T509" s="3"/>
      <c r="U509" s="3"/>
      <c r="V509" s="3"/>
      <c r="W509" s="3"/>
      <c r="X509" s="3"/>
      <c r="Y509" s="3"/>
      <c r="Z509" s="3"/>
      <c r="AA509" s="3"/>
      <c r="AB509" s="3"/>
      <c r="AC509" s="3"/>
    </row>
    <row r="510">
      <c r="A510" s="50"/>
      <c r="B510" s="51">
        <v>77.0</v>
      </c>
      <c r="C510" s="51"/>
      <c r="D510" s="45"/>
      <c r="E510" s="45" t="s">
        <v>1567</v>
      </c>
      <c r="F510" s="45" t="s">
        <v>284</v>
      </c>
      <c r="G510" s="70" t="s">
        <v>1568</v>
      </c>
      <c r="H510" s="71"/>
      <c r="I510" s="49"/>
      <c r="J510" s="3"/>
      <c r="K510" s="3"/>
      <c r="L510" s="3"/>
      <c r="M510" s="3"/>
      <c r="N510" s="3"/>
      <c r="O510" s="3"/>
      <c r="P510" s="3"/>
      <c r="Q510" s="3"/>
      <c r="R510" s="3"/>
      <c r="S510" s="3"/>
      <c r="T510" s="3"/>
      <c r="U510" s="3"/>
      <c r="V510" s="3"/>
      <c r="W510" s="3"/>
      <c r="X510" s="3"/>
      <c r="Y510" s="3"/>
      <c r="Z510" s="3"/>
      <c r="AA510" s="3"/>
      <c r="AB510" s="3"/>
      <c r="AC510" s="3"/>
    </row>
    <row r="511">
      <c r="A511" s="46"/>
      <c r="B511" s="47"/>
      <c r="C511" s="47"/>
      <c r="D511" s="41"/>
      <c r="E511" s="41"/>
      <c r="F511" s="41"/>
      <c r="G511" s="41"/>
      <c r="H511" s="71"/>
      <c r="I511" s="49"/>
      <c r="J511" s="3"/>
      <c r="K511" s="3"/>
      <c r="L511" s="3"/>
      <c r="M511" s="3"/>
      <c r="N511" s="3"/>
      <c r="O511" s="3"/>
      <c r="P511" s="3"/>
      <c r="Q511" s="3"/>
      <c r="R511" s="3"/>
      <c r="S511" s="3"/>
      <c r="T511" s="3"/>
      <c r="U511" s="3"/>
      <c r="V511" s="3"/>
      <c r="W511" s="3"/>
      <c r="X511" s="3"/>
      <c r="Y511" s="3"/>
      <c r="Z511" s="3"/>
      <c r="AA511" s="3"/>
      <c r="AB511" s="3"/>
      <c r="AC511" s="3"/>
    </row>
    <row r="512">
      <c r="A512" s="50"/>
      <c r="B512" s="51">
        <v>78.0</v>
      </c>
      <c r="C512" s="51"/>
      <c r="D512" s="45"/>
      <c r="E512" s="45" t="s">
        <v>1569</v>
      </c>
      <c r="F512" s="45" t="s">
        <v>284</v>
      </c>
      <c r="G512" s="70" t="s">
        <v>1570</v>
      </c>
      <c r="H512" s="71"/>
      <c r="I512" s="49"/>
      <c r="J512" s="3"/>
      <c r="K512" s="3"/>
      <c r="L512" s="3"/>
      <c r="M512" s="3"/>
      <c r="N512" s="3"/>
      <c r="O512" s="3"/>
      <c r="P512" s="3"/>
      <c r="Q512" s="3"/>
      <c r="R512" s="3"/>
      <c r="S512" s="3"/>
      <c r="T512" s="3"/>
      <c r="U512" s="3"/>
      <c r="V512" s="3"/>
      <c r="W512" s="3"/>
      <c r="X512" s="3"/>
      <c r="Y512" s="3"/>
      <c r="Z512" s="3"/>
      <c r="AA512" s="3"/>
      <c r="AB512" s="3"/>
      <c r="AC512" s="3"/>
    </row>
    <row r="513">
      <c r="A513" s="46"/>
      <c r="B513" s="47"/>
      <c r="C513" s="47"/>
      <c r="D513" s="41"/>
      <c r="E513" s="41"/>
      <c r="F513" s="41"/>
      <c r="G513" s="41"/>
      <c r="H513" s="71"/>
      <c r="I513" s="49"/>
      <c r="J513" s="3"/>
      <c r="K513" s="3"/>
      <c r="L513" s="3"/>
      <c r="M513" s="3"/>
      <c r="N513" s="3"/>
      <c r="O513" s="3"/>
      <c r="P513" s="3"/>
      <c r="Q513" s="3"/>
      <c r="R513" s="3"/>
      <c r="S513" s="3"/>
      <c r="T513" s="3"/>
      <c r="U513" s="3"/>
      <c r="V513" s="3"/>
      <c r="W513" s="3"/>
      <c r="X513" s="3"/>
      <c r="Y513" s="3"/>
      <c r="Z513" s="3"/>
      <c r="AA513" s="3"/>
      <c r="AB513" s="3"/>
      <c r="AC513" s="3"/>
    </row>
    <row r="514">
      <c r="A514" s="50"/>
      <c r="B514" s="51">
        <v>79.0</v>
      </c>
      <c r="C514" s="51"/>
      <c r="D514" s="52"/>
      <c r="E514" s="52" t="s">
        <v>1571</v>
      </c>
      <c r="F514" s="45" t="s">
        <v>284</v>
      </c>
      <c r="G514" s="70" t="s">
        <v>1572</v>
      </c>
      <c r="H514" s="14"/>
      <c r="I514" s="49"/>
      <c r="J514" s="3"/>
      <c r="K514" s="3"/>
      <c r="L514" s="3"/>
      <c r="M514" s="3"/>
      <c r="N514" s="3"/>
      <c r="O514" s="3"/>
      <c r="P514" s="3"/>
      <c r="Q514" s="3"/>
      <c r="R514" s="3"/>
      <c r="S514" s="3"/>
      <c r="T514" s="3"/>
      <c r="U514" s="3"/>
      <c r="V514" s="3"/>
      <c r="W514" s="3"/>
      <c r="X514" s="3"/>
      <c r="Y514" s="3"/>
      <c r="Z514" s="3"/>
      <c r="AA514" s="3"/>
      <c r="AB514" s="3"/>
      <c r="AC514" s="3"/>
    </row>
    <row r="515">
      <c r="A515" s="46"/>
      <c r="B515" s="47"/>
      <c r="C515" s="47"/>
      <c r="D515" s="48"/>
      <c r="E515" s="48"/>
      <c r="F515" s="41"/>
      <c r="G515" s="41"/>
      <c r="H515" s="14"/>
      <c r="I515" s="49"/>
      <c r="J515" s="3"/>
      <c r="K515" s="3"/>
      <c r="L515" s="3"/>
      <c r="M515" s="3"/>
      <c r="N515" s="3"/>
      <c r="O515" s="3"/>
      <c r="P515" s="3"/>
      <c r="Q515" s="3"/>
      <c r="R515" s="3"/>
      <c r="S515" s="3"/>
      <c r="T515" s="3"/>
      <c r="U515" s="3"/>
      <c r="V515" s="3"/>
      <c r="W515" s="3"/>
      <c r="X515" s="3"/>
      <c r="Y515" s="3"/>
      <c r="Z515" s="3"/>
      <c r="AA515" s="3"/>
      <c r="AB515" s="3"/>
      <c r="AC515" s="3"/>
    </row>
    <row r="516">
      <c r="A516" s="50"/>
      <c r="B516" s="51">
        <v>80.0</v>
      </c>
      <c r="C516" s="51"/>
      <c r="D516" s="45"/>
      <c r="E516" s="45" t="s">
        <v>1573</v>
      </c>
      <c r="F516" s="45" t="s">
        <v>284</v>
      </c>
      <c r="G516" s="70" t="s">
        <v>1574</v>
      </c>
      <c r="H516" s="71"/>
      <c r="I516" s="49"/>
      <c r="J516" s="3"/>
      <c r="K516" s="3"/>
      <c r="L516" s="3"/>
      <c r="M516" s="3"/>
      <c r="N516" s="3"/>
      <c r="O516" s="3"/>
      <c r="P516" s="3"/>
      <c r="Q516" s="3"/>
      <c r="R516" s="3"/>
      <c r="S516" s="3"/>
      <c r="T516" s="3"/>
      <c r="U516" s="3"/>
      <c r="V516" s="3"/>
      <c r="W516" s="3"/>
      <c r="X516" s="3"/>
      <c r="Y516" s="3"/>
      <c r="Z516" s="3"/>
      <c r="AA516" s="3"/>
      <c r="AB516" s="3"/>
      <c r="AC516" s="3"/>
    </row>
    <row r="517">
      <c r="A517" s="61"/>
      <c r="B517" s="49"/>
      <c r="C517" s="49"/>
      <c r="D517" s="14"/>
      <c r="E517" s="14"/>
      <c r="F517" s="14"/>
      <c r="G517" s="14"/>
      <c r="H517" s="71"/>
      <c r="I517" s="49"/>
      <c r="J517" s="3"/>
      <c r="K517" s="3"/>
      <c r="L517" s="3"/>
      <c r="M517" s="3"/>
      <c r="N517" s="3"/>
      <c r="O517" s="3"/>
      <c r="P517" s="3"/>
      <c r="Q517" s="3"/>
      <c r="R517" s="3"/>
      <c r="S517" s="3"/>
      <c r="T517" s="3"/>
      <c r="U517" s="3"/>
      <c r="V517" s="3"/>
      <c r="W517" s="3"/>
      <c r="X517" s="3"/>
      <c r="Y517" s="3"/>
      <c r="Z517" s="3"/>
      <c r="AA517" s="3"/>
      <c r="AB517" s="3"/>
      <c r="AC517" s="3"/>
    </row>
    <row r="518">
      <c r="A518" s="62"/>
      <c r="B518" s="63" t="s">
        <v>1575</v>
      </c>
      <c r="C518" s="63"/>
      <c r="D518" s="44"/>
      <c r="E518" s="44" t="s">
        <v>1576</v>
      </c>
      <c r="F518" s="72"/>
      <c r="G518" s="72"/>
      <c r="H518" s="3"/>
      <c r="I518" s="3"/>
      <c r="J518" s="3"/>
      <c r="K518" s="3"/>
      <c r="L518" s="3"/>
      <c r="M518" s="3"/>
      <c r="N518" s="3"/>
      <c r="O518" s="3"/>
      <c r="P518" s="3"/>
      <c r="Q518" s="3"/>
      <c r="R518" s="3"/>
      <c r="S518" s="3"/>
      <c r="T518" s="3"/>
      <c r="U518" s="3"/>
      <c r="V518" s="3"/>
      <c r="W518" s="3"/>
      <c r="X518" s="3"/>
      <c r="Y518" s="3"/>
      <c r="Z518" s="3"/>
      <c r="AA518" s="3"/>
      <c r="AB518" s="3"/>
      <c r="AC518" s="3"/>
    </row>
    <row r="519">
      <c r="A519" s="50"/>
      <c r="B519" s="51">
        <v>81.0</v>
      </c>
      <c r="C519" s="51"/>
      <c r="D519" s="52"/>
      <c r="E519" s="52" t="s">
        <v>1576</v>
      </c>
      <c r="F519" s="45" t="s">
        <v>284</v>
      </c>
      <c r="G519" s="70" t="s">
        <v>1577</v>
      </c>
      <c r="H519" s="71"/>
      <c r="I519" s="49"/>
      <c r="J519" s="3"/>
      <c r="K519" s="3"/>
      <c r="L519" s="3"/>
      <c r="M519" s="3"/>
      <c r="N519" s="3"/>
      <c r="O519" s="3"/>
      <c r="P519" s="3"/>
      <c r="Q519" s="3"/>
      <c r="R519" s="3"/>
      <c r="S519" s="3"/>
      <c r="T519" s="3"/>
      <c r="U519" s="3"/>
      <c r="V519" s="3"/>
      <c r="W519" s="3"/>
      <c r="X519" s="3"/>
      <c r="Y519" s="3"/>
      <c r="Z519" s="3"/>
      <c r="AA519" s="3"/>
      <c r="AB519" s="3"/>
      <c r="AC519" s="3"/>
    </row>
    <row r="520">
      <c r="A520" s="46"/>
      <c r="B520" s="47"/>
      <c r="C520" s="47"/>
      <c r="D520" s="48"/>
      <c r="E520" s="48"/>
      <c r="F520" s="41"/>
      <c r="G520" s="41"/>
      <c r="H520" s="71"/>
      <c r="I520" s="49"/>
      <c r="J520" s="3"/>
      <c r="K520" s="3"/>
      <c r="L520" s="3"/>
      <c r="M520" s="3"/>
      <c r="N520" s="3"/>
      <c r="O520" s="3"/>
      <c r="P520" s="3"/>
      <c r="Q520" s="3"/>
      <c r="R520" s="3"/>
      <c r="S520" s="3"/>
      <c r="T520" s="3"/>
      <c r="U520" s="3"/>
      <c r="V520" s="3"/>
      <c r="W520" s="3"/>
      <c r="X520" s="3"/>
      <c r="Y520" s="3"/>
      <c r="Z520" s="3"/>
      <c r="AA520" s="3"/>
      <c r="AB520" s="3"/>
      <c r="AC520" s="3"/>
    </row>
    <row r="521">
      <c r="A521" s="50"/>
      <c r="B521" s="51">
        <v>82.0</v>
      </c>
      <c r="C521" s="51"/>
      <c r="D521" s="45"/>
      <c r="E521" s="45" t="s">
        <v>1578</v>
      </c>
      <c r="F521" s="45" t="s">
        <v>29</v>
      </c>
      <c r="G521" s="70" t="s">
        <v>1579</v>
      </c>
      <c r="H521" s="14"/>
      <c r="I521" s="49"/>
      <c r="J521" s="3"/>
      <c r="K521" s="3"/>
      <c r="L521" s="3"/>
      <c r="M521" s="3"/>
      <c r="N521" s="3"/>
      <c r="O521" s="3"/>
      <c r="P521" s="3"/>
      <c r="Q521" s="3"/>
      <c r="R521" s="3"/>
      <c r="S521" s="3"/>
      <c r="T521" s="3"/>
      <c r="U521" s="3"/>
      <c r="V521" s="3"/>
      <c r="W521" s="3"/>
      <c r="X521" s="3"/>
      <c r="Y521" s="3"/>
      <c r="Z521" s="3"/>
      <c r="AA521" s="3"/>
      <c r="AB521" s="3"/>
      <c r="AC521" s="3"/>
    </row>
    <row r="522">
      <c r="A522" s="46"/>
      <c r="B522" s="47"/>
      <c r="C522" s="47"/>
      <c r="D522" s="41"/>
      <c r="E522" s="41"/>
      <c r="F522" s="41"/>
      <c r="G522" s="41"/>
      <c r="H522" s="14"/>
      <c r="I522" s="49"/>
      <c r="J522" s="3"/>
      <c r="K522" s="3"/>
      <c r="L522" s="3"/>
      <c r="M522" s="3"/>
      <c r="N522" s="3"/>
      <c r="O522" s="3"/>
      <c r="P522" s="3"/>
      <c r="Q522" s="3"/>
      <c r="R522" s="3"/>
      <c r="S522" s="3"/>
      <c r="T522" s="3"/>
      <c r="U522" s="3"/>
      <c r="V522" s="3"/>
      <c r="W522" s="3"/>
      <c r="X522" s="3"/>
      <c r="Y522" s="3"/>
      <c r="Z522" s="3"/>
      <c r="AA522" s="3"/>
      <c r="AB522" s="3"/>
      <c r="AC522" s="3"/>
    </row>
    <row r="523">
      <c r="A523" s="62"/>
      <c r="B523" s="63" t="s">
        <v>1580</v>
      </c>
      <c r="C523" s="63"/>
      <c r="D523" s="64"/>
      <c r="E523" s="64" t="s">
        <v>1581</v>
      </c>
      <c r="F523" s="65"/>
      <c r="G523" s="65"/>
      <c r="H523" s="65"/>
      <c r="I523" s="65"/>
      <c r="J523" s="65"/>
      <c r="K523" s="3"/>
      <c r="L523" s="3"/>
      <c r="M523" s="3"/>
      <c r="N523" s="3"/>
      <c r="O523" s="3"/>
      <c r="P523" s="3"/>
      <c r="Q523" s="3"/>
      <c r="R523" s="3"/>
      <c r="S523" s="3"/>
      <c r="T523" s="3"/>
      <c r="U523" s="3"/>
      <c r="V523" s="3"/>
      <c r="W523" s="3"/>
      <c r="X523" s="3"/>
      <c r="Y523" s="3"/>
      <c r="Z523" s="3"/>
      <c r="AA523" s="3"/>
      <c r="AB523" s="3"/>
      <c r="AC523" s="3"/>
    </row>
    <row r="524">
      <c r="A524" s="50"/>
      <c r="B524" s="51">
        <v>83.0</v>
      </c>
      <c r="C524" s="51"/>
      <c r="D524" s="52"/>
      <c r="E524" s="52" t="s">
        <v>1582</v>
      </c>
      <c r="F524" s="52" t="s">
        <v>284</v>
      </c>
      <c r="G524" s="53" t="s">
        <v>1583</v>
      </c>
      <c r="H524" s="71"/>
      <c r="I524" s="49"/>
      <c r="J524" s="3"/>
      <c r="K524" s="3"/>
      <c r="L524" s="3"/>
      <c r="M524" s="3"/>
      <c r="N524" s="3"/>
      <c r="O524" s="3"/>
      <c r="P524" s="3"/>
      <c r="Q524" s="3"/>
      <c r="R524" s="3"/>
      <c r="S524" s="3"/>
      <c r="T524" s="3"/>
      <c r="U524" s="3"/>
      <c r="V524" s="3"/>
      <c r="W524" s="3"/>
      <c r="X524" s="3"/>
      <c r="Y524" s="3"/>
      <c r="Z524" s="3"/>
      <c r="AA524" s="3"/>
      <c r="AB524" s="3"/>
      <c r="AC524" s="3"/>
    </row>
    <row r="525">
      <c r="A525" s="46"/>
      <c r="B525" s="47"/>
      <c r="C525" s="47"/>
      <c r="D525" s="48"/>
      <c r="E525" s="48"/>
      <c r="F525" s="48"/>
      <c r="G525" s="48"/>
      <c r="H525" s="71"/>
      <c r="I525" s="49"/>
      <c r="J525" s="3"/>
      <c r="K525" s="3"/>
      <c r="L525" s="3"/>
      <c r="M525" s="3"/>
      <c r="N525" s="3"/>
      <c r="O525" s="3"/>
      <c r="P525" s="3"/>
      <c r="Q525" s="3"/>
      <c r="R525" s="3"/>
      <c r="S525" s="3"/>
      <c r="T525" s="3"/>
      <c r="U525" s="3"/>
      <c r="V525" s="3"/>
      <c r="W525" s="3"/>
      <c r="X525" s="3"/>
      <c r="Y525" s="3"/>
      <c r="Z525" s="3"/>
      <c r="AA525" s="3"/>
      <c r="AB525" s="3"/>
      <c r="AC525" s="3"/>
    </row>
    <row r="526">
      <c r="A526" s="50"/>
      <c r="B526" s="51">
        <v>84.0</v>
      </c>
      <c r="C526" s="51"/>
      <c r="D526" s="52"/>
      <c r="E526" s="52" t="s">
        <v>1584</v>
      </c>
      <c r="F526" s="52" t="s">
        <v>284</v>
      </c>
      <c r="G526" s="53" t="s">
        <v>1585</v>
      </c>
      <c r="H526" s="71"/>
      <c r="I526" s="49"/>
      <c r="J526" s="3"/>
      <c r="K526" s="3"/>
      <c r="L526" s="3"/>
      <c r="M526" s="3"/>
      <c r="N526" s="3"/>
      <c r="O526" s="3"/>
      <c r="P526" s="3"/>
      <c r="Q526" s="3"/>
      <c r="R526" s="3"/>
      <c r="S526" s="3"/>
      <c r="T526" s="3"/>
      <c r="U526" s="3"/>
      <c r="V526" s="3"/>
      <c r="W526" s="3"/>
      <c r="X526" s="3"/>
      <c r="Y526" s="3"/>
      <c r="Z526" s="3"/>
      <c r="AA526" s="3"/>
      <c r="AB526" s="3"/>
      <c r="AC526" s="3"/>
    </row>
    <row r="527">
      <c r="A527" s="46"/>
      <c r="B527" s="47"/>
      <c r="C527" s="47"/>
      <c r="D527" s="48"/>
      <c r="E527" s="48"/>
      <c r="F527" s="48"/>
      <c r="G527" s="48"/>
      <c r="H527" s="71"/>
      <c r="I527" s="49"/>
      <c r="J527" s="3"/>
      <c r="K527" s="3"/>
      <c r="L527" s="3"/>
      <c r="M527" s="3"/>
      <c r="N527" s="3"/>
      <c r="O527" s="3"/>
      <c r="P527" s="3"/>
      <c r="Q527" s="3"/>
      <c r="R527" s="3"/>
      <c r="S527" s="3"/>
      <c r="T527" s="3"/>
      <c r="U527" s="3"/>
      <c r="V527" s="3"/>
      <c r="W527" s="3"/>
      <c r="X527" s="3"/>
      <c r="Y527" s="3"/>
      <c r="Z527" s="3"/>
      <c r="AA527" s="3"/>
      <c r="AB527" s="3"/>
      <c r="AC527" s="3"/>
    </row>
    <row r="528">
      <c r="A528" s="50"/>
      <c r="B528" s="51">
        <v>85.0</v>
      </c>
      <c r="C528" s="51"/>
      <c r="D528" s="52"/>
      <c r="E528" s="52" t="s">
        <v>1586</v>
      </c>
      <c r="F528" s="52" t="s">
        <v>284</v>
      </c>
      <c r="G528" s="53" t="s">
        <v>1587</v>
      </c>
      <c r="H528" s="71"/>
      <c r="I528" s="49"/>
      <c r="J528" s="3"/>
      <c r="K528" s="3"/>
      <c r="L528" s="3"/>
      <c r="M528" s="3"/>
      <c r="N528" s="3"/>
      <c r="O528" s="3"/>
      <c r="P528" s="3"/>
      <c r="Q528" s="3"/>
      <c r="R528" s="3"/>
      <c r="S528" s="3"/>
      <c r="T528" s="3"/>
      <c r="U528" s="3"/>
      <c r="V528" s="3"/>
      <c r="W528" s="3"/>
      <c r="X528" s="3"/>
      <c r="Y528" s="3"/>
      <c r="Z528" s="3"/>
      <c r="AA528" s="3"/>
      <c r="AB528" s="3"/>
      <c r="AC528" s="3"/>
    </row>
    <row r="529">
      <c r="A529" s="46"/>
      <c r="B529" s="47"/>
      <c r="C529" s="47"/>
      <c r="D529" s="48"/>
      <c r="E529" s="48"/>
      <c r="F529" s="48"/>
      <c r="G529" s="48"/>
      <c r="H529" s="71"/>
      <c r="I529" s="49"/>
      <c r="J529" s="3"/>
      <c r="K529" s="3"/>
      <c r="L529" s="3"/>
      <c r="M529" s="3"/>
      <c r="N529" s="3"/>
      <c r="O529" s="3"/>
      <c r="P529" s="3"/>
      <c r="Q529" s="3"/>
      <c r="R529" s="3"/>
      <c r="S529" s="3"/>
      <c r="T529" s="3"/>
      <c r="U529" s="3"/>
      <c r="V529" s="3"/>
      <c r="W529" s="3"/>
      <c r="X529" s="3"/>
      <c r="Y529" s="3"/>
      <c r="Z529" s="3"/>
      <c r="AA529" s="3"/>
      <c r="AB529" s="3"/>
      <c r="AC529" s="3"/>
    </row>
    <row r="530">
      <c r="A530" s="50"/>
      <c r="B530" s="51">
        <v>86.0</v>
      </c>
      <c r="C530" s="51"/>
      <c r="D530" s="52"/>
      <c r="E530" s="52" t="s">
        <v>1588</v>
      </c>
      <c r="F530" s="52" t="s">
        <v>284</v>
      </c>
      <c r="G530" s="53" t="s">
        <v>1589</v>
      </c>
      <c r="H530" s="58"/>
      <c r="I530" s="49"/>
      <c r="J530" s="3"/>
      <c r="K530" s="3"/>
      <c r="L530" s="3"/>
      <c r="M530" s="3"/>
      <c r="N530" s="3"/>
      <c r="O530" s="3"/>
      <c r="P530" s="3"/>
      <c r="Q530" s="3"/>
      <c r="R530" s="3"/>
      <c r="S530" s="3"/>
      <c r="T530" s="3"/>
      <c r="U530" s="3"/>
      <c r="V530" s="3"/>
      <c r="W530" s="3"/>
      <c r="X530" s="3"/>
      <c r="Y530" s="3"/>
      <c r="Z530" s="3"/>
      <c r="AA530" s="3"/>
      <c r="AB530" s="3"/>
      <c r="AC530" s="3"/>
    </row>
    <row r="531">
      <c r="A531" s="46"/>
      <c r="B531" s="47"/>
      <c r="C531" s="47"/>
      <c r="D531" s="48"/>
      <c r="E531" s="48"/>
      <c r="F531" s="48"/>
      <c r="G531" s="48"/>
      <c r="H531" s="58"/>
      <c r="I531" s="49"/>
      <c r="J531" s="3"/>
      <c r="K531" s="3"/>
      <c r="L531" s="3"/>
      <c r="M531" s="3"/>
      <c r="N531" s="3"/>
      <c r="O531" s="3"/>
      <c r="P531" s="3"/>
      <c r="Q531" s="3"/>
      <c r="R531" s="3"/>
      <c r="S531" s="3"/>
      <c r="T531" s="3"/>
      <c r="U531" s="3"/>
      <c r="V531" s="3"/>
      <c r="W531" s="3"/>
      <c r="X531" s="3"/>
      <c r="Y531" s="3"/>
      <c r="Z531" s="3"/>
      <c r="AA531" s="3"/>
      <c r="AB531" s="3"/>
      <c r="AC531" s="3"/>
    </row>
    <row r="532">
      <c r="A532" s="50"/>
      <c r="B532" s="51">
        <v>87.0</v>
      </c>
      <c r="C532" s="51"/>
      <c r="D532" s="52"/>
      <c r="E532" s="52" t="s">
        <v>1590</v>
      </c>
      <c r="F532" s="52" t="s">
        <v>284</v>
      </c>
      <c r="G532" s="53" t="s">
        <v>1591</v>
      </c>
      <c r="H532" s="71"/>
      <c r="I532" s="49"/>
      <c r="J532" s="3"/>
      <c r="K532" s="3"/>
      <c r="L532" s="3"/>
      <c r="M532" s="3"/>
      <c r="N532" s="3"/>
      <c r="O532" s="3"/>
      <c r="P532" s="3"/>
      <c r="Q532" s="3"/>
      <c r="R532" s="3"/>
      <c r="S532" s="3"/>
      <c r="T532" s="3"/>
      <c r="U532" s="3"/>
      <c r="V532" s="3"/>
      <c r="W532" s="3"/>
      <c r="X532" s="3"/>
      <c r="Y532" s="3"/>
      <c r="Z532" s="3"/>
      <c r="AA532" s="3"/>
      <c r="AB532" s="3"/>
      <c r="AC532" s="3"/>
    </row>
    <row r="533">
      <c r="A533" s="46"/>
      <c r="B533" s="47"/>
      <c r="C533" s="47"/>
      <c r="D533" s="48"/>
      <c r="E533" s="48"/>
      <c r="F533" s="48"/>
      <c r="G533" s="48"/>
      <c r="H533" s="71"/>
      <c r="I533" s="49"/>
      <c r="J533" s="3"/>
      <c r="K533" s="3"/>
      <c r="L533" s="3"/>
      <c r="M533" s="3"/>
      <c r="N533" s="3"/>
      <c r="O533" s="3"/>
      <c r="P533" s="3"/>
      <c r="Q533" s="3"/>
      <c r="R533" s="3"/>
      <c r="S533" s="3"/>
      <c r="T533" s="3"/>
      <c r="U533" s="3"/>
      <c r="V533" s="3"/>
      <c r="W533" s="3"/>
      <c r="X533" s="3"/>
      <c r="Y533" s="3"/>
      <c r="Z533" s="3"/>
      <c r="AA533" s="3"/>
      <c r="AB533" s="3"/>
      <c r="AC533" s="3"/>
    </row>
    <row r="534">
      <c r="A534" s="50"/>
      <c r="B534" s="51">
        <v>88.0</v>
      </c>
      <c r="C534" s="51"/>
      <c r="D534" s="52"/>
      <c r="E534" s="52" t="s">
        <v>1592</v>
      </c>
      <c r="F534" s="52" t="s">
        <v>284</v>
      </c>
      <c r="G534" s="53" t="s">
        <v>1593</v>
      </c>
      <c r="H534" s="71"/>
      <c r="I534" s="49"/>
      <c r="J534" s="3"/>
      <c r="K534" s="3"/>
      <c r="L534" s="3"/>
      <c r="M534" s="3"/>
      <c r="N534" s="3"/>
      <c r="O534" s="3"/>
      <c r="P534" s="3"/>
      <c r="Q534" s="3"/>
      <c r="R534" s="3"/>
      <c r="S534" s="3"/>
      <c r="T534" s="3"/>
      <c r="U534" s="3"/>
      <c r="V534" s="3"/>
      <c r="W534" s="3"/>
      <c r="X534" s="3"/>
      <c r="Y534" s="3"/>
      <c r="Z534" s="3"/>
      <c r="AA534" s="3"/>
      <c r="AB534" s="3"/>
      <c r="AC534" s="3"/>
    </row>
    <row r="535">
      <c r="A535" s="61"/>
      <c r="B535" s="49"/>
      <c r="C535" s="49"/>
      <c r="D535" s="58"/>
      <c r="E535" s="58"/>
      <c r="F535" s="58"/>
      <c r="G535" s="58"/>
      <c r="H535" s="71"/>
      <c r="I535" s="49"/>
      <c r="J535" s="3"/>
      <c r="K535" s="3"/>
      <c r="L535" s="3"/>
      <c r="M535" s="3"/>
      <c r="N535" s="3"/>
      <c r="O535" s="3"/>
      <c r="P535" s="3"/>
      <c r="Q535" s="3"/>
      <c r="R535" s="3"/>
      <c r="S535" s="3"/>
      <c r="T535" s="3"/>
      <c r="U535" s="3"/>
      <c r="V535" s="3"/>
      <c r="W535" s="3"/>
      <c r="X535" s="3"/>
      <c r="Y535" s="3"/>
      <c r="Z535" s="3"/>
      <c r="AA535" s="3"/>
      <c r="AB535" s="3"/>
      <c r="AC535" s="3"/>
    </row>
    <row r="536">
      <c r="A536" s="50"/>
      <c r="B536" s="51">
        <v>89.0</v>
      </c>
      <c r="C536" s="51"/>
      <c r="D536" s="52"/>
      <c r="E536" s="52" t="s">
        <v>1594</v>
      </c>
      <c r="F536" s="52" t="s">
        <v>284</v>
      </c>
      <c r="G536" s="53" t="s">
        <v>1595</v>
      </c>
      <c r="H536" s="71"/>
      <c r="I536" s="49"/>
      <c r="J536" s="3"/>
      <c r="K536" s="3"/>
      <c r="L536" s="3"/>
      <c r="M536" s="3"/>
      <c r="N536" s="3"/>
      <c r="O536" s="3"/>
      <c r="P536" s="3"/>
      <c r="Q536" s="3"/>
      <c r="R536" s="3"/>
      <c r="S536" s="3"/>
      <c r="T536" s="3"/>
      <c r="U536" s="3"/>
      <c r="V536" s="3"/>
      <c r="W536" s="3"/>
      <c r="X536" s="3"/>
      <c r="Y536" s="3"/>
      <c r="Z536" s="3"/>
      <c r="AA536" s="3"/>
      <c r="AB536" s="3"/>
      <c r="AC536" s="3"/>
    </row>
    <row r="537">
      <c r="A537" s="61"/>
      <c r="B537" s="49"/>
      <c r="C537" s="49"/>
      <c r="D537" s="58"/>
      <c r="E537" s="58"/>
      <c r="F537" s="58"/>
      <c r="G537" s="58"/>
      <c r="H537" s="71"/>
      <c r="I537" s="49"/>
      <c r="J537" s="3"/>
      <c r="K537" s="3"/>
      <c r="L537" s="3"/>
      <c r="M537" s="3"/>
      <c r="N537" s="3"/>
      <c r="O537" s="3"/>
      <c r="P537" s="3"/>
      <c r="Q537" s="3"/>
      <c r="R537" s="3"/>
      <c r="S537" s="3"/>
      <c r="T537" s="3"/>
      <c r="U537" s="3"/>
      <c r="V537" s="3"/>
      <c r="W537" s="3"/>
      <c r="X537" s="3"/>
      <c r="Y537" s="3"/>
      <c r="Z537" s="3"/>
      <c r="AA537" s="3"/>
      <c r="AB537" s="3"/>
      <c r="AC537" s="3"/>
    </row>
    <row r="538">
      <c r="A538" s="50"/>
      <c r="B538" s="51">
        <v>90.0</v>
      </c>
      <c r="C538" s="51"/>
      <c r="D538" s="52"/>
      <c r="E538" s="52" t="s">
        <v>1596</v>
      </c>
      <c r="F538" s="52" t="s">
        <v>284</v>
      </c>
      <c r="G538" s="53" t="s">
        <v>1597</v>
      </c>
      <c r="H538" s="71"/>
      <c r="I538" s="49"/>
      <c r="J538" s="3"/>
      <c r="K538" s="3"/>
      <c r="L538" s="3"/>
      <c r="M538" s="3"/>
      <c r="N538" s="3"/>
      <c r="O538" s="3"/>
      <c r="P538" s="3"/>
      <c r="Q538" s="3"/>
      <c r="R538" s="3"/>
      <c r="S538" s="3"/>
      <c r="T538" s="3"/>
      <c r="U538" s="3"/>
      <c r="V538" s="3"/>
      <c r="W538" s="3"/>
      <c r="X538" s="3"/>
      <c r="Y538" s="3"/>
      <c r="Z538" s="3"/>
      <c r="AA538" s="3"/>
      <c r="AB538" s="3"/>
      <c r="AC538" s="3"/>
    </row>
    <row r="539">
      <c r="A539" s="46"/>
      <c r="B539" s="47"/>
      <c r="C539" s="47"/>
      <c r="D539" s="48"/>
      <c r="E539" s="48"/>
      <c r="F539" s="48"/>
      <c r="G539" s="48"/>
      <c r="H539" s="71"/>
      <c r="I539" s="49"/>
      <c r="J539" s="3"/>
      <c r="K539" s="3"/>
      <c r="L539" s="3"/>
      <c r="M539" s="3"/>
      <c r="N539" s="3"/>
      <c r="O539" s="3"/>
      <c r="P539" s="3"/>
      <c r="Q539" s="3"/>
      <c r="R539" s="3"/>
      <c r="S539" s="3"/>
      <c r="T539" s="3"/>
      <c r="U539" s="3"/>
      <c r="V539" s="3"/>
      <c r="W539" s="3"/>
      <c r="X539" s="3"/>
      <c r="Y539" s="3"/>
      <c r="Z539" s="3"/>
      <c r="AA539" s="3"/>
      <c r="AB539" s="3"/>
      <c r="AC539" s="3"/>
    </row>
    <row r="540">
      <c r="A540" s="50"/>
      <c r="B540" s="51">
        <v>91.0</v>
      </c>
      <c r="C540" s="51"/>
      <c r="D540" s="52"/>
      <c r="E540" s="52" t="s">
        <v>1598</v>
      </c>
      <c r="F540" s="52" t="s">
        <v>284</v>
      </c>
      <c r="G540" s="53" t="s">
        <v>1599</v>
      </c>
      <c r="H540" s="58"/>
      <c r="I540" s="49"/>
      <c r="J540" s="3"/>
      <c r="K540" s="3"/>
      <c r="L540" s="3"/>
      <c r="M540" s="3"/>
      <c r="N540" s="3"/>
      <c r="O540" s="3"/>
      <c r="P540" s="3"/>
      <c r="Q540" s="3"/>
      <c r="R540" s="3"/>
      <c r="S540" s="3"/>
      <c r="T540" s="3"/>
      <c r="U540" s="3"/>
      <c r="V540" s="3"/>
      <c r="W540" s="3"/>
      <c r="X540" s="3"/>
      <c r="Y540" s="3"/>
      <c r="Z540" s="3"/>
      <c r="AA540" s="3"/>
      <c r="AB540" s="3"/>
      <c r="AC540" s="3"/>
    </row>
    <row r="541">
      <c r="A541" s="46"/>
      <c r="B541" s="47"/>
      <c r="C541" s="47"/>
      <c r="D541" s="48"/>
      <c r="E541" s="48"/>
      <c r="F541" s="48"/>
      <c r="G541" s="48"/>
      <c r="H541" s="58"/>
      <c r="I541" s="49"/>
      <c r="J541" s="3"/>
      <c r="K541" s="3"/>
      <c r="L541" s="3"/>
      <c r="M541" s="3"/>
      <c r="N541" s="3"/>
      <c r="O541" s="3"/>
      <c r="P541" s="3"/>
      <c r="Q541" s="3"/>
      <c r="R541" s="3"/>
      <c r="S541" s="3"/>
      <c r="T541" s="3"/>
      <c r="U541" s="3"/>
      <c r="V541" s="3"/>
      <c r="W541" s="3"/>
      <c r="X541" s="3"/>
      <c r="Y541" s="3"/>
      <c r="Z541" s="3"/>
      <c r="AA541" s="3"/>
      <c r="AB541" s="3"/>
      <c r="AC541" s="3"/>
    </row>
    <row r="542">
      <c r="A542" s="62"/>
      <c r="B542" s="63" t="s">
        <v>1600</v>
      </c>
      <c r="C542" s="63"/>
      <c r="D542" s="64"/>
      <c r="E542" s="64" t="s">
        <v>1601</v>
      </c>
      <c r="F542" s="65"/>
      <c r="G542" s="65"/>
      <c r="H542" s="65"/>
      <c r="I542" s="65"/>
      <c r="J542" s="65"/>
      <c r="K542" s="3"/>
      <c r="L542" s="3"/>
      <c r="M542" s="3"/>
      <c r="N542" s="3"/>
      <c r="O542" s="3"/>
      <c r="P542" s="3"/>
      <c r="Q542" s="3"/>
      <c r="R542" s="3"/>
      <c r="S542" s="3"/>
      <c r="T542" s="3"/>
      <c r="U542" s="3"/>
      <c r="V542" s="3"/>
      <c r="W542" s="3"/>
      <c r="X542" s="3"/>
      <c r="Y542" s="3"/>
      <c r="Z542" s="3"/>
      <c r="AA542" s="3"/>
      <c r="AB542" s="3"/>
      <c r="AC542" s="3"/>
    </row>
    <row r="543">
      <c r="A543" s="62"/>
      <c r="B543" s="63" t="s">
        <v>1602</v>
      </c>
      <c r="C543" s="63"/>
      <c r="D543" s="64"/>
      <c r="E543" s="64" t="s">
        <v>1603</v>
      </c>
      <c r="F543" s="65"/>
      <c r="G543" s="65"/>
      <c r="H543" s="65"/>
      <c r="I543" s="65"/>
      <c r="J543" s="65"/>
      <c r="K543" s="3"/>
      <c r="L543" s="3"/>
      <c r="M543" s="3"/>
      <c r="N543" s="3"/>
      <c r="O543" s="3"/>
      <c r="P543" s="3"/>
      <c r="Q543" s="3"/>
      <c r="R543" s="3"/>
      <c r="S543" s="3"/>
      <c r="T543" s="3"/>
      <c r="U543" s="3"/>
      <c r="V543" s="3"/>
      <c r="W543" s="3"/>
      <c r="X543" s="3"/>
      <c r="Y543" s="3"/>
      <c r="Z543" s="3"/>
      <c r="AA543" s="3"/>
      <c r="AB543" s="3"/>
      <c r="AC543" s="3"/>
    </row>
    <row r="544">
      <c r="A544" s="50"/>
      <c r="B544" s="51">
        <v>92.0</v>
      </c>
      <c r="C544" s="51"/>
      <c r="D544" s="52"/>
      <c r="E544" s="52" t="s">
        <v>1604</v>
      </c>
      <c r="F544" s="52" t="s">
        <v>284</v>
      </c>
      <c r="G544" s="53" t="s">
        <v>1605</v>
      </c>
      <c r="H544" s="71"/>
      <c r="I544" s="49"/>
      <c r="J544" s="3"/>
      <c r="K544" s="3"/>
      <c r="L544" s="3"/>
      <c r="M544" s="3"/>
      <c r="N544" s="3"/>
      <c r="O544" s="3"/>
      <c r="P544" s="3"/>
      <c r="Q544" s="3"/>
      <c r="R544" s="3"/>
      <c r="S544" s="3"/>
      <c r="T544" s="3"/>
      <c r="U544" s="3"/>
      <c r="V544" s="3"/>
      <c r="W544" s="3"/>
      <c r="X544" s="3"/>
      <c r="Y544" s="3"/>
      <c r="Z544" s="3"/>
      <c r="AA544" s="3"/>
      <c r="AB544" s="3"/>
      <c r="AC544" s="3"/>
    </row>
    <row r="545">
      <c r="A545" s="46"/>
      <c r="B545" s="47"/>
      <c r="C545" s="47"/>
      <c r="D545" s="48"/>
      <c r="E545" s="48"/>
      <c r="F545" s="48"/>
      <c r="G545" s="48"/>
      <c r="H545" s="71"/>
      <c r="I545" s="49"/>
      <c r="J545" s="3"/>
      <c r="K545" s="3"/>
      <c r="L545" s="3"/>
      <c r="M545" s="3"/>
      <c r="N545" s="3"/>
      <c r="O545" s="3"/>
      <c r="P545" s="3"/>
      <c r="Q545" s="3"/>
      <c r="R545" s="3"/>
      <c r="S545" s="3"/>
      <c r="T545" s="3"/>
      <c r="U545" s="3"/>
      <c r="V545" s="3"/>
      <c r="W545" s="3"/>
      <c r="X545" s="3"/>
      <c r="Y545" s="3"/>
      <c r="Z545" s="3"/>
      <c r="AA545" s="3"/>
      <c r="AB545" s="3"/>
      <c r="AC545" s="3"/>
    </row>
    <row r="546">
      <c r="A546" s="50"/>
      <c r="B546" s="51">
        <v>93.0</v>
      </c>
      <c r="C546" s="51"/>
      <c r="D546" s="52"/>
      <c r="E546" s="52" t="s">
        <v>1606</v>
      </c>
      <c r="F546" s="52" t="s">
        <v>29</v>
      </c>
      <c r="G546" s="53" t="s">
        <v>1607</v>
      </c>
      <c r="H546" s="58"/>
      <c r="I546" s="49"/>
      <c r="J546" s="3"/>
      <c r="K546" s="3"/>
      <c r="L546" s="3"/>
      <c r="M546" s="3"/>
      <c r="N546" s="3"/>
      <c r="O546" s="3"/>
      <c r="P546" s="3"/>
      <c r="Q546" s="3"/>
      <c r="R546" s="3"/>
      <c r="S546" s="3"/>
      <c r="T546" s="3"/>
      <c r="U546" s="3"/>
      <c r="V546" s="3"/>
      <c r="W546" s="3"/>
      <c r="X546" s="3"/>
      <c r="Y546" s="3"/>
      <c r="Z546" s="3"/>
      <c r="AA546" s="3"/>
      <c r="AB546" s="3"/>
      <c r="AC546" s="3"/>
    </row>
    <row r="547">
      <c r="A547" s="46"/>
      <c r="B547" s="47"/>
      <c r="C547" s="47"/>
      <c r="D547" s="48"/>
      <c r="E547" s="48"/>
      <c r="F547" s="48"/>
      <c r="G547" s="48"/>
      <c r="H547" s="58"/>
      <c r="I547" s="49"/>
      <c r="J547" s="3"/>
      <c r="K547" s="3"/>
      <c r="L547" s="3"/>
      <c r="M547" s="3"/>
      <c r="N547" s="3"/>
      <c r="O547" s="3"/>
      <c r="P547" s="3"/>
      <c r="Q547" s="3"/>
      <c r="R547" s="3"/>
      <c r="S547" s="3"/>
      <c r="T547" s="3"/>
      <c r="U547" s="3"/>
      <c r="V547" s="3"/>
      <c r="W547" s="3"/>
      <c r="X547" s="3"/>
      <c r="Y547" s="3"/>
      <c r="Z547" s="3"/>
      <c r="AA547" s="3"/>
      <c r="AB547" s="3"/>
      <c r="AC547" s="3"/>
    </row>
    <row r="548">
      <c r="A548" s="50"/>
      <c r="B548" s="51">
        <v>94.0</v>
      </c>
      <c r="C548" s="51"/>
      <c r="D548" s="52"/>
      <c r="E548" s="52" t="s">
        <v>1608</v>
      </c>
      <c r="F548" s="52" t="s">
        <v>788</v>
      </c>
      <c r="G548" s="53" t="s">
        <v>1609</v>
      </c>
      <c r="H548" s="58"/>
      <c r="I548" s="49"/>
      <c r="J548" s="3"/>
      <c r="K548" s="3"/>
      <c r="L548" s="3"/>
      <c r="M548" s="3"/>
      <c r="N548" s="3"/>
      <c r="O548" s="3"/>
      <c r="P548" s="3"/>
      <c r="Q548" s="3"/>
      <c r="R548" s="3"/>
      <c r="S548" s="3"/>
      <c r="T548" s="3"/>
      <c r="U548" s="3"/>
      <c r="V548" s="3"/>
      <c r="W548" s="3"/>
      <c r="X548" s="3"/>
      <c r="Y548" s="3"/>
      <c r="Z548" s="3"/>
      <c r="AA548" s="3"/>
      <c r="AB548" s="3"/>
      <c r="AC548" s="3"/>
    </row>
    <row r="549">
      <c r="A549" s="46"/>
      <c r="B549" s="47"/>
      <c r="C549" s="47"/>
      <c r="D549" s="48"/>
      <c r="E549" s="48"/>
      <c r="F549" s="48"/>
      <c r="G549" s="48"/>
      <c r="H549" s="58"/>
      <c r="I549" s="49"/>
      <c r="J549" s="3"/>
      <c r="K549" s="3"/>
      <c r="L549" s="3"/>
      <c r="M549" s="3"/>
      <c r="N549" s="3"/>
      <c r="O549" s="3"/>
      <c r="P549" s="3"/>
      <c r="Q549" s="3"/>
      <c r="R549" s="3"/>
      <c r="S549" s="3"/>
      <c r="T549" s="3"/>
      <c r="U549" s="3"/>
      <c r="V549" s="3"/>
      <c r="W549" s="3"/>
      <c r="X549" s="3"/>
      <c r="Y549" s="3"/>
      <c r="Z549" s="3"/>
      <c r="AA549" s="3"/>
      <c r="AB549" s="3"/>
      <c r="AC549" s="3"/>
    </row>
    <row r="550">
      <c r="A550" s="62"/>
      <c r="B550" s="63" t="s">
        <v>1610</v>
      </c>
      <c r="C550" s="63"/>
      <c r="D550" s="64"/>
      <c r="E550" s="64" t="s">
        <v>1611</v>
      </c>
      <c r="F550" s="65"/>
      <c r="G550" s="65"/>
      <c r="H550" s="65"/>
      <c r="I550" s="3"/>
      <c r="J550" s="65"/>
      <c r="K550" s="3"/>
      <c r="L550" s="3"/>
      <c r="M550" s="3"/>
      <c r="N550" s="3"/>
      <c r="O550" s="3"/>
      <c r="P550" s="3"/>
      <c r="Q550" s="3"/>
      <c r="R550" s="3"/>
      <c r="S550" s="3"/>
      <c r="T550" s="3"/>
      <c r="U550" s="3"/>
      <c r="V550" s="3"/>
      <c r="W550" s="3"/>
      <c r="X550" s="3"/>
      <c r="Y550" s="3"/>
      <c r="Z550" s="3"/>
      <c r="AA550" s="3"/>
      <c r="AB550" s="3"/>
      <c r="AC550" s="3"/>
    </row>
    <row r="551">
      <c r="A551" s="50"/>
      <c r="B551" s="51">
        <v>95.0</v>
      </c>
      <c r="C551" s="51"/>
      <c r="D551" s="52"/>
      <c r="E551" s="52" t="s">
        <v>1612</v>
      </c>
      <c r="F551" s="52" t="s">
        <v>788</v>
      </c>
      <c r="G551" s="53" t="s">
        <v>1613</v>
      </c>
      <c r="H551" s="3"/>
      <c r="I551" s="3"/>
      <c r="J551" s="49"/>
      <c r="K551" s="3"/>
      <c r="L551" s="3"/>
      <c r="M551" s="3"/>
      <c r="N551" s="3"/>
      <c r="O551" s="3"/>
      <c r="P551" s="3"/>
      <c r="Q551" s="3"/>
      <c r="R551" s="3"/>
      <c r="S551" s="3"/>
      <c r="T551" s="3"/>
      <c r="U551" s="3"/>
      <c r="V551" s="3"/>
      <c r="W551" s="3"/>
      <c r="X551" s="3"/>
      <c r="Y551" s="3"/>
      <c r="Z551" s="3"/>
      <c r="AA551" s="3"/>
      <c r="AB551" s="3"/>
      <c r="AC551" s="3"/>
    </row>
    <row r="552">
      <c r="A552" s="46"/>
      <c r="B552" s="47"/>
      <c r="C552" s="47"/>
      <c r="D552" s="48"/>
      <c r="E552" s="48"/>
      <c r="F552" s="48"/>
      <c r="G552" s="48"/>
      <c r="H552" s="3"/>
      <c r="I552" s="3"/>
      <c r="J552" s="49"/>
      <c r="K552" s="3"/>
      <c r="L552" s="3"/>
      <c r="M552" s="3"/>
      <c r="N552" s="3"/>
      <c r="O552" s="3"/>
      <c r="P552" s="3"/>
      <c r="Q552" s="3"/>
      <c r="R552" s="3"/>
      <c r="S552" s="3"/>
      <c r="T552" s="3"/>
      <c r="U552" s="3"/>
      <c r="V552" s="3"/>
      <c r="W552" s="3"/>
      <c r="X552" s="3"/>
      <c r="Y552" s="3"/>
      <c r="Z552" s="3"/>
      <c r="AA552" s="3"/>
      <c r="AB552" s="3"/>
      <c r="AC552" s="3"/>
    </row>
    <row r="553">
      <c r="A553" s="50"/>
      <c r="B553" s="51">
        <v>96.0</v>
      </c>
      <c r="C553" s="51"/>
      <c r="D553" s="52"/>
      <c r="E553" s="52" t="s">
        <v>1614</v>
      </c>
      <c r="F553" s="52" t="s">
        <v>29</v>
      </c>
      <c r="G553" s="53" t="s">
        <v>1615</v>
      </c>
      <c r="H553" s="3"/>
      <c r="I553" s="3"/>
      <c r="J553" s="49"/>
      <c r="K553" s="3"/>
      <c r="L553" s="3"/>
      <c r="M553" s="3"/>
      <c r="N553" s="3"/>
      <c r="O553" s="3"/>
      <c r="P553" s="3"/>
      <c r="Q553" s="3"/>
      <c r="R553" s="3"/>
      <c r="S553" s="3"/>
      <c r="T553" s="3"/>
      <c r="U553" s="3"/>
      <c r="V553" s="3"/>
      <c r="W553" s="3"/>
      <c r="X553" s="3"/>
      <c r="Y553" s="3"/>
      <c r="Z553" s="3"/>
      <c r="AA553" s="3"/>
      <c r="AB553" s="3"/>
      <c r="AC553" s="3"/>
    </row>
    <row r="554">
      <c r="A554" s="46"/>
      <c r="B554" s="47"/>
      <c r="C554" s="47"/>
      <c r="D554" s="48"/>
      <c r="E554" s="48"/>
      <c r="F554" s="48"/>
      <c r="G554" s="48"/>
      <c r="H554" s="3"/>
      <c r="I554" s="3"/>
      <c r="J554" s="49"/>
      <c r="K554" s="3"/>
      <c r="L554" s="3"/>
      <c r="M554" s="3"/>
      <c r="N554" s="3"/>
      <c r="O554" s="3"/>
      <c r="P554" s="3"/>
      <c r="Q554" s="3"/>
      <c r="R554" s="3"/>
      <c r="S554" s="3"/>
      <c r="T554" s="3"/>
      <c r="U554" s="3"/>
      <c r="V554" s="3"/>
      <c r="W554" s="3"/>
      <c r="X554" s="3"/>
      <c r="Y554" s="3"/>
      <c r="Z554" s="3"/>
      <c r="AA554" s="3"/>
      <c r="AB554" s="3"/>
      <c r="AC554" s="3"/>
    </row>
    <row r="555">
      <c r="A555" s="50"/>
      <c r="B555" s="51">
        <v>97.0</v>
      </c>
      <c r="C555" s="51"/>
      <c r="D555" s="52"/>
      <c r="E555" s="52" t="s">
        <v>1616</v>
      </c>
      <c r="F555" s="52" t="s">
        <v>1527</v>
      </c>
      <c r="G555" s="53" t="s">
        <v>1617</v>
      </c>
      <c r="H555" s="3"/>
      <c r="I555" s="3"/>
      <c r="J555" s="49"/>
      <c r="K555" s="3"/>
      <c r="L555" s="3"/>
      <c r="M555" s="3"/>
      <c r="N555" s="3"/>
      <c r="O555" s="3"/>
      <c r="P555" s="3"/>
      <c r="Q555" s="3"/>
      <c r="R555" s="3"/>
      <c r="S555" s="3"/>
      <c r="T555" s="3"/>
      <c r="U555" s="3"/>
      <c r="V555" s="3"/>
      <c r="W555" s="3"/>
      <c r="X555" s="3"/>
      <c r="Y555" s="3"/>
      <c r="Z555" s="3"/>
      <c r="AA555" s="3"/>
      <c r="AB555" s="3"/>
      <c r="AC555" s="3"/>
    </row>
    <row r="556">
      <c r="A556" s="46"/>
      <c r="B556" s="47"/>
      <c r="C556" s="47"/>
      <c r="D556" s="48"/>
      <c r="E556" s="48"/>
      <c r="F556" s="48"/>
      <c r="G556" s="48"/>
      <c r="H556" s="3"/>
      <c r="I556" s="3"/>
      <c r="J556" s="49"/>
      <c r="K556" s="3"/>
      <c r="L556" s="3"/>
      <c r="M556" s="3"/>
      <c r="N556" s="3"/>
      <c r="O556" s="3"/>
      <c r="P556" s="3"/>
      <c r="Q556" s="3"/>
      <c r="R556" s="3"/>
      <c r="S556" s="3"/>
      <c r="T556" s="3"/>
      <c r="U556" s="3"/>
      <c r="V556" s="3"/>
      <c r="W556" s="3"/>
      <c r="X556" s="3"/>
      <c r="Y556" s="3"/>
      <c r="Z556" s="3"/>
      <c r="AA556" s="3"/>
      <c r="AB556" s="3"/>
      <c r="AC556" s="3"/>
    </row>
    <row r="557">
      <c r="A557" s="50"/>
      <c r="B557" s="51">
        <v>98.0</v>
      </c>
      <c r="C557" s="51"/>
      <c r="D557" s="52"/>
      <c r="E557" s="52" t="s">
        <v>1618</v>
      </c>
      <c r="F557" s="52" t="s">
        <v>1527</v>
      </c>
      <c r="G557" s="53" t="s">
        <v>1619</v>
      </c>
      <c r="H557" s="3"/>
      <c r="I557" s="3"/>
      <c r="J557" s="49"/>
      <c r="K557" s="3"/>
      <c r="L557" s="3"/>
      <c r="M557" s="3"/>
      <c r="N557" s="3"/>
      <c r="O557" s="3"/>
      <c r="P557" s="3"/>
      <c r="Q557" s="3"/>
      <c r="R557" s="3"/>
      <c r="S557" s="3"/>
      <c r="T557" s="3"/>
      <c r="U557" s="3"/>
      <c r="V557" s="3"/>
      <c r="W557" s="3"/>
      <c r="X557" s="3"/>
      <c r="Y557" s="3"/>
      <c r="Z557" s="3"/>
      <c r="AA557" s="3"/>
      <c r="AB557" s="3"/>
      <c r="AC557" s="3"/>
    </row>
    <row r="558">
      <c r="A558" s="46"/>
      <c r="B558" s="47"/>
      <c r="C558" s="47"/>
      <c r="D558" s="48"/>
      <c r="E558" s="48"/>
      <c r="F558" s="48"/>
      <c r="G558" s="48"/>
      <c r="H558" s="3"/>
      <c r="I558" s="3"/>
      <c r="J558" s="49"/>
      <c r="K558" s="3"/>
      <c r="L558" s="3"/>
      <c r="M558" s="3"/>
      <c r="N558" s="3"/>
      <c r="O558" s="3"/>
      <c r="P558" s="3"/>
      <c r="Q558" s="3"/>
      <c r="R558" s="3"/>
      <c r="S558" s="3"/>
      <c r="T558" s="3"/>
      <c r="U558" s="3"/>
      <c r="V558" s="3"/>
      <c r="W558" s="3"/>
      <c r="X558" s="3"/>
      <c r="Y558" s="3"/>
      <c r="Z558" s="3"/>
      <c r="AA558" s="3"/>
      <c r="AB558" s="3"/>
      <c r="AC558" s="3"/>
    </row>
    <row r="559">
      <c r="A559" s="62"/>
      <c r="B559" s="63" t="s">
        <v>1620</v>
      </c>
      <c r="C559" s="63"/>
      <c r="D559" s="64"/>
      <c r="E559" s="64" t="s">
        <v>1621</v>
      </c>
      <c r="F559" s="65"/>
      <c r="G559" s="65"/>
      <c r="H559" s="3"/>
      <c r="I559" s="3"/>
      <c r="J559" s="65"/>
      <c r="K559" s="3"/>
      <c r="L559" s="3"/>
      <c r="M559" s="3"/>
      <c r="N559" s="3"/>
      <c r="O559" s="3"/>
      <c r="P559" s="3"/>
      <c r="Q559" s="3"/>
      <c r="R559" s="3"/>
      <c r="S559" s="3"/>
      <c r="T559" s="3"/>
      <c r="U559" s="3"/>
      <c r="V559" s="3"/>
      <c r="W559" s="3"/>
      <c r="X559" s="3"/>
      <c r="Y559" s="3"/>
      <c r="Z559" s="3"/>
      <c r="AA559" s="3"/>
      <c r="AB559" s="3"/>
      <c r="AC559" s="3"/>
    </row>
    <row r="560">
      <c r="A560" s="50"/>
      <c r="B560" s="51">
        <v>99.0</v>
      </c>
      <c r="C560" s="51"/>
      <c r="D560" s="52"/>
      <c r="E560" s="52" t="s">
        <v>1622</v>
      </c>
      <c r="F560" s="52" t="s">
        <v>1623</v>
      </c>
      <c r="G560" s="53" t="s">
        <v>1624</v>
      </c>
      <c r="H560" s="3"/>
      <c r="I560" s="3"/>
      <c r="J560" s="49"/>
      <c r="K560" s="3"/>
      <c r="L560" s="3"/>
      <c r="M560" s="3"/>
      <c r="N560" s="3"/>
      <c r="O560" s="3"/>
      <c r="P560" s="3"/>
      <c r="Q560" s="3"/>
      <c r="R560" s="3"/>
      <c r="S560" s="3"/>
      <c r="T560" s="3"/>
      <c r="U560" s="3"/>
      <c r="V560" s="3"/>
      <c r="W560" s="3"/>
      <c r="X560" s="3"/>
      <c r="Y560" s="3"/>
      <c r="Z560" s="3"/>
      <c r="AA560" s="3"/>
      <c r="AB560" s="3"/>
      <c r="AC560" s="3"/>
    </row>
    <row r="561">
      <c r="A561" s="46"/>
      <c r="B561" s="47"/>
      <c r="C561" s="47"/>
      <c r="D561" s="48"/>
      <c r="E561" s="48"/>
      <c r="F561" s="48"/>
      <c r="G561" s="48"/>
      <c r="H561" s="3"/>
      <c r="I561" s="3"/>
      <c r="J561" s="49"/>
      <c r="K561" s="3"/>
      <c r="L561" s="3"/>
      <c r="M561" s="3"/>
      <c r="N561" s="3"/>
      <c r="O561" s="3"/>
      <c r="P561" s="3"/>
      <c r="Q561" s="3"/>
      <c r="R561" s="3"/>
      <c r="S561" s="3"/>
      <c r="T561" s="3"/>
      <c r="U561" s="3"/>
      <c r="V561" s="3"/>
      <c r="W561" s="3"/>
      <c r="X561" s="3"/>
      <c r="Y561" s="3"/>
      <c r="Z561" s="3"/>
      <c r="AA561" s="3"/>
      <c r="AB561" s="3"/>
      <c r="AC561" s="3"/>
    </row>
    <row r="562">
      <c r="A562" s="50"/>
      <c r="B562" s="51">
        <v>100.0</v>
      </c>
      <c r="C562" s="51"/>
      <c r="D562" s="52"/>
      <c r="E562" s="52" t="s">
        <v>1625</v>
      </c>
      <c r="F562" s="52" t="s">
        <v>1623</v>
      </c>
      <c r="G562" s="53" t="s">
        <v>1626</v>
      </c>
      <c r="H562" s="3"/>
      <c r="I562" s="3"/>
      <c r="J562" s="49"/>
      <c r="K562" s="3"/>
      <c r="L562" s="3"/>
      <c r="M562" s="3"/>
      <c r="N562" s="3"/>
      <c r="O562" s="3"/>
      <c r="P562" s="3"/>
      <c r="Q562" s="3"/>
      <c r="R562" s="3"/>
      <c r="S562" s="3"/>
      <c r="T562" s="3"/>
      <c r="U562" s="3"/>
      <c r="V562" s="3"/>
      <c r="W562" s="3"/>
      <c r="X562" s="3"/>
      <c r="Y562" s="3"/>
      <c r="Z562" s="3"/>
      <c r="AA562" s="3"/>
      <c r="AB562" s="3"/>
      <c r="AC562" s="3"/>
    </row>
    <row r="563">
      <c r="A563" s="46"/>
      <c r="B563" s="47"/>
      <c r="C563" s="47"/>
      <c r="D563" s="48"/>
      <c r="E563" s="48"/>
      <c r="F563" s="48"/>
      <c r="G563" s="48"/>
      <c r="H563" s="3"/>
      <c r="I563" s="3"/>
      <c r="J563" s="49"/>
      <c r="K563" s="3"/>
      <c r="L563" s="3"/>
      <c r="M563" s="3"/>
      <c r="N563" s="3"/>
      <c r="O563" s="3"/>
      <c r="P563" s="3"/>
      <c r="Q563" s="3"/>
      <c r="R563" s="3"/>
      <c r="S563" s="3"/>
      <c r="T563" s="3"/>
      <c r="U563" s="3"/>
      <c r="V563" s="3"/>
      <c r="W563" s="3"/>
      <c r="X563" s="3"/>
      <c r="Y563" s="3"/>
      <c r="Z563" s="3"/>
      <c r="AA563" s="3"/>
      <c r="AB563" s="3"/>
      <c r="AC563" s="3"/>
    </row>
    <row r="564">
      <c r="A564" s="50"/>
      <c r="B564" s="51">
        <v>101.0</v>
      </c>
      <c r="C564" s="51"/>
      <c r="D564" s="52"/>
      <c r="E564" s="52" t="s">
        <v>1627</v>
      </c>
      <c r="F564" s="52" t="s">
        <v>1623</v>
      </c>
      <c r="G564" s="53" t="s">
        <v>1628</v>
      </c>
      <c r="H564" s="49"/>
      <c r="I564" s="3"/>
      <c r="J564" s="3"/>
      <c r="K564" s="3"/>
      <c r="L564" s="3"/>
      <c r="M564" s="3"/>
      <c r="N564" s="3"/>
      <c r="O564" s="3"/>
      <c r="P564" s="3"/>
      <c r="Q564" s="3"/>
      <c r="R564" s="3"/>
      <c r="S564" s="3"/>
      <c r="T564" s="3"/>
      <c r="U564" s="3"/>
      <c r="V564" s="3"/>
      <c r="W564" s="3"/>
      <c r="X564" s="3"/>
      <c r="Y564" s="3"/>
      <c r="Z564" s="3"/>
      <c r="AA564" s="3"/>
      <c r="AB564" s="3"/>
      <c r="AC564" s="3"/>
    </row>
    <row r="565">
      <c r="A565" s="46"/>
      <c r="B565" s="47"/>
      <c r="C565" s="47"/>
      <c r="D565" s="48"/>
      <c r="E565" s="48"/>
      <c r="F565" s="48"/>
      <c r="G565" s="48"/>
      <c r="H565" s="49"/>
      <c r="I565" s="3"/>
      <c r="J565" s="3"/>
      <c r="K565" s="3"/>
      <c r="L565" s="3"/>
      <c r="M565" s="3"/>
      <c r="N565" s="3"/>
      <c r="O565" s="3"/>
      <c r="P565" s="3"/>
      <c r="Q565" s="3"/>
      <c r="R565" s="3"/>
      <c r="S565" s="3"/>
      <c r="T565" s="3"/>
      <c r="U565" s="3"/>
      <c r="V565" s="3"/>
      <c r="W565" s="3"/>
      <c r="X565" s="3"/>
      <c r="Y565" s="3"/>
      <c r="Z565" s="3"/>
      <c r="AA565" s="3"/>
      <c r="AB565" s="3"/>
      <c r="AC565" s="3"/>
    </row>
    <row r="566">
      <c r="A566" s="50"/>
      <c r="B566" s="51">
        <v>102.0</v>
      </c>
      <c r="C566" s="51"/>
      <c r="D566" s="52"/>
      <c r="E566" s="52" t="s">
        <v>1629</v>
      </c>
      <c r="F566" s="52" t="s">
        <v>1623</v>
      </c>
      <c r="G566" s="53" t="s">
        <v>1630</v>
      </c>
      <c r="H566" s="49"/>
      <c r="I566" s="3"/>
      <c r="J566" s="3"/>
      <c r="K566" s="3"/>
      <c r="L566" s="3"/>
      <c r="M566" s="3"/>
      <c r="N566" s="3"/>
      <c r="O566" s="3"/>
      <c r="P566" s="3"/>
      <c r="Q566" s="3"/>
      <c r="R566" s="3"/>
      <c r="S566" s="3"/>
      <c r="T566" s="3"/>
      <c r="U566" s="3"/>
      <c r="V566" s="3"/>
      <c r="W566" s="3"/>
      <c r="X566" s="3"/>
      <c r="Y566" s="3"/>
      <c r="Z566" s="3"/>
      <c r="AA566" s="3"/>
      <c r="AB566" s="3"/>
      <c r="AC566" s="3"/>
    </row>
    <row r="567">
      <c r="A567" s="46"/>
      <c r="B567" s="47"/>
      <c r="C567" s="47"/>
      <c r="D567" s="48"/>
      <c r="E567" s="48"/>
      <c r="F567" s="48"/>
      <c r="G567" s="48"/>
      <c r="H567" s="49"/>
      <c r="I567" s="3"/>
      <c r="J567" s="3"/>
      <c r="K567" s="3"/>
      <c r="L567" s="3"/>
      <c r="M567" s="3"/>
      <c r="N567" s="3"/>
      <c r="O567" s="3"/>
      <c r="P567" s="3"/>
      <c r="Q567" s="3"/>
      <c r="R567" s="3"/>
      <c r="S567" s="3"/>
      <c r="T567" s="3"/>
      <c r="U567" s="3"/>
      <c r="V567" s="3"/>
      <c r="W567" s="3"/>
      <c r="X567" s="3"/>
      <c r="Y567" s="3"/>
      <c r="Z567" s="3"/>
      <c r="AA567" s="3"/>
      <c r="AB567" s="3"/>
      <c r="AC567" s="3"/>
    </row>
    <row r="568">
      <c r="A568" s="50"/>
      <c r="B568" s="51">
        <v>103.0</v>
      </c>
      <c r="C568" s="51"/>
      <c r="D568" s="52"/>
      <c r="E568" s="52" t="s">
        <v>1631</v>
      </c>
      <c r="F568" s="52" t="s">
        <v>1623</v>
      </c>
      <c r="G568" s="53" t="s">
        <v>1632</v>
      </c>
      <c r="H568" s="49"/>
      <c r="I568" s="3"/>
      <c r="J568" s="3"/>
      <c r="K568" s="3"/>
      <c r="L568" s="3"/>
      <c r="M568" s="3"/>
      <c r="N568" s="3"/>
      <c r="O568" s="3"/>
      <c r="P568" s="3"/>
      <c r="Q568" s="3"/>
      <c r="R568" s="3"/>
      <c r="S568" s="3"/>
      <c r="T568" s="3"/>
      <c r="U568" s="3"/>
      <c r="V568" s="3"/>
      <c r="W568" s="3"/>
      <c r="X568" s="3"/>
      <c r="Y568" s="3"/>
      <c r="Z568" s="3"/>
      <c r="AA568" s="3"/>
      <c r="AB568" s="3"/>
      <c r="AC568" s="3"/>
    </row>
    <row r="569">
      <c r="A569" s="46"/>
      <c r="B569" s="47"/>
      <c r="C569" s="47"/>
      <c r="D569" s="48"/>
      <c r="E569" s="48"/>
      <c r="F569" s="48"/>
      <c r="G569" s="48"/>
      <c r="H569" s="49"/>
      <c r="I569" s="3"/>
      <c r="J569" s="3"/>
      <c r="K569" s="3"/>
      <c r="L569" s="3"/>
      <c r="M569" s="3"/>
      <c r="N569" s="3"/>
      <c r="O569" s="3"/>
      <c r="P569" s="3"/>
      <c r="Q569" s="3"/>
      <c r="R569" s="3"/>
      <c r="S569" s="3"/>
      <c r="T569" s="3"/>
      <c r="U569" s="3"/>
      <c r="V569" s="3"/>
      <c r="W569" s="3"/>
      <c r="X569" s="3"/>
      <c r="Y569" s="3"/>
      <c r="Z569" s="3"/>
      <c r="AA569" s="3"/>
      <c r="AB569" s="3"/>
      <c r="AC569" s="3"/>
    </row>
    <row r="570">
      <c r="A570" s="50"/>
      <c r="B570" s="51">
        <v>104.0</v>
      </c>
      <c r="C570" s="51"/>
      <c r="D570" s="52"/>
      <c r="E570" s="52" t="s">
        <v>1633</v>
      </c>
      <c r="F570" s="52" t="s">
        <v>1623</v>
      </c>
      <c r="G570" s="53" t="s">
        <v>1634</v>
      </c>
      <c r="H570" s="49"/>
      <c r="I570" s="3"/>
      <c r="J570" s="3"/>
      <c r="K570" s="3"/>
      <c r="L570" s="3"/>
      <c r="M570" s="3"/>
      <c r="N570" s="3"/>
      <c r="O570" s="3"/>
      <c r="P570" s="3"/>
      <c r="Q570" s="3"/>
      <c r="R570" s="3"/>
      <c r="S570" s="3"/>
      <c r="T570" s="3"/>
      <c r="U570" s="3"/>
      <c r="V570" s="3"/>
      <c r="W570" s="3"/>
      <c r="X570" s="3"/>
      <c r="Y570" s="3"/>
      <c r="Z570" s="3"/>
      <c r="AA570" s="3"/>
      <c r="AB570" s="3"/>
      <c r="AC570" s="3"/>
    </row>
    <row r="571">
      <c r="A571" s="46"/>
      <c r="B571" s="47"/>
      <c r="C571" s="47"/>
      <c r="D571" s="48"/>
      <c r="E571" s="48"/>
      <c r="F571" s="48"/>
      <c r="G571" s="48"/>
      <c r="H571" s="49"/>
      <c r="I571" s="3"/>
      <c r="J571" s="3"/>
      <c r="K571" s="3"/>
      <c r="L571" s="3"/>
      <c r="M571" s="3"/>
      <c r="N571" s="3"/>
      <c r="O571" s="3"/>
      <c r="P571" s="3"/>
      <c r="Q571" s="3"/>
      <c r="R571" s="3"/>
      <c r="S571" s="3"/>
      <c r="T571" s="3"/>
      <c r="U571" s="3"/>
      <c r="V571" s="3"/>
      <c r="W571" s="3"/>
      <c r="X571" s="3"/>
      <c r="Y571" s="3"/>
      <c r="Z571" s="3"/>
      <c r="AA571" s="3"/>
      <c r="AB571" s="3"/>
      <c r="AC571" s="3"/>
    </row>
    <row r="572">
      <c r="A572" s="50"/>
      <c r="B572" s="51">
        <v>105.0</v>
      </c>
      <c r="C572" s="51"/>
      <c r="D572" s="52"/>
      <c r="E572" s="52" t="s">
        <v>1635</v>
      </c>
      <c r="F572" s="52" t="s">
        <v>1623</v>
      </c>
      <c r="G572" s="53" t="s">
        <v>1636</v>
      </c>
      <c r="H572" s="49"/>
      <c r="I572" s="3"/>
      <c r="J572" s="3"/>
      <c r="K572" s="3"/>
      <c r="L572" s="3"/>
      <c r="M572" s="3"/>
      <c r="N572" s="3"/>
      <c r="O572" s="3"/>
      <c r="P572" s="3"/>
      <c r="Q572" s="3"/>
      <c r="R572" s="3"/>
      <c r="S572" s="3"/>
      <c r="T572" s="3"/>
      <c r="U572" s="3"/>
      <c r="V572" s="3"/>
      <c r="W572" s="3"/>
      <c r="X572" s="3"/>
      <c r="Y572" s="3"/>
      <c r="Z572" s="3"/>
      <c r="AA572" s="3"/>
      <c r="AB572" s="3"/>
      <c r="AC572" s="3"/>
    </row>
    <row r="573">
      <c r="A573" s="46"/>
      <c r="B573" s="47"/>
      <c r="C573" s="47"/>
      <c r="D573" s="48"/>
      <c r="E573" s="48"/>
      <c r="F573" s="48"/>
      <c r="G573" s="48"/>
      <c r="H573" s="49"/>
      <c r="I573" s="3"/>
      <c r="J573" s="3"/>
      <c r="K573" s="3"/>
      <c r="L573" s="3"/>
      <c r="M573" s="3"/>
      <c r="N573" s="3"/>
      <c r="O573" s="3"/>
      <c r="P573" s="3"/>
      <c r="Q573" s="3"/>
      <c r="R573" s="3"/>
      <c r="S573" s="3"/>
      <c r="T573" s="3"/>
      <c r="U573" s="3"/>
      <c r="V573" s="3"/>
      <c r="W573" s="3"/>
      <c r="X573" s="3"/>
      <c r="Y573" s="3"/>
      <c r="Z573" s="3"/>
      <c r="AA573" s="3"/>
      <c r="AB573" s="3"/>
      <c r="AC573" s="3"/>
    </row>
    <row r="574">
      <c r="A574" s="50"/>
      <c r="B574" s="51">
        <v>106.0</v>
      </c>
      <c r="C574" s="51"/>
      <c r="D574" s="52"/>
      <c r="E574" s="52" t="s">
        <v>1637</v>
      </c>
      <c r="F574" s="52" t="s">
        <v>1623</v>
      </c>
      <c r="G574" s="53" t="s">
        <v>1638</v>
      </c>
      <c r="H574" s="49"/>
      <c r="I574" s="3"/>
      <c r="J574" s="3"/>
      <c r="K574" s="3"/>
      <c r="L574" s="3"/>
      <c r="M574" s="3"/>
      <c r="N574" s="3"/>
      <c r="O574" s="3"/>
      <c r="P574" s="3"/>
      <c r="Q574" s="3"/>
      <c r="R574" s="3"/>
      <c r="S574" s="3"/>
      <c r="T574" s="3"/>
      <c r="U574" s="3"/>
      <c r="V574" s="3"/>
      <c r="W574" s="3"/>
      <c r="X574" s="3"/>
      <c r="Y574" s="3"/>
      <c r="Z574" s="3"/>
      <c r="AA574" s="3"/>
      <c r="AB574" s="3"/>
      <c r="AC574" s="3"/>
    </row>
    <row r="575">
      <c r="A575" s="61"/>
      <c r="B575" s="49"/>
      <c r="C575" s="49"/>
      <c r="D575" s="58"/>
      <c r="E575" s="58"/>
      <c r="F575" s="58"/>
      <c r="G575" s="58"/>
      <c r="H575" s="49"/>
      <c r="I575" s="3"/>
      <c r="J575" s="3"/>
      <c r="K575" s="3"/>
      <c r="L575" s="3"/>
      <c r="M575" s="3"/>
      <c r="N575" s="3"/>
      <c r="O575" s="3"/>
      <c r="P575" s="3"/>
      <c r="Q575" s="3"/>
      <c r="R575" s="3"/>
      <c r="S575" s="3"/>
      <c r="T575" s="3"/>
      <c r="U575" s="3"/>
      <c r="V575" s="3"/>
      <c r="W575" s="3"/>
      <c r="X575" s="3"/>
      <c r="Y575" s="3"/>
      <c r="Z575" s="3"/>
      <c r="AA575" s="3"/>
      <c r="AB575" s="3"/>
      <c r="AC575" s="3"/>
    </row>
    <row r="576">
      <c r="A576" s="50"/>
      <c r="B576" s="51">
        <v>107.0</v>
      </c>
      <c r="C576" s="51"/>
      <c r="D576" s="52"/>
      <c r="E576" s="52" t="s">
        <v>1639</v>
      </c>
      <c r="F576" s="52" t="s">
        <v>1623</v>
      </c>
      <c r="G576" s="53" t="s">
        <v>1640</v>
      </c>
      <c r="H576" s="49"/>
      <c r="I576" s="3"/>
      <c r="J576" s="3"/>
      <c r="K576" s="3"/>
      <c r="L576" s="3"/>
      <c r="M576" s="3"/>
      <c r="N576" s="3"/>
      <c r="O576" s="3"/>
      <c r="P576" s="3"/>
      <c r="Q576" s="3"/>
      <c r="R576" s="3"/>
      <c r="S576" s="3"/>
      <c r="T576" s="3"/>
      <c r="U576" s="3"/>
      <c r="V576" s="3"/>
      <c r="W576" s="3"/>
      <c r="X576" s="3"/>
      <c r="Y576" s="3"/>
      <c r="Z576" s="3"/>
      <c r="AA576" s="3"/>
      <c r="AB576" s="3"/>
      <c r="AC576" s="3"/>
    </row>
    <row r="577">
      <c r="A577" s="61"/>
      <c r="B577" s="49"/>
      <c r="C577" s="49"/>
      <c r="D577" s="58"/>
      <c r="E577" s="58"/>
      <c r="F577" s="58"/>
      <c r="G577" s="58"/>
      <c r="H577" s="49"/>
      <c r="I577" s="3"/>
      <c r="J577" s="3"/>
      <c r="K577" s="3"/>
      <c r="L577" s="3"/>
      <c r="M577" s="3"/>
      <c r="N577" s="3"/>
      <c r="O577" s="3"/>
      <c r="P577" s="3"/>
      <c r="Q577" s="3"/>
      <c r="R577" s="3"/>
      <c r="S577" s="3"/>
      <c r="T577" s="3"/>
      <c r="U577" s="3"/>
      <c r="V577" s="3"/>
      <c r="W577" s="3"/>
      <c r="X577" s="3"/>
      <c r="Y577" s="3"/>
      <c r="Z577" s="3"/>
      <c r="AA577" s="3"/>
      <c r="AB577" s="3"/>
      <c r="AC577" s="3"/>
    </row>
    <row r="578">
      <c r="A578" s="50"/>
      <c r="B578" s="51">
        <v>108.0</v>
      </c>
      <c r="C578" s="51"/>
      <c r="D578" s="52"/>
      <c r="E578" s="52" t="s">
        <v>1641</v>
      </c>
      <c r="F578" s="52" t="s">
        <v>1623</v>
      </c>
      <c r="G578" s="53" t="s">
        <v>1642</v>
      </c>
      <c r="H578" s="49"/>
      <c r="I578" s="3"/>
      <c r="J578" s="3"/>
      <c r="K578" s="3"/>
      <c r="L578" s="3"/>
      <c r="M578" s="3"/>
      <c r="N578" s="3"/>
      <c r="O578" s="3"/>
      <c r="P578" s="3"/>
      <c r="Q578" s="3"/>
      <c r="R578" s="3"/>
      <c r="S578" s="3"/>
      <c r="T578" s="3"/>
      <c r="U578" s="3"/>
      <c r="V578" s="3"/>
      <c r="W578" s="3"/>
      <c r="X578" s="3"/>
      <c r="Y578" s="3"/>
      <c r="Z578" s="3"/>
      <c r="AA578" s="3"/>
      <c r="AB578" s="3"/>
      <c r="AC578" s="3"/>
    </row>
    <row r="579">
      <c r="A579" s="46"/>
      <c r="B579" s="47"/>
      <c r="C579" s="47"/>
      <c r="D579" s="48"/>
      <c r="E579" s="48"/>
      <c r="F579" s="48"/>
      <c r="G579" s="48"/>
      <c r="H579" s="49"/>
      <c r="I579" s="3"/>
      <c r="J579" s="3"/>
      <c r="K579" s="3"/>
      <c r="L579" s="3"/>
      <c r="M579" s="3"/>
      <c r="N579" s="3"/>
      <c r="O579" s="3"/>
      <c r="P579" s="3"/>
      <c r="Q579" s="3"/>
      <c r="R579" s="3"/>
      <c r="S579" s="3"/>
      <c r="T579" s="3"/>
      <c r="U579" s="3"/>
      <c r="V579" s="3"/>
      <c r="W579" s="3"/>
      <c r="X579" s="3"/>
      <c r="Y579" s="3"/>
      <c r="Z579" s="3"/>
      <c r="AA579" s="3"/>
      <c r="AB579" s="3"/>
      <c r="AC579" s="3"/>
    </row>
    <row r="580">
      <c r="A580" s="50"/>
      <c r="B580" s="51">
        <v>109.0</v>
      </c>
      <c r="C580" s="51"/>
      <c r="D580" s="52"/>
      <c r="E580" s="52" t="s">
        <v>1643</v>
      </c>
      <c r="F580" s="52" t="s">
        <v>1623</v>
      </c>
      <c r="G580" s="53" t="s">
        <v>1644</v>
      </c>
      <c r="H580" s="49"/>
      <c r="I580" s="3"/>
      <c r="J580" s="3"/>
      <c r="K580" s="3"/>
      <c r="L580" s="3"/>
      <c r="M580" s="3"/>
      <c r="N580" s="3"/>
      <c r="O580" s="3"/>
      <c r="P580" s="3"/>
      <c r="Q580" s="3"/>
      <c r="R580" s="3"/>
      <c r="S580" s="3"/>
      <c r="T580" s="3"/>
      <c r="U580" s="3"/>
      <c r="V580" s="3"/>
      <c r="W580" s="3"/>
      <c r="X580" s="3"/>
      <c r="Y580" s="3"/>
      <c r="Z580" s="3"/>
      <c r="AA580" s="3"/>
      <c r="AB580" s="3"/>
      <c r="AC580" s="3"/>
    </row>
    <row r="581">
      <c r="A581" s="46"/>
      <c r="B581" s="47"/>
      <c r="C581" s="47"/>
      <c r="D581" s="48"/>
      <c r="E581" s="48"/>
      <c r="F581" s="48"/>
      <c r="G581" s="48"/>
      <c r="H581" s="49"/>
      <c r="I581" s="3"/>
      <c r="J581" s="3"/>
      <c r="K581" s="3"/>
      <c r="L581" s="3"/>
      <c r="M581" s="3"/>
      <c r="N581" s="3"/>
      <c r="O581" s="3"/>
      <c r="P581" s="3"/>
      <c r="Q581" s="3"/>
      <c r="R581" s="3"/>
      <c r="S581" s="3"/>
      <c r="T581" s="3"/>
      <c r="U581" s="3"/>
      <c r="V581" s="3"/>
      <c r="W581" s="3"/>
      <c r="X581" s="3"/>
      <c r="Y581" s="3"/>
      <c r="Z581" s="3"/>
      <c r="AA581" s="3"/>
      <c r="AB581" s="3"/>
      <c r="AC581" s="3"/>
    </row>
    <row r="582">
      <c r="A582" s="50"/>
      <c r="B582" s="51">
        <v>110.0</v>
      </c>
      <c r="C582" s="51"/>
      <c r="D582" s="52"/>
      <c r="E582" s="52" t="s">
        <v>1645</v>
      </c>
      <c r="F582" s="52" t="s">
        <v>1623</v>
      </c>
      <c r="G582" s="53" t="s">
        <v>1646</v>
      </c>
      <c r="H582" s="49"/>
      <c r="I582" s="3"/>
      <c r="J582" s="3"/>
      <c r="K582" s="3"/>
      <c r="L582" s="3"/>
      <c r="M582" s="3"/>
      <c r="N582" s="3"/>
      <c r="O582" s="3"/>
      <c r="P582" s="3"/>
      <c r="Q582" s="3"/>
      <c r="R582" s="3"/>
      <c r="S582" s="3"/>
      <c r="T582" s="3"/>
      <c r="U582" s="3"/>
      <c r="V582" s="3"/>
      <c r="W582" s="3"/>
      <c r="X582" s="3"/>
      <c r="Y582" s="3"/>
      <c r="Z582" s="3"/>
      <c r="AA582" s="3"/>
      <c r="AB582" s="3"/>
      <c r="AC582" s="3"/>
    </row>
    <row r="583">
      <c r="A583" s="46"/>
      <c r="B583" s="47"/>
      <c r="C583" s="47"/>
      <c r="D583" s="48"/>
      <c r="E583" s="48"/>
      <c r="F583" s="48"/>
      <c r="G583" s="48"/>
      <c r="H583" s="49"/>
      <c r="I583" s="3"/>
      <c r="J583" s="3"/>
      <c r="K583" s="3"/>
      <c r="L583" s="3"/>
      <c r="M583" s="3"/>
      <c r="N583" s="3"/>
      <c r="O583" s="3"/>
      <c r="P583" s="3"/>
      <c r="Q583" s="3"/>
      <c r="R583" s="3"/>
      <c r="S583" s="3"/>
      <c r="T583" s="3"/>
      <c r="U583" s="3"/>
      <c r="V583" s="3"/>
      <c r="W583" s="3"/>
      <c r="X583" s="3"/>
      <c r="Y583" s="3"/>
      <c r="Z583" s="3"/>
      <c r="AA583" s="3"/>
      <c r="AB583" s="3"/>
      <c r="AC583" s="3"/>
    </row>
    <row r="584">
      <c r="A584" s="50"/>
      <c r="B584" s="51">
        <v>111.0</v>
      </c>
      <c r="C584" s="51"/>
      <c r="D584" s="52"/>
      <c r="E584" s="52" t="s">
        <v>1647</v>
      </c>
      <c r="F584" s="52" t="s">
        <v>1623</v>
      </c>
      <c r="G584" s="53" t="s">
        <v>1648</v>
      </c>
      <c r="H584" s="49"/>
      <c r="I584" s="3"/>
      <c r="J584" s="3"/>
      <c r="K584" s="3"/>
      <c r="L584" s="3"/>
      <c r="M584" s="3"/>
      <c r="N584" s="3"/>
      <c r="O584" s="3"/>
      <c r="P584" s="3"/>
      <c r="Q584" s="3"/>
      <c r="R584" s="3"/>
      <c r="S584" s="3"/>
      <c r="T584" s="3"/>
      <c r="U584" s="3"/>
      <c r="V584" s="3"/>
      <c r="W584" s="3"/>
      <c r="X584" s="3"/>
      <c r="Y584" s="3"/>
      <c r="Z584" s="3"/>
      <c r="AA584" s="3"/>
      <c r="AB584" s="3"/>
      <c r="AC584" s="3"/>
    </row>
    <row r="585">
      <c r="A585" s="46"/>
      <c r="B585" s="47"/>
      <c r="C585" s="47"/>
      <c r="D585" s="48"/>
      <c r="E585" s="48"/>
      <c r="F585" s="48"/>
      <c r="G585" s="48"/>
      <c r="H585" s="49"/>
      <c r="I585" s="3"/>
      <c r="J585" s="3"/>
      <c r="K585" s="3"/>
      <c r="L585" s="3"/>
      <c r="M585" s="3"/>
      <c r="N585" s="3"/>
      <c r="O585" s="3"/>
      <c r="P585" s="3"/>
      <c r="Q585" s="3"/>
      <c r="R585" s="3"/>
      <c r="S585" s="3"/>
      <c r="T585" s="3"/>
      <c r="U585" s="3"/>
      <c r="V585" s="3"/>
      <c r="W585" s="3"/>
      <c r="X585" s="3"/>
      <c r="Y585" s="3"/>
      <c r="Z585" s="3"/>
      <c r="AA585" s="3"/>
      <c r="AB585" s="3"/>
      <c r="AC585" s="3"/>
    </row>
    <row r="586">
      <c r="A586" s="50"/>
      <c r="B586" s="51">
        <v>112.0</v>
      </c>
      <c r="C586" s="51"/>
      <c r="D586" s="52"/>
      <c r="E586" s="52" t="s">
        <v>1649</v>
      </c>
      <c r="F586" s="52" t="s">
        <v>1623</v>
      </c>
      <c r="G586" s="53" t="s">
        <v>1650</v>
      </c>
      <c r="H586" s="49"/>
      <c r="I586" s="3"/>
      <c r="J586" s="3"/>
      <c r="K586" s="3"/>
      <c r="L586" s="3"/>
      <c r="M586" s="3"/>
      <c r="N586" s="3"/>
      <c r="O586" s="3"/>
      <c r="P586" s="3"/>
      <c r="Q586" s="3"/>
      <c r="R586" s="3"/>
      <c r="S586" s="3"/>
      <c r="T586" s="3"/>
      <c r="U586" s="3"/>
      <c r="V586" s="3"/>
      <c r="W586" s="3"/>
      <c r="X586" s="3"/>
      <c r="Y586" s="3"/>
      <c r="Z586" s="3"/>
      <c r="AA586" s="3"/>
      <c r="AB586" s="3"/>
      <c r="AC586" s="3"/>
    </row>
    <row r="587">
      <c r="A587" s="46"/>
      <c r="B587" s="47"/>
      <c r="C587" s="47"/>
      <c r="D587" s="48"/>
      <c r="E587" s="48"/>
      <c r="F587" s="48"/>
      <c r="G587" s="48"/>
      <c r="H587" s="49"/>
      <c r="I587" s="3"/>
      <c r="J587" s="3"/>
      <c r="K587" s="3"/>
      <c r="L587" s="3"/>
      <c r="M587" s="3"/>
      <c r="N587" s="3"/>
      <c r="O587" s="3"/>
      <c r="P587" s="3"/>
      <c r="Q587" s="3"/>
      <c r="R587" s="3"/>
      <c r="S587" s="3"/>
      <c r="T587" s="3"/>
      <c r="U587" s="3"/>
      <c r="V587" s="3"/>
      <c r="W587" s="3"/>
      <c r="X587" s="3"/>
      <c r="Y587" s="3"/>
      <c r="Z587" s="3"/>
      <c r="AA587" s="3"/>
      <c r="AB587" s="3"/>
      <c r="AC587" s="3"/>
    </row>
    <row r="588">
      <c r="A588" s="50"/>
      <c r="B588" s="51">
        <v>113.0</v>
      </c>
      <c r="C588" s="51"/>
      <c r="D588" s="52"/>
      <c r="E588" s="52" t="s">
        <v>1651</v>
      </c>
      <c r="F588" s="52" t="s">
        <v>1623</v>
      </c>
      <c r="G588" s="53" t="s">
        <v>1652</v>
      </c>
      <c r="H588" s="49"/>
      <c r="I588" s="3"/>
      <c r="J588" s="3"/>
      <c r="K588" s="3"/>
      <c r="L588" s="3"/>
      <c r="M588" s="3"/>
      <c r="N588" s="3"/>
      <c r="O588" s="3"/>
      <c r="P588" s="3"/>
      <c r="Q588" s="3"/>
      <c r="R588" s="3"/>
      <c r="S588" s="3"/>
      <c r="T588" s="3"/>
      <c r="U588" s="3"/>
      <c r="V588" s="3"/>
      <c r="W588" s="3"/>
      <c r="X588" s="3"/>
      <c r="Y588" s="3"/>
      <c r="Z588" s="3"/>
      <c r="AA588" s="3"/>
      <c r="AB588" s="3"/>
      <c r="AC588" s="3"/>
    </row>
    <row r="589">
      <c r="A589" s="46"/>
      <c r="B589" s="47"/>
      <c r="C589" s="47"/>
      <c r="D589" s="48"/>
      <c r="E589" s="48"/>
      <c r="F589" s="48"/>
      <c r="G589" s="48"/>
      <c r="H589" s="49"/>
      <c r="I589" s="3"/>
      <c r="J589" s="3"/>
      <c r="K589" s="3"/>
      <c r="L589" s="3"/>
      <c r="M589" s="3"/>
      <c r="N589" s="3"/>
      <c r="O589" s="3"/>
      <c r="P589" s="3"/>
      <c r="Q589" s="3"/>
      <c r="R589" s="3"/>
      <c r="S589" s="3"/>
      <c r="T589" s="3"/>
      <c r="U589" s="3"/>
      <c r="V589" s="3"/>
      <c r="W589" s="3"/>
      <c r="X589" s="3"/>
      <c r="Y589" s="3"/>
      <c r="Z589" s="3"/>
      <c r="AA589" s="3"/>
      <c r="AB589" s="3"/>
      <c r="AC589" s="3"/>
    </row>
    <row r="590">
      <c r="A590" s="50"/>
      <c r="B590" s="51">
        <v>114.0</v>
      </c>
      <c r="C590" s="51"/>
      <c r="D590" s="52"/>
      <c r="E590" s="52" t="s">
        <v>1653</v>
      </c>
      <c r="F590" s="52" t="s">
        <v>1623</v>
      </c>
      <c r="G590" s="53" t="s">
        <v>1654</v>
      </c>
      <c r="H590" s="49"/>
      <c r="I590" s="3"/>
      <c r="J590" s="3"/>
      <c r="K590" s="3"/>
      <c r="L590" s="3"/>
      <c r="M590" s="3"/>
      <c r="N590" s="3"/>
      <c r="O590" s="3"/>
      <c r="P590" s="3"/>
      <c r="Q590" s="3"/>
      <c r="R590" s="3"/>
      <c r="S590" s="3"/>
      <c r="T590" s="3"/>
      <c r="U590" s="3"/>
      <c r="V590" s="3"/>
      <c r="W590" s="3"/>
      <c r="X590" s="3"/>
      <c r="Y590" s="3"/>
      <c r="Z590" s="3"/>
      <c r="AA590" s="3"/>
      <c r="AB590" s="3"/>
      <c r="AC590" s="3"/>
    </row>
    <row r="591">
      <c r="A591" s="46"/>
      <c r="B591" s="47"/>
      <c r="C591" s="47"/>
      <c r="D591" s="48"/>
      <c r="E591" s="48"/>
      <c r="F591" s="48"/>
      <c r="G591" s="48"/>
      <c r="H591" s="49"/>
      <c r="I591" s="3"/>
      <c r="J591" s="3"/>
      <c r="K591" s="3"/>
      <c r="L591" s="3"/>
      <c r="M591" s="3"/>
      <c r="N591" s="3"/>
      <c r="O591" s="3"/>
      <c r="P591" s="3"/>
      <c r="Q591" s="3"/>
      <c r="R591" s="3"/>
      <c r="S591" s="3"/>
      <c r="T591" s="3"/>
      <c r="U591" s="3"/>
      <c r="V591" s="3"/>
      <c r="W591" s="3"/>
      <c r="X591" s="3"/>
      <c r="Y591" s="3"/>
      <c r="Z591" s="3"/>
      <c r="AA591" s="3"/>
      <c r="AB591" s="3"/>
      <c r="AC591" s="3"/>
    </row>
    <row r="592">
      <c r="A592" s="50"/>
      <c r="B592" s="51">
        <v>115.0</v>
      </c>
      <c r="C592" s="51"/>
      <c r="D592" s="52"/>
      <c r="E592" s="52" t="s">
        <v>1655</v>
      </c>
      <c r="F592" s="52" t="s">
        <v>1623</v>
      </c>
      <c r="G592" s="53" t="s">
        <v>1656</v>
      </c>
      <c r="H592" s="49"/>
      <c r="I592" s="3"/>
      <c r="J592" s="3"/>
      <c r="K592" s="3"/>
      <c r="L592" s="3"/>
      <c r="M592" s="3"/>
      <c r="N592" s="3"/>
      <c r="O592" s="3"/>
      <c r="P592" s="3"/>
      <c r="Q592" s="3"/>
      <c r="R592" s="3"/>
      <c r="S592" s="3"/>
      <c r="T592" s="3"/>
      <c r="U592" s="3"/>
      <c r="V592" s="3"/>
      <c r="W592" s="3"/>
      <c r="X592" s="3"/>
      <c r="Y592" s="3"/>
      <c r="Z592" s="3"/>
      <c r="AA592" s="3"/>
      <c r="AB592" s="3"/>
      <c r="AC592" s="3"/>
    </row>
    <row r="593">
      <c r="A593" s="46"/>
      <c r="B593" s="47"/>
      <c r="C593" s="47"/>
      <c r="D593" s="48"/>
      <c r="E593" s="48"/>
      <c r="F593" s="48"/>
      <c r="G593" s="48"/>
      <c r="H593" s="49"/>
      <c r="I593" s="3"/>
      <c r="J593" s="3"/>
      <c r="K593" s="3"/>
      <c r="L593" s="3"/>
      <c r="M593" s="3"/>
      <c r="N593" s="3"/>
      <c r="O593" s="3"/>
      <c r="P593" s="3"/>
      <c r="Q593" s="3"/>
      <c r="R593" s="3"/>
      <c r="S593" s="3"/>
      <c r="T593" s="3"/>
      <c r="U593" s="3"/>
      <c r="V593" s="3"/>
      <c r="W593" s="3"/>
      <c r="X593" s="3"/>
      <c r="Y593" s="3"/>
      <c r="Z593" s="3"/>
      <c r="AA593" s="3"/>
      <c r="AB593" s="3"/>
      <c r="AC593" s="3"/>
    </row>
    <row r="594">
      <c r="A594" s="50"/>
      <c r="B594" s="51">
        <v>116.0</v>
      </c>
      <c r="C594" s="51"/>
      <c r="D594" s="52"/>
      <c r="E594" s="52" t="s">
        <v>1657</v>
      </c>
      <c r="F594" s="52" t="s">
        <v>1623</v>
      </c>
      <c r="G594" s="53" t="s">
        <v>1658</v>
      </c>
      <c r="H594" s="49"/>
      <c r="I594" s="3"/>
      <c r="J594" s="3"/>
      <c r="K594" s="3"/>
      <c r="L594" s="3"/>
      <c r="M594" s="3"/>
      <c r="N594" s="3"/>
      <c r="O594" s="3"/>
      <c r="P594" s="3"/>
      <c r="Q594" s="3"/>
      <c r="R594" s="3"/>
      <c r="S594" s="3"/>
      <c r="T594" s="3"/>
      <c r="U594" s="3"/>
      <c r="V594" s="3"/>
      <c r="W594" s="3"/>
      <c r="X594" s="3"/>
      <c r="Y594" s="3"/>
      <c r="Z594" s="3"/>
      <c r="AA594" s="3"/>
      <c r="AB594" s="3"/>
      <c r="AC594" s="3"/>
    </row>
    <row r="595">
      <c r="A595" s="46"/>
      <c r="B595" s="47"/>
      <c r="C595" s="47"/>
      <c r="D595" s="48"/>
      <c r="E595" s="48"/>
      <c r="F595" s="48"/>
      <c r="G595" s="48"/>
      <c r="H595" s="49"/>
      <c r="I595" s="3"/>
      <c r="J595" s="3"/>
      <c r="K595" s="3"/>
      <c r="L595" s="3"/>
      <c r="M595" s="3"/>
      <c r="N595" s="3"/>
      <c r="O595" s="3"/>
      <c r="P595" s="3"/>
      <c r="Q595" s="3"/>
      <c r="R595" s="3"/>
      <c r="S595" s="3"/>
      <c r="T595" s="3"/>
      <c r="U595" s="3"/>
      <c r="V595" s="3"/>
      <c r="W595" s="3"/>
      <c r="X595" s="3"/>
      <c r="Y595" s="3"/>
      <c r="Z595" s="3"/>
      <c r="AA595" s="3"/>
      <c r="AB595" s="3"/>
      <c r="AC595" s="3"/>
    </row>
    <row r="596">
      <c r="A596" s="50"/>
      <c r="B596" s="51">
        <v>117.0</v>
      </c>
      <c r="C596" s="51"/>
      <c r="D596" s="52"/>
      <c r="E596" s="52" t="s">
        <v>1659</v>
      </c>
      <c r="F596" s="52" t="s">
        <v>1623</v>
      </c>
      <c r="G596" s="53" t="s">
        <v>1660</v>
      </c>
      <c r="H596" s="49"/>
      <c r="I596" s="3"/>
      <c r="J596" s="3"/>
      <c r="K596" s="3"/>
      <c r="L596" s="3"/>
      <c r="M596" s="3"/>
      <c r="N596" s="3"/>
      <c r="O596" s="3"/>
      <c r="P596" s="3"/>
      <c r="Q596" s="3"/>
      <c r="R596" s="3"/>
      <c r="S596" s="3"/>
      <c r="T596" s="3"/>
      <c r="U596" s="3"/>
      <c r="V596" s="3"/>
      <c r="W596" s="3"/>
      <c r="X596" s="3"/>
      <c r="Y596" s="3"/>
      <c r="Z596" s="3"/>
      <c r="AA596" s="3"/>
      <c r="AB596" s="3"/>
      <c r="AC596" s="3"/>
    </row>
    <row r="597">
      <c r="A597" s="46"/>
      <c r="B597" s="47"/>
      <c r="C597" s="47"/>
      <c r="D597" s="48"/>
      <c r="E597" s="48"/>
      <c r="F597" s="48"/>
      <c r="G597" s="48"/>
      <c r="H597" s="49"/>
      <c r="I597" s="3"/>
      <c r="J597" s="3"/>
      <c r="K597" s="3"/>
      <c r="L597" s="3"/>
      <c r="M597" s="3"/>
      <c r="N597" s="3"/>
      <c r="O597" s="3"/>
      <c r="P597" s="3"/>
      <c r="Q597" s="3"/>
      <c r="R597" s="3"/>
      <c r="S597" s="3"/>
      <c r="T597" s="3"/>
      <c r="U597" s="3"/>
      <c r="V597" s="3"/>
      <c r="W597" s="3"/>
      <c r="X597" s="3"/>
      <c r="Y597" s="3"/>
      <c r="Z597" s="3"/>
      <c r="AA597" s="3"/>
      <c r="AB597" s="3"/>
      <c r="AC597" s="3"/>
    </row>
    <row r="598">
      <c r="A598" s="50"/>
      <c r="B598" s="51">
        <v>118.0</v>
      </c>
      <c r="C598" s="51"/>
      <c r="D598" s="52"/>
      <c r="E598" s="52" t="s">
        <v>1661</v>
      </c>
      <c r="F598" s="52" t="s">
        <v>1662</v>
      </c>
      <c r="G598" s="53" t="s">
        <v>1663</v>
      </c>
      <c r="H598" s="49"/>
      <c r="I598" s="3"/>
      <c r="J598" s="3"/>
      <c r="K598" s="3"/>
      <c r="L598" s="3"/>
      <c r="M598" s="3"/>
      <c r="N598" s="3"/>
      <c r="O598" s="3"/>
      <c r="P598" s="3"/>
      <c r="Q598" s="3"/>
      <c r="R598" s="3"/>
      <c r="S598" s="3"/>
      <c r="T598" s="3"/>
      <c r="U598" s="3"/>
      <c r="V598" s="3"/>
      <c r="W598" s="3"/>
      <c r="X598" s="3"/>
      <c r="Y598" s="3"/>
      <c r="Z598" s="3"/>
      <c r="AA598" s="3"/>
      <c r="AB598" s="3"/>
      <c r="AC598" s="3"/>
    </row>
    <row r="599">
      <c r="A599" s="61"/>
      <c r="B599" s="49"/>
      <c r="C599" s="49"/>
      <c r="D599" s="58"/>
      <c r="E599" s="58"/>
      <c r="F599" s="58"/>
      <c r="G599" s="58"/>
      <c r="H599" s="49"/>
      <c r="I599" s="3"/>
      <c r="J599" s="3"/>
      <c r="K599" s="3"/>
      <c r="L599" s="3"/>
      <c r="M599" s="3"/>
      <c r="N599" s="3"/>
      <c r="O599" s="3"/>
      <c r="P599" s="3"/>
      <c r="Q599" s="3"/>
      <c r="R599" s="3"/>
      <c r="S599" s="3"/>
      <c r="T599" s="3"/>
      <c r="U599" s="3"/>
      <c r="V599" s="3"/>
      <c r="W599" s="3"/>
      <c r="X599" s="3"/>
      <c r="Y599" s="3"/>
      <c r="Z599" s="3"/>
      <c r="AA599" s="3"/>
      <c r="AB599" s="3"/>
      <c r="AC599" s="3"/>
    </row>
    <row r="600">
      <c r="A600" s="50"/>
      <c r="B600" s="51">
        <v>119.0</v>
      </c>
      <c r="C600" s="51"/>
      <c r="D600" s="52"/>
      <c r="E600" s="52" t="s">
        <v>1664</v>
      </c>
      <c r="F600" s="52" t="s">
        <v>1662</v>
      </c>
      <c r="G600" s="53" t="s">
        <v>1665</v>
      </c>
      <c r="H600" s="49"/>
      <c r="I600" s="3"/>
      <c r="J600" s="3"/>
      <c r="K600" s="3"/>
      <c r="L600" s="3"/>
      <c r="M600" s="3"/>
      <c r="N600" s="3"/>
      <c r="O600" s="3"/>
      <c r="P600" s="3"/>
      <c r="Q600" s="3"/>
      <c r="R600" s="3"/>
      <c r="S600" s="3"/>
      <c r="T600" s="3"/>
      <c r="U600" s="3"/>
      <c r="V600" s="3"/>
      <c r="W600" s="3"/>
      <c r="X600" s="3"/>
      <c r="Y600" s="3"/>
      <c r="Z600" s="3"/>
      <c r="AA600" s="3"/>
      <c r="AB600" s="3"/>
      <c r="AC600" s="3"/>
    </row>
    <row r="601">
      <c r="A601" s="61"/>
      <c r="B601" s="49"/>
      <c r="C601" s="49"/>
      <c r="D601" s="58"/>
      <c r="E601" s="58"/>
      <c r="F601" s="58"/>
      <c r="G601" s="58"/>
      <c r="H601" s="49"/>
      <c r="I601" s="3"/>
      <c r="J601" s="3"/>
      <c r="K601" s="3"/>
      <c r="L601" s="3"/>
      <c r="M601" s="3"/>
      <c r="N601" s="3"/>
      <c r="O601" s="3"/>
      <c r="P601" s="3"/>
      <c r="Q601" s="3"/>
      <c r="R601" s="3"/>
      <c r="S601" s="3"/>
      <c r="T601" s="3"/>
      <c r="U601" s="3"/>
      <c r="V601" s="3"/>
      <c r="W601" s="3"/>
      <c r="X601" s="3"/>
      <c r="Y601" s="3"/>
      <c r="Z601" s="3"/>
      <c r="AA601" s="3"/>
      <c r="AB601" s="3"/>
      <c r="AC601" s="3"/>
    </row>
    <row r="602">
      <c r="A602" s="50"/>
      <c r="B602" s="51">
        <v>120.0</v>
      </c>
      <c r="C602" s="51"/>
      <c r="D602" s="52"/>
      <c r="E602" s="52" t="s">
        <v>1666</v>
      </c>
      <c r="F602" s="52" t="s">
        <v>890</v>
      </c>
      <c r="G602" s="53" t="s">
        <v>1667</v>
      </c>
      <c r="H602" s="49"/>
      <c r="I602" s="3"/>
      <c r="J602" s="3"/>
      <c r="K602" s="3"/>
      <c r="L602" s="3"/>
      <c r="M602" s="3"/>
      <c r="N602" s="3"/>
      <c r="O602" s="3"/>
      <c r="P602" s="3"/>
      <c r="Q602" s="3"/>
      <c r="R602" s="3"/>
      <c r="S602" s="3"/>
      <c r="T602" s="3"/>
      <c r="U602" s="3"/>
      <c r="V602" s="3"/>
      <c r="W602" s="3"/>
      <c r="X602" s="3"/>
      <c r="Y602" s="3"/>
      <c r="Z602" s="3"/>
      <c r="AA602" s="3"/>
      <c r="AB602" s="3"/>
      <c r="AC602" s="3"/>
    </row>
    <row r="603">
      <c r="A603" s="46"/>
      <c r="B603" s="47"/>
      <c r="C603" s="47"/>
      <c r="D603" s="48"/>
      <c r="E603" s="48"/>
      <c r="F603" s="48"/>
      <c r="G603" s="48"/>
      <c r="H603" s="49"/>
      <c r="I603" s="3"/>
      <c r="J603" s="3"/>
      <c r="K603" s="3"/>
      <c r="L603" s="3"/>
      <c r="M603" s="3"/>
      <c r="N603" s="3"/>
      <c r="O603" s="3"/>
      <c r="P603" s="3"/>
      <c r="Q603" s="3"/>
      <c r="R603" s="3"/>
      <c r="S603" s="3"/>
      <c r="T603" s="3"/>
      <c r="U603" s="3"/>
      <c r="V603" s="3"/>
      <c r="W603" s="3"/>
      <c r="X603" s="3"/>
      <c r="Y603" s="3"/>
      <c r="Z603" s="3"/>
      <c r="AA603" s="3"/>
      <c r="AB603" s="3"/>
      <c r="AC603" s="3"/>
    </row>
    <row r="604">
      <c r="A604" s="50"/>
      <c r="B604" s="51">
        <v>121.0</v>
      </c>
      <c r="C604" s="51"/>
      <c r="D604" s="52"/>
      <c r="E604" s="52" t="s">
        <v>1668</v>
      </c>
      <c r="F604" s="52" t="s">
        <v>1669</v>
      </c>
      <c r="G604" s="53" t="s">
        <v>1670</v>
      </c>
      <c r="H604" s="49"/>
      <c r="I604" s="3"/>
      <c r="J604" s="3"/>
      <c r="K604" s="3"/>
      <c r="L604" s="3"/>
      <c r="M604" s="3"/>
      <c r="N604" s="3"/>
      <c r="O604" s="3"/>
      <c r="P604" s="3"/>
      <c r="Q604" s="3"/>
      <c r="R604" s="3"/>
      <c r="S604" s="3"/>
      <c r="T604" s="3"/>
      <c r="U604" s="3"/>
      <c r="V604" s="3"/>
      <c r="W604" s="3"/>
      <c r="X604" s="3"/>
      <c r="Y604" s="3"/>
      <c r="Z604" s="3"/>
      <c r="AA604" s="3"/>
      <c r="AB604" s="3"/>
      <c r="AC604" s="3"/>
    </row>
    <row r="605">
      <c r="A605" s="46"/>
      <c r="B605" s="47"/>
      <c r="C605" s="47"/>
      <c r="D605" s="48"/>
      <c r="E605" s="48"/>
      <c r="F605" s="48"/>
      <c r="G605" s="48"/>
      <c r="H605" s="49"/>
      <c r="I605" s="3"/>
      <c r="J605" s="3"/>
      <c r="K605" s="3"/>
      <c r="L605" s="3"/>
      <c r="M605" s="3"/>
      <c r="N605" s="3"/>
      <c r="O605" s="3"/>
      <c r="P605" s="3"/>
      <c r="Q605" s="3"/>
      <c r="R605" s="3"/>
      <c r="S605" s="3"/>
      <c r="T605" s="3"/>
      <c r="U605" s="3"/>
      <c r="V605" s="3"/>
      <c r="W605" s="3"/>
      <c r="X605" s="3"/>
      <c r="Y605" s="3"/>
      <c r="Z605" s="3"/>
      <c r="AA605" s="3"/>
      <c r="AB605" s="3"/>
      <c r="AC605" s="3"/>
    </row>
    <row r="606">
      <c r="A606" s="50"/>
      <c r="B606" s="51">
        <v>122.0</v>
      </c>
      <c r="C606" s="51"/>
      <c r="D606" s="52"/>
      <c r="E606" s="52" t="s">
        <v>1671</v>
      </c>
      <c r="F606" s="52" t="s">
        <v>1669</v>
      </c>
      <c r="G606" s="53" t="s">
        <v>1672</v>
      </c>
      <c r="H606" s="49"/>
      <c r="I606" s="3"/>
      <c r="J606" s="3"/>
      <c r="K606" s="3"/>
      <c r="L606" s="3"/>
      <c r="M606" s="3"/>
      <c r="N606" s="3"/>
      <c r="O606" s="3"/>
      <c r="P606" s="3"/>
      <c r="Q606" s="3"/>
      <c r="R606" s="3"/>
      <c r="S606" s="3"/>
      <c r="T606" s="3"/>
      <c r="U606" s="3"/>
      <c r="V606" s="3"/>
      <c r="W606" s="3"/>
      <c r="X606" s="3"/>
      <c r="Y606" s="3"/>
      <c r="Z606" s="3"/>
      <c r="AA606" s="3"/>
      <c r="AB606" s="3"/>
      <c r="AC606" s="3"/>
    </row>
    <row r="607">
      <c r="A607" s="46"/>
      <c r="B607" s="47"/>
      <c r="C607" s="47"/>
      <c r="D607" s="48"/>
      <c r="E607" s="48"/>
      <c r="F607" s="48"/>
      <c r="G607" s="48"/>
      <c r="H607" s="49"/>
      <c r="I607" s="3"/>
      <c r="J607" s="3"/>
      <c r="K607" s="3"/>
      <c r="L607" s="3"/>
      <c r="M607" s="3"/>
      <c r="N607" s="3"/>
      <c r="O607" s="3"/>
      <c r="P607" s="3"/>
      <c r="Q607" s="3"/>
      <c r="R607" s="3"/>
      <c r="S607" s="3"/>
      <c r="T607" s="3"/>
      <c r="U607" s="3"/>
      <c r="V607" s="3"/>
      <c r="W607" s="3"/>
      <c r="X607" s="3"/>
      <c r="Y607" s="3"/>
      <c r="Z607" s="3"/>
      <c r="AA607" s="3"/>
      <c r="AB607" s="3"/>
      <c r="AC607" s="3"/>
    </row>
    <row r="608">
      <c r="A608" s="50"/>
      <c r="B608" s="51">
        <v>123.0</v>
      </c>
      <c r="C608" s="51"/>
      <c r="D608" s="52"/>
      <c r="E608" s="52" t="s">
        <v>1673</v>
      </c>
      <c r="F608" s="52" t="s">
        <v>1662</v>
      </c>
      <c r="G608" s="53" t="s">
        <v>1674</v>
      </c>
      <c r="H608" s="65"/>
      <c r="I608" s="3"/>
      <c r="J608" s="3"/>
      <c r="K608" s="3"/>
      <c r="L608" s="3"/>
      <c r="M608" s="3"/>
      <c r="N608" s="3"/>
      <c r="O608" s="3"/>
      <c r="P608" s="3"/>
      <c r="Q608" s="3"/>
      <c r="R608" s="3"/>
      <c r="S608" s="3"/>
      <c r="T608" s="3"/>
      <c r="U608" s="3"/>
      <c r="V608" s="3"/>
      <c r="W608" s="3"/>
      <c r="X608" s="3"/>
      <c r="Y608" s="3"/>
      <c r="Z608" s="3"/>
      <c r="AA608" s="3"/>
      <c r="AB608" s="3"/>
      <c r="AC608" s="3"/>
    </row>
    <row r="609">
      <c r="A609" s="46"/>
      <c r="B609" s="47"/>
      <c r="C609" s="47"/>
      <c r="D609" s="48"/>
      <c r="E609" s="48"/>
      <c r="F609" s="48"/>
      <c r="G609" s="48"/>
      <c r="H609" s="65"/>
      <c r="I609" s="3"/>
      <c r="J609" s="3"/>
      <c r="K609" s="3"/>
      <c r="L609" s="3"/>
      <c r="M609" s="3"/>
      <c r="N609" s="3"/>
      <c r="O609" s="3"/>
      <c r="P609" s="3"/>
      <c r="Q609" s="3"/>
      <c r="R609" s="3"/>
      <c r="S609" s="3"/>
      <c r="T609" s="3"/>
      <c r="U609" s="3"/>
      <c r="V609" s="3"/>
      <c r="W609" s="3"/>
      <c r="X609" s="3"/>
      <c r="Y609" s="3"/>
      <c r="Z609" s="3"/>
      <c r="AA609" s="3"/>
      <c r="AB609" s="3"/>
      <c r="AC609" s="3"/>
    </row>
    <row r="610">
      <c r="A610" s="62"/>
      <c r="B610" s="63" t="s">
        <v>1675</v>
      </c>
      <c r="C610" s="63"/>
      <c r="D610" s="64"/>
      <c r="E610" s="64" t="s">
        <v>1676</v>
      </c>
      <c r="F610" s="65"/>
      <c r="G610" s="65"/>
      <c r="H610" s="65"/>
      <c r="I610" s="3"/>
      <c r="J610" s="3"/>
      <c r="K610" s="3"/>
      <c r="L610" s="3"/>
      <c r="M610" s="3"/>
      <c r="N610" s="3"/>
      <c r="O610" s="3"/>
      <c r="P610" s="3"/>
      <c r="Q610" s="3"/>
      <c r="R610" s="3"/>
      <c r="S610" s="3"/>
      <c r="T610" s="3"/>
      <c r="U610" s="3"/>
      <c r="V610" s="3"/>
      <c r="W610" s="3"/>
      <c r="X610" s="3"/>
      <c r="Y610" s="3"/>
      <c r="Z610" s="3"/>
      <c r="AA610" s="3"/>
      <c r="AB610" s="3"/>
      <c r="AC610" s="3"/>
    </row>
    <row r="611">
      <c r="A611" s="50"/>
      <c r="B611" s="51">
        <v>124.0</v>
      </c>
      <c r="C611" s="51"/>
      <c r="D611" s="52"/>
      <c r="E611" s="52" t="s">
        <v>1677</v>
      </c>
      <c r="F611" s="52" t="s">
        <v>29</v>
      </c>
      <c r="G611" s="53" t="s">
        <v>1678</v>
      </c>
      <c r="H611" s="49"/>
      <c r="I611" s="3"/>
      <c r="J611" s="3"/>
      <c r="K611" s="3"/>
      <c r="L611" s="3"/>
      <c r="M611" s="3"/>
      <c r="N611" s="3"/>
      <c r="O611" s="3"/>
      <c r="P611" s="3"/>
      <c r="Q611" s="3"/>
      <c r="R611" s="3"/>
      <c r="S611" s="3"/>
      <c r="T611" s="3"/>
      <c r="U611" s="3"/>
      <c r="V611" s="3"/>
      <c r="W611" s="3"/>
      <c r="X611" s="3"/>
      <c r="Y611" s="3"/>
      <c r="Z611" s="3"/>
      <c r="AA611" s="3"/>
      <c r="AB611" s="3"/>
      <c r="AC611" s="3"/>
    </row>
    <row r="612">
      <c r="A612" s="46"/>
      <c r="B612" s="47"/>
      <c r="C612" s="47"/>
      <c r="D612" s="48"/>
      <c r="E612" s="48"/>
      <c r="F612" s="48"/>
      <c r="G612" s="48"/>
      <c r="H612" s="49"/>
      <c r="I612" s="3"/>
      <c r="J612" s="3"/>
      <c r="K612" s="3"/>
      <c r="L612" s="3"/>
      <c r="M612" s="3"/>
      <c r="N612" s="3"/>
      <c r="O612" s="3"/>
      <c r="P612" s="3"/>
      <c r="Q612" s="3"/>
      <c r="R612" s="3"/>
      <c r="S612" s="3"/>
      <c r="T612" s="3"/>
      <c r="U612" s="3"/>
      <c r="V612" s="3"/>
      <c r="W612" s="3"/>
      <c r="X612" s="3"/>
      <c r="Y612" s="3"/>
      <c r="Z612" s="3"/>
      <c r="AA612" s="3"/>
      <c r="AB612" s="3"/>
      <c r="AC612" s="3"/>
    </row>
    <row r="613">
      <c r="A613" s="50"/>
      <c r="B613" s="51">
        <v>125.0</v>
      </c>
      <c r="C613" s="51"/>
      <c r="D613" s="52"/>
      <c r="E613" s="52" t="s">
        <v>1679</v>
      </c>
      <c r="F613" s="52" t="s">
        <v>29</v>
      </c>
      <c r="G613" s="53" t="s">
        <v>1680</v>
      </c>
      <c r="H613" s="49"/>
      <c r="I613" s="3"/>
      <c r="J613" s="3"/>
      <c r="K613" s="3"/>
      <c r="L613" s="3"/>
      <c r="M613" s="3"/>
      <c r="N613" s="3"/>
      <c r="O613" s="3"/>
      <c r="P613" s="3"/>
      <c r="Q613" s="3"/>
      <c r="R613" s="3"/>
      <c r="S613" s="3"/>
      <c r="T613" s="3"/>
      <c r="U613" s="3"/>
      <c r="V613" s="3"/>
      <c r="W613" s="3"/>
      <c r="X613" s="3"/>
      <c r="Y613" s="3"/>
      <c r="Z613" s="3"/>
      <c r="AA613" s="3"/>
      <c r="AB613" s="3"/>
      <c r="AC613" s="3"/>
    </row>
    <row r="614">
      <c r="A614" s="46"/>
      <c r="B614" s="47"/>
      <c r="C614" s="47"/>
      <c r="D614" s="48"/>
      <c r="E614" s="48"/>
      <c r="F614" s="48"/>
      <c r="G614" s="48"/>
      <c r="H614" s="49"/>
      <c r="I614" s="3"/>
      <c r="J614" s="3"/>
      <c r="K614" s="3"/>
      <c r="L614" s="3"/>
      <c r="M614" s="3"/>
      <c r="N614" s="3"/>
      <c r="O614" s="3"/>
      <c r="P614" s="3"/>
      <c r="Q614" s="3"/>
      <c r="R614" s="3"/>
      <c r="S614" s="3"/>
      <c r="T614" s="3"/>
      <c r="U614" s="3"/>
      <c r="V614" s="3"/>
      <c r="W614" s="3"/>
      <c r="X614" s="3"/>
      <c r="Y614" s="3"/>
      <c r="Z614" s="3"/>
      <c r="AA614" s="3"/>
      <c r="AB614" s="3"/>
      <c r="AC614" s="3"/>
    </row>
    <row r="615">
      <c r="A615" s="50"/>
      <c r="B615" s="51">
        <v>126.0</v>
      </c>
      <c r="C615" s="51"/>
      <c r="D615" s="52"/>
      <c r="E615" s="52" t="s">
        <v>1681</v>
      </c>
      <c r="F615" s="52" t="s">
        <v>29</v>
      </c>
      <c r="G615" s="53" t="s">
        <v>1682</v>
      </c>
      <c r="H615" s="49"/>
      <c r="I615" s="3"/>
      <c r="J615" s="3"/>
      <c r="K615" s="3"/>
      <c r="L615" s="3"/>
      <c r="M615" s="3"/>
      <c r="N615" s="3"/>
      <c r="O615" s="3"/>
      <c r="P615" s="3"/>
      <c r="Q615" s="3"/>
      <c r="R615" s="3"/>
      <c r="S615" s="3"/>
      <c r="T615" s="3"/>
      <c r="U615" s="3"/>
      <c r="V615" s="3"/>
      <c r="W615" s="3"/>
      <c r="X615" s="3"/>
      <c r="Y615" s="3"/>
      <c r="Z615" s="3"/>
      <c r="AA615" s="3"/>
      <c r="AB615" s="3"/>
      <c r="AC615" s="3"/>
    </row>
    <row r="616">
      <c r="A616" s="46"/>
      <c r="B616" s="47"/>
      <c r="C616" s="47"/>
      <c r="D616" s="48"/>
      <c r="E616" s="48"/>
      <c r="F616" s="48"/>
      <c r="G616" s="48"/>
      <c r="H616" s="49"/>
      <c r="I616" s="3"/>
      <c r="J616" s="3"/>
      <c r="K616" s="3"/>
      <c r="L616" s="3"/>
      <c r="M616" s="3"/>
      <c r="N616" s="3"/>
      <c r="O616" s="3"/>
      <c r="P616" s="3"/>
      <c r="Q616" s="3"/>
      <c r="R616" s="3"/>
      <c r="S616" s="3"/>
      <c r="T616" s="3"/>
      <c r="U616" s="3"/>
      <c r="V616" s="3"/>
      <c r="W616" s="3"/>
      <c r="X616" s="3"/>
      <c r="Y616" s="3"/>
      <c r="Z616" s="3"/>
      <c r="AA616" s="3"/>
      <c r="AB616" s="3"/>
      <c r="AC616" s="3"/>
    </row>
    <row r="617">
      <c r="A617" s="50"/>
      <c r="B617" s="51">
        <v>127.0</v>
      </c>
      <c r="C617" s="51"/>
      <c r="D617" s="52"/>
      <c r="E617" s="52" t="s">
        <v>1683</v>
      </c>
      <c r="F617" s="52" t="s">
        <v>29</v>
      </c>
      <c r="G617" s="53" t="s">
        <v>1684</v>
      </c>
      <c r="H617" s="49"/>
      <c r="I617" s="3"/>
      <c r="J617" s="3"/>
      <c r="K617" s="3"/>
      <c r="L617" s="3"/>
      <c r="M617" s="3"/>
      <c r="N617" s="3"/>
      <c r="O617" s="3"/>
      <c r="P617" s="3"/>
      <c r="Q617" s="3"/>
      <c r="R617" s="3"/>
      <c r="S617" s="3"/>
      <c r="T617" s="3"/>
      <c r="U617" s="3"/>
      <c r="V617" s="3"/>
      <c r="W617" s="3"/>
      <c r="X617" s="3"/>
      <c r="Y617" s="3"/>
      <c r="Z617" s="3"/>
      <c r="AA617" s="3"/>
      <c r="AB617" s="3"/>
      <c r="AC617" s="3"/>
    </row>
    <row r="618">
      <c r="A618" s="46"/>
      <c r="B618" s="47"/>
      <c r="C618" s="47"/>
      <c r="D618" s="48"/>
      <c r="E618" s="48"/>
      <c r="F618" s="48"/>
      <c r="G618" s="48"/>
      <c r="H618" s="49"/>
      <c r="I618" s="3"/>
      <c r="J618" s="3"/>
      <c r="K618" s="3"/>
      <c r="L618" s="3"/>
      <c r="M618" s="3"/>
      <c r="N618" s="3"/>
      <c r="O618" s="3"/>
      <c r="P618" s="3"/>
      <c r="Q618" s="3"/>
      <c r="R618" s="3"/>
      <c r="S618" s="3"/>
      <c r="T618" s="3"/>
      <c r="U618" s="3"/>
      <c r="V618" s="3"/>
      <c r="W618" s="3"/>
      <c r="X618" s="3"/>
      <c r="Y618" s="3"/>
      <c r="Z618" s="3"/>
      <c r="AA618" s="3"/>
      <c r="AB618" s="3"/>
      <c r="AC618" s="3"/>
    </row>
    <row r="619">
      <c r="A619" s="50"/>
      <c r="B619" s="51">
        <v>128.0</v>
      </c>
      <c r="C619" s="51"/>
      <c r="D619" s="52"/>
      <c r="E619" s="52" t="s">
        <v>1685</v>
      </c>
      <c r="F619" s="52" t="s">
        <v>29</v>
      </c>
      <c r="G619" s="53" t="s">
        <v>1686</v>
      </c>
      <c r="H619" s="49"/>
      <c r="I619" s="3"/>
      <c r="J619" s="3"/>
      <c r="K619" s="3"/>
      <c r="L619" s="3"/>
      <c r="M619" s="3"/>
      <c r="N619" s="3"/>
      <c r="O619" s="3"/>
      <c r="P619" s="3"/>
      <c r="Q619" s="3"/>
      <c r="R619" s="3"/>
      <c r="S619" s="3"/>
      <c r="T619" s="3"/>
      <c r="U619" s="3"/>
      <c r="V619" s="3"/>
      <c r="W619" s="3"/>
      <c r="X619" s="3"/>
      <c r="Y619" s="3"/>
      <c r="Z619" s="3"/>
      <c r="AA619" s="3"/>
      <c r="AB619" s="3"/>
      <c r="AC619" s="3"/>
    </row>
    <row r="620">
      <c r="A620" s="46"/>
      <c r="B620" s="47"/>
      <c r="C620" s="47"/>
      <c r="D620" s="48"/>
      <c r="E620" s="48"/>
      <c r="F620" s="48"/>
      <c r="G620" s="48"/>
      <c r="H620" s="49"/>
      <c r="I620" s="3"/>
      <c r="J620" s="3"/>
      <c r="K620" s="3"/>
      <c r="L620" s="3"/>
      <c r="M620" s="3"/>
      <c r="N620" s="3"/>
      <c r="O620" s="3"/>
      <c r="P620" s="3"/>
      <c r="Q620" s="3"/>
      <c r="R620" s="3"/>
      <c r="S620" s="3"/>
      <c r="T620" s="3"/>
      <c r="U620" s="3"/>
      <c r="V620" s="3"/>
      <c r="W620" s="3"/>
      <c r="X620" s="3"/>
      <c r="Y620" s="3"/>
      <c r="Z620" s="3"/>
      <c r="AA620" s="3"/>
      <c r="AB620" s="3"/>
      <c r="AC620" s="3"/>
    </row>
    <row r="621">
      <c r="A621" s="50"/>
      <c r="B621" s="51">
        <v>129.0</v>
      </c>
      <c r="C621" s="51"/>
      <c r="D621" s="52"/>
      <c r="E621" s="52" t="s">
        <v>1687</v>
      </c>
      <c r="F621" s="52" t="s">
        <v>29</v>
      </c>
      <c r="G621" s="53" t="s">
        <v>1688</v>
      </c>
      <c r="H621" s="49"/>
      <c r="I621" s="3"/>
      <c r="J621" s="3"/>
      <c r="K621" s="3"/>
      <c r="L621" s="3"/>
      <c r="M621" s="3"/>
      <c r="N621" s="3"/>
      <c r="O621" s="3"/>
      <c r="P621" s="3"/>
      <c r="Q621" s="3"/>
      <c r="R621" s="3"/>
      <c r="S621" s="3"/>
      <c r="T621" s="3"/>
      <c r="U621" s="3"/>
      <c r="V621" s="3"/>
      <c r="W621" s="3"/>
      <c r="X621" s="3"/>
      <c r="Y621" s="3"/>
      <c r="Z621" s="3"/>
      <c r="AA621" s="3"/>
      <c r="AB621" s="3"/>
      <c r="AC621" s="3"/>
    </row>
    <row r="622">
      <c r="A622" s="46"/>
      <c r="B622" s="47"/>
      <c r="C622" s="47"/>
      <c r="D622" s="48"/>
      <c r="E622" s="48"/>
      <c r="F622" s="48"/>
      <c r="G622" s="48"/>
      <c r="H622" s="49"/>
      <c r="I622" s="3"/>
      <c r="J622" s="3"/>
      <c r="K622" s="3"/>
      <c r="L622" s="3"/>
      <c r="M622" s="3"/>
      <c r="N622" s="3"/>
      <c r="O622" s="3"/>
      <c r="P622" s="3"/>
      <c r="Q622" s="3"/>
      <c r="R622" s="3"/>
      <c r="S622" s="3"/>
      <c r="T622" s="3"/>
      <c r="U622" s="3"/>
      <c r="V622" s="3"/>
      <c r="W622" s="3"/>
      <c r="X622" s="3"/>
      <c r="Y622" s="3"/>
      <c r="Z622" s="3"/>
      <c r="AA622" s="3"/>
      <c r="AB622" s="3"/>
      <c r="AC622" s="3"/>
    </row>
    <row r="623">
      <c r="A623" s="50"/>
      <c r="B623" s="51">
        <v>130.0</v>
      </c>
      <c r="C623" s="51"/>
      <c r="D623" s="52"/>
      <c r="E623" s="52" t="s">
        <v>1689</v>
      </c>
      <c r="F623" s="52" t="s">
        <v>29</v>
      </c>
      <c r="G623" s="53" t="s">
        <v>1690</v>
      </c>
      <c r="H623" s="49"/>
      <c r="I623" s="3"/>
      <c r="J623" s="3"/>
      <c r="K623" s="3"/>
      <c r="L623" s="3"/>
      <c r="M623" s="3"/>
      <c r="N623" s="3"/>
      <c r="O623" s="3"/>
      <c r="P623" s="3"/>
      <c r="Q623" s="3"/>
      <c r="R623" s="3"/>
      <c r="S623" s="3"/>
      <c r="T623" s="3"/>
      <c r="U623" s="3"/>
      <c r="V623" s="3"/>
      <c r="W623" s="3"/>
      <c r="X623" s="3"/>
      <c r="Y623" s="3"/>
      <c r="Z623" s="3"/>
      <c r="AA623" s="3"/>
      <c r="AB623" s="3"/>
      <c r="AC623" s="3"/>
    </row>
    <row r="624">
      <c r="A624" s="46"/>
      <c r="B624" s="47"/>
      <c r="C624" s="47"/>
      <c r="D624" s="48"/>
      <c r="E624" s="48"/>
      <c r="F624" s="48"/>
      <c r="G624" s="48"/>
      <c r="H624" s="49"/>
      <c r="I624" s="3"/>
      <c r="J624" s="3"/>
      <c r="K624" s="3"/>
      <c r="L624" s="3"/>
      <c r="M624" s="3"/>
      <c r="N624" s="3"/>
      <c r="O624" s="3"/>
      <c r="P624" s="3"/>
      <c r="Q624" s="3"/>
      <c r="R624" s="3"/>
      <c r="S624" s="3"/>
      <c r="T624" s="3"/>
      <c r="U624" s="3"/>
      <c r="V624" s="3"/>
      <c r="W624" s="3"/>
      <c r="X624" s="3"/>
      <c r="Y624" s="3"/>
      <c r="Z624" s="3"/>
      <c r="AA624" s="3"/>
      <c r="AB624" s="3"/>
      <c r="AC624" s="3"/>
    </row>
    <row r="625">
      <c r="A625" s="50"/>
      <c r="B625" s="51">
        <v>131.0</v>
      </c>
      <c r="C625" s="51"/>
      <c r="D625" s="52"/>
      <c r="E625" s="52" t="s">
        <v>1691</v>
      </c>
      <c r="F625" s="52" t="s">
        <v>29</v>
      </c>
      <c r="G625" s="53" t="s">
        <v>1692</v>
      </c>
      <c r="H625" s="49"/>
      <c r="I625" s="3"/>
      <c r="J625" s="3"/>
      <c r="K625" s="3"/>
      <c r="L625" s="3"/>
      <c r="M625" s="3"/>
      <c r="N625" s="3"/>
      <c r="O625" s="3"/>
      <c r="P625" s="3"/>
      <c r="Q625" s="3"/>
      <c r="R625" s="3"/>
      <c r="S625" s="3"/>
      <c r="T625" s="3"/>
      <c r="U625" s="3"/>
      <c r="V625" s="3"/>
      <c r="W625" s="3"/>
      <c r="X625" s="3"/>
      <c r="Y625" s="3"/>
      <c r="Z625" s="3"/>
      <c r="AA625" s="3"/>
      <c r="AB625" s="3"/>
      <c r="AC625" s="3"/>
    </row>
    <row r="626">
      <c r="A626" s="46"/>
      <c r="B626" s="47"/>
      <c r="C626" s="47"/>
      <c r="D626" s="48"/>
      <c r="E626" s="48"/>
      <c r="F626" s="48"/>
      <c r="G626" s="48"/>
      <c r="H626" s="49"/>
      <c r="I626" s="3"/>
      <c r="J626" s="3"/>
      <c r="K626" s="3"/>
      <c r="L626" s="3"/>
      <c r="M626" s="3"/>
      <c r="N626" s="3"/>
      <c r="O626" s="3"/>
      <c r="P626" s="3"/>
      <c r="Q626" s="3"/>
      <c r="R626" s="3"/>
      <c r="S626" s="3"/>
      <c r="T626" s="3"/>
      <c r="U626" s="3"/>
      <c r="V626" s="3"/>
      <c r="W626" s="3"/>
      <c r="X626" s="3"/>
      <c r="Y626" s="3"/>
      <c r="Z626" s="3"/>
      <c r="AA626" s="3"/>
      <c r="AB626" s="3"/>
      <c r="AC626" s="3"/>
    </row>
    <row r="627">
      <c r="A627" s="50"/>
      <c r="B627" s="51">
        <v>132.0</v>
      </c>
      <c r="C627" s="51"/>
      <c r="D627" s="52"/>
      <c r="E627" s="52" t="s">
        <v>1693</v>
      </c>
      <c r="F627" s="52" t="s">
        <v>29</v>
      </c>
      <c r="G627" s="53" t="s">
        <v>1694</v>
      </c>
      <c r="H627" s="49"/>
      <c r="I627" s="3"/>
      <c r="J627" s="3"/>
      <c r="K627" s="3"/>
      <c r="L627" s="3"/>
      <c r="M627" s="3"/>
      <c r="N627" s="3"/>
      <c r="O627" s="3"/>
      <c r="P627" s="3"/>
      <c r="Q627" s="3"/>
      <c r="R627" s="3"/>
      <c r="S627" s="3"/>
      <c r="T627" s="3"/>
      <c r="U627" s="3"/>
      <c r="V627" s="3"/>
      <c r="W627" s="3"/>
      <c r="X627" s="3"/>
      <c r="Y627" s="3"/>
      <c r="Z627" s="3"/>
      <c r="AA627" s="3"/>
      <c r="AB627" s="3"/>
      <c r="AC627" s="3"/>
    </row>
    <row r="628">
      <c r="A628" s="61"/>
      <c r="B628" s="49"/>
      <c r="C628" s="49"/>
      <c r="D628" s="58"/>
      <c r="E628" s="58"/>
      <c r="F628" s="58"/>
      <c r="G628" s="58"/>
      <c r="H628" s="49"/>
      <c r="I628" s="3"/>
      <c r="J628" s="3"/>
      <c r="K628" s="3"/>
      <c r="L628" s="3"/>
      <c r="M628" s="3"/>
      <c r="N628" s="3"/>
      <c r="O628" s="3"/>
      <c r="P628" s="3"/>
      <c r="Q628" s="3"/>
      <c r="R628" s="3"/>
      <c r="S628" s="3"/>
      <c r="T628" s="3"/>
      <c r="U628" s="3"/>
      <c r="V628" s="3"/>
      <c r="W628" s="3"/>
      <c r="X628" s="3"/>
      <c r="Y628" s="3"/>
      <c r="Z628" s="3"/>
      <c r="AA628" s="3"/>
      <c r="AB628" s="3"/>
      <c r="AC628" s="3"/>
    </row>
    <row r="629">
      <c r="A629" s="50"/>
      <c r="B629" s="51">
        <v>133.0</v>
      </c>
      <c r="C629" s="51"/>
      <c r="D629" s="52"/>
      <c r="E629" s="52" t="s">
        <v>1695</v>
      </c>
      <c r="F629" s="52" t="s">
        <v>29</v>
      </c>
      <c r="G629" s="53" t="s">
        <v>1696</v>
      </c>
      <c r="H629" s="49"/>
      <c r="I629" s="3"/>
      <c r="J629" s="3"/>
      <c r="K629" s="3"/>
      <c r="L629" s="3"/>
      <c r="M629" s="3"/>
      <c r="N629" s="3"/>
      <c r="O629" s="3"/>
      <c r="P629" s="3"/>
      <c r="Q629" s="3"/>
      <c r="R629" s="3"/>
      <c r="S629" s="3"/>
      <c r="T629" s="3"/>
      <c r="U629" s="3"/>
      <c r="V629" s="3"/>
      <c r="W629" s="3"/>
      <c r="X629" s="3"/>
      <c r="Y629" s="3"/>
      <c r="Z629" s="3"/>
      <c r="AA629" s="3"/>
      <c r="AB629" s="3"/>
      <c r="AC629" s="3"/>
    </row>
    <row r="630">
      <c r="A630" s="61"/>
      <c r="B630" s="49"/>
      <c r="C630" s="49"/>
      <c r="D630" s="58"/>
      <c r="E630" s="58"/>
      <c r="F630" s="58"/>
      <c r="G630" s="58"/>
      <c r="H630" s="49"/>
      <c r="I630" s="3"/>
      <c r="J630" s="3"/>
      <c r="K630" s="3"/>
      <c r="L630" s="3"/>
      <c r="M630" s="3"/>
      <c r="N630" s="3"/>
      <c r="O630" s="3"/>
      <c r="P630" s="3"/>
      <c r="Q630" s="3"/>
      <c r="R630" s="3"/>
      <c r="S630" s="3"/>
      <c r="T630" s="3"/>
      <c r="U630" s="3"/>
      <c r="V630" s="3"/>
      <c r="W630" s="3"/>
      <c r="X630" s="3"/>
      <c r="Y630" s="3"/>
      <c r="Z630" s="3"/>
      <c r="AA630" s="3"/>
      <c r="AB630" s="3"/>
      <c r="AC630" s="3"/>
    </row>
    <row r="631">
      <c r="A631" s="50"/>
      <c r="B631" s="51">
        <v>134.0</v>
      </c>
      <c r="C631" s="51"/>
      <c r="D631" s="52"/>
      <c r="E631" s="52" t="s">
        <v>1697</v>
      </c>
      <c r="F631" s="52" t="s">
        <v>29</v>
      </c>
      <c r="G631" s="53" t="s">
        <v>1698</v>
      </c>
      <c r="H631" s="49"/>
      <c r="I631" s="3"/>
      <c r="J631" s="3"/>
      <c r="K631" s="3"/>
      <c r="L631" s="3"/>
      <c r="M631" s="3"/>
      <c r="N631" s="3"/>
      <c r="O631" s="3"/>
      <c r="P631" s="3"/>
      <c r="Q631" s="3"/>
      <c r="R631" s="3"/>
      <c r="S631" s="3"/>
      <c r="T631" s="3"/>
      <c r="U631" s="3"/>
      <c r="V631" s="3"/>
      <c r="W631" s="3"/>
      <c r="X631" s="3"/>
      <c r="Y631" s="3"/>
      <c r="Z631" s="3"/>
      <c r="AA631" s="3"/>
      <c r="AB631" s="3"/>
      <c r="AC631" s="3"/>
    </row>
    <row r="632">
      <c r="A632" s="46"/>
      <c r="B632" s="47"/>
      <c r="C632" s="47"/>
      <c r="D632" s="48"/>
      <c r="E632" s="48"/>
      <c r="F632" s="48"/>
      <c r="G632" s="48"/>
      <c r="H632" s="49"/>
      <c r="I632" s="3"/>
      <c r="J632" s="3"/>
      <c r="K632" s="3"/>
      <c r="L632" s="3"/>
      <c r="M632" s="3"/>
      <c r="N632" s="3"/>
      <c r="O632" s="3"/>
      <c r="P632" s="3"/>
      <c r="Q632" s="3"/>
      <c r="R632" s="3"/>
      <c r="S632" s="3"/>
      <c r="T632" s="3"/>
      <c r="U632" s="3"/>
      <c r="V632" s="3"/>
      <c r="W632" s="3"/>
      <c r="X632" s="3"/>
      <c r="Y632" s="3"/>
      <c r="Z632" s="3"/>
      <c r="AA632" s="3"/>
      <c r="AB632" s="3"/>
      <c r="AC632" s="3"/>
    </row>
    <row r="633">
      <c r="A633" s="50"/>
      <c r="B633" s="51">
        <v>135.0</v>
      </c>
      <c r="C633" s="51"/>
      <c r="D633" s="52"/>
      <c r="E633" s="52" t="s">
        <v>1699</v>
      </c>
      <c r="F633" s="52" t="s">
        <v>29</v>
      </c>
      <c r="G633" s="53" t="s">
        <v>1700</v>
      </c>
      <c r="H633" s="49"/>
      <c r="I633" s="3"/>
      <c r="J633" s="3"/>
      <c r="K633" s="3"/>
      <c r="L633" s="3"/>
      <c r="M633" s="3"/>
      <c r="N633" s="3"/>
      <c r="O633" s="3"/>
      <c r="P633" s="3"/>
      <c r="Q633" s="3"/>
      <c r="R633" s="3"/>
      <c r="S633" s="3"/>
      <c r="T633" s="3"/>
      <c r="U633" s="3"/>
      <c r="V633" s="3"/>
      <c r="W633" s="3"/>
      <c r="X633" s="3"/>
      <c r="Y633" s="3"/>
      <c r="Z633" s="3"/>
      <c r="AA633" s="3"/>
      <c r="AB633" s="3"/>
      <c r="AC633" s="3"/>
    </row>
    <row r="634">
      <c r="A634" s="46"/>
      <c r="B634" s="47"/>
      <c r="C634" s="47"/>
      <c r="D634" s="48"/>
      <c r="E634" s="48"/>
      <c r="F634" s="48"/>
      <c r="G634" s="48"/>
      <c r="H634" s="49"/>
      <c r="I634" s="3"/>
      <c r="J634" s="3"/>
      <c r="K634" s="3"/>
      <c r="L634" s="3"/>
      <c r="M634" s="3"/>
      <c r="N634" s="3"/>
      <c r="O634" s="3"/>
      <c r="P634" s="3"/>
      <c r="Q634" s="3"/>
      <c r="R634" s="3"/>
      <c r="S634" s="3"/>
      <c r="T634" s="3"/>
      <c r="U634" s="3"/>
      <c r="V634" s="3"/>
      <c r="W634" s="3"/>
      <c r="X634" s="3"/>
      <c r="Y634" s="3"/>
      <c r="Z634" s="3"/>
      <c r="AA634" s="3"/>
      <c r="AB634" s="3"/>
      <c r="AC634" s="3"/>
    </row>
    <row r="635">
      <c r="A635" s="50"/>
      <c r="B635" s="51">
        <v>136.0</v>
      </c>
      <c r="C635" s="51"/>
      <c r="D635" s="52"/>
      <c r="E635" s="52" t="s">
        <v>1701</v>
      </c>
      <c r="F635" s="52" t="s">
        <v>29</v>
      </c>
      <c r="G635" s="53" t="s">
        <v>1702</v>
      </c>
      <c r="H635" s="49"/>
      <c r="I635" s="3"/>
      <c r="J635" s="3"/>
      <c r="K635" s="3"/>
      <c r="L635" s="3"/>
      <c r="M635" s="3"/>
      <c r="N635" s="3"/>
      <c r="O635" s="3"/>
      <c r="P635" s="3"/>
      <c r="Q635" s="3"/>
      <c r="R635" s="3"/>
      <c r="S635" s="3"/>
      <c r="T635" s="3"/>
      <c r="U635" s="3"/>
      <c r="V635" s="3"/>
      <c r="W635" s="3"/>
      <c r="X635" s="3"/>
      <c r="Y635" s="3"/>
      <c r="Z635" s="3"/>
      <c r="AA635" s="3"/>
      <c r="AB635" s="3"/>
      <c r="AC635" s="3"/>
    </row>
    <row r="636">
      <c r="A636" s="46"/>
      <c r="B636" s="47"/>
      <c r="C636" s="47"/>
      <c r="D636" s="48"/>
      <c r="E636" s="48"/>
      <c r="F636" s="48"/>
      <c r="G636" s="48"/>
      <c r="H636" s="49"/>
      <c r="I636" s="3"/>
      <c r="J636" s="3"/>
      <c r="K636" s="3"/>
      <c r="L636" s="3"/>
      <c r="M636" s="3"/>
      <c r="N636" s="3"/>
      <c r="O636" s="3"/>
      <c r="P636" s="3"/>
      <c r="Q636" s="3"/>
      <c r="R636" s="3"/>
      <c r="S636" s="3"/>
      <c r="T636" s="3"/>
      <c r="U636" s="3"/>
      <c r="V636" s="3"/>
      <c r="W636" s="3"/>
      <c r="X636" s="3"/>
      <c r="Y636" s="3"/>
      <c r="Z636" s="3"/>
      <c r="AA636" s="3"/>
      <c r="AB636" s="3"/>
      <c r="AC636" s="3"/>
    </row>
    <row r="637">
      <c r="A637" s="50"/>
      <c r="B637" s="51">
        <v>137.0</v>
      </c>
      <c r="C637" s="51"/>
      <c r="D637" s="52"/>
      <c r="E637" s="52" t="s">
        <v>1685</v>
      </c>
      <c r="F637" s="52" t="s">
        <v>29</v>
      </c>
      <c r="G637" s="53" t="s">
        <v>1703</v>
      </c>
      <c r="H637" s="49"/>
      <c r="I637" s="3"/>
      <c r="J637" s="3"/>
      <c r="K637" s="3"/>
      <c r="L637" s="3"/>
      <c r="M637" s="3"/>
      <c r="N637" s="3"/>
      <c r="O637" s="3"/>
      <c r="P637" s="3"/>
      <c r="Q637" s="3"/>
      <c r="R637" s="3"/>
      <c r="S637" s="3"/>
      <c r="T637" s="3"/>
      <c r="U637" s="3"/>
      <c r="V637" s="3"/>
      <c r="W637" s="3"/>
      <c r="X637" s="3"/>
      <c r="Y637" s="3"/>
      <c r="Z637" s="3"/>
      <c r="AA637" s="3"/>
      <c r="AB637" s="3"/>
      <c r="AC637" s="3"/>
    </row>
    <row r="638">
      <c r="A638" s="46"/>
      <c r="B638" s="47"/>
      <c r="C638" s="47"/>
      <c r="D638" s="48"/>
      <c r="E638" s="48"/>
      <c r="F638" s="48"/>
      <c r="G638" s="48"/>
      <c r="H638" s="49"/>
      <c r="I638" s="3"/>
      <c r="J638" s="3"/>
      <c r="K638" s="3"/>
      <c r="L638" s="3"/>
      <c r="M638" s="3"/>
      <c r="N638" s="3"/>
      <c r="O638" s="3"/>
      <c r="P638" s="3"/>
      <c r="Q638" s="3"/>
      <c r="R638" s="3"/>
      <c r="S638" s="3"/>
      <c r="T638" s="3"/>
      <c r="U638" s="3"/>
      <c r="V638" s="3"/>
      <c r="W638" s="3"/>
      <c r="X638" s="3"/>
      <c r="Y638" s="3"/>
      <c r="Z638" s="3"/>
      <c r="AA638" s="3"/>
      <c r="AB638" s="3"/>
      <c r="AC638" s="3"/>
    </row>
    <row r="639">
      <c r="A639" s="50"/>
      <c r="B639" s="51">
        <v>138.0</v>
      </c>
      <c r="C639" s="51"/>
      <c r="D639" s="52"/>
      <c r="E639" s="52" t="s">
        <v>1704</v>
      </c>
      <c r="F639" s="52" t="s">
        <v>29</v>
      </c>
      <c r="G639" s="53" t="s">
        <v>1705</v>
      </c>
      <c r="H639" s="49"/>
      <c r="I639" s="3"/>
      <c r="J639" s="3"/>
      <c r="K639" s="3"/>
      <c r="L639" s="3"/>
      <c r="M639" s="3"/>
      <c r="N639" s="3"/>
      <c r="O639" s="3"/>
      <c r="P639" s="3"/>
      <c r="Q639" s="3"/>
      <c r="R639" s="3"/>
      <c r="S639" s="3"/>
      <c r="T639" s="3"/>
      <c r="U639" s="3"/>
      <c r="V639" s="3"/>
      <c r="W639" s="3"/>
      <c r="X639" s="3"/>
      <c r="Y639" s="3"/>
      <c r="Z639" s="3"/>
      <c r="AA639" s="3"/>
      <c r="AB639" s="3"/>
      <c r="AC639" s="3"/>
    </row>
    <row r="640">
      <c r="A640" s="46"/>
      <c r="B640" s="47"/>
      <c r="C640" s="47"/>
      <c r="D640" s="48"/>
      <c r="E640" s="48"/>
      <c r="F640" s="48"/>
      <c r="G640" s="48"/>
      <c r="H640" s="49"/>
      <c r="I640" s="3"/>
      <c r="J640" s="3"/>
      <c r="K640" s="3"/>
      <c r="L640" s="3"/>
      <c r="M640" s="3"/>
      <c r="N640" s="3"/>
      <c r="O640" s="3"/>
      <c r="P640" s="3"/>
      <c r="Q640" s="3"/>
      <c r="R640" s="3"/>
      <c r="S640" s="3"/>
      <c r="T640" s="3"/>
      <c r="U640" s="3"/>
      <c r="V640" s="3"/>
      <c r="W640" s="3"/>
      <c r="X640" s="3"/>
      <c r="Y640" s="3"/>
      <c r="Z640" s="3"/>
      <c r="AA640" s="3"/>
      <c r="AB640" s="3"/>
      <c r="AC640" s="3"/>
    </row>
    <row r="641">
      <c r="A641" s="50"/>
      <c r="B641" s="51">
        <v>139.0</v>
      </c>
      <c r="C641" s="51"/>
      <c r="D641" s="52"/>
      <c r="E641" s="52" t="s">
        <v>1706</v>
      </c>
      <c r="F641" s="52" t="s">
        <v>29</v>
      </c>
      <c r="G641" s="53" t="s">
        <v>1707</v>
      </c>
      <c r="H641" s="49"/>
      <c r="I641" s="3"/>
      <c r="J641" s="3"/>
      <c r="K641" s="3"/>
      <c r="L641" s="3"/>
      <c r="M641" s="3"/>
      <c r="N641" s="3"/>
      <c r="O641" s="3"/>
      <c r="P641" s="3"/>
      <c r="Q641" s="3"/>
      <c r="R641" s="3"/>
      <c r="S641" s="3"/>
      <c r="T641" s="3"/>
      <c r="U641" s="3"/>
      <c r="V641" s="3"/>
      <c r="W641" s="3"/>
      <c r="X641" s="3"/>
      <c r="Y641" s="3"/>
      <c r="Z641" s="3"/>
      <c r="AA641" s="3"/>
      <c r="AB641" s="3"/>
      <c r="AC641" s="3"/>
    </row>
    <row r="642">
      <c r="A642" s="46"/>
      <c r="B642" s="47"/>
      <c r="C642" s="47"/>
      <c r="D642" s="48"/>
      <c r="E642" s="48"/>
      <c r="F642" s="48"/>
      <c r="G642" s="48"/>
      <c r="H642" s="49"/>
      <c r="I642" s="3"/>
      <c r="J642" s="3"/>
      <c r="K642" s="3"/>
      <c r="L642" s="3"/>
      <c r="M642" s="3"/>
      <c r="N642" s="3"/>
      <c r="O642" s="3"/>
      <c r="P642" s="3"/>
      <c r="Q642" s="3"/>
      <c r="R642" s="3"/>
      <c r="S642" s="3"/>
      <c r="T642" s="3"/>
      <c r="U642" s="3"/>
      <c r="V642" s="3"/>
      <c r="W642" s="3"/>
      <c r="X642" s="3"/>
      <c r="Y642" s="3"/>
      <c r="Z642" s="3"/>
      <c r="AA642" s="3"/>
      <c r="AB642" s="3"/>
      <c r="AC642" s="3"/>
    </row>
    <row r="643">
      <c r="A643" s="50"/>
      <c r="B643" s="51">
        <v>140.0</v>
      </c>
      <c r="C643" s="51"/>
      <c r="D643" s="52"/>
      <c r="E643" s="52" t="s">
        <v>1708</v>
      </c>
      <c r="F643" s="52" t="s">
        <v>29</v>
      </c>
      <c r="G643" s="53" t="s">
        <v>1709</v>
      </c>
      <c r="H643" s="49"/>
      <c r="I643" s="3"/>
      <c r="J643" s="3"/>
      <c r="K643" s="3"/>
      <c r="L643" s="3"/>
      <c r="M643" s="3"/>
      <c r="N643" s="3"/>
      <c r="O643" s="3"/>
      <c r="P643" s="3"/>
      <c r="Q643" s="3"/>
      <c r="R643" s="3"/>
      <c r="S643" s="3"/>
      <c r="T643" s="3"/>
      <c r="U643" s="3"/>
      <c r="V643" s="3"/>
      <c r="W643" s="3"/>
      <c r="X643" s="3"/>
      <c r="Y643" s="3"/>
      <c r="Z643" s="3"/>
      <c r="AA643" s="3"/>
      <c r="AB643" s="3"/>
      <c r="AC643" s="3"/>
    </row>
    <row r="644">
      <c r="A644" s="46"/>
      <c r="B644" s="47"/>
      <c r="C644" s="47"/>
      <c r="D644" s="48"/>
      <c r="E644" s="48"/>
      <c r="F644" s="48"/>
      <c r="G644" s="48"/>
      <c r="H644" s="49"/>
      <c r="I644" s="3"/>
      <c r="J644" s="3"/>
      <c r="K644" s="3"/>
      <c r="L644" s="3"/>
      <c r="M644" s="3"/>
      <c r="N644" s="3"/>
      <c r="O644" s="3"/>
      <c r="P644" s="3"/>
      <c r="Q644" s="3"/>
      <c r="R644" s="3"/>
      <c r="S644" s="3"/>
      <c r="T644" s="3"/>
      <c r="U644" s="3"/>
      <c r="V644" s="3"/>
      <c r="W644" s="3"/>
      <c r="X644" s="3"/>
      <c r="Y644" s="3"/>
      <c r="Z644" s="3"/>
      <c r="AA644" s="3"/>
      <c r="AB644" s="3"/>
      <c r="AC644" s="3"/>
    </row>
    <row r="645">
      <c r="A645" s="50"/>
      <c r="B645" s="51">
        <v>141.0</v>
      </c>
      <c r="C645" s="51"/>
      <c r="D645" s="52"/>
      <c r="E645" s="52" t="s">
        <v>1710</v>
      </c>
      <c r="F645" s="52" t="s">
        <v>29</v>
      </c>
      <c r="G645" s="53" t="s">
        <v>1711</v>
      </c>
      <c r="H645" s="49"/>
      <c r="I645" s="3"/>
      <c r="J645" s="3"/>
      <c r="K645" s="3"/>
      <c r="L645" s="3"/>
      <c r="M645" s="3"/>
      <c r="N645" s="3"/>
      <c r="O645" s="3"/>
      <c r="P645" s="3"/>
      <c r="Q645" s="3"/>
      <c r="R645" s="3"/>
      <c r="S645" s="3"/>
      <c r="T645" s="3"/>
      <c r="U645" s="3"/>
      <c r="V645" s="3"/>
      <c r="W645" s="3"/>
      <c r="X645" s="3"/>
      <c r="Y645" s="3"/>
      <c r="Z645" s="3"/>
      <c r="AA645" s="3"/>
      <c r="AB645" s="3"/>
      <c r="AC645" s="3"/>
    </row>
    <row r="646">
      <c r="A646" s="46"/>
      <c r="B646" s="47"/>
      <c r="C646" s="47"/>
      <c r="D646" s="48"/>
      <c r="E646" s="48"/>
      <c r="F646" s="48"/>
      <c r="G646" s="48"/>
      <c r="H646" s="49"/>
      <c r="I646" s="3"/>
      <c r="J646" s="3"/>
      <c r="K646" s="3"/>
      <c r="L646" s="3"/>
      <c r="M646" s="3"/>
      <c r="N646" s="3"/>
      <c r="O646" s="3"/>
      <c r="P646" s="3"/>
      <c r="Q646" s="3"/>
      <c r="R646" s="3"/>
      <c r="S646" s="3"/>
      <c r="T646" s="3"/>
      <c r="U646" s="3"/>
      <c r="V646" s="3"/>
      <c r="W646" s="3"/>
      <c r="X646" s="3"/>
      <c r="Y646" s="3"/>
      <c r="Z646" s="3"/>
      <c r="AA646" s="3"/>
      <c r="AB646" s="3"/>
      <c r="AC646" s="3"/>
    </row>
    <row r="647">
      <c r="A647" s="50"/>
      <c r="B647" s="51">
        <v>142.0</v>
      </c>
      <c r="C647" s="51"/>
      <c r="D647" s="52"/>
      <c r="E647" s="52" t="s">
        <v>1712</v>
      </c>
      <c r="F647" s="52" t="s">
        <v>29</v>
      </c>
      <c r="G647" s="53" t="s">
        <v>1713</v>
      </c>
      <c r="H647" s="49"/>
      <c r="I647" s="3"/>
      <c r="J647" s="3"/>
      <c r="K647" s="3"/>
      <c r="L647" s="3"/>
      <c r="M647" s="3"/>
      <c r="N647" s="3"/>
      <c r="O647" s="3"/>
      <c r="P647" s="3"/>
      <c r="Q647" s="3"/>
      <c r="R647" s="3"/>
      <c r="S647" s="3"/>
      <c r="T647" s="3"/>
      <c r="U647" s="3"/>
      <c r="V647" s="3"/>
      <c r="W647" s="3"/>
      <c r="X647" s="3"/>
      <c r="Y647" s="3"/>
      <c r="Z647" s="3"/>
      <c r="AA647" s="3"/>
      <c r="AB647" s="3"/>
      <c r="AC647" s="3"/>
    </row>
    <row r="648">
      <c r="A648" s="61"/>
      <c r="B648" s="49"/>
      <c r="C648" s="49"/>
      <c r="D648" s="58"/>
      <c r="E648" s="58"/>
      <c r="F648" s="58"/>
      <c r="G648" s="58"/>
      <c r="H648" s="49"/>
      <c r="I648" s="3"/>
      <c r="J648" s="3"/>
      <c r="K648" s="3"/>
      <c r="L648" s="3"/>
      <c r="M648" s="3"/>
      <c r="N648" s="3"/>
      <c r="O648" s="3"/>
      <c r="P648" s="3"/>
      <c r="Q648" s="3"/>
      <c r="R648" s="3"/>
      <c r="S648" s="3"/>
      <c r="T648" s="3"/>
      <c r="U648" s="3"/>
      <c r="V648" s="3"/>
      <c r="W648" s="3"/>
      <c r="X648" s="3"/>
      <c r="Y648" s="3"/>
      <c r="Z648" s="3"/>
      <c r="AA648" s="3"/>
      <c r="AB648" s="3"/>
      <c r="AC648" s="3"/>
    </row>
    <row r="649">
      <c r="A649" s="50"/>
      <c r="B649" s="51">
        <v>143.0</v>
      </c>
      <c r="C649" s="51"/>
      <c r="D649" s="52"/>
      <c r="E649" s="52" t="s">
        <v>1714</v>
      </c>
      <c r="F649" s="52" t="s">
        <v>29</v>
      </c>
      <c r="G649" s="53" t="s">
        <v>1715</v>
      </c>
      <c r="H649" s="49"/>
      <c r="I649" s="3"/>
      <c r="J649" s="3"/>
      <c r="K649" s="3"/>
      <c r="L649" s="3"/>
      <c r="M649" s="3"/>
      <c r="N649" s="3"/>
      <c r="O649" s="3"/>
      <c r="P649" s="3"/>
      <c r="Q649" s="3"/>
      <c r="R649" s="3"/>
      <c r="S649" s="3"/>
      <c r="T649" s="3"/>
      <c r="U649" s="3"/>
      <c r="V649" s="3"/>
      <c r="W649" s="3"/>
      <c r="X649" s="3"/>
      <c r="Y649" s="3"/>
      <c r="Z649" s="3"/>
      <c r="AA649" s="3"/>
      <c r="AB649" s="3"/>
      <c r="AC649" s="3"/>
    </row>
    <row r="650">
      <c r="A650" s="61"/>
      <c r="B650" s="49"/>
      <c r="C650" s="49"/>
      <c r="D650" s="58"/>
      <c r="E650" s="58"/>
      <c r="F650" s="58"/>
      <c r="G650" s="58"/>
      <c r="H650" s="49"/>
      <c r="I650" s="3"/>
      <c r="J650" s="3"/>
      <c r="K650" s="3"/>
      <c r="L650" s="3"/>
      <c r="M650" s="3"/>
      <c r="N650" s="3"/>
      <c r="O650" s="3"/>
      <c r="P650" s="3"/>
      <c r="Q650" s="3"/>
      <c r="R650" s="3"/>
      <c r="S650" s="3"/>
      <c r="T650" s="3"/>
      <c r="U650" s="3"/>
      <c r="V650" s="3"/>
      <c r="W650" s="3"/>
      <c r="X650" s="3"/>
      <c r="Y650" s="3"/>
      <c r="Z650" s="3"/>
      <c r="AA650" s="3"/>
      <c r="AB650" s="3"/>
      <c r="AC650" s="3"/>
    </row>
    <row r="651">
      <c r="A651" s="50"/>
      <c r="B651" s="51">
        <v>144.0</v>
      </c>
      <c r="C651" s="51"/>
      <c r="D651" s="52"/>
      <c r="E651" s="52" t="s">
        <v>1716</v>
      </c>
      <c r="F651" s="52" t="s">
        <v>29</v>
      </c>
      <c r="G651" s="53" t="s">
        <v>1717</v>
      </c>
      <c r="H651" s="49"/>
      <c r="I651" s="3"/>
      <c r="J651" s="3"/>
      <c r="K651" s="3"/>
      <c r="L651" s="3"/>
      <c r="M651" s="3"/>
      <c r="N651" s="3"/>
      <c r="O651" s="3"/>
      <c r="P651" s="3"/>
      <c r="Q651" s="3"/>
      <c r="R651" s="3"/>
      <c r="S651" s="3"/>
      <c r="T651" s="3"/>
      <c r="U651" s="3"/>
      <c r="V651" s="3"/>
      <c r="W651" s="3"/>
      <c r="X651" s="3"/>
      <c r="Y651" s="3"/>
      <c r="Z651" s="3"/>
      <c r="AA651" s="3"/>
      <c r="AB651" s="3"/>
      <c r="AC651" s="3"/>
    </row>
    <row r="652">
      <c r="A652" s="46"/>
      <c r="B652" s="47"/>
      <c r="C652" s="47"/>
      <c r="D652" s="48"/>
      <c r="E652" s="48"/>
      <c r="F652" s="48"/>
      <c r="G652" s="48"/>
      <c r="H652" s="49"/>
      <c r="I652" s="3"/>
      <c r="J652" s="3"/>
      <c r="K652" s="3"/>
      <c r="L652" s="3"/>
      <c r="M652" s="3"/>
      <c r="N652" s="3"/>
      <c r="O652" s="3"/>
      <c r="P652" s="3"/>
      <c r="Q652" s="3"/>
      <c r="R652" s="3"/>
      <c r="S652" s="3"/>
      <c r="T652" s="3"/>
      <c r="U652" s="3"/>
      <c r="V652" s="3"/>
      <c r="W652" s="3"/>
      <c r="X652" s="3"/>
      <c r="Y652" s="3"/>
      <c r="Z652" s="3"/>
      <c r="AA652" s="3"/>
      <c r="AB652" s="3"/>
      <c r="AC652" s="3"/>
    </row>
    <row r="653">
      <c r="A653" s="50"/>
      <c r="B653" s="51">
        <v>145.0</v>
      </c>
      <c r="C653" s="51"/>
      <c r="D653" s="52"/>
      <c r="E653" s="52" t="s">
        <v>1718</v>
      </c>
      <c r="F653" s="52" t="s">
        <v>29</v>
      </c>
      <c r="G653" s="53" t="s">
        <v>1719</v>
      </c>
      <c r="H653" s="49"/>
      <c r="I653" s="3"/>
      <c r="J653" s="3"/>
      <c r="K653" s="3"/>
      <c r="L653" s="3"/>
      <c r="M653" s="3"/>
      <c r="N653" s="3"/>
      <c r="O653" s="3"/>
      <c r="P653" s="3"/>
      <c r="Q653" s="3"/>
      <c r="R653" s="3"/>
      <c r="S653" s="3"/>
      <c r="T653" s="3"/>
      <c r="U653" s="3"/>
      <c r="V653" s="3"/>
      <c r="W653" s="3"/>
      <c r="X653" s="3"/>
      <c r="Y653" s="3"/>
      <c r="Z653" s="3"/>
      <c r="AA653" s="3"/>
      <c r="AB653" s="3"/>
      <c r="AC653" s="3"/>
    </row>
    <row r="654">
      <c r="A654" s="46"/>
      <c r="B654" s="47"/>
      <c r="C654" s="47"/>
      <c r="D654" s="48"/>
      <c r="E654" s="48"/>
      <c r="F654" s="48"/>
      <c r="G654" s="48"/>
      <c r="H654" s="49"/>
      <c r="I654" s="3"/>
      <c r="J654" s="3"/>
      <c r="K654" s="3"/>
      <c r="L654" s="3"/>
      <c r="M654" s="3"/>
      <c r="N654" s="3"/>
      <c r="O654" s="3"/>
      <c r="P654" s="3"/>
      <c r="Q654" s="3"/>
      <c r="R654" s="3"/>
      <c r="S654" s="3"/>
      <c r="T654" s="3"/>
      <c r="U654" s="3"/>
      <c r="V654" s="3"/>
      <c r="W654" s="3"/>
      <c r="X654" s="3"/>
      <c r="Y654" s="3"/>
      <c r="Z654" s="3"/>
      <c r="AA654" s="3"/>
      <c r="AB654" s="3"/>
      <c r="AC654" s="3"/>
    </row>
    <row r="655">
      <c r="A655" s="50"/>
      <c r="B655" s="51">
        <v>146.0</v>
      </c>
      <c r="C655" s="51"/>
      <c r="D655" s="52"/>
      <c r="E655" s="52" t="s">
        <v>1720</v>
      </c>
      <c r="F655" s="52" t="s">
        <v>29</v>
      </c>
      <c r="G655" s="53" t="s">
        <v>1721</v>
      </c>
      <c r="H655" s="49"/>
      <c r="I655" s="3"/>
      <c r="J655" s="3"/>
      <c r="K655" s="3"/>
      <c r="L655" s="3"/>
      <c r="M655" s="3"/>
      <c r="N655" s="3"/>
      <c r="O655" s="3"/>
      <c r="P655" s="3"/>
      <c r="Q655" s="3"/>
      <c r="R655" s="3"/>
      <c r="S655" s="3"/>
      <c r="T655" s="3"/>
      <c r="U655" s="3"/>
      <c r="V655" s="3"/>
      <c r="W655" s="3"/>
      <c r="X655" s="3"/>
      <c r="Y655" s="3"/>
      <c r="Z655" s="3"/>
      <c r="AA655" s="3"/>
      <c r="AB655" s="3"/>
      <c r="AC655" s="3"/>
    </row>
    <row r="656">
      <c r="A656" s="46"/>
      <c r="B656" s="47"/>
      <c r="C656" s="47"/>
      <c r="D656" s="48"/>
      <c r="E656" s="48"/>
      <c r="F656" s="48"/>
      <c r="G656" s="48"/>
      <c r="H656" s="49"/>
      <c r="I656" s="3"/>
      <c r="J656" s="3"/>
      <c r="K656" s="3"/>
      <c r="L656" s="3"/>
      <c r="M656" s="3"/>
      <c r="N656" s="3"/>
      <c r="O656" s="3"/>
      <c r="P656" s="3"/>
      <c r="Q656" s="3"/>
      <c r="R656" s="3"/>
      <c r="S656" s="3"/>
      <c r="T656" s="3"/>
      <c r="U656" s="3"/>
      <c r="V656" s="3"/>
      <c r="W656" s="3"/>
      <c r="X656" s="3"/>
      <c r="Y656" s="3"/>
      <c r="Z656" s="3"/>
      <c r="AA656" s="3"/>
      <c r="AB656" s="3"/>
      <c r="AC656" s="3"/>
    </row>
    <row r="657">
      <c r="A657" s="62"/>
      <c r="B657" s="63" t="s">
        <v>1722</v>
      </c>
      <c r="C657" s="63"/>
      <c r="D657" s="64"/>
      <c r="E657" s="64" t="s">
        <v>1723</v>
      </c>
      <c r="F657" s="65"/>
      <c r="G657" s="65"/>
      <c r="H657" s="65"/>
      <c r="I657" s="3"/>
      <c r="J657" s="3"/>
      <c r="K657" s="3"/>
      <c r="L657" s="3"/>
      <c r="M657" s="3"/>
      <c r="N657" s="3"/>
      <c r="O657" s="3"/>
      <c r="P657" s="3"/>
      <c r="Q657" s="3"/>
      <c r="R657" s="3"/>
      <c r="S657" s="3"/>
      <c r="T657" s="3"/>
      <c r="U657" s="3"/>
      <c r="V657" s="3"/>
      <c r="W657" s="3"/>
      <c r="X657" s="3"/>
      <c r="Y657" s="3"/>
      <c r="Z657" s="3"/>
      <c r="AA657" s="3"/>
      <c r="AB657" s="3"/>
      <c r="AC657" s="3"/>
    </row>
    <row r="658">
      <c r="A658" s="62"/>
      <c r="B658" s="63" t="s">
        <v>1724</v>
      </c>
      <c r="C658" s="63"/>
      <c r="D658" s="64"/>
      <c r="E658" s="64" t="s">
        <v>1725</v>
      </c>
      <c r="F658" s="65"/>
      <c r="G658" s="65"/>
      <c r="H658" s="65"/>
      <c r="I658" s="3"/>
      <c r="J658" s="3"/>
      <c r="K658" s="3"/>
      <c r="L658" s="3"/>
      <c r="M658" s="3"/>
      <c r="N658" s="3"/>
      <c r="O658" s="3"/>
      <c r="P658" s="3"/>
      <c r="Q658" s="3"/>
      <c r="R658" s="3"/>
      <c r="S658" s="3"/>
      <c r="T658" s="3"/>
      <c r="U658" s="3"/>
      <c r="V658" s="3"/>
      <c r="W658" s="3"/>
      <c r="X658" s="3"/>
      <c r="Y658" s="3"/>
      <c r="Z658" s="3"/>
      <c r="AA658" s="3"/>
      <c r="AB658" s="3"/>
      <c r="AC658" s="3"/>
    </row>
    <row r="659">
      <c r="A659" s="50"/>
      <c r="B659" s="51">
        <v>147.0</v>
      </c>
      <c r="C659" s="51"/>
      <c r="D659" s="52"/>
      <c r="E659" s="52" t="s">
        <v>1726</v>
      </c>
      <c r="F659" s="52" t="s">
        <v>788</v>
      </c>
      <c r="G659" s="53" t="s">
        <v>1727</v>
      </c>
      <c r="H659" s="49"/>
      <c r="I659" s="3"/>
      <c r="J659" s="3"/>
      <c r="K659" s="3"/>
      <c r="L659" s="3"/>
      <c r="M659" s="3"/>
      <c r="N659" s="3"/>
      <c r="O659" s="3"/>
      <c r="P659" s="3"/>
      <c r="Q659" s="3"/>
      <c r="R659" s="3"/>
      <c r="S659" s="3"/>
      <c r="T659" s="3"/>
      <c r="U659" s="3"/>
      <c r="V659" s="3"/>
      <c r="W659" s="3"/>
      <c r="X659" s="3"/>
      <c r="Y659" s="3"/>
      <c r="Z659" s="3"/>
      <c r="AA659" s="3"/>
      <c r="AB659" s="3"/>
      <c r="AC659" s="3"/>
    </row>
    <row r="660">
      <c r="A660" s="46"/>
      <c r="B660" s="47"/>
      <c r="C660" s="47"/>
      <c r="D660" s="48"/>
      <c r="E660" s="48"/>
      <c r="F660" s="48"/>
      <c r="G660" s="48"/>
      <c r="H660" s="49"/>
      <c r="I660" s="3"/>
      <c r="J660" s="3"/>
      <c r="K660" s="3"/>
      <c r="L660" s="3"/>
      <c r="M660" s="3"/>
      <c r="N660" s="3"/>
      <c r="O660" s="3"/>
      <c r="P660" s="3"/>
      <c r="Q660" s="3"/>
      <c r="R660" s="3"/>
      <c r="S660" s="3"/>
      <c r="T660" s="3"/>
      <c r="U660" s="3"/>
      <c r="V660" s="3"/>
      <c r="W660" s="3"/>
      <c r="X660" s="3"/>
      <c r="Y660" s="3"/>
      <c r="Z660" s="3"/>
      <c r="AA660" s="3"/>
      <c r="AB660" s="3"/>
      <c r="AC660" s="3"/>
    </row>
    <row r="661">
      <c r="A661" s="50"/>
      <c r="B661" s="51">
        <v>148.0</v>
      </c>
      <c r="C661" s="51"/>
      <c r="D661" s="52"/>
      <c r="E661" s="52" t="s">
        <v>1728</v>
      </c>
      <c r="F661" s="52" t="s">
        <v>1729</v>
      </c>
      <c r="G661" s="53" t="s">
        <v>1730</v>
      </c>
      <c r="H661" s="49"/>
      <c r="I661" s="3"/>
      <c r="J661" s="3"/>
      <c r="K661" s="3"/>
      <c r="L661" s="3"/>
      <c r="M661" s="3"/>
      <c r="N661" s="3"/>
      <c r="O661" s="3"/>
      <c r="P661" s="3"/>
      <c r="Q661" s="3"/>
      <c r="R661" s="3"/>
      <c r="S661" s="3"/>
      <c r="T661" s="3"/>
      <c r="U661" s="3"/>
      <c r="V661" s="3"/>
      <c r="W661" s="3"/>
      <c r="X661" s="3"/>
      <c r="Y661" s="3"/>
      <c r="Z661" s="3"/>
      <c r="AA661" s="3"/>
      <c r="AB661" s="3"/>
      <c r="AC661" s="3"/>
    </row>
    <row r="662">
      <c r="A662" s="46"/>
      <c r="B662" s="47"/>
      <c r="C662" s="47"/>
      <c r="D662" s="48"/>
      <c r="E662" s="48"/>
      <c r="F662" s="48"/>
      <c r="G662" s="48"/>
      <c r="H662" s="49"/>
      <c r="I662" s="3"/>
      <c r="J662" s="3"/>
      <c r="K662" s="3"/>
      <c r="L662" s="3"/>
      <c r="M662" s="3"/>
      <c r="N662" s="3"/>
      <c r="O662" s="3"/>
      <c r="P662" s="3"/>
      <c r="Q662" s="3"/>
      <c r="R662" s="3"/>
      <c r="S662" s="3"/>
      <c r="T662" s="3"/>
      <c r="U662" s="3"/>
      <c r="V662" s="3"/>
      <c r="W662" s="3"/>
      <c r="X662" s="3"/>
      <c r="Y662" s="3"/>
      <c r="Z662" s="3"/>
      <c r="AA662" s="3"/>
      <c r="AB662" s="3"/>
      <c r="AC662" s="3"/>
    </row>
    <row r="663">
      <c r="A663" s="50"/>
      <c r="B663" s="51">
        <v>149.0</v>
      </c>
      <c r="C663" s="51"/>
      <c r="D663" s="52"/>
      <c r="E663" s="52" t="s">
        <v>1731</v>
      </c>
      <c r="F663" s="52" t="s">
        <v>1732</v>
      </c>
      <c r="G663" s="53" t="s">
        <v>1733</v>
      </c>
      <c r="H663" s="49"/>
      <c r="I663" s="3"/>
      <c r="J663" s="3"/>
      <c r="K663" s="3"/>
      <c r="L663" s="3"/>
      <c r="M663" s="3"/>
      <c r="N663" s="3"/>
      <c r="O663" s="3"/>
      <c r="P663" s="3"/>
      <c r="Q663" s="3"/>
      <c r="R663" s="3"/>
      <c r="S663" s="3"/>
      <c r="T663" s="3"/>
      <c r="U663" s="3"/>
      <c r="V663" s="3"/>
      <c r="W663" s="3"/>
      <c r="X663" s="3"/>
      <c r="Y663" s="3"/>
      <c r="Z663" s="3"/>
      <c r="AA663" s="3"/>
      <c r="AB663" s="3"/>
      <c r="AC663" s="3"/>
    </row>
    <row r="664">
      <c r="A664" s="46"/>
      <c r="B664" s="47"/>
      <c r="C664" s="47"/>
      <c r="D664" s="48"/>
      <c r="E664" s="48"/>
      <c r="F664" s="48"/>
      <c r="G664" s="48"/>
      <c r="H664" s="49"/>
      <c r="I664" s="3"/>
      <c r="J664" s="3"/>
      <c r="K664" s="3"/>
      <c r="L664" s="3"/>
      <c r="M664" s="3"/>
      <c r="N664" s="3"/>
      <c r="O664" s="3"/>
      <c r="P664" s="3"/>
      <c r="Q664" s="3"/>
      <c r="R664" s="3"/>
      <c r="S664" s="3"/>
      <c r="T664" s="3"/>
      <c r="U664" s="3"/>
      <c r="V664" s="3"/>
      <c r="W664" s="3"/>
      <c r="X664" s="3"/>
      <c r="Y664" s="3"/>
      <c r="Z664" s="3"/>
      <c r="AA664" s="3"/>
      <c r="AB664" s="3"/>
      <c r="AC664" s="3"/>
    </row>
    <row r="665">
      <c r="A665" s="50"/>
      <c r="B665" s="51">
        <v>150.0</v>
      </c>
      <c r="C665" s="51"/>
      <c r="D665" s="52"/>
      <c r="E665" s="52" t="s">
        <v>1734</v>
      </c>
      <c r="F665" s="52" t="s">
        <v>1729</v>
      </c>
      <c r="G665" s="53" t="s">
        <v>1735</v>
      </c>
      <c r="H665" s="49"/>
      <c r="I665" s="3"/>
      <c r="J665" s="3"/>
      <c r="K665" s="3"/>
      <c r="L665" s="3"/>
      <c r="M665" s="3"/>
      <c r="N665" s="3"/>
      <c r="O665" s="3"/>
      <c r="P665" s="3"/>
      <c r="Q665" s="3"/>
      <c r="R665" s="3"/>
      <c r="S665" s="3"/>
      <c r="T665" s="3"/>
      <c r="U665" s="3"/>
      <c r="V665" s="3"/>
      <c r="W665" s="3"/>
      <c r="X665" s="3"/>
      <c r="Y665" s="3"/>
      <c r="Z665" s="3"/>
      <c r="AA665" s="3"/>
      <c r="AB665" s="3"/>
      <c r="AC665" s="3"/>
    </row>
    <row r="666">
      <c r="A666" s="46"/>
      <c r="B666" s="47"/>
      <c r="C666" s="47"/>
      <c r="D666" s="48"/>
      <c r="E666" s="48"/>
      <c r="F666" s="48"/>
      <c r="G666" s="48"/>
      <c r="H666" s="49"/>
      <c r="I666" s="3"/>
      <c r="J666" s="3"/>
      <c r="K666" s="3"/>
      <c r="L666" s="3"/>
      <c r="M666" s="3"/>
      <c r="N666" s="3"/>
      <c r="O666" s="3"/>
      <c r="P666" s="3"/>
      <c r="Q666" s="3"/>
      <c r="R666" s="3"/>
      <c r="S666" s="3"/>
      <c r="T666" s="3"/>
      <c r="U666" s="3"/>
      <c r="V666" s="3"/>
      <c r="W666" s="3"/>
      <c r="X666" s="3"/>
      <c r="Y666" s="3"/>
      <c r="Z666" s="3"/>
      <c r="AA666" s="3"/>
      <c r="AB666" s="3"/>
      <c r="AC666" s="3"/>
    </row>
    <row r="667">
      <c r="A667" s="50"/>
      <c r="B667" s="51">
        <v>151.0</v>
      </c>
      <c r="C667" s="51"/>
      <c r="D667" s="52"/>
      <c r="E667" s="52" t="s">
        <v>1736</v>
      </c>
      <c r="F667" s="52" t="s">
        <v>1732</v>
      </c>
      <c r="G667" s="53" t="s">
        <v>1737</v>
      </c>
      <c r="H667" s="49"/>
      <c r="I667" s="3"/>
      <c r="J667" s="3"/>
      <c r="K667" s="3"/>
      <c r="L667" s="3"/>
      <c r="M667" s="3"/>
      <c r="N667" s="3"/>
      <c r="O667" s="3"/>
      <c r="P667" s="3"/>
      <c r="Q667" s="3"/>
      <c r="R667" s="3"/>
      <c r="S667" s="3"/>
      <c r="T667" s="3"/>
      <c r="U667" s="3"/>
      <c r="V667" s="3"/>
      <c r="W667" s="3"/>
      <c r="X667" s="3"/>
      <c r="Y667" s="3"/>
      <c r="Z667" s="3"/>
      <c r="AA667" s="3"/>
      <c r="AB667" s="3"/>
      <c r="AC667" s="3"/>
    </row>
    <row r="668">
      <c r="A668" s="46"/>
      <c r="B668" s="47"/>
      <c r="C668" s="47"/>
      <c r="D668" s="48"/>
      <c r="E668" s="48"/>
      <c r="F668" s="48"/>
      <c r="G668" s="48"/>
      <c r="H668" s="49"/>
      <c r="I668" s="3"/>
      <c r="J668" s="3"/>
      <c r="K668" s="3"/>
      <c r="L668" s="3"/>
      <c r="M668" s="3"/>
      <c r="N668" s="3"/>
      <c r="O668" s="3"/>
      <c r="P668" s="3"/>
      <c r="Q668" s="3"/>
      <c r="R668" s="3"/>
      <c r="S668" s="3"/>
      <c r="T668" s="3"/>
      <c r="U668" s="3"/>
      <c r="V668" s="3"/>
      <c r="W668" s="3"/>
      <c r="X668" s="3"/>
      <c r="Y668" s="3"/>
      <c r="Z668" s="3"/>
      <c r="AA668" s="3"/>
      <c r="AB668" s="3"/>
      <c r="AC668" s="3"/>
    </row>
    <row r="669">
      <c r="A669" s="50"/>
      <c r="B669" s="51">
        <v>152.0</v>
      </c>
      <c r="C669" s="51"/>
      <c r="D669" s="52"/>
      <c r="E669" s="52" t="s">
        <v>1738</v>
      </c>
      <c r="F669" s="52" t="s">
        <v>788</v>
      </c>
      <c r="G669" s="53" t="s">
        <v>1739</v>
      </c>
      <c r="H669" s="49"/>
      <c r="I669" s="3"/>
      <c r="J669" s="3"/>
      <c r="K669" s="3"/>
      <c r="L669" s="3"/>
      <c r="M669" s="3"/>
      <c r="N669" s="3"/>
      <c r="O669" s="3"/>
      <c r="P669" s="3"/>
      <c r="Q669" s="3"/>
      <c r="R669" s="3"/>
      <c r="S669" s="3"/>
      <c r="T669" s="3"/>
      <c r="U669" s="3"/>
      <c r="V669" s="3"/>
      <c r="W669" s="3"/>
      <c r="X669" s="3"/>
      <c r="Y669" s="3"/>
      <c r="Z669" s="3"/>
      <c r="AA669" s="3"/>
      <c r="AB669" s="3"/>
      <c r="AC669" s="3"/>
    </row>
    <row r="670">
      <c r="A670" s="46"/>
      <c r="B670" s="47"/>
      <c r="C670" s="47"/>
      <c r="D670" s="48"/>
      <c r="E670" s="48"/>
      <c r="F670" s="48"/>
      <c r="G670" s="48"/>
      <c r="H670" s="49"/>
      <c r="I670" s="3"/>
      <c r="J670" s="3"/>
      <c r="K670" s="3"/>
      <c r="L670" s="3"/>
      <c r="M670" s="3"/>
      <c r="N670" s="3"/>
      <c r="O670" s="3"/>
      <c r="P670" s="3"/>
      <c r="Q670" s="3"/>
      <c r="R670" s="3"/>
      <c r="S670" s="3"/>
      <c r="T670" s="3"/>
      <c r="U670" s="3"/>
      <c r="V670" s="3"/>
      <c r="W670" s="3"/>
      <c r="X670" s="3"/>
      <c r="Y670" s="3"/>
      <c r="Z670" s="3"/>
      <c r="AA670" s="3"/>
      <c r="AB670" s="3"/>
      <c r="AC670" s="3"/>
    </row>
    <row r="671">
      <c r="A671" s="50"/>
      <c r="B671" s="51">
        <v>153.0</v>
      </c>
      <c r="C671" s="51"/>
      <c r="D671" s="52"/>
      <c r="E671" s="52" t="s">
        <v>1740</v>
      </c>
      <c r="F671" s="52" t="s">
        <v>1732</v>
      </c>
      <c r="G671" s="53" t="s">
        <v>1741</v>
      </c>
      <c r="H671" s="49"/>
      <c r="I671" s="3"/>
      <c r="J671" s="3"/>
      <c r="K671" s="3"/>
      <c r="L671" s="3"/>
      <c r="M671" s="3"/>
      <c r="N671" s="3"/>
      <c r="O671" s="3"/>
      <c r="P671" s="3"/>
      <c r="Q671" s="3"/>
      <c r="R671" s="3"/>
      <c r="S671" s="3"/>
      <c r="T671" s="3"/>
      <c r="U671" s="3"/>
      <c r="V671" s="3"/>
      <c r="W671" s="3"/>
      <c r="X671" s="3"/>
      <c r="Y671" s="3"/>
      <c r="Z671" s="3"/>
      <c r="AA671" s="3"/>
      <c r="AB671" s="3"/>
      <c r="AC671" s="3"/>
    </row>
    <row r="672">
      <c r="A672" s="46"/>
      <c r="B672" s="47"/>
      <c r="C672" s="47"/>
      <c r="D672" s="48"/>
      <c r="E672" s="48"/>
      <c r="F672" s="48"/>
      <c r="G672" s="48"/>
      <c r="H672" s="49"/>
      <c r="I672" s="3"/>
      <c r="J672" s="3"/>
      <c r="K672" s="3"/>
      <c r="L672" s="3"/>
      <c r="M672" s="3"/>
      <c r="N672" s="3"/>
      <c r="O672" s="3"/>
      <c r="P672" s="3"/>
      <c r="Q672" s="3"/>
      <c r="R672" s="3"/>
      <c r="S672" s="3"/>
      <c r="T672" s="3"/>
      <c r="U672" s="3"/>
      <c r="V672" s="3"/>
      <c r="W672" s="3"/>
      <c r="X672" s="3"/>
      <c r="Y672" s="3"/>
      <c r="Z672" s="3"/>
      <c r="AA672" s="3"/>
      <c r="AB672" s="3"/>
      <c r="AC672" s="3"/>
    </row>
    <row r="673">
      <c r="A673" s="62"/>
      <c r="B673" s="63" t="s">
        <v>1742</v>
      </c>
      <c r="C673" s="63"/>
      <c r="D673" s="64"/>
      <c r="E673" s="64" t="s">
        <v>1743</v>
      </c>
      <c r="F673" s="65"/>
      <c r="G673" s="65"/>
      <c r="H673" s="65"/>
      <c r="I673" s="3"/>
      <c r="J673" s="3"/>
      <c r="K673" s="3"/>
      <c r="L673" s="3"/>
      <c r="M673" s="3"/>
      <c r="N673" s="3"/>
      <c r="O673" s="3"/>
      <c r="P673" s="3"/>
      <c r="Q673" s="3"/>
      <c r="R673" s="3"/>
      <c r="S673" s="3"/>
      <c r="T673" s="3"/>
      <c r="U673" s="3"/>
      <c r="V673" s="3"/>
      <c r="W673" s="3"/>
      <c r="X673" s="3"/>
      <c r="Y673" s="3"/>
      <c r="Z673" s="3"/>
      <c r="AA673" s="3"/>
      <c r="AB673" s="3"/>
      <c r="AC673" s="3"/>
    </row>
    <row r="674">
      <c r="A674" s="50"/>
      <c r="B674" s="51">
        <v>154.0</v>
      </c>
      <c r="C674" s="51"/>
      <c r="D674" s="52"/>
      <c r="E674" s="52" t="s">
        <v>1744</v>
      </c>
      <c r="F674" s="52" t="s">
        <v>788</v>
      </c>
      <c r="G674" s="53" t="s">
        <v>1745</v>
      </c>
      <c r="H674" s="49"/>
      <c r="I674" s="3"/>
      <c r="J674" s="3"/>
      <c r="K674" s="3"/>
      <c r="L674" s="3"/>
      <c r="M674" s="3"/>
      <c r="N674" s="3"/>
      <c r="O674" s="3"/>
      <c r="P674" s="3"/>
      <c r="Q674" s="3"/>
      <c r="R674" s="3"/>
      <c r="S674" s="3"/>
      <c r="T674" s="3"/>
      <c r="U674" s="3"/>
      <c r="V674" s="3"/>
      <c r="W674" s="3"/>
      <c r="X674" s="3"/>
      <c r="Y674" s="3"/>
      <c r="Z674" s="3"/>
      <c r="AA674" s="3"/>
      <c r="AB674" s="3"/>
      <c r="AC674" s="3"/>
    </row>
    <row r="675">
      <c r="A675" s="61"/>
      <c r="B675" s="49"/>
      <c r="C675" s="49"/>
      <c r="D675" s="58"/>
      <c r="E675" s="58"/>
      <c r="F675" s="58"/>
      <c r="G675" s="58"/>
      <c r="H675" s="49"/>
      <c r="I675" s="3"/>
      <c r="J675" s="3"/>
      <c r="K675" s="3"/>
      <c r="L675" s="3"/>
      <c r="M675" s="3"/>
      <c r="N675" s="3"/>
      <c r="O675" s="3"/>
      <c r="P675" s="3"/>
      <c r="Q675" s="3"/>
      <c r="R675" s="3"/>
      <c r="S675" s="3"/>
      <c r="T675" s="3"/>
      <c r="U675" s="3"/>
      <c r="V675" s="3"/>
      <c r="W675" s="3"/>
      <c r="X675" s="3"/>
      <c r="Y675" s="3"/>
      <c r="Z675" s="3"/>
      <c r="AA675" s="3"/>
      <c r="AB675" s="3"/>
      <c r="AC675" s="3"/>
    </row>
    <row r="676">
      <c r="A676" s="50"/>
      <c r="B676" s="51">
        <v>155.0</v>
      </c>
      <c r="C676" s="51"/>
      <c r="D676" s="52"/>
      <c r="E676" s="52" t="s">
        <v>1746</v>
      </c>
      <c r="F676" s="52" t="s">
        <v>1491</v>
      </c>
      <c r="G676" s="53" t="s">
        <v>1747</v>
      </c>
      <c r="H676" s="49"/>
      <c r="I676" s="3"/>
      <c r="J676" s="3"/>
      <c r="K676" s="3"/>
      <c r="L676" s="3"/>
      <c r="M676" s="3"/>
      <c r="N676" s="3"/>
      <c r="O676" s="3"/>
      <c r="P676" s="3"/>
      <c r="Q676" s="3"/>
      <c r="R676" s="3"/>
      <c r="S676" s="3"/>
      <c r="T676" s="3"/>
      <c r="U676" s="3"/>
      <c r="V676" s="3"/>
      <c r="W676" s="3"/>
      <c r="X676" s="3"/>
      <c r="Y676" s="3"/>
      <c r="Z676" s="3"/>
      <c r="AA676" s="3"/>
      <c r="AB676" s="3"/>
      <c r="AC676" s="3"/>
    </row>
    <row r="677">
      <c r="A677" s="46"/>
      <c r="B677" s="47"/>
      <c r="C677" s="47"/>
      <c r="D677" s="48"/>
      <c r="E677" s="48"/>
      <c r="F677" s="48"/>
      <c r="G677" s="48"/>
      <c r="H677" s="49"/>
      <c r="I677" s="3"/>
      <c r="J677" s="3"/>
      <c r="K677" s="3"/>
      <c r="L677" s="3"/>
      <c r="M677" s="3"/>
      <c r="N677" s="3"/>
      <c r="O677" s="3"/>
      <c r="P677" s="3"/>
      <c r="Q677" s="3"/>
      <c r="R677" s="3"/>
      <c r="S677" s="3"/>
      <c r="T677" s="3"/>
      <c r="U677" s="3"/>
      <c r="V677" s="3"/>
      <c r="W677" s="3"/>
      <c r="X677" s="3"/>
      <c r="Y677" s="3"/>
      <c r="Z677" s="3"/>
      <c r="AA677" s="3"/>
      <c r="AB677" s="3"/>
      <c r="AC677" s="3"/>
    </row>
    <row r="678">
      <c r="A678" s="50"/>
      <c r="B678" s="51">
        <v>156.0</v>
      </c>
      <c r="C678" s="51"/>
      <c r="D678" s="52"/>
      <c r="E678" s="52" t="s">
        <v>1748</v>
      </c>
      <c r="F678" s="52" t="s">
        <v>788</v>
      </c>
      <c r="G678" s="53" t="s">
        <v>1748</v>
      </c>
      <c r="H678" s="49"/>
      <c r="I678" s="3"/>
      <c r="J678" s="3"/>
      <c r="K678" s="3"/>
      <c r="L678" s="3"/>
      <c r="M678" s="3"/>
      <c r="N678" s="3"/>
      <c r="O678" s="3"/>
      <c r="P678" s="3"/>
      <c r="Q678" s="3"/>
      <c r="R678" s="3"/>
      <c r="S678" s="3"/>
      <c r="T678" s="3"/>
      <c r="U678" s="3"/>
      <c r="V678" s="3"/>
      <c r="W678" s="3"/>
      <c r="X678" s="3"/>
      <c r="Y678" s="3"/>
      <c r="Z678" s="3"/>
      <c r="AA678" s="3"/>
      <c r="AB678" s="3"/>
      <c r="AC678" s="3"/>
    </row>
    <row r="679">
      <c r="A679" s="46"/>
      <c r="B679" s="47"/>
      <c r="C679" s="47"/>
      <c r="D679" s="48"/>
      <c r="E679" s="48"/>
      <c r="F679" s="48"/>
      <c r="G679" s="48"/>
      <c r="H679" s="49"/>
      <c r="I679" s="3"/>
      <c r="J679" s="3"/>
      <c r="K679" s="3"/>
      <c r="L679" s="3"/>
      <c r="M679" s="3"/>
      <c r="N679" s="3"/>
      <c r="O679" s="3"/>
      <c r="P679" s="3"/>
      <c r="Q679" s="3"/>
      <c r="R679" s="3"/>
      <c r="S679" s="3"/>
      <c r="T679" s="3"/>
      <c r="U679" s="3"/>
      <c r="V679" s="3"/>
      <c r="W679" s="3"/>
      <c r="X679" s="3"/>
      <c r="Y679" s="3"/>
      <c r="Z679" s="3"/>
      <c r="AA679" s="3"/>
      <c r="AB679" s="3"/>
      <c r="AC679" s="3"/>
    </row>
    <row r="680">
      <c r="A680" s="50"/>
      <c r="B680" s="51">
        <v>157.0</v>
      </c>
      <c r="C680" s="51"/>
      <c r="D680" s="52"/>
      <c r="E680" s="52" t="s">
        <v>1749</v>
      </c>
      <c r="F680" s="52" t="s">
        <v>788</v>
      </c>
      <c r="G680" s="53" t="s">
        <v>1750</v>
      </c>
      <c r="H680" s="49"/>
      <c r="I680" s="3"/>
      <c r="J680" s="3"/>
      <c r="K680" s="3"/>
      <c r="L680" s="3"/>
      <c r="M680" s="3"/>
      <c r="N680" s="3"/>
      <c r="O680" s="3"/>
      <c r="P680" s="3"/>
      <c r="Q680" s="3"/>
      <c r="R680" s="3"/>
      <c r="S680" s="3"/>
      <c r="T680" s="3"/>
      <c r="U680" s="3"/>
      <c r="V680" s="3"/>
      <c r="W680" s="3"/>
      <c r="X680" s="3"/>
      <c r="Y680" s="3"/>
      <c r="Z680" s="3"/>
      <c r="AA680" s="3"/>
      <c r="AB680" s="3"/>
      <c r="AC680" s="3"/>
    </row>
    <row r="681">
      <c r="A681" s="46"/>
      <c r="B681" s="47"/>
      <c r="C681" s="47"/>
      <c r="D681" s="48"/>
      <c r="E681" s="48"/>
      <c r="F681" s="48"/>
      <c r="G681" s="48"/>
      <c r="H681" s="49"/>
      <c r="I681" s="3"/>
      <c r="J681" s="3"/>
      <c r="K681" s="3"/>
      <c r="L681" s="3"/>
      <c r="M681" s="3"/>
      <c r="N681" s="3"/>
      <c r="O681" s="3"/>
      <c r="P681" s="3"/>
      <c r="Q681" s="3"/>
      <c r="R681" s="3"/>
      <c r="S681" s="3"/>
      <c r="T681" s="3"/>
      <c r="U681" s="3"/>
      <c r="V681" s="3"/>
      <c r="W681" s="3"/>
      <c r="X681" s="3"/>
      <c r="Y681" s="3"/>
      <c r="Z681" s="3"/>
      <c r="AA681" s="3"/>
      <c r="AB681" s="3"/>
      <c r="AC681" s="3"/>
    </row>
    <row r="682">
      <c r="A682" s="50"/>
      <c r="B682" s="51">
        <v>158.0</v>
      </c>
      <c r="C682" s="51"/>
      <c r="D682" s="52"/>
      <c r="E682" s="52" t="s">
        <v>1751</v>
      </c>
      <c r="F682" s="52" t="s">
        <v>1732</v>
      </c>
      <c r="G682" s="53" t="s">
        <v>1752</v>
      </c>
      <c r="H682" s="49"/>
      <c r="I682" s="3"/>
      <c r="J682" s="3"/>
      <c r="K682" s="3"/>
      <c r="L682" s="3"/>
      <c r="M682" s="3"/>
      <c r="N682" s="3"/>
      <c r="O682" s="3"/>
      <c r="P682" s="3"/>
      <c r="Q682" s="3"/>
      <c r="R682" s="3"/>
      <c r="S682" s="3"/>
      <c r="T682" s="3"/>
      <c r="U682" s="3"/>
      <c r="V682" s="3"/>
      <c r="W682" s="3"/>
      <c r="X682" s="3"/>
      <c r="Y682" s="3"/>
      <c r="Z682" s="3"/>
      <c r="AA682" s="3"/>
      <c r="AB682" s="3"/>
      <c r="AC682" s="3"/>
    </row>
    <row r="683">
      <c r="A683" s="46"/>
      <c r="B683" s="47"/>
      <c r="C683" s="47"/>
      <c r="D683" s="48"/>
      <c r="E683" s="48"/>
      <c r="F683" s="48"/>
      <c r="G683" s="48"/>
      <c r="H683" s="49"/>
      <c r="I683" s="3"/>
      <c r="J683" s="3"/>
      <c r="K683" s="3"/>
      <c r="L683" s="3"/>
      <c r="M683" s="3"/>
      <c r="N683" s="3"/>
      <c r="O683" s="3"/>
      <c r="P683" s="3"/>
      <c r="Q683" s="3"/>
      <c r="R683" s="3"/>
      <c r="S683" s="3"/>
      <c r="T683" s="3"/>
      <c r="U683" s="3"/>
      <c r="V683" s="3"/>
      <c r="W683" s="3"/>
      <c r="X683" s="3"/>
      <c r="Y683" s="3"/>
      <c r="Z683" s="3"/>
      <c r="AA683" s="3"/>
      <c r="AB683" s="3"/>
      <c r="AC683" s="3"/>
    </row>
    <row r="684">
      <c r="A684" s="62"/>
      <c r="B684" s="63" t="s">
        <v>1753</v>
      </c>
      <c r="C684" s="63"/>
      <c r="D684" s="64"/>
      <c r="E684" s="64" t="s">
        <v>1754</v>
      </c>
      <c r="F684" s="65"/>
      <c r="G684" s="65"/>
      <c r="H684" s="65"/>
      <c r="I684" s="3"/>
      <c r="J684" s="3"/>
      <c r="K684" s="3"/>
      <c r="L684" s="3"/>
      <c r="M684" s="3"/>
      <c r="N684" s="3"/>
      <c r="O684" s="3"/>
      <c r="P684" s="3"/>
      <c r="Q684" s="3"/>
      <c r="R684" s="3"/>
      <c r="S684" s="3"/>
      <c r="T684" s="3"/>
      <c r="U684" s="3"/>
      <c r="V684" s="3"/>
      <c r="W684" s="3"/>
      <c r="X684" s="3"/>
      <c r="Y684" s="3"/>
      <c r="Z684" s="3"/>
      <c r="AA684" s="3"/>
      <c r="AB684" s="3"/>
      <c r="AC684" s="3"/>
    </row>
    <row r="685">
      <c r="A685" s="50"/>
      <c r="B685" s="51">
        <v>159.0</v>
      </c>
      <c r="C685" s="51"/>
      <c r="D685" s="52"/>
      <c r="E685" s="52" t="s">
        <v>1755</v>
      </c>
      <c r="F685" s="52" t="s">
        <v>788</v>
      </c>
      <c r="G685" s="53" t="s">
        <v>1756</v>
      </c>
      <c r="H685" s="49"/>
      <c r="I685" s="3"/>
      <c r="J685" s="3"/>
      <c r="K685" s="3"/>
      <c r="L685" s="3"/>
      <c r="M685" s="3"/>
      <c r="N685" s="3"/>
      <c r="O685" s="3"/>
      <c r="P685" s="3"/>
      <c r="Q685" s="3"/>
      <c r="R685" s="3"/>
      <c r="S685" s="3"/>
      <c r="T685" s="3"/>
      <c r="U685" s="3"/>
      <c r="V685" s="3"/>
      <c r="W685" s="3"/>
      <c r="X685" s="3"/>
      <c r="Y685" s="3"/>
      <c r="Z685" s="3"/>
      <c r="AA685" s="3"/>
      <c r="AB685" s="3"/>
      <c r="AC685" s="3"/>
    </row>
    <row r="686">
      <c r="A686" s="46"/>
      <c r="B686" s="47"/>
      <c r="C686" s="47"/>
      <c r="D686" s="48"/>
      <c r="E686" s="48"/>
      <c r="F686" s="48"/>
      <c r="G686" s="48"/>
      <c r="H686" s="49"/>
      <c r="I686" s="3"/>
      <c r="J686" s="3"/>
      <c r="K686" s="3"/>
      <c r="L686" s="3"/>
      <c r="M686" s="3"/>
      <c r="N686" s="3"/>
      <c r="O686" s="3"/>
      <c r="P686" s="3"/>
      <c r="Q686" s="3"/>
      <c r="R686" s="3"/>
      <c r="S686" s="3"/>
      <c r="T686" s="3"/>
      <c r="U686" s="3"/>
      <c r="V686" s="3"/>
      <c r="W686" s="3"/>
      <c r="X686" s="3"/>
      <c r="Y686" s="3"/>
      <c r="Z686" s="3"/>
      <c r="AA686" s="3"/>
      <c r="AB686" s="3"/>
      <c r="AC686" s="3"/>
    </row>
    <row r="687">
      <c r="A687" s="62"/>
      <c r="B687" s="63" t="s">
        <v>1757</v>
      </c>
      <c r="C687" s="63"/>
      <c r="D687" s="64"/>
      <c r="E687" s="64" t="s">
        <v>1758</v>
      </c>
      <c r="F687" s="65"/>
      <c r="G687" s="65"/>
      <c r="H687" s="65"/>
      <c r="I687" s="3"/>
      <c r="J687" s="3"/>
      <c r="K687" s="3"/>
      <c r="L687" s="3"/>
      <c r="M687" s="3"/>
      <c r="N687" s="3"/>
      <c r="O687" s="3"/>
      <c r="P687" s="3"/>
      <c r="Q687" s="3"/>
      <c r="R687" s="3"/>
      <c r="S687" s="3"/>
      <c r="T687" s="3"/>
      <c r="U687" s="3"/>
      <c r="V687" s="3"/>
      <c r="W687" s="3"/>
      <c r="X687" s="3"/>
      <c r="Y687" s="3"/>
      <c r="Z687" s="3"/>
      <c r="AA687" s="3"/>
      <c r="AB687" s="3"/>
      <c r="AC687" s="3"/>
    </row>
    <row r="688">
      <c r="A688" s="50"/>
      <c r="B688" s="51">
        <v>160.0</v>
      </c>
      <c r="C688" s="51"/>
      <c r="D688" s="52"/>
      <c r="E688" s="52" t="s">
        <v>1759</v>
      </c>
      <c r="F688" s="52" t="s">
        <v>788</v>
      </c>
      <c r="G688" s="53" t="s">
        <v>1760</v>
      </c>
      <c r="H688" s="49"/>
      <c r="I688" s="3"/>
      <c r="J688" s="3"/>
      <c r="K688" s="3"/>
      <c r="L688" s="3"/>
      <c r="M688" s="3"/>
      <c r="N688" s="3"/>
      <c r="O688" s="3"/>
      <c r="P688" s="3"/>
      <c r="Q688" s="3"/>
      <c r="R688" s="3"/>
      <c r="S688" s="3"/>
      <c r="T688" s="3"/>
      <c r="U688" s="3"/>
      <c r="V688" s="3"/>
      <c r="W688" s="3"/>
      <c r="X688" s="3"/>
      <c r="Y688" s="3"/>
      <c r="Z688" s="3"/>
      <c r="AA688" s="3"/>
      <c r="AB688" s="3"/>
      <c r="AC688" s="3"/>
    </row>
    <row r="689">
      <c r="A689" s="46"/>
      <c r="B689" s="47"/>
      <c r="C689" s="47"/>
      <c r="D689" s="48"/>
      <c r="E689" s="48"/>
      <c r="F689" s="48"/>
      <c r="G689" s="48"/>
      <c r="H689" s="49"/>
      <c r="I689" s="3"/>
      <c r="J689" s="3"/>
      <c r="K689" s="3"/>
      <c r="L689" s="3"/>
      <c r="M689" s="3"/>
      <c r="N689" s="3"/>
      <c r="O689" s="3"/>
      <c r="P689" s="3"/>
      <c r="Q689" s="3"/>
      <c r="R689" s="3"/>
      <c r="S689" s="3"/>
      <c r="T689" s="3"/>
      <c r="U689" s="3"/>
      <c r="V689" s="3"/>
      <c r="W689" s="3"/>
      <c r="X689" s="3"/>
      <c r="Y689" s="3"/>
      <c r="Z689" s="3"/>
      <c r="AA689" s="3"/>
      <c r="AB689" s="3"/>
      <c r="AC689" s="3"/>
    </row>
    <row r="690">
      <c r="A690" s="50"/>
      <c r="B690" s="51">
        <v>161.0</v>
      </c>
      <c r="C690" s="51"/>
      <c r="D690" s="52"/>
      <c r="E690" s="52" t="s">
        <v>1761</v>
      </c>
      <c r="F690" s="52" t="s">
        <v>890</v>
      </c>
      <c r="G690" s="53" t="s">
        <v>1762</v>
      </c>
      <c r="H690" s="49"/>
      <c r="I690" s="3"/>
      <c r="J690" s="3"/>
      <c r="K690" s="3"/>
      <c r="L690" s="3"/>
      <c r="M690" s="3"/>
      <c r="N690" s="3"/>
      <c r="O690" s="3"/>
      <c r="P690" s="3"/>
      <c r="Q690" s="3"/>
      <c r="R690" s="3"/>
      <c r="S690" s="3"/>
      <c r="T690" s="3"/>
      <c r="U690" s="3"/>
      <c r="V690" s="3"/>
      <c r="W690" s="3"/>
      <c r="X690" s="3"/>
      <c r="Y690" s="3"/>
      <c r="Z690" s="3"/>
      <c r="AA690" s="3"/>
      <c r="AB690" s="3"/>
      <c r="AC690" s="3"/>
    </row>
    <row r="691">
      <c r="A691" s="46"/>
      <c r="B691" s="47"/>
      <c r="C691" s="47"/>
      <c r="D691" s="48"/>
      <c r="E691" s="48"/>
      <c r="F691" s="48"/>
      <c r="G691" s="48"/>
      <c r="H691" s="49"/>
      <c r="I691" s="3"/>
      <c r="J691" s="3"/>
      <c r="K691" s="3"/>
      <c r="L691" s="3"/>
      <c r="M691" s="3"/>
      <c r="N691" s="3"/>
      <c r="O691" s="3"/>
      <c r="P691" s="3"/>
      <c r="Q691" s="3"/>
      <c r="R691" s="3"/>
      <c r="S691" s="3"/>
      <c r="T691" s="3"/>
      <c r="U691" s="3"/>
      <c r="V691" s="3"/>
      <c r="W691" s="3"/>
      <c r="X691" s="3"/>
      <c r="Y691" s="3"/>
      <c r="Z691" s="3"/>
      <c r="AA691" s="3"/>
      <c r="AB691" s="3"/>
      <c r="AC691" s="3"/>
    </row>
    <row r="692">
      <c r="A692" s="50"/>
      <c r="B692" s="51">
        <v>162.0</v>
      </c>
      <c r="C692" s="51"/>
      <c r="D692" s="52"/>
      <c r="E692" s="52" t="s">
        <v>1763</v>
      </c>
      <c r="F692" s="52" t="s">
        <v>284</v>
      </c>
      <c r="G692" s="53" t="s">
        <v>1764</v>
      </c>
      <c r="H692" s="71"/>
      <c r="I692" s="49"/>
      <c r="J692" s="3"/>
      <c r="K692" s="3"/>
      <c r="L692" s="3"/>
      <c r="M692" s="3"/>
      <c r="N692" s="3"/>
      <c r="O692" s="3"/>
      <c r="P692" s="3"/>
      <c r="Q692" s="3"/>
      <c r="R692" s="3"/>
      <c r="S692" s="3"/>
      <c r="T692" s="3"/>
      <c r="U692" s="3"/>
      <c r="V692" s="3"/>
      <c r="W692" s="3"/>
      <c r="X692" s="3"/>
      <c r="Y692" s="3"/>
      <c r="Z692" s="3"/>
      <c r="AA692" s="3"/>
      <c r="AB692" s="3"/>
      <c r="AC692" s="3"/>
    </row>
    <row r="693">
      <c r="A693" s="61"/>
      <c r="B693" s="49"/>
      <c r="C693" s="49"/>
      <c r="D693" s="58"/>
      <c r="E693" s="58"/>
      <c r="F693" s="58"/>
      <c r="G693" s="58"/>
      <c r="H693" s="71"/>
      <c r="I693" s="49"/>
      <c r="J693" s="3"/>
      <c r="K693" s="3"/>
      <c r="L693" s="3"/>
      <c r="M693" s="3"/>
      <c r="N693" s="3"/>
      <c r="O693" s="3"/>
      <c r="P693" s="3"/>
      <c r="Q693" s="3"/>
      <c r="R693" s="3"/>
      <c r="S693" s="3"/>
      <c r="T693" s="3"/>
      <c r="U693" s="3"/>
      <c r="V693" s="3"/>
      <c r="W693" s="3"/>
      <c r="X693" s="3"/>
      <c r="Y693" s="3"/>
      <c r="Z693" s="3"/>
      <c r="AA693" s="3"/>
      <c r="AB693" s="3"/>
      <c r="AC693" s="3"/>
    </row>
    <row r="694">
      <c r="A694" s="50"/>
      <c r="B694" s="51">
        <v>163.0</v>
      </c>
      <c r="C694" s="51"/>
      <c r="D694" s="52"/>
      <c r="E694" s="52" t="s">
        <v>1765</v>
      </c>
      <c r="F694" s="52" t="s">
        <v>284</v>
      </c>
      <c r="G694" s="53" t="s">
        <v>1766</v>
      </c>
      <c r="H694" s="58"/>
      <c r="I694" s="49"/>
      <c r="J694" s="3"/>
      <c r="K694" s="3"/>
      <c r="L694" s="3"/>
      <c r="M694" s="3"/>
      <c r="N694" s="3"/>
      <c r="O694" s="3"/>
      <c r="P694" s="3"/>
      <c r="Q694" s="3"/>
      <c r="R694" s="3"/>
      <c r="S694" s="3"/>
      <c r="T694" s="3"/>
      <c r="U694" s="3"/>
      <c r="V694" s="3"/>
      <c r="W694" s="3"/>
      <c r="X694" s="3"/>
      <c r="Y694" s="3"/>
      <c r="Z694" s="3"/>
      <c r="AA694" s="3"/>
      <c r="AB694" s="3"/>
      <c r="AC694" s="3"/>
    </row>
    <row r="695">
      <c r="A695" s="61"/>
      <c r="B695" s="49"/>
      <c r="C695" s="49"/>
      <c r="D695" s="58"/>
      <c r="E695" s="58"/>
      <c r="F695" s="58"/>
      <c r="G695" s="58"/>
      <c r="H695" s="71"/>
      <c r="I695" s="49"/>
      <c r="J695" s="3"/>
      <c r="K695" s="3"/>
      <c r="L695" s="3"/>
      <c r="M695" s="3"/>
      <c r="N695" s="3"/>
      <c r="O695" s="3"/>
      <c r="P695" s="3"/>
      <c r="Q695" s="3"/>
      <c r="R695" s="3"/>
      <c r="S695" s="3"/>
      <c r="T695" s="3"/>
      <c r="U695" s="3"/>
      <c r="V695" s="3"/>
      <c r="W695" s="3"/>
      <c r="X695" s="3"/>
      <c r="Y695" s="3"/>
      <c r="Z695" s="3"/>
      <c r="AA695" s="3"/>
      <c r="AB695" s="3"/>
      <c r="AC695" s="3"/>
    </row>
    <row r="696">
      <c r="A696" s="50"/>
      <c r="B696" s="51">
        <v>164.0</v>
      </c>
      <c r="C696" s="51"/>
      <c r="D696" s="52"/>
      <c r="E696" s="52" t="s">
        <v>1767</v>
      </c>
      <c r="F696" s="52" t="s">
        <v>284</v>
      </c>
      <c r="G696" s="53" t="s">
        <v>1768</v>
      </c>
      <c r="H696" s="71"/>
      <c r="I696" s="49"/>
      <c r="J696" s="3"/>
      <c r="K696" s="3"/>
      <c r="L696" s="3"/>
      <c r="M696" s="3"/>
      <c r="N696" s="3"/>
      <c r="O696" s="3"/>
      <c r="P696" s="3"/>
      <c r="Q696" s="3"/>
      <c r="R696" s="3"/>
      <c r="S696" s="3"/>
      <c r="T696" s="3"/>
      <c r="U696" s="3"/>
      <c r="V696" s="3"/>
      <c r="W696" s="3"/>
      <c r="X696" s="3"/>
      <c r="Y696" s="3"/>
      <c r="Z696" s="3"/>
      <c r="AA696" s="3"/>
      <c r="AB696" s="3"/>
      <c r="AC696" s="3"/>
    </row>
    <row r="697">
      <c r="A697" s="46"/>
      <c r="B697" s="47"/>
      <c r="C697" s="47"/>
      <c r="D697" s="48"/>
      <c r="E697" s="48"/>
      <c r="F697" s="48"/>
      <c r="G697" s="48"/>
      <c r="H697" s="71"/>
      <c r="I697" s="49"/>
      <c r="J697" s="3"/>
      <c r="K697" s="3"/>
      <c r="L697" s="3"/>
      <c r="M697" s="3"/>
      <c r="N697" s="3"/>
      <c r="O697" s="3"/>
      <c r="P697" s="3"/>
      <c r="Q697" s="3"/>
      <c r="R697" s="3"/>
      <c r="S697" s="3"/>
      <c r="T697" s="3"/>
      <c r="U697" s="3"/>
      <c r="V697" s="3"/>
      <c r="W697" s="3"/>
      <c r="X697" s="3"/>
      <c r="Y697" s="3"/>
      <c r="Z697" s="3"/>
      <c r="AA697" s="3"/>
      <c r="AB697" s="3"/>
      <c r="AC697" s="3"/>
    </row>
    <row r="698">
      <c r="A698" s="50"/>
      <c r="B698" s="51">
        <v>165.0</v>
      </c>
      <c r="C698" s="51"/>
      <c r="D698" s="52"/>
      <c r="E698" s="52" t="s">
        <v>1769</v>
      </c>
      <c r="F698" s="52" t="s">
        <v>284</v>
      </c>
      <c r="G698" s="53" t="s">
        <v>1770</v>
      </c>
      <c r="H698" s="71"/>
      <c r="I698" s="49"/>
      <c r="J698" s="3"/>
      <c r="K698" s="3"/>
      <c r="L698" s="3"/>
      <c r="M698" s="3"/>
      <c r="N698" s="3"/>
      <c r="O698" s="3"/>
      <c r="P698" s="3"/>
      <c r="Q698" s="3"/>
      <c r="R698" s="3"/>
      <c r="S698" s="3"/>
      <c r="T698" s="3"/>
      <c r="U698" s="3"/>
      <c r="V698" s="3"/>
      <c r="W698" s="3"/>
      <c r="X698" s="3"/>
      <c r="Y698" s="3"/>
      <c r="Z698" s="3"/>
      <c r="AA698" s="3"/>
      <c r="AB698" s="3"/>
      <c r="AC698" s="3"/>
    </row>
    <row r="699">
      <c r="A699" s="46"/>
      <c r="B699" s="47"/>
      <c r="C699" s="47"/>
      <c r="D699" s="48"/>
      <c r="E699" s="48"/>
      <c r="F699" s="48"/>
      <c r="G699" s="48"/>
      <c r="H699" s="71"/>
      <c r="I699" s="49"/>
      <c r="J699" s="3"/>
      <c r="K699" s="3"/>
      <c r="L699" s="3"/>
      <c r="M699" s="3"/>
      <c r="N699" s="3"/>
      <c r="O699" s="3"/>
      <c r="P699" s="3"/>
      <c r="Q699" s="3"/>
      <c r="R699" s="3"/>
      <c r="S699" s="3"/>
      <c r="T699" s="3"/>
      <c r="U699" s="3"/>
      <c r="V699" s="3"/>
      <c r="W699" s="3"/>
      <c r="X699" s="3"/>
      <c r="Y699" s="3"/>
      <c r="Z699" s="3"/>
      <c r="AA699" s="3"/>
      <c r="AB699" s="3"/>
      <c r="AC699" s="3"/>
    </row>
    <row r="700">
      <c r="A700" s="50"/>
      <c r="B700" s="51">
        <v>166.0</v>
      </c>
      <c r="C700" s="51"/>
      <c r="D700" s="52"/>
      <c r="E700" s="52" t="s">
        <v>1771</v>
      </c>
      <c r="F700" s="52" t="s">
        <v>284</v>
      </c>
      <c r="G700" s="53" t="s">
        <v>1772</v>
      </c>
      <c r="H700" s="71"/>
      <c r="I700" s="49"/>
      <c r="J700" s="3"/>
      <c r="K700" s="3"/>
      <c r="L700" s="3"/>
      <c r="M700" s="3"/>
      <c r="N700" s="3"/>
      <c r="O700" s="3"/>
      <c r="P700" s="3"/>
      <c r="Q700" s="3"/>
      <c r="R700" s="3"/>
      <c r="S700" s="3"/>
      <c r="T700" s="3"/>
      <c r="U700" s="3"/>
      <c r="V700" s="3"/>
      <c r="W700" s="3"/>
      <c r="X700" s="3"/>
      <c r="Y700" s="3"/>
      <c r="Z700" s="3"/>
      <c r="AA700" s="3"/>
      <c r="AB700" s="3"/>
      <c r="AC700" s="3"/>
    </row>
    <row r="701">
      <c r="A701" s="46"/>
      <c r="B701" s="47"/>
      <c r="C701" s="47"/>
      <c r="D701" s="48"/>
      <c r="E701" s="48"/>
      <c r="F701" s="48"/>
      <c r="G701" s="48"/>
      <c r="H701" s="71"/>
      <c r="I701" s="49"/>
      <c r="J701" s="3"/>
      <c r="K701" s="3"/>
      <c r="L701" s="3"/>
      <c r="M701" s="3"/>
      <c r="N701" s="3"/>
      <c r="O701" s="3"/>
      <c r="P701" s="3"/>
      <c r="Q701" s="3"/>
      <c r="R701" s="3"/>
      <c r="S701" s="3"/>
      <c r="T701" s="3"/>
      <c r="U701" s="3"/>
      <c r="V701" s="3"/>
      <c r="W701" s="3"/>
      <c r="X701" s="3"/>
      <c r="Y701" s="3"/>
      <c r="Z701" s="3"/>
      <c r="AA701" s="3"/>
      <c r="AB701" s="3"/>
      <c r="AC701" s="3"/>
    </row>
    <row r="702">
      <c r="A702" s="50"/>
      <c r="B702" s="51">
        <v>167.0</v>
      </c>
      <c r="C702" s="51"/>
      <c r="D702" s="52"/>
      <c r="E702" s="52" t="s">
        <v>1773</v>
      </c>
      <c r="F702" s="52" t="s">
        <v>1774</v>
      </c>
      <c r="G702" s="53" t="s">
        <v>1775</v>
      </c>
      <c r="H702" s="58"/>
      <c r="I702" s="49"/>
      <c r="J702" s="3"/>
      <c r="K702" s="3"/>
      <c r="L702" s="3"/>
      <c r="M702" s="3"/>
      <c r="N702" s="3"/>
      <c r="O702" s="3"/>
      <c r="P702" s="3"/>
      <c r="Q702" s="3"/>
      <c r="R702" s="3"/>
      <c r="S702" s="3"/>
      <c r="T702" s="3"/>
      <c r="U702" s="3"/>
      <c r="V702" s="3"/>
      <c r="W702" s="3"/>
      <c r="X702" s="3"/>
      <c r="Y702" s="3"/>
      <c r="Z702" s="3"/>
      <c r="AA702" s="3"/>
      <c r="AB702" s="3"/>
      <c r="AC702" s="3"/>
    </row>
    <row r="703">
      <c r="A703" s="46"/>
      <c r="B703" s="47"/>
      <c r="C703" s="47"/>
      <c r="D703" s="48"/>
      <c r="E703" s="48"/>
      <c r="F703" s="48"/>
      <c r="G703" s="48"/>
      <c r="H703" s="58"/>
      <c r="I703" s="49"/>
      <c r="J703" s="3"/>
      <c r="K703" s="3"/>
      <c r="L703" s="3"/>
      <c r="M703" s="3"/>
      <c r="N703" s="3"/>
      <c r="O703" s="3"/>
      <c r="P703" s="3"/>
      <c r="Q703" s="3"/>
      <c r="R703" s="3"/>
      <c r="S703" s="3"/>
      <c r="T703" s="3"/>
      <c r="U703" s="3"/>
      <c r="V703" s="3"/>
      <c r="W703" s="3"/>
      <c r="X703" s="3"/>
      <c r="Y703" s="3"/>
      <c r="Z703" s="3"/>
      <c r="AA703" s="3"/>
      <c r="AB703" s="3"/>
      <c r="AC703" s="3"/>
    </row>
    <row r="704">
      <c r="A704" s="50"/>
      <c r="B704" s="51">
        <v>168.0</v>
      </c>
      <c r="C704" s="51"/>
      <c r="D704" s="52"/>
      <c r="E704" s="52" t="s">
        <v>1776</v>
      </c>
      <c r="F704" s="52" t="s">
        <v>1777</v>
      </c>
      <c r="G704" s="53" t="s">
        <v>1778</v>
      </c>
      <c r="H704" s="58"/>
      <c r="I704" s="49"/>
      <c r="J704" s="3"/>
      <c r="K704" s="3"/>
      <c r="L704" s="3"/>
      <c r="M704" s="3"/>
      <c r="N704" s="3"/>
      <c r="O704" s="3"/>
      <c r="P704" s="3"/>
      <c r="Q704" s="3"/>
      <c r="R704" s="3"/>
      <c r="S704" s="3"/>
      <c r="T704" s="3"/>
      <c r="U704" s="3"/>
      <c r="V704" s="3"/>
      <c r="W704" s="3"/>
      <c r="X704" s="3"/>
      <c r="Y704" s="3"/>
      <c r="Z704" s="3"/>
      <c r="AA704" s="3"/>
      <c r="AB704" s="3"/>
      <c r="AC704" s="3"/>
    </row>
    <row r="705">
      <c r="A705" s="46"/>
      <c r="B705" s="47"/>
      <c r="C705" s="47"/>
      <c r="D705" s="48"/>
      <c r="E705" s="48"/>
      <c r="F705" s="48"/>
      <c r="G705" s="48"/>
      <c r="H705" s="58"/>
      <c r="I705" s="49"/>
      <c r="J705" s="3"/>
      <c r="K705" s="3"/>
      <c r="L705" s="3"/>
      <c r="M705" s="3"/>
      <c r="N705" s="3"/>
      <c r="O705" s="3"/>
      <c r="P705" s="3"/>
      <c r="Q705" s="3"/>
      <c r="R705" s="3"/>
      <c r="S705" s="3"/>
      <c r="T705" s="3"/>
      <c r="U705" s="3"/>
      <c r="V705" s="3"/>
      <c r="W705" s="3"/>
      <c r="X705" s="3"/>
      <c r="Y705" s="3"/>
      <c r="Z705" s="3"/>
      <c r="AA705" s="3"/>
      <c r="AB705" s="3"/>
      <c r="AC705" s="3"/>
    </row>
    <row r="706">
      <c r="A706" s="62"/>
      <c r="B706" s="63" t="s">
        <v>1779</v>
      </c>
      <c r="C706" s="63"/>
      <c r="D706" s="64"/>
      <c r="E706" s="64" t="s">
        <v>1780</v>
      </c>
      <c r="F706" s="65"/>
      <c r="G706" s="65"/>
      <c r="H706" s="65"/>
      <c r="I706" s="65"/>
      <c r="J706" s="65"/>
      <c r="K706" s="3"/>
      <c r="L706" s="3"/>
      <c r="M706" s="3"/>
      <c r="N706" s="3"/>
      <c r="O706" s="3"/>
      <c r="P706" s="3"/>
      <c r="Q706" s="3"/>
      <c r="R706" s="3"/>
      <c r="S706" s="3"/>
      <c r="T706" s="3"/>
      <c r="U706" s="3"/>
      <c r="V706" s="3"/>
      <c r="W706" s="3"/>
      <c r="X706" s="3"/>
      <c r="Y706" s="3"/>
      <c r="Z706" s="3"/>
      <c r="AA706" s="3"/>
      <c r="AB706" s="3"/>
      <c r="AC706" s="3"/>
    </row>
    <row r="707">
      <c r="A707" s="50"/>
      <c r="B707" s="51">
        <v>169.0</v>
      </c>
      <c r="C707" s="51"/>
      <c r="D707" s="52"/>
      <c r="E707" s="52" t="s">
        <v>1781</v>
      </c>
      <c r="F707" s="52" t="s">
        <v>1782</v>
      </c>
      <c r="G707" s="53" t="s">
        <v>1783</v>
      </c>
      <c r="H707" s="49"/>
      <c r="I707" s="3"/>
      <c r="J707" s="3"/>
      <c r="K707" s="3"/>
      <c r="L707" s="3"/>
      <c r="M707" s="3"/>
      <c r="N707" s="3"/>
      <c r="O707" s="3"/>
      <c r="P707" s="3"/>
      <c r="Q707" s="3"/>
      <c r="R707" s="3"/>
      <c r="S707" s="3"/>
      <c r="T707" s="3"/>
      <c r="U707" s="3"/>
      <c r="V707" s="3"/>
      <c r="W707" s="3"/>
      <c r="X707" s="3"/>
      <c r="Y707" s="3"/>
      <c r="Z707" s="3"/>
      <c r="AA707" s="3"/>
      <c r="AB707" s="3"/>
      <c r="AC707" s="3"/>
    </row>
    <row r="708">
      <c r="A708" s="61"/>
      <c r="B708" s="49"/>
      <c r="C708" s="49"/>
      <c r="D708" s="58"/>
      <c r="E708" s="58"/>
      <c r="F708" s="58"/>
      <c r="G708" s="58"/>
      <c r="H708" s="49"/>
      <c r="I708" s="3"/>
      <c r="J708" s="3"/>
      <c r="K708" s="3"/>
      <c r="L708" s="3"/>
      <c r="M708" s="3"/>
      <c r="N708" s="3"/>
      <c r="O708" s="3"/>
      <c r="P708" s="3"/>
      <c r="Q708" s="3"/>
      <c r="R708" s="3"/>
      <c r="S708" s="3"/>
      <c r="T708" s="3"/>
      <c r="U708" s="3"/>
      <c r="V708" s="3"/>
      <c r="W708" s="3"/>
      <c r="X708" s="3"/>
      <c r="Y708" s="3"/>
      <c r="Z708" s="3"/>
      <c r="AA708" s="3"/>
      <c r="AB708" s="3"/>
      <c r="AC708" s="3"/>
    </row>
    <row r="709">
      <c r="A709" s="50"/>
      <c r="B709" s="51">
        <v>170.0</v>
      </c>
      <c r="C709" s="51"/>
      <c r="D709" s="52"/>
      <c r="E709" s="52" t="s">
        <v>1784</v>
      </c>
      <c r="F709" s="52" t="s">
        <v>1782</v>
      </c>
      <c r="G709" s="53" t="s">
        <v>1785</v>
      </c>
      <c r="H709" s="49"/>
      <c r="I709" s="3"/>
      <c r="J709" s="3"/>
      <c r="K709" s="3"/>
      <c r="L709" s="3"/>
      <c r="M709" s="3"/>
      <c r="N709" s="3"/>
      <c r="O709" s="3"/>
      <c r="P709" s="3"/>
      <c r="Q709" s="3"/>
      <c r="R709" s="3"/>
      <c r="S709" s="3"/>
      <c r="T709" s="3"/>
      <c r="U709" s="3"/>
      <c r="V709" s="3"/>
      <c r="W709" s="3"/>
      <c r="X709" s="3"/>
      <c r="Y709" s="3"/>
      <c r="Z709" s="3"/>
      <c r="AA709" s="3"/>
      <c r="AB709" s="3"/>
      <c r="AC709" s="3"/>
    </row>
    <row r="710">
      <c r="A710" s="46"/>
      <c r="B710" s="47"/>
      <c r="C710" s="47"/>
      <c r="D710" s="48"/>
      <c r="E710" s="48"/>
      <c r="F710" s="48"/>
      <c r="G710" s="48"/>
      <c r="H710" s="49"/>
      <c r="I710" s="3"/>
      <c r="J710" s="3"/>
      <c r="K710" s="3"/>
      <c r="L710" s="3"/>
      <c r="M710" s="3"/>
      <c r="N710" s="3"/>
      <c r="O710" s="3"/>
      <c r="P710" s="3"/>
      <c r="Q710" s="3"/>
      <c r="R710" s="3"/>
      <c r="S710" s="3"/>
      <c r="T710" s="3"/>
      <c r="U710" s="3"/>
      <c r="V710" s="3"/>
      <c r="W710" s="3"/>
      <c r="X710" s="3"/>
      <c r="Y710" s="3"/>
      <c r="Z710" s="3"/>
      <c r="AA710" s="3"/>
      <c r="AB710" s="3"/>
      <c r="AC710" s="3"/>
    </row>
    <row r="711">
      <c r="A711" s="50"/>
      <c r="B711" s="51">
        <v>171.0</v>
      </c>
      <c r="C711" s="51"/>
      <c r="D711" s="52"/>
      <c r="E711" s="52" t="s">
        <v>1786</v>
      </c>
      <c r="F711" s="52" t="s">
        <v>1782</v>
      </c>
      <c r="G711" s="53" t="s">
        <v>1787</v>
      </c>
      <c r="H711" s="49"/>
      <c r="I711" s="3"/>
      <c r="J711" s="3"/>
      <c r="K711" s="3"/>
      <c r="L711" s="3"/>
      <c r="M711" s="3"/>
      <c r="N711" s="3"/>
      <c r="O711" s="3"/>
      <c r="P711" s="3"/>
      <c r="Q711" s="3"/>
      <c r="R711" s="3"/>
      <c r="S711" s="3"/>
      <c r="T711" s="3"/>
      <c r="U711" s="3"/>
      <c r="V711" s="3"/>
      <c r="W711" s="3"/>
      <c r="X711" s="3"/>
      <c r="Y711" s="3"/>
      <c r="Z711" s="3"/>
      <c r="AA711" s="3"/>
      <c r="AB711" s="3"/>
      <c r="AC711" s="3"/>
    </row>
    <row r="712">
      <c r="A712" s="46"/>
      <c r="B712" s="47"/>
      <c r="C712" s="47"/>
      <c r="D712" s="48"/>
      <c r="E712" s="48"/>
      <c r="F712" s="48"/>
      <c r="G712" s="48"/>
      <c r="H712" s="49"/>
      <c r="I712" s="3"/>
      <c r="J712" s="3"/>
      <c r="K712" s="3"/>
      <c r="L712" s="3"/>
      <c r="M712" s="3"/>
      <c r="N712" s="3"/>
      <c r="O712" s="3"/>
      <c r="P712" s="3"/>
      <c r="Q712" s="3"/>
      <c r="R712" s="3"/>
      <c r="S712" s="3"/>
      <c r="T712" s="3"/>
      <c r="U712" s="3"/>
      <c r="V712" s="3"/>
      <c r="W712" s="3"/>
      <c r="X712" s="3"/>
      <c r="Y712" s="3"/>
      <c r="Z712" s="3"/>
      <c r="AA712" s="3"/>
      <c r="AB712" s="3"/>
      <c r="AC712" s="3"/>
    </row>
    <row r="713">
      <c r="A713" s="50"/>
      <c r="B713" s="51">
        <v>172.0</v>
      </c>
      <c r="C713" s="51"/>
      <c r="D713" s="52"/>
      <c r="E713" s="52" t="s">
        <v>1788</v>
      </c>
      <c r="F713" s="52" t="s">
        <v>1782</v>
      </c>
      <c r="G713" s="53" t="s">
        <v>1789</v>
      </c>
      <c r="H713" s="49"/>
      <c r="I713" s="3"/>
      <c r="J713" s="3"/>
      <c r="K713" s="3"/>
      <c r="L713" s="3"/>
      <c r="M713" s="3"/>
      <c r="N713" s="3"/>
      <c r="O713" s="3"/>
      <c r="P713" s="3"/>
      <c r="Q713" s="3"/>
      <c r="R713" s="3"/>
      <c r="S713" s="3"/>
      <c r="T713" s="3"/>
      <c r="U713" s="3"/>
      <c r="V713" s="3"/>
      <c r="W713" s="3"/>
      <c r="X713" s="3"/>
      <c r="Y713" s="3"/>
      <c r="Z713" s="3"/>
      <c r="AA713" s="3"/>
      <c r="AB713" s="3"/>
      <c r="AC713" s="3"/>
    </row>
    <row r="714">
      <c r="A714" s="46"/>
      <c r="B714" s="47"/>
      <c r="C714" s="47"/>
      <c r="D714" s="48"/>
      <c r="E714" s="48"/>
      <c r="F714" s="48"/>
      <c r="G714" s="48"/>
      <c r="H714" s="49"/>
      <c r="I714" s="3"/>
      <c r="J714" s="3"/>
      <c r="K714" s="3"/>
      <c r="L714" s="3"/>
      <c r="M714" s="3"/>
      <c r="N714" s="3"/>
      <c r="O714" s="3"/>
      <c r="P714" s="3"/>
      <c r="Q714" s="3"/>
      <c r="R714" s="3"/>
      <c r="S714" s="3"/>
      <c r="T714" s="3"/>
      <c r="U714" s="3"/>
      <c r="V714" s="3"/>
      <c r="W714" s="3"/>
      <c r="X714" s="3"/>
      <c r="Y714" s="3"/>
      <c r="Z714" s="3"/>
      <c r="AA714" s="3"/>
      <c r="AB714" s="3"/>
      <c r="AC714" s="3"/>
    </row>
    <row r="715">
      <c r="A715" s="50"/>
      <c r="B715" s="51">
        <v>173.0</v>
      </c>
      <c r="C715" s="51"/>
      <c r="D715" s="52"/>
      <c r="E715" s="52" t="s">
        <v>1790</v>
      </c>
      <c r="F715" s="52" t="s">
        <v>1782</v>
      </c>
      <c r="G715" s="53" t="s">
        <v>1791</v>
      </c>
      <c r="H715" s="49"/>
      <c r="I715" s="3"/>
      <c r="J715" s="3"/>
      <c r="K715" s="3"/>
      <c r="L715" s="3"/>
      <c r="M715" s="3"/>
      <c r="N715" s="3"/>
      <c r="O715" s="3"/>
      <c r="P715" s="3"/>
      <c r="Q715" s="3"/>
      <c r="R715" s="3"/>
      <c r="S715" s="3"/>
      <c r="T715" s="3"/>
      <c r="U715" s="3"/>
      <c r="V715" s="3"/>
      <c r="W715" s="3"/>
      <c r="X715" s="3"/>
      <c r="Y715" s="3"/>
      <c r="Z715" s="3"/>
      <c r="AA715" s="3"/>
      <c r="AB715" s="3"/>
      <c r="AC715" s="3"/>
    </row>
    <row r="716">
      <c r="A716" s="46"/>
      <c r="B716" s="47"/>
      <c r="C716" s="47"/>
      <c r="D716" s="48"/>
      <c r="E716" s="48"/>
      <c r="F716" s="48"/>
      <c r="G716" s="48"/>
      <c r="H716" s="49"/>
      <c r="I716" s="3"/>
      <c r="J716" s="3"/>
      <c r="K716" s="3"/>
      <c r="L716" s="3"/>
      <c r="M716" s="3"/>
      <c r="N716" s="3"/>
      <c r="O716" s="3"/>
      <c r="P716" s="3"/>
      <c r="Q716" s="3"/>
      <c r="R716" s="3"/>
      <c r="S716" s="3"/>
      <c r="T716" s="3"/>
      <c r="U716" s="3"/>
      <c r="V716" s="3"/>
      <c r="W716" s="3"/>
      <c r="X716" s="3"/>
      <c r="Y716" s="3"/>
      <c r="Z716" s="3"/>
      <c r="AA716" s="3"/>
      <c r="AB716" s="3"/>
      <c r="AC716" s="3"/>
    </row>
    <row r="717">
      <c r="A717" s="50"/>
      <c r="B717" s="51">
        <v>174.0</v>
      </c>
      <c r="C717" s="51"/>
      <c r="D717" s="52"/>
      <c r="E717" s="52" t="s">
        <v>1792</v>
      </c>
      <c r="F717" s="52" t="s">
        <v>1782</v>
      </c>
      <c r="G717" s="53" t="s">
        <v>1793</v>
      </c>
      <c r="H717" s="49"/>
      <c r="I717" s="3"/>
      <c r="J717" s="3"/>
      <c r="K717" s="3"/>
      <c r="L717" s="3"/>
      <c r="M717" s="3"/>
      <c r="N717" s="3"/>
      <c r="O717" s="3"/>
      <c r="P717" s="3"/>
      <c r="Q717" s="3"/>
      <c r="R717" s="3"/>
      <c r="S717" s="3"/>
      <c r="T717" s="3"/>
      <c r="U717" s="3"/>
      <c r="V717" s="3"/>
      <c r="W717" s="3"/>
      <c r="X717" s="3"/>
      <c r="Y717" s="3"/>
      <c r="Z717" s="3"/>
      <c r="AA717" s="3"/>
      <c r="AB717" s="3"/>
      <c r="AC717" s="3"/>
    </row>
    <row r="718">
      <c r="A718" s="46"/>
      <c r="B718" s="47"/>
      <c r="C718" s="47"/>
      <c r="D718" s="48"/>
      <c r="E718" s="48"/>
      <c r="F718" s="48"/>
      <c r="G718" s="48"/>
      <c r="H718" s="49"/>
      <c r="I718" s="3"/>
      <c r="J718" s="3"/>
      <c r="K718" s="3"/>
      <c r="L718" s="3"/>
      <c r="M718" s="3"/>
      <c r="N718" s="3"/>
      <c r="O718" s="3"/>
      <c r="P718" s="3"/>
      <c r="Q718" s="3"/>
      <c r="R718" s="3"/>
      <c r="S718" s="3"/>
      <c r="T718" s="3"/>
      <c r="U718" s="3"/>
      <c r="V718" s="3"/>
      <c r="W718" s="3"/>
      <c r="X718" s="3"/>
      <c r="Y718" s="3"/>
      <c r="Z718" s="3"/>
      <c r="AA718" s="3"/>
      <c r="AB718" s="3"/>
      <c r="AC718" s="3"/>
    </row>
    <row r="719">
      <c r="A719" s="50"/>
      <c r="B719" s="51">
        <v>175.0</v>
      </c>
      <c r="C719" s="51"/>
      <c r="D719" s="52"/>
      <c r="E719" s="52" t="s">
        <v>1794</v>
      </c>
      <c r="F719" s="52" t="s">
        <v>1782</v>
      </c>
      <c r="G719" s="53" t="s">
        <v>1795</v>
      </c>
      <c r="H719" s="49"/>
      <c r="I719" s="3"/>
      <c r="J719" s="3"/>
      <c r="K719" s="3"/>
      <c r="L719" s="3"/>
      <c r="M719" s="3"/>
      <c r="N719" s="3"/>
      <c r="O719" s="3"/>
      <c r="P719" s="3"/>
      <c r="Q719" s="3"/>
      <c r="R719" s="3"/>
      <c r="S719" s="3"/>
      <c r="T719" s="3"/>
      <c r="U719" s="3"/>
      <c r="V719" s="3"/>
      <c r="W719" s="3"/>
      <c r="X719" s="3"/>
      <c r="Y719" s="3"/>
      <c r="Z719" s="3"/>
      <c r="AA719" s="3"/>
      <c r="AB719" s="3"/>
      <c r="AC719" s="3"/>
    </row>
    <row r="720">
      <c r="A720" s="46"/>
      <c r="B720" s="47"/>
      <c r="C720" s="47"/>
      <c r="D720" s="48"/>
      <c r="E720" s="48"/>
      <c r="F720" s="48"/>
      <c r="G720" s="48"/>
      <c r="H720" s="49"/>
      <c r="I720" s="3"/>
      <c r="J720" s="3"/>
      <c r="K720" s="3"/>
      <c r="L720" s="3"/>
      <c r="M720" s="3"/>
      <c r="N720" s="3"/>
      <c r="O720" s="3"/>
      <c r="P720" s="3"/>
      <c r="Q720" s="3"/>
      <c r="R720" s="3"/>
      <c r="S720" s="3"/>
      <c r="T720" s="3"/>
      <c r="U720" s="3"/>
      <c r="V720" s="3"/>
      <c r="W720" s="3"/>
      <c r="X720" s="3"/>
      <c r="Y720" s="3"/>
      <c r="Z720" s="3"/>
      <c r="AA720" s="3"/>
      <c r="AB720" s="3"/>
      <c r="AC720" s="3"/>
    </row>
    <row r="721">
      <c r="A721" s="50"/>
      <c r="B721" s="51">
        <v>176.0</v>
      </c>
      <c r="C721" s="51"/>
      <c r="D721" s="52"/>
      <c r="E721" s="52" t="s">
        <v>1796</v>
      </c>
      <c r="F721" s="52" t="s">
        <v>1782</v>
      </c>
      <c r="G721" s="53" t="s">
        <v>1797</v>
      </c>
      <c r="H721" s="49"/>
      <c r="I721" s="3"/>
      <c r="J721" s="3"/>
      <c r="K721" s="3"/>
      <c r="L721" s="3"/>
      <c r="M721" s="3"/>
      <c r="N721" s="3"/>
      <c r="O721" s="3"/>
      <c r="P721" s="3"/>
      <c r="Q721" s="3"/>
      <c r="R721" s="3"/>
      <c r="S721" s="3"/>
      <c r="T721" s="3"/>
      <c r="U721" s="3"/>
      <c r="V721" s="3"/>
      <c r="W721" s="3"/>
      <c r="X721" s="3"/>
      <c r="Y721" s="3"/>
      <c r="Z721" s="3"/>
      <c r="AA721" s="3"/>
      <c r="AB721" s="3"/>
      <c r="AC721" s="3"/>
    </row>
    <row r="722">
      <c r="A722" s="46"/>
      <c r="B722" s="47"/>
      <c r="C722" s="47"/>
      <c r="D722" s="48"/>
      <c r="E722" s="48"/>
      <c r="F722" s="48"/>
      <c r="G722" s="48"/>
      <c r="H722" s="49"/>
      <c r="I722" s="3"/>
      <c r="J722" s="3"/>
      <c r="K722" s="3"/>
      <c r="L722" s="3"/>
      <c r="M722" s="3"/>
      <c r="N722" s="3"/>
      <c r="O722" s="3"/>
      <c r="P722" s="3"/>
      <c r="Q722" s="3"/>
      <c r="R722" s="3"/>
      <c r="S722" s="3"/>
      <c r="T722" s="3"/>
      <c r="U722" s="3"/>
      <c r="V722" s="3"/>
      <c r="W722" s="3"/>
      <c r="X722" s="3"/>
      <c r="Y722" s="3"/>
      <c r="Z722" s="3"/>
      <c r="AA722" s="3"/>
      <c r="AB722" s="3"/>
      <c r="AC722" s="3"/>
    </row>
    <row r="723">
      <c r="A723" s="50"/>
      <c r="B723" s="51">
        <v>177.0</v>
      </c>
      <c r="C723" s="51"/>
      <c r="D723" s="52"/>
      <c r="E723" s="52" t="s">
        <v>1798</v>
      </c>
      <c r="F723" s="52" t="s">
        <v>1782</v>
      </c>
      <c r="G723" s="53" t="s">
        <v>1799</v>
      </c>
      <c r="H723" s="49"/>
      <c r="I723" s="3"/>
      <c r="J723" s="3"/>
      <c r="K723" s="3"/>
      <c r="L723" s="3"/>
      <c r="M723" s="3"/>
      <c r="N723" s="3"/>
      <c r="O723" s="3"/>
      <c r="P723" s="3"/>
      <c r="Q723" s="3"/>
      <c r="R723" s="3"/>
      <c r="S723" s="3"/>
      <c r="T723" s="3"/>
      <c r="U723" s="3"/>
      <c r="V723" s="3"/>
      <c r="W723" s="3"/>
      <c r="X723" s="3"/>
      <c r="Y723" s="3"/>
      <c r="Z723" s="3"/>
      <c r="AA723" s="3"/>
      <c r="AB723" s="3"/>
      <c r="AC723" s="3"/>
    </row>
    <row r="724">
      <c r="A724" s="46"/>
      <c r="B724" s="47"/>
      <c r="C724" s="47"/>
      <c r="D724" s="48"/>
      <c r="E724" s="48"/>
      <c r="F724" s="48"/>
      <c r="G724" s="48"/>
      <c r="H724" s="49"/>
      <c r="I724" s="3"/>
      <c r="J724" s="3"/>
      <c r="K724" s="3"/>
      <c r="L724" s="3"/>
      <c r="M724" s="3"/>
      <c r="N724" s="3"/>
      <c r="O724" s="3"/>
      <c r="P724" s="3"/>
      <c r="Q724" s="3"/>
      <c r="R724" s="3"/>
      <c r="S724" s="3"/>
      <c r="T724" s="3"/>
      <c r="U724" s="3"/>
      <c r="V724" s="3"/>
      <c r="W724" s="3"/>
      <c r="X724" s="3"/>
      <c r="Y724" s="3"/>
      <c r="Z724" s="3"/>
      <c r="AA724" s="3"/>
      <c r="AB724" s="3"/>
      <c r="AC724" s="3"/>
    </row>
    <row r="725">
      <c r="A725" s="50"/>
      <c r="B725" s="51">
        <v>178.0</v>
      </c>
      <c r="C725" s="51"/>
      <c r="D725" s="52"/>
      <c r="E725" s="52" t="s">
        <v>1800</v>
      </c>
      <c r="F725" s="52" t="s">
        <v>1782</v>
      </c>
      <c r="G725" s="53" t="s">
        <v>1801</v>
      </c>
      <c r="H725" s="49"/>
      <c r="I725" s="3"/>
      <c r="J725" s="3"/>
      <c r="K725" s="3"/>
      <c r="L725" s="3"/>
      <c r="M725" s="3"/>
      <c r="N725" s="3"/>
      <c r="O725" s="3"/>
      <c r="P725" s="3"/>
      <c r="Q725" s="3"/>
      <c r="R725" s="3"/>
      <c r="S725" s="3"/>
      <c r="T725" s="3"/>
      <c r="U725" s="3"/>
      <c r="V725" s="3"/>
      <c r="W725" s="3"/>
      <c r="X725" s="3"/>
      <c r="Y725" s="3"/>
      <c r="Z725" s="3"/>
      <c r="AA725" s="3"/>
      <c r="AB725" s="3"/>
      <c r="AC725" s="3"/>
    </row>
    <row r="726">
      <c r="A726" s="46"/>
      <c r="B726" s="47"/>
      <c r="C726" s="47"/>
      <c r="D726" s="48"/>
      <c r="E726" s="48"/>
      <c r="F726" s="48"/>
      <c r="G726" s="48"/>
      <c r="H726" s="49"/>
      <c r="I726" s="3"/>
      <c r="J726" s="3"/>
      <c r="K726" s="3"/>
      <c r="L726" s="3"/>
      <c r="M726" s="3"/>
      <c r="N726" s="3"/>
      <c r="O726" s="3"/>
      <c r="P726" s="3"/>
      <c r="Q726" s="3"/>
      <c r="R726" s="3"/>
      <c r="S726" s="3"/>
      <c r="T726" s="3"/>
      <c r="U726" s="3"/>
      <c r="V726" s="3"/>
      <c r="W726" s="3"/>
      <c r="X726" s="3"/>
      <c r="Y726" s="3"/>
      <c r="Z726" s="3"/>
      <c r="AA726" s="3"/>
      <c r="AB726" s="3"/>
      <c r="AC726" s="3"/>
    </row>
    <row r="727">
      <c r="A727" s="50"/>
      <c r="B727" s="51">
        <v>179.0</v>
      </c>
      <c r="C727" s="51"/>
      <c r="D727" s="52"/>
      <c r="E727" s="52" t="s">
        <v>1802</v>
      </c>
      <c r="F727" s="52" t="s">
        <v>1782</v>
      </c>
      <c r="G727" s="53" t="s">
        <v>1803</v>
      </c>
      <c r="H727" s="49"/>
      <c r="I727" s="3"/>
      <c r="J727" s="3"/>
      <c r="K727" s="3"/>
      <c r="L727" s="3"/>
      <c r="M727" s="3"/>
      <c r="N727" s="3"/>
      <c r="O727" s="3"/>
      <c r="P727" s="3"/>
      <c r="Q727" s="3"/>
      <c r="R727" s="3"/>
      <c r="S727" s="3"/>
      <c r="T727" s="3"/>
      <c r="U727" s="3"/>
      <c r="V727" s="3"/>
      <c r="W727" s="3"/>
      <c r="X727" s="3"/>
      <c r="Y727" s="3"/>
      <c r="Z727" s="3"/>
      <c r="AA727" s="3"/>
      <c r="AB727" s="3"/>
      <c r="AC727" s="3"/>
    </row>
    <row r="728">
      <c r="A728" s="46"/>
      <c r="B728" s="47"/>
      <c r="C728" s="47"/>
      <c r="D728" s="48"/>
      <c r="E728" s="48"/>
      <c r="F728" s="48"/>
      <c r="G728" s="48"/>
      <c r="H728" s="49"/>
      <c r="I728" s="3"/>
      <c r="J728" s="3"/>
      <c r="K728" s="3"/>
      <c r="L728" s="3"/>
      <c r="M728" s="3"/>
      <c r="N728" s="3"/>
      <c r="O728" s="3"/>
      <c r="P728" s="3"/>
      <c r="Q728" s="3"/>
      <c r="R728" s="3"/>
      <c r="S728" s="3"/>
      <c r="T728" s="3"/>
      <c r="U728" s="3"/>
      <c r="V728" s="3"/>
      <c r="W728" s="3"/>
      <c r="X728" s="3"/>
      <c r="Y728" s="3"/>
      <c r="Z728" s="3"/>
      <c r="AA728" s="3"/>
      <c r="AB728" s="3"/>
      <c r="AC728" s="3"/>
    </row>
    <row r="729">
      <c r="A729" s="50"/>
      <c r="B729" s="51">
        <v>180.0</v>
      </c>
      <c r="C729" s="51"/>
      <c r="D729" s="52"/>
      <c r="E729" s="52" t="s">
        <v>1804</v>
      </c>
      <c r="F729" s="52" t="s">
        <v>1782</v>
      </c>
      <c r="G729" s="53" t="s">
        <v>1805</v>
      </c>
      <c r="H729" s="49"/>
      <c r="I729" s="3"/>
      <c r="J729" s="3"/>
      <c r="K729" s="3"/>
      <c r="L729" s="3"/>
      <c r="M729" s="3"/>
      <c r="N729" s="3"/>
      <c r="O729" s="3"/>
      <c r="P729" s="3"/>
      <c r="Q729" s="3"/>
      <c r="R729" s="3"/>
      <c r="S729" s="3"/>
      <c r="T729" s="3"/>
      <c r="U729" s="3"/>
      <c r="V729" s="3"/>
      <c r="W729" s="3"/>
      <c r="X729" s="3"/>
      <c r="Y729" s="3"/>
      <c r="Z729" s="3"/>
      <c r="AA729" s="3"/>
      <c r="AB729" s="3"/>
      <c r="AC729" s="3"/>
    </row>
    <row r="730">
      <c r="A730" s="46"/>
      <c r="B730" s="47"/>
      <c r="C730" s="47"/>
      <c r="D730" s="48"/>
      <c r="E730" s="48"/>
      <c r="F730" s="48"/>
      <c r="G730" s="48"/>
      <c r="H730" s="49"/>
      <c r="I730" s="3"/>
      <c r="J730" s="3"/>
      <c r="K730" s="3"/>
      <c r="L730" s="3"/>
      <c r="M730" s="3"/>
      <c r="N730" s="3"/>
      <c r="O730" s="3"/>
      <c r="P730" s="3"/>
      <c r="Q730" s="3"/>
      <c r="R730" s="3"/>
      <c r="S730" s="3"/>
      <c r="T730" s="3"/>
      <c r="U730" s="3"/>
      <c r="V730" s="3"/>
      <c r="W730" s="3"/>
      <c r="X730" s="3"/>
      <c r="Y730" s="3"/>
      <c r="Z730" s="3"/>
      <c r="AA730" s="3"/>
      <c r="AB730" s="3"/>
      <c r="AC730" s="3"/>
    </row>
    <row r="731">
      <c r="A731" s="50"/>
      <c r="B731" s="51">
        <v>181.0</v>
      </c>
      <c r="C731" s="51"/>
      <c r="D731" s="52"/>
      <c r="E731" s="52" t="s">
        <v>1806</v>
      </c>
      <c r="F731" s="52" t="s">
        <v>1782</v>
      </c>
      <c r="G731" s="53" t="s">
        <v>1807</v>
      </c>
      <c r="H731" s="49"/>
      <c r="I731" s="3"/>
      <c r="J731" s="3"/>
      <c r="K731" s="3"/>
      <c r="L731" s="3"/>
      <c r="M731" s="3"/>
      <c r="N731" s="3"/>
      <c r="O731" s="3"/>
      <c r="P731" s="3"/>
      <c r="Q731" s="3"/>
      <c r="R731" s="3"/>
      <c r="S731" s="3"/>
      <c r="T731" s="3"/>
      <c r="U731" s="3"/>
      <c r="V731" s="3"/>
      <c r="W731" s="3"/>
      <c r="X731" s="3"/>
      <c r="Y731" s="3"/>
      <c r="Z731" s="3"/>
      <c r="AA731" s="3"/>
      <c r="AB731" s="3"/>
      <c r="AC731" s="3"/>
    </row>
    <row r="732">
      <c r="A732" s="46"/>
      <c r="B732" s="47"/>
      <c r="C732" s="47"/>
      <c r="D732" s="48"/>
      <c r="E732" s="48"/>
      <c r="F732" s="48"/>
      <c r="G732" s="48"/>
      <c r="H732" s="49"/>
      <c r="I732" s="3"/>
      <c r="J732" s="3"/>
      <c r="K732" s="3"/>
      <c r="L732" s="3"/>
      <c r="M732" s="3"/>
      <c r="N732" s="3"/>
      <c r="O732" s="3"/>
      <c r="P732" s="3"/>
      <c r="Q732" s="3"/>
      <c r="R732" s="3"/>
      <c r="S732" s="3"/>
      <c r="T732" s="3"/>
      <c r="U732" s="3"/>
      <c r="V732" s="3"/>
      <c r="W732" s="3"/>
      <c r="X732" s="3"/>
      <c r="Y732" s="3"/>
      <c r="Z732" s="3"/>
      <c r="AA732" s="3"/>
      <c r="AB732" s="3"/>
      <c r="AC732" s="3"/>
    </row>
    <row r="733">
      <c r="A733" s="50"/>
      <c r="B733" s="51">
        <v>182.0</v>
      </c>
      <c r="C733" s="51"/>
      <c r="D733" s="52"/>
      <c r="E733" s="52" t="s">
        <v>1808</v>
      </c>
      <c r="F733" s="52" t="s">
        <v>1782</v>
      </c>
      <c r="G733" s="53" t="s">
        <v>1809</v>
      </c>
      <c r="H733" s="49"/>
      <c r="I733" s="3"/>
      <c r="J733" s="3"/>
      <c r="K733" s="3"/>
      <c r="L733" s="3"/>
      <c r="M733" s="3"/>
      <c r="N733" s="3"/>
      <c r="O733" s="3"/>
      <c r="P733" s="3"/>
      <c r="Q733" s="3"/>
      <c r="R733" s="3"/>
      <c r="S733" s="3"/>
      <c r="T733" s="3"/>
      <c r="U733" s="3"/>
      <c r="V733" s="3"/>
      <c r="W733" s="3"/>
      <c r="X733" s="3"/>
      <c r="Y733" s="3"/>
      <c r="Z733" s="3"/>
      <c r="AA733" s="3"/>
      <c r="AB733" s="3"/>
      <c r="AC733" s="3"/>
    </row>
    <row r="734">
      <c r="A734" s="61"/>
      <c r="B734" s="49"/>
      <c r="C734" s="49"/>
      <c r="D734" s="58"/>
      <c r="E734" s="58"/>
      <c r="F734" s="58"/>
      <c r="G734" s="58"/>
      <c r="H734" s="49"/>
      <c r="I734" s="3"/>
      <c r="J734" s="3"/>
      <c r="K734" s="3"/>
      <c r="L734" s="3"/>
      <c r="M734" s="3"/>
      <c r="N734" s="3"/>
      <c r="O734" s="3"/>
      <c r="P734" s="3"/>
      <c r="Q734" s="3"/>
      <c r="R734" s="3"/>
      <c r="S734" s="3"/>
      <c r="T734" s="3"/>
      <c r="U734" s="3"/>
      <c r="V734" s="3"/>
      <c r="W734" s="3"/>
      <c r="X734" s="3"/>
      <c r="Y734" s="3"/>
      <c r="Z734" s="3"/>
      <c r="AA734" s="3"/>
      <c r="AB734" s="3"/>
      <c r="AC734" s="3"/>
    </row>
    <row r="735">
      <c r="A735" s="50"/>
      <c r="B735" s="51">
        <v>183.0</v>
      </c>
      <c r="C735" s="51"/>
      <c r="D735" s="52"/>
      <c r="E735" s="52" t="s">
        <v>1810</v>
      </c>
      <c r="F735" s="52" t="s">
        <v>1782</v>
      </c>
      <c r="G735" s="53" t="s">
        <v>1811</v>
      </c>
      <c r="H735" s="49"/>
      <c r="I735" s="3"/>
      <c r="J735" s="3"/>
      <c r="K735" s="3"/>
      <c r="L735" s="3"/>
      <c r="M735" s="3"/>
      <c r="N735" s="3"/>
      <c r="O735" s="3"/>
      <c r="P735" s="3"/>
      <c r="Q735" s="3"/>
      <c r="R735" s="3"/>
      <c r="S735" s="3"/>
      <c r="T735" s="3"/>
      <c r="U735" s="3"/>
      <c r="V735" s="3"/>
      <c r="W735" s="3"/>
      <c r="X735" s="3"/>
      <c r="Y735" s="3"/>
      <c r="Z735" s="3"/>
      <c r="AA735" s="3"/>
      <c r="AB735" s="3"/>
      <c r="AC735" s="3"/>
    </row>
    <row r="736">
      <c r="A736" s="61"/>
      <c r="B736" s="49"/>
      <c r="C736" s="49"/>
      <c r="D736" s="58"/>
      <c r="E736" s="58"/>
      <c r="F736" s="58"/>
      <c r="G736" s="58"/>
      <c r="H736" s="49"/>
      <c r="I736" s="3"/>
      <c r="J736" s="3"/>
      <c r="K736" s="3"/>
      <c r="L736" s="3"/>
      <c r="M736" s="3"/>
      <c r="N736" s="3"/>
      <c r="O736" s="3"/>
      <c r="P736" s="3"/>
      <c r="Q736" s="3"/>
      <c r="R736" s="3"/>
      <c r="S736" s="3"/>
      <c r="T736" s="3"/>
      <c r="U736" s="3"/>
      <c r="V736" s="3"/>
      <c r="W736" s="3"/>
      <c r="X736" s="3"/>
      <c r="Y736" s="3"/>
      <c r="Z736" s="3"/>
      <c r="AA736" s="3"/>
      <c r="AB736" s="3"/>
      <c r="AC736" s="3"/>
    </row>
    <row r="737">
      <c r="A737" s="50"/>
      <c r="B737" s="51">
        <v>184.0</v>
      </c>
      <c r="C737" s="51"/>
      <c r="D737" s="52"/>
      <c r="E737" s="52" t="s">
        <v>1812</v>
      </c>
      <c r="F737" s="52" t="s">
        <v>1782</v>
      </c>
      <c r="G737" s="53" t="s">
        <v>1813</v>
      </c>
      <c r="H737" s="49"/>
      <c r="I737" s="3"/>
      <c r="J737" s="3"/>
      <c r="K737" s="3"/>
      <c r="L737" s="3"/>
      <c r="M737" s="3"/>
      <c r="N737" s="3"/>
      <c r="O737" s="3"/>
      <c r="P737" s="3"/>
      <c r="Q737" s="3"/>
      <c r="R737" s="3"/>
      <c r="S737" s="3"/>
      <c r="T737" s="3"/>
      <c r="U737" s="3"/>
      <c r="V737" s="3"/>
      <c r="W737" s="3"/>
      <c r="X737" s="3"/>
      <c r="Y737" s="3"/>
      <c r="Z737" s="3"/>
      <c r="AA737" s="3"/>
      <c r="AB737" s="3"/>
      <c r="AC737" s="3"/>
    </row>
    <row r="738">
      <c r="A738" s="46"/>
      <c r="B738" s="47"/>
      <c r="C738" s="47"/>
      <c r="D738" s="48"/>
      <c r="E738" s="48"/>
      <c r="F738" s="48"/>
      <c r="G738" s="48"/>
      <c r="H738" s="49"/>
      <c r="I738" s="3"/>
      <c r="J738" s="3"/>
      <c r="K738" s="3"/>
      <c r="L738" s="3"/>
      <c r="M738" s="3"/>
      <c r="N738" s="3"/>
      <c r="O738" s="3"/>
      <c r="P738" s="3"/>
      <c r="Q738" s="3"/>
      <c r="R738" s="3"/>
      <c r="S738" s="3"/>
      <c r="T738" s="3"/>
      <c r="U738" s="3"/>
      <c r="V738" s="3"/>
      <c r="W738" s="3"/>
      <c r="X738" s="3"/>
      <c r="Y738" s="3"/>
      <c r="Z738" s="3"/>
      <c r="AA738" s="3"/>
      <c r="AB738" s="3"/>
      <c r="AC738" s="3"/>
    </row>
    <row r="739">
      <c r="A739" s="50"/>
      <c r="B739" s="51">
        <v>185.0</v>
      </c>
      <c r="C739" s="51"/>
      <c r="D739" s="52"/>
      <c r="E739" s="52" t="s">
        <v>1814</v>
      </c>
      <c r="F739" s="52" t="s">
        <v>1782</v>
      </c>
      <c r="G739" s="53" t="s">
        <v>1815</v>
      </c>
      <c r="H739" s="49"/>
      <c r="I739" s="3"/>
      <c r="J739" s="3"/>
      <c r="K739" s="3"/>
      <c r="L739" s="3"/>
      <c r="M739" s="3"/>
      <c r="N739" s="3"/>
      <c r="O739" s="3"/>
      <c r="P739" s="3"/>
      <c r="Q739" s="3"/>
      <c r="R739" s="3"/>
      <c r="S739" s="3"/>
      <c r="T739" s="3"/>
      <c r="U739" s="3"/>
      <c r="V739" s="3"/>
      <c r="W739" s="3"/>
      <c r="X739" s="3"/>
      <c r="Y739" s="3"/>
      <c r="Z739" s="3"/>
      <c r="AA739" s="3"/>
      <c r="AB739" s="3"/>
      <c r="AC739" s="3"/>
    </row>
    <row r="740">
      <c r="A740" s="46"/>
      <c r="B740" s="47"/>
      <c r="C740" s="47"/>
      <c r="D740" s="48"/>
      <c r="E740" s="48"/>
      <c r="F740" s="48"/>
      <c r="G740" s="48"/>
      <c r="H740" s="49"/>
      <c r="I740" s="3"/>
      <c r="J740" s="3"/>
      <c r="K740" s="3"/>
      <c r="L740" s="3"/>
      <c r="M740" s="3"/>
      <c r="N740" s="3"/>
      <c r="O740" s="3"/>
      <c r="P740" s="3"/>
      <c r="Q740" s="3"/>
      <c r="R740" s="3"/>
      <c r="S740" s="3"/>
      <c r="T740" s="3"/>
      <c r="U740" s="3"/>
      <c r="V740" s="3"/>
      <c r="W740" s="3"/>
      <c r="X740" s="3"/>
      <c r="Y740" s="3"/>
      <c r="Z740" s="3"/>
      <c r="AA740" s="3"/>
      <c r="AB740" s="3"/>
      <c r="AC740" s="3"/>
    </row>
    <row r="741">
      <c r="A741" s="50"/>
      <c r="B741" s="51">
        <v>186.0</v>
      </c>
      <c r="C741" s="51"/>
      <c r="D741" s="52"/>
      <c r="E741" s="52" t="s">
        <v>1816</v>
      </c>
      <c r="F741" s="52" t="s">
        <v>1782</v>
      </c>
      <c r="G741" s="53" t="s">
        <v>1817</v>
      </c>
      <c r="H741" s="49"/>
      <c r="I741" s="3"/>
      <c r="J741" s="3"/>
      <c r="K741" s="3"/>
      <c r="L741" s="3"/>
      <c r="M741" s="3"/>
      <c r="N741" s="3"/>
      <c r="O741" s="3"/>
      <c r="P741" s="3"/>
      <c r="Q741" s="3"/>
      <c r="R741" s="3"/>
      <c r="S741" s="3"/>
      <c r="T741" s="3"/>
      <c r="U741" s="3"/>
      <c r="V741" s="3"/>
      <c r="W741" s="3"/>
      <c r="X741" s="3"/>
      <c r="Y741" s="3"/>
      <c r="Z741" s="3"/>
      <c r="AA741" s="3"/>
      <c r="AB741" s="3"/>
      <c r="AC741" s="3"/>
    </row>
    <row r="742">
      <c r="A742" s="46"/>
      <c r="B742" s="47"/>
      <c r="C742" s="47"/>
      <c r="D742" s="48"/>
      <c r="E742" s="48"/>
      <c r="F742" s="48"/>
      <c r="G742" s="48"/>
      <c r="H742" s="49"/>
      <c r="I742" s="3"/>
      <c r="J742" s="3"/>
      <c r="K742" s="3"/>
      <c r="L742" s="3"/>
      <c r="M742" s="3"/>
      <c r="N742" s="3"/>
      <c r="O742" s="3"/>
      <c r="P742" s="3"/>
      <c r="Q742" s="3"/>
      <c r="R742" s="3"/>
      <c r="S742" s="3"/>
      <c r="T742" s="3"/>
      <c r="U742" s="3"/>
      <c r="V742" s="3"/>
      <c r="W742" s="3"/>
      <c r="X742" s="3"/>
      <c r="Y742" s="3"/>
      <c r="Z742" s="3"/>
      <c r="AA742" s="3"/>
      <c r="AB742" s="3"/>
      <c r="AC742" s="3"/>
    </row>
    <row r="743">
      <c r="A743" s="73"/>
      <c r="B743" s="74"/>
      <c r="C743" s="74"/>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46"/>
      <c r="B744" s="47"/>
      <c r="C744" s="47"/>
      <c r="D744" s="48"/>
      <c r="E744" s="48"/>
      <c r="F744" s="48"/>
      <c r="G744" s="48"/>
      <c r="H744" s="49"/>
      <c r="I744" s="3"/>
      <c r="J744" s="3"/>
      <c r="K744" s="3"/>
      <c r="L744" s="3"/>
      <c r="M744" s="3"/>
      <c r="N744" s="3"/>
      <c r="O744" s="3"/>
      <c r="P744" s="3"/>
      <c r="Q744" s="3"/>
      <c r="R744" s="3"/>
      <c r="S744" s="3"/>
      <c r="T744" s="3"/>
      <c r="U744" s="3"/>
      <c r="V744" s="3"/>
      <c r="W744" s="3"/>
      <c r="X744" s="3"/>
      <c r="Y744" s="3"/>
      <c r="Z744" s="3"/>
      <c r="AA744" s="3"/>
      <c r="AB744" s="3"/>
      <c r="AC744" s="3"/>
    </row>
    <row r="745">
      <c r="A745" s="73"/>
      <c r="B745" s="74"/>
      <c r="C745" s="74"/>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75"/>
      <c r="B746" s="76"/>
      <c r="C746" s="76"/>
      <c r="D746" s="72"/>
      <c r="E746" s="72"/>
      <c r="F746" s="72"/>
      <c r="G746" s="72"/>
      <c r="H746" s="3"/>
      <c r="I746" s="3"/>
      <c r="J746" s="3"/>
      <c r="K746" s="3"/>
      <c r="L746" s="3"/>
      <c r="M746" s="3"/>
      <c r="N746" s="3"/>
      <c r="O746" s="3"/>
      <c r="P746" s="3"/>
      <c r="Q746" s="3"/>
      <c r="R746" s="3"/>
      <c r="S746" s="3"/>
      <c r="T746" s="3"/>
      <c r="U746" s="3"/>
      <c r="V746" s="3"/>
      <c r="W746" s="3"/>
      <c r="X746" s="3"/>
      <c r="Y746" s="3"/>
      <c r="Z746" s="3"/>
      <c r="AA746" s="3"/>
      <c r="AB746" s="3"/>
      <c r="AC746" s="3"/>
    </row>
    <row r="747">
      <c r="A747" s="73"/>
      <c r="B747" s="74"/>
      <c r="C747" s="74"/>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75"/>
      <c r="B748" s="76"/>
      <c r="C748" s="76"/>
      <c r="D748" s="72"/>
      <c r="E748" s="72"/>
      <c r="F748" s="72"/>
      <c r="G748" s="72"/>
      <c r="H748" s="3"/>
      <c r="I748" s="3"/>
      <c r="J748" s="3"/>
      <c r="K748" s="3"/>
      <c r="L748" s="3"/>
      <c r="M748" s="3"/>
      <c r="N748" s="3"/>
      <c r="O748" s="3"/>
      <c r="P748" s="3"/>
      <c r="Q748" s="3"/>
      <c r="R748" s="3"/>
      <c r="S748" s="3"/>
      <c r="T748" s="3"/>
      <c r="U748" s="3"/>
      <c r="V748" s="3"/>
      <c r="W748" s="3"/>
      <c r="X748" s="3"/>
      <c r="Y748" s="3"/>
      <c r="Z748" s="3"/>
      <c r="AA748" s="3"/>
      <c r="AB748" s="3"/>
      <c r="AC748" s="3"/>
    </row>
    <row r="749">
      <c r="A749" s="73"/>
      <c r="B749" s="74"/>
      <c r="C749" s="74"/>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75"/>
      <c r="B750" s="76"/>
      <c r="C750" s="76"/>
      <c r="D750" s="72"/>
      <c r="E750" s="72"/>
      <c r="F750" s="72"/>
      <c r="G750" s="72"/>
      <c r="H750" s="3"/>
      <c r="I750" s="3"/>
      <c r="J750" s="3"/>
      <c r="K750" s="3"/>
      <c r="L750" s="3"/>
      <c r="M750" s="3"/>
      <c r="N750" s="3"/>
      <c r="O750" s="3"/>
      <c r="P750" s="3"/>
      <c r="Q750" s="3"/>
      <c r="R750" s="3"/>
      <c r="S750" s="3"/>
      <c r="T750" s="3"/>
      <c r="U750" s="3"/>
      <c r="V750" s="3"/>
      <c r="W750" s="3"/>
      <c r="X750" s="3"/>
      <c r="Y750" s="3"/>
      <c r="Z750" s="3"/>
      <c r="AA750" s="3"/>
      <c r="AB750" s="3"/>
      <c r="AC750" s="3"/>
    </row>
    <row r="751">
      <c r="A751" s="73"/>
      <c r="B751" s="74"/>
      <c r="C751" s="74"/>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75"/>
      <c r="B752" s="76"/>
      <c r="C752" s="76"/>
      <c r="D752" s="72"/>
      <c r="E752" s="72"/>
      <c r="F752" s="72"/>
      <c r="G752" s="72"/>
      <c r="H752" s="3"/>
      <c r="I752" s="3"/>
      <c r="J752" s="3"/>
      <c r="K752" s="3"/>
      <c r="L752" s="3"/>
      <c r="M752" s="3"/>
      <c r="N752" s="3"/>
      <c r="O752" s="3"/>
      <c r="P752" s="3"/>
      <c r="Q752" s="3"/>
      <c r="R752" s="3"/>
      <c r="S752" s="3"/>
      <c r="T752" s="3"/>
      <c r="U752" s="3"/>
      <c r="V752" s="3"/>
      <c r="W752" s="3"/>
      <c r="X752" s="3"/>
      <c r="Y752" s="3"/>
      <c r="Z752" s="3"/>
      <c r="AA752" s="3"/>
      <c r="AB752" s="3"/>
      <c r="AC752" s="3"/>
    </row>
    <row r="753">
      <c r="A753" s="73"/>
      <c r="B753" s="74"/>
      <c r="C753" s="74"/>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73"/>
      <c r="B754" s="74"/>
      <c r="C754" s="74"/>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75"/>
      <c r="B755" s="76"/>
      <c r="C755" s="76"/>
      <c r="D755" s="72"/>
      <c r="E755" s="72"/>
      <c r="F755" s="72"/>
      <c r="G755" s="72"/>
      <c r="H755" s="3"/>
      <c r="I755" s="3"/>
      <c r="J755" s="3"/>
      <c r="K755" s="3"/>
      <c r="L755" s="3"/>
      <c r="M755" s="3"/>
      <c r="N755" s="3"/>
      <c r="O755" s="3"/>
      <c r="P755" s="3"/>
      <c r="Q755" s="3"/>
      <c r="R755" s="3"/>
      <c r="S755" s="3"/>
      <c r="T755" s="3"/>
      <c r="U755" s="3"/>
      <c r="V755" s="3"/>
      <c r="W755" s="3"/>
      <c r="X755" s="3"/>
      <c r="Y755" s="3"/>
      <c r="Z755" s="3"/>
      <c r="AA755" s="3"/>
      <c r="AB755" s="3"/>
      <c r="AC755" s="3"/>
    </row>
    <row r="756">
      <c r="A756" s="73"/>
      <c r="B756" s="74"/>
      <c r="C756" s="74"/>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75"/>
      <c r="B757" s="76"/>
      <c r="C757" s="76"/>
      <c r="D757" s="72"/>
      <c r="E757" s="72"/>
      <c r="F757" s="72"/>
      <c r="G757" s="72"/>
      <c r="H757" s="3"/>
      <c r="I757" s="3"/>
      <c r="J757" s="3"/>
      <c r="K757" s="3"/>
      <c r="L757" s="3"/>
      <c r="M757" s="3"/>
      <c r="N757" s="3"/>
      <c r="O757" s="3"/>
      <c r="P757" s="3"/>
      <c r="Q757" s="3"/>
      <c r="R757" s="3"/>
      <c r="S757" s="3"/>
      <c r="T757" s="3"/>
      <c r="U757" s="3"/>
      <c r="V757" s="3"/>
      <c r="W757" s="3"/>
      <c r="X757" s="3"/>
      <c r="Y757" s="3"/>
      <c r="Z757" s="3"/>
      <c r="AA757" s="3"/>
      <c r="AB757" s="3"/>
      <c r="AC757" s="3"/>
    </row>
    <row r="758">
      <c r="A758" s="73"/>
      <c r="B758" s="74"/>
      <c r="C758" s="74"/>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75"/>
      <c r="B759" s="76"/>
      <c r="C759" s="76"/>
      <c r="D759" s="72"/>
      <c r="E759" s="72"/>
      <c r="F759" s="72"/>
      <c r="G759" s="72"/>
      <c r="H759" s="3"/>
      <c r="I759" s="3"/>
      <c r="J759" s="3"/>
      <c r="K759" s="3"/>
      <c r="L759" s="3"/>
      <c r="M759" s="3"/>
      <c r="N759" s="3"/>
      <c r="O759" s="3"/>
      <c r="P759" s="3"/>
      <c r="Q759" s="3"/>
      <c r="R759" s="3"/>
      <c r="S759" s="3"/>
      <c r="T759" s="3"/>
      <c r="U759" s="3"/>
      <c r="V759" s="3"/>
      <c r="W759" s="3"/>
      <c r="X759" s="3"/>
      <c r="Y759" s="3"/>
      <c r="Z759" s="3"/>
      <c r="AA759" s="3"/>
      <c r="AB759" s="3"/>
      <c r="AC759" s="3"/>
    </row>
    <row r="760">
      <c r="A760" s="73"/>
      <c r="B760" s="74"/>
      <c r="C760" s="74"/>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75"/>
      <c r="B761" s="76"/>
      <c r="C761" s="76"/>
      <c r="D761" s="72"/>
      <c r="E761" s="72"/>
      <c r="F761" s="72"/>
      <c r="G761" s="72"/>
      <c r="H761" s="3"/>
      <c r="I761" s="3"/>
      <c r="J761" s="3"/>
      <c r="K761" s="3"/>
      <c r="L761" s="3"/>
      <c r="M761" s="3"/>
      <c r="N761" s="3"/>
      <c r="O761" s="3"/>
      <c r="P761" s="3"/>
      <c r="Q761" s="3"/>
      <c r="R761" s="3"/>
      <c r="S761" s="3"/>
      <c r="T761" s="3"/>
      <c r="U761" s="3"/>
      <c r="V761" s="3"/>
      <c r="W761" s="3"/>
      <c r="X761" s="3"/>
      <c r="Y761" s="3"/>
      <c r="Z761" s="3"/>
      <c r="AA761" s="3"/>
      <c r="AB761" s="3"/>
      <c r="AC761" s="3"/>
    </row>
    <row r="762">
      <c r="A762" s="73"/>
      <c r="B762" s="74"/>
      <c r="C762" s="74"/>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75"/>
      <c r="B763" s="76"/>
      <c r="C763" s="76"/>
      <c r="D763" s="72"/>
      <c r="E763" s="72"/>
      <c r="F763" s="72"/>
      <c r="G763" s="72"/>
      <c r="H763" s="3"/>
      <c r="I763" s="3"/>
      <c r="J763" s="3"/>
      <c r="K763" s="3"/>
      <c r="L763" s="3"/>
      <c r="M763" s="3"/>
      <c r="N763" s="3"/>
      <c r="O763" s="3"/>
      <c r="P763" s="3"/>
      <c r="Q763" s="3"/>
      <c r="R763" s="3"/>
      <c r="S763" s="3"/>
      <c r="T763" s="3"/>
      <c r="U763" s="3"/>
      <c r="V763" s="3"/>
      <c r="W763" s="3"/>
      <c r="X763" s="3"/>
      <c r="Y763" s="3"/>
      <c r="Z763" s="3"/>
      <c r="AA763" s="3"/>
      <c r="AB763" s="3"/>
      <c r="AC763" s="3"/>
    </row>
    <row r="764">
      <c r="A764" s="73"/>
      <c r="B764" s="74"/>
      <c r="C764" s="74"/>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75"/>
      <c r="B765" s="76"/>
      <c r="C765" s="76"/>
      <c r="D765" s="72"/>
      <c r="E765" s="72"/>
      <c r="F765" s="72"/>
      <c r="G765" s="72"/>
      <c r="H765" s="3"/>
      <c r="I765" s="3"/>
      <c r="J765" s="3"/>
      <c r="K765" s="3"/>
      <c r="L765" s="3"/>
      <c r="M765" s="3"/>
      <c r="N765" s="3"/>
      <c r="O765" s="3"/>
      <c r="P765" s="3"/>
      <c r="Q765" s="3"/>
      <c r="R765" s="3"/>
      <c r="S765" s="3"/>
      <c r="T765" s="3"/>
      <c r="U765" s="3"/>
      <c r="V765" s="3"/>
      <c r="W765" s="3"/>
      <c r="X765" s="3"/>
      <c r="Y765" s="3"/>
      <c r="Z765" s="3"/>
      <c r="AA765" s="3"/>
      <c r="AB765" s="3"/>
      <c r="AC765" s="3"/>
    </row>
    <row r="766">
      <c r="A766" s="73"/>
      <c r="B766" s="74"/>
      <c r="C766" s="74"/>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75"/>
      <c r="B767" s="76"/>
      <c r="C767" s="76"/>
      <c r="D767" s="72"/>
      <c r="E767" s="72"/>
      <c r="F767" s="72"/>
      <c r="G767" s="72"/>
      <c r="H767" s="3"/>
      <c r="I767" s="3"/>
      <c r="J767" s="3"/>
      <c r="K767" s="3"/>
      <c r="L767" s="3"/>
      <c r="M767" s="3"/>
      <c r="N767" s="3"/>
      <c r="O767" s="3"/>
      <c r="P767" s="3"/>
      <c r="Q767" s="3"/>
      <c r="R767" s="3"/>
      <c r="S767" s="3"/>
      <c r="T767" s="3"/>
      <c r="U767" s="3"/>
      <c r="V767" s="3"/>
      <c r="W767" s="3"/>
      <c r="X767" s="3"/>
      <c r="Y767" s="3"/>
      <c r="Z767" s="3"/>
      <c r="AA767" s="3"/>
      <c r="AB767" s="3"/>
      <c r="AC767" s="3"/>
    </row>
    <row r="768">
      <c r="A768" s="73"/>
      <c r="B768" s="74"/>
      <c r="C768" s="74"/>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75"/>
      <c r="B769" s="76"/>
      <c r="C769" s="76"/>
      <c r="D769" s="72"/>
      <c r="E769" s="72"/>
      <c r="F769" s="72"/>
      <c r="G769" s="72"/>
      <c r="H769" s="3"/>
      <c r="I769" s="3"/>
      <c r="J769" s="3"/>
      <c r="K769" s="3"/>
      <c r="L769" s="3"/>
      <c r="M769" s="3"/>
      <c r="N769" s="3"/>
      <c r="O769" s="3"/>
      <c r="P769" s="3"/>
      <c r="Q769" s="3"/>
      <c r="R769" s="3"/>
      <c r="S769" s="3"/>
      <c r="T769" s="3"/>
      <c r="U769" s="3"/>
      <c r="V769" s="3"/>
      <c r="W769" s="3"/>
      <c r="X769" s="3"/>
      <c r="Y769" s="3"/>
      <c r="Z769" s="3"/>
      <c r="AA769" s="3"/>
      <c r="AB769" s="3"/>
      <c r="AC769" s="3"/>
    </row>
    <row r="770">
      <c r="A770" s="73"/>
      <c r="B770" s="74"/>
      <c r="C770" s="74"/>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75"/>
      <c r="B771" s="76"/>
      <c r="C771" s="76"/>
      <c r="D771" s="72"/>
      <c r="E771" s="72"/>
      <c r="F771" s="72"/>
      <c r="G771" s="72"/>
      <c r="H771" s="3"/>
      <c r="I771" s="3"/>
      <c r="J771" s="3"/>
      <c r="K771" s="3"/>
      <c r="L771" s="3"/>
      <c r="M771" s="3"/>
      <c r="N771" s="3"/>
      <c r="O771" s="3"/>
      <c r="P771" s="3"/>
      <c r="Q771" s="3"/>
      <c r="R771" s="3"/>
      <c r="S771" s="3"/>
      <c r="T771" s="3"/>
      <c r="U771" s="3"/>
      <c r="V771" s="3"/>
      <c r="W771" s="3"/>
      <c r="X771" s="3"/>
      <c r="Y771" s="3"/>
      <c r="Z771" s="3"/>
      <c r="AA771" s="3"/>
      <c r="AB771" s="3"/>
      <c r="AC771" s="3"/>
    </row>
    <row r="772">
      <c r="A772" s="73"/>
      <c r="B772" s="74"/>
      <c r="C772" s="74"/>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73"/>
      <c r="B773" s="74"/>
      <c r="C773" s="74"/>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73"/>
      <c r="B774" s="74"/>
      <c r="C774" s="74"/>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73"/>
      <c r="B775" s="74"/>
      <c r="C775" s="74"/>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73"/>
      <c r="B776" s="74"/>
      <c r="C776" s="74"/>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73"/>
      <c r="B777" s="74"/>
      <c r="C777" s="74"/>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73"/>
      <c r="B778" s="74"/>
      <c r="C778" s="74"/>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73"/>
      <c r="B779" s="74"/>
      <c r="C779" s="74"/>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73"/>
      <c r="B780" s="74"/>
      <c r="C780" s="74"/>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73"/>
      <c r="B781" s="74"/>
      <c r="C781" s="74"/>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73"/>
      <c r="B782" s="74"/>
      <c r="C782" s="74"/>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73"/>
      <c r="B783" s="74"/>
      <c r="C783" s="74"/>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73"/>
      <c r="B784" s="74"/>
      <c r="C784" s="74"/>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73"/>
      <c r="B785" s="74"/>
      <c r="C785" s="74"/>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73"/>
      <c r="B786" s="74"/>
      <c r="C786" s="74"/>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73"/>
      <c r="B787" s="74"/>
      <c r="C787" s="74"/>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73"/>
      <c r="B788" s="74"/>
      <c r="C788" s="74"/>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73"/>
      <c r="B789" s="74"/>
      <c r="C789" s="74"/>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73"/>
      <c r="B790" s="74"/>
      <c r="C790" s="74"/>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73"/>
      <c r="B791" s="74"/>
      <c r="C791" s="74"/>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73"/>
      <c r="B792" s="74"/>
      <c r="C792" s="74"/>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73"/>
      <c r="B793" s="74"/>
      <c r="C793" s="74"/>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73"/>
      <c r="B794" s="74"/>
      <c r="C794" s="74"/>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73"/>
      <c r="B795" s="74"/>
      <c r="C795" s="74"/>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73"/>
      <c r="B796" s="74"/>
      <c r="C796" s="74"/>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73"/>
      <c r="B797" s="74"/>
      <c r="C797" s="74"/>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73"/>
      <c r="B798" s="74"/>
      <c r="C798" s="74"/>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73"/>
      <c r="B799" s="74"/>
      <c r="C799" s="74"/>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73"/>
      <c r="B800" s="74"/>
      <c r="C800" s="74"/>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73"/>
      <c r="B801" s="74"/>
      <c r="C801" s="74"/>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73"/>
      <c r="B802" s="74"/>
      <c r="C802" s="74"/>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73"/>
      <c r="B803" s="74"/>
      <c r="C803" s="74"/>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73"/>
      <c r="B804" s="74"/>
      <c r="C804" s="74"/>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73"/>
      <c r="B805" s="74"/>
      <c r="C805" s="74"/>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73"/>
      <c r="B806" s="74"/>
      <c r="C806" s="74"/>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73"/>
      <c r="B807" s="74"/>
      <c r="C807" s="74"/>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73"/>
      <c r="B808" s="74"/>
      <c r="C808" s="74"/>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73"/>
      <c r="B809" s="74"/>
      <c r="C809" s="74"/>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73"/>
      <c r="B810" s="74"/>
      <c r="C810" s="74"/>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73"/>
      <c r="B811" s="74"/>
      <c r="C811" s="74"/>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73"/>
      <c r="B812" s="74"/>
      <c r="C812" s="74"/>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73"/>
      <c r="B813" s="74"/>
      <c r="C813" s="74"/>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73"/>
      <c r="B814" s="74"/>
      <c r="C814" s="74"/>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73"/>
      <c r="B815" s="74"/>
      <c r="C815" s="74"/>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73"/>
      <c r="B816" s="74"/>
      <c r="C816" s="74"/>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73"/>
      <c r="B817" s="74"/>
      <c r="C817" s="74"/>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73"/>
      <c r="B818" s="74"/>
      <c r="C818" s="74"/>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73"/>
      <c r="B819" s="74"/>
      <c r="C819" s="74"/>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73"/>
      <c r="B820" s="74"/>
      <c r="C820" s="74"/>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73"/>
      <c r="B821" s="74"/>
      <c r="C821" s="74"/>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73"/>
      <c r="B822" s="74"/>
      <c r="C822" s="74"/>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73"/>
      <c r="B823" s="74"/>
      <c r="C823" s="74"/>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73"/>
      <c r="B824" s="74"/>
      <c r="C824" s="74"/>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73"/>
      <c r="B825" s="74"/>
      <c r="C825" s="74"/>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73"/>
      <c r="B826" s="74"/>
      <c r="C826" s="74"/>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73"/>
      <c r="B827" s="74"/>
      <c r="C827" s="74"/>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73"/>
      <c r="B828" s="74"/>
      <c r="C828" s="74"/>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73"/>
      <c r="B829" s="74"/>
      <c r="C829" s="74"/>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73"/>
      <c r="B830" s="74"/>
      <c r="C830" s="74"/>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73"/>
      <c r="B831" s="74"/>
      <c r="C831" s="74"/>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73"/>
      <c r="B832" s="74"/>
      <c r="C832" s="74"/>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73"/>
      <c r="B833" s="74"/>
      <c r="C833" s="74"/>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73"/>
      <c r="B834" s="74"/>
      <c r="C834" s="74"/>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73"/>
      <c r="B835" s="74"/>
      <c r="C835" s="74"/>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73"/>
      <c r="B836" s="74"/>
      <c r="C836" s="74"/>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73"/>
      <c r="B837" s="74"/>
      <c r="C837" s="74"/>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73"/>
      <c r="B838" s="74"/>
      <c r="C838" s="74"/>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73"/>
      <c r="B839" s="74"/>
      <c r="C839" s="74"/>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73"/>
      <c r="B840" s="74"/>
      <c r="C840" s="74"/>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73"/>
      <c r="B841" s="74"/>
      <c r="C841" s="74"/>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73"/>
      <c r="B842" s="74"/>
      <c r="C842" s="74"/>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73"/>
      <c r="B843" s="74"/>
      <c r="C843" s="74"/>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73"/>
      <c r="B844" s="74"/>
      <c r="C844" s="74"/>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73"/>
      <c r="B845" s="74"/>
      <c r="C845" s="74"/>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73"/>
      <c r="B846" s="74"/>
      <c r="C846" s="74"/>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73"/>
      <c r="B847" s="74"/>
      <c r="C847" s="74"/>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73"/>
      <c r="B848" s="74"/>
      <c r="C848" s="74"/>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73"/>
      <c r="B849" s="74"/>
      <c r="C849" s="74"/>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73"/>
      <c r="B850" s="74"/>
      <c r="C850" s="74"/>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73"/>
      <c r="B851" s="74"/>
      <c r="C851" s="74"/>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73"/>
      <c r="B852" s="74"/>
      <c r="C852" s="74"/>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73"/>
      <c r="B853" s="74"/>
      <c r="C853" s="74"/>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73"/>
      <c r="B854" s="74"/>
      <c r="C854" s="74"/>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73"/>
      <c r="B855" s="74"/>
      <c r="C855" s="74"/>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73"/>
      <c r="B856" s="74"/>
      <c r="C856" s="74"/>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73"/>
      <c r="B857" s="74"/>
      <c r="C857" s="74"/>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73"/>
      <c r="B858" s="74"/>
      <c r="C858" s="74"/>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73"/>
      <c r="B859" s="74"/>
      <c r="C859" s="74"/>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73"/>
      <c r="B860" s="74"/>
      <c r="C860" s="74"/>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73"/>
      <c r="B861" s="74"/>
      <c r="C861" s="74"/>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73"/>
      <c r="B862" s="74"/>
      <c r="C862" s="74"/>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73"/>
      <c r="B863" s="74"/>
      <c r="C863" s="74"/>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73"/>
      <c r="B864" s="74"/>
      <c r="C864" s="74"/>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73"/>
      <c r="B865" s="74"/>
      <c r="C865" s="74"/>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73"/>
      <c r="B866" s="74"/>
      <c r="C866" s="74"/>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73"/>
      <c r="B867" s="74"/>
      <c r="C867" s="74"/>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73"/>
      <c r="B868" s="74"/>
      <c r="C868" s="74"/>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73"/>
      <c r="B869" s="74"/>
      <c r="C869" s="74"/>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73"/>
      <c r="B870" s="74"/>
      <c r="C870" s="74"/>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73"/>
      <c r="B871" s="74"/>
      <c r="C871" s="74"/>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73"/>
      <c r="B872" s="74"/>
      <c r="C872" s="74"/>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73"/>
      <c r="B873" s="74"/>
      <c r="C873" s="74"/>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73"/>
      <c r="B874" s="74"/>
      <c r="C874" s="74"/>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73"/>
      <c r="B875" s="74"/>
      <c r="C875" s="74"/>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73"/>
      <c r="B876" s="74"/>
      <c r="C876" s="74"/>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73"/>
      <c r="B877" s="74"/>
      <c r="C877" s="74"/>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73"/>
      <c r="B878" s="74"/>
      <c r="C878" s="74"/>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73"/>
      <c r="B879" s="74"/>
      <c r="C879" s="74"/>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73"/>
      <c r="B880" s="74"/>
      <c r="C880" s="74"/>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73"/>
      <c r="B881" s="74"/>
      <c r="C881" s="74"/>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73"/>
      <c r="B882" s="74"/>
      <c r="C882" s="74"/>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73"/>
      <c r="B883" s="74"/>
      <c r="C883" s="74"/>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73"/>
      <c r="B884" s="74"/>
      <c r="C884" s="74"/>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73"/>
      <c r="B885" s="74"/>
      <c r="C885" s="74"/>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73"/>
      <c r="B886" s="74"/>
      <c r="C886" s="74"/>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73"/>
      <c r="B887" s="74"/>
      <c r="C887" s="74"/>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73"/>
      <c r="B888" s="74"/>
      <c r="C888" s="74"/>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73"/>
      <c r="B889" s="74"/>
      <c r="C889" s="74"/>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73"/>
      <c r="B890" s="74"/>
      <c r="C890" s="74"/>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73"/>
      <c r="B891" s="74"/>
      <c r="C891" s="74"/>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73"/>
      <c r="B892" s="74"/>
      <c r="C892" s="74"/>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73"/>
      <c r="B893" s="74"/>
      <c r="C893" s="74"/>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73"/>
      <c r="B894" s="74"/>
      <c r="C894" s="74"/>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73"/>
      <c r="B895" s="74"/>
      <c r="C895" s="74"/>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73"/>
      <c r="B896" s="74"/>
      <c r="C896" s="74"/>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73"/>
      <c r="B897" s="74"/>
      <c r="C897" s="74"/>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73"/>
      <c r="B898" s="74"/>
      <c r="C898" s="74"/>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73"/>
      <c r="B899" s="74"/>
      <c r="C899" s="74"/>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73"/>
      <c r="B900" s="74"/>
      <c r="C900" s="74"/>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73"/>
      <c r="B901" s="74"/>
      <c r="C901" s="74"/>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73"/>
      <c r="B902" s="74"/>
      <c r="C902" s="74"/>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73"/>
      <c r="B903" s="74"/>
      <c r="C903" s="74"/>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73"/>
      <c r="B904" s="74"/>
      <c r="C904" s="74"/>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73"/>
      <c r="B905" s="74"/>
      <c r="C905" s="74"/>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73"/>
      <c r="B906" s="74"/>
      <c r="C906" s="74"/>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73"/>
      <c r="B907" s="74"/>
      <c r="C907" s="74"/>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73"/>
      <c r="B908" s="74"/>
      <c r="C908" s="74"/>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73"/>
      <c r="B909" s="74"/>
      <c r="C909" s="74"/>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73"/>
      <c r="B910" s="74"/>
      <c r="C910" s="74"/>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73"/>
      <c r="B911" s="74"/>
      <c r="C911" s="74"/>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73"/>
      <c r="B912" s="74"/>
      <c r="C912" s="74"/>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73"/>
      <c r="B913" s="74"/>
      <c r="C913" s="74"/>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73"/>
      <c r="B914" s="74"/>
      <c r="C914" s="74"/>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73"/>
      <c r="B915" s="74"/>
      <c r="C915" s="74"/>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73"/>
      <c r="B916" s="74"/>
      <c r="C916" s="74"/>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73"/>
      <c r="B917" s="74"/>
      <c r="C917" s="74"/>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73"/>
      <c r="B918" s="74"/>
      <c r="C918" s="74"/>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73"/>
      <c r="B919" s="74"/>
      <c r="C919" s="74"/>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73"/>
      <c r="B920" s="74"/>
      <c r="C920" s="74"/>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73"/>
      <c r="B921" s="74"/>
      <c r="C921" s="74"/>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73"/>
      <c r="B922" s="74"/>
      <c r="C922" s="74"/>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73"/>
      <c r="B923" s="74"/>
      <c r="C923" s="74"/>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73"/>
      <c r="B924" s="74"/>
      <c r="C924" s="74"/>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73"/>
      <c r="B925" s="74"/>
      <c r="C925" s="74"/>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73"/>
      <c r="B926" s="74"/>
      <c r="C926" s="74"/>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73"/>
      <c r="B927" s="74"/>
      <c r="C927" s="74"/>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73"/>
      <c r="B928" s="74"/>
      <c r="C928" s="74"/>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73"/>
      <c r="B929" s="74"/>
      <c r="C929" s="74"/>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73"/>
      <c r="B930" s="74"/>
      <c r="C930" s="74"/>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73"/>
      <c r="B931" s="74"/>
      <c r="C931" s="74"/>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73"/>
      <c r="B932" s="74"/>
      <c r="C932" s="74"/>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73"/>
      <c r="B933" s="74"/>
      <c r="C933" s="74"/>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73"/>
      <c r="B934" s="74"/>
      <c r="C934" s="74"/>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73"/>
      <c r="B935" s="74"/>
      <c r="C935" s="74"/>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73"/>
      <c r="B936" s="74"/>
      <c r="C936" s="74"/>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73"/>
      <c r="B937" s="74"/>
      <c r="C937" s="74"/>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73"/>
      <c r="B938" s="74"/>
      <c r="C938" s="74"/>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73"/>
      <c r="B939" s="74"/>
      <c r="C939" s="74"/>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73"/>
      <c r="B940" s="74"/>
      <c r="C940" s="74"/>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73"/>
      <c r="B941" s="74"/>
      <c r="C941" s="74"/>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73"/>
      <c r="B942" s="74"/>
      <c r="C942" s="74"/>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73"/>
      <c r="B943" s="74"/>
      <c r="C943" s="74"/>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73"/>
      <c r="B944" s="74"/>
      <c r="C944" s="74"/>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73"/>
      <c r="B945" s="74"/>
      <c r="C945" s="74"/>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73"/>
      <c r="B946" s="74"/>
      <c r="C946" s="74"/>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73"/>
      <c r="B947" s="74"/>
      <c r="C947" s="74"/>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73"/>
      <c r="B948" s="74"/>
      <c r="C948" s="74"/>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73"/>
      <c r="B949" s="74"/>
      <c r="C949" s="74"/>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73"/>
      <c r="B950" s="74"/>
      <c r="C950" s="74"/>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73"/>
      <c r="B951" s="74"/>
      <c r="C951" s="74"/>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73"/>
      <c r="B952" s="74"/>
      <c r="C952" s="74"/>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73"/>
      <c r="B953" s="74"/>
      <c r="C953" s="74"/>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73"/>
      <c r="B954" s="74"/>
      <c r="C954" s="74"/>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73"/>
      <c r="B955" s="74"/>
      <c r="C955" s="74"/>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73"/>
      <c r="B956" s="74"/>
      <c r="C956" s="74"/>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73"/>
      <c r="B957" s="74"/>
      <c r="C957" s="74"/>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73"/>
      <c r="B958" s="74"/>
      <c r="C958" s="74"/>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73"/>
      <c r="B959" s="74"/>
      <c r="C959" s="74"/>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73"/>
      <c r="B960" s="74"/>
      <c r="C960" s="74"/>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73"/>
      <c r="B961" s="74"/>
      <c r="C961" s="74"/>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73"/>
      <c r="B962" s="74"/>
      <c r="C962" s="74"/>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73"/>
      <c r="B963" s="74"/>
      <c r="C963" s="74"/>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73"/>
      <c r="B964" s="74"/>
      <c r="C964" s="74"/>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73"/>
      <c r="B965" s="74"/>
      <c r="C965" s="74"/>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73"/>
      <c r="B966" s="74"/>
      <c r="C966" s="74"/>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73"/>
      <c r="B967" s="74"/>
      <c r="C967" s="74"/>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73"/>
      <c r="B968" s="74"/>
      <c r="C968" s="74"/>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73"/>
      <c r="B969" s="74"/>
      <c r="C969" s="74"/>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73"/>
      <c r="B970" s="74"/>
      <c r="C970" s="74"/>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73"/>
      <c r="B971" s="74"/>
      <c r="C971" s="74"/>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73"/>
      <c r="B972" s="74"/>
      <c r="C972" s="74"/>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73"/>
      <c r="B973" s="74"/>
      <c r="C973" s="74"/>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73"/>
      <c r="B974" s="74"/>
      <c r="C974" s="74"/>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73"/>
      <c r="B975" s="74"/>
      <c r="C975" s="74"/>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73"/>
      <c r="B976" s="74"/>
      <c r="C976" s="74"/>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73"/>
      <c r="B977" s="74"/>
      <c r="C977" s="74"/>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73"/>
      <c r="B978" s="74"/>
      <c r="C978" s="74"/>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73"/>
      <c r="B979" s="74"/>
      <c r="C979" s="74"/>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73"/>
      <c r="B980" s="74"/>
      <c r="C980" s="74"/>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73"/>
      <c r="B981" s="74"/>
      <c r="C981" s="74"/>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73"/>
      <c r="B982" s="74"/>
      <c r="C982" s="74"/>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73"/>
      <c r="B983" s="74"/>
      <c r="C983" s="74"/>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73"/>
      <c r="B984" s="74"/>
      <c r="C984" s="74"/>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73"/>
      <c r="B985" s="74"/>
      <c r="C985" s="74"/>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73"/>
      <c r="B986" s="74"/>
      <c r="C986" s="74"/>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73"/>
      <c r="B987" s="74"/>
      <c r="C987" s="74"/>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73"/>
      <c r="B988" s="74"/>
      <c r="C988" s="74"/>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73"/>
      <c r="B989" s="74"/>
      <c r="C989" s="74"/>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73"/>
      <c r="B990" s="74"/>
      <c r="C990" s="74"/>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73"/>
      <c r="B991" s="74"/>
      <c r="C991" s="74"/>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73"/>
      <c r="B992" s="74"/>
      <c r="C992" s="74"/>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73"/>
      <c r="B993" s="74"/>
      <c r="C993" s="74"/>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73"/>
      <c r="B994" s="74"/>
      <c r="C994" s="74"/>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73"/>
      <c r="B995" s="74"/>
      <c r="C995" s="74"/>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73"/>
      <c r="B996" s="74"/>
      <c r="C996" s="74"/>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73"/>
      <c r="B997" s="74"/>
      <c r="C997" s="74"/>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73"/>
      <c r="B998" s="74"/>
      <c r="C998" s="74"/>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73"/>
      <c r="B999" s="74"/>
      <c r="C999" s="74"/>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73"/>
      <c r="B1000" s="74"/>
      <c r="C1000" s="74"/>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73"/>
      <c r="B1001" s="74"/>
      <c r="C1001" s="74"/>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73"/>
      <c r="B1002" s="74"/>
      <c r="C1002" s="74"/>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73"/>
      <c r="B1003" s="74"/>
      <c r="C1003" s="74"/>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73"/>
      <c r="B1004" s="74"/>
      <c r="C1004" s="74"/>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73"/>
      <c r="B1005" s="74"/>
      <c r="C1005" s="74"/>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73"/>
      <c r="B1006" s="74"/>
      <c r="C1006" s="74"/>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73"/>
      <c r="B1007" s="74"/>
      <c r="C1007" s="74"/>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73"/>
      <c r="B1008" s="74"/>
      <c r="C1008" s="74"/>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73"/>
      <c r="B1009" s="74"/>
      <c r="C1009" s="74"/>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73"/>
      <c r="B1010" s="74"/>
      <c r="C1010" s="74"/>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73"/>
      <c r="B1011" s="74"/>
      <c r="C1011" s="74"/>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73"/>
      <c r="B1012" s="74"/>
      <c r="C1012" s="74"/>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73"/>
      <c r="B1013" s="74"/>
      <c r="C1013" s="74"/>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73"/>
      <c r="B1014" s="74"/>
      <c r="C1014" s="74"/>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73"/>
      <c r="B1015" s="74"/>
      <c r="C1015" s="74"/>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73"/>
      <c r="B1016" s="74"/>
      <c r="C1016" s="74"/>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73"/>
      <c r="B1017" s="74"/>
      <c r="C1017" s="74"/>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73"/>
      <c r="B1018" s="74"/>
      <c r="C1018" s="74"/>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73"/>
      <c r="B1019" s="74"/>
      <c r="C1019" s="74"/>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73"/>
      <c r="B1020" s="74"/>
      <c r="C1020" s="74"/>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73"/>
      <c r="B1021" s="74"/>
      <c r="C1021" s="74"/>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73"/>
      <c r="B1022" s="74"/>
      <c r="C1022" s="74"/>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73"/>
      <c r="B1023" s="74"/>
      <c r="C1023" s="74"/>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73"/>
      <c r="B1024" s="74"/>
      <c r="C1024" s="74"/>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73"/>
      <c r="B1025" s="74"/>
      <c r="C1025" s="74"/>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73"/>
      <c r="B1026" s="74"/>
      <c r="C1026" s="74"/>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73"/>
      <c r="B1027" s="74"/>
      <c r="C1027" s="74"/>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73"/>
      <c r="B1028" s="74"/>
      <c r="C1028" s="74"/>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73"/>
      <c r="B1029" s="74"/>
      <c r="C1029" s="74"/>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73"/>
      <c r="B1030" s="74"/>
      <c r="C1030" s="74"/>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73"/>
      <c r="B1031" s="74"/>
      <c r="C1031" s="74"/>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73"/>
      <c r="B1032" s="74"/>
      <c r="C1032" s="74"/>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73"/>
      <c r="B1033" s="74"/>
      <c r="C1033" s="74"/>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73"/>
      <c r="B1034" s="74"/>
      <c r="C1034" s="74"/>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73"/>
      <c r="B1035" s="74"/>
      <c r="C1035" s="74"/>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73"/>
      <c r="B1036" s="74"/>
      <c r="C1036" s="74"/>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73"/>
      <c r="B1037" s="74"/>
      <c r="C1037" s="74"/>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73"/>
      <c r="B1038" s="74"/>
      <c r="C1038" s="74"/>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73"/>
      <c r="B1039" s="74"/>
      <c r="C1039" s="74"/>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73"/>
      <c r="B1040" s="74"/>
      <c r="C1040" s="74"/>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73"/>
      <c r="B1041" s="74"/>
      <c r="C1041" s="74"/>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73"/>
      <c r="B1042" s="74"/>
      <c r="C1042" s="74"/>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73"/>
      <c r="B1043" s="74"/>
      <c r="C1043" s="74"/>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73"/>
      <c r="B1044" s="74"/>
      <c r="C1044" s="74"/>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73"/>
      <c r="B1045" s="74"/>
      <c r="C1045" s="74"/>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73"/>
      <c r="B1046" s="74"/>
      <c r="C1046" s="74"/>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73"/>
      <c r="B1047" s="74"/>
      <c r="C1047" s="74"/>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73"/>
      <c r="B1048" s="74"/>
      <c r="C1048" s="74"/>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73"/>
      <c r="B1049" s="74"/>
      <c r="C1049" s="74"/>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73"/>
      <c r="B1050" s="74"/>
      <c r="C1050" s="74"/>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73"/>
      <c r="B1051" s="74"/>
      <c r="C1051" s="74"/>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73"/>
      <c r="B1052" s="74"/>
      <c r="C1052" s="74"/>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73"/>
      <c r="B1053" s="74"/>
      <c r="C1053" s="74"/>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73"/>
      <c r="B1054" s="74"/>
      <c r="C1054" s="74"/>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73"/>
      <c r="B1055" s="74"/>
      <c r="C1055" s="74"/>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73"/>
      <c r="B1056" s="74"/>
      <c r="C1056" s="74"/>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73"/>
      <c r="B1057" s="74"/>
      <c r="C1057" s="74"/>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73"/>
      <c r="B1058" s="74"/>
      <c r="C1058" s="74"/>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73"/>
      <c r="B1059" s="74"/>
      <c r="C1059" s="74"/>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73"/>
      <c r="B1060" s="74"/>
      <c r="C1060" s="74"/>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row>
    <row r="1061">
      <c r="A1061" s="73"/>
      <c r="B1061" s="74"/>
      <c r="C1061" s="74"/>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row>
    <row r="1062">
      <c r="A1062" s="73"/>
      <c r="B1062" s="74"/>
      <c r="C1062" s="74"/>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row>
    <row r="1063">
      <c r="A1063" s="73"/>
      <c r="B1063" s="74"/>
      <c r="C1063" s="74"/>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row>
    <row r="1064">
      <c r="A1064" s="73"/>
      <c r="B1064" s="74"/>
      <c r="C1064" s="74"/>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row>
    <row r="1065">
      <c r="A1065" s="73"/>
      <c r="B1065" s="74"/>
      <c r="C1065" s="74"/>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row>
    <row r="1066">
      <c r="A1066" s="73"/>
      <c r="B1066" s="74"/>
      <c r="C1066" s="74"/>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row>
    <row r="1067">
      <c r="A1067" s="73"/>
      <c r="B1067" s="74"/>
      <c r="C1067" s="74"/>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row>
    <row r="1068">
      <c r="A1068" s="73"/>
      <c r="B1068" s="74"/>
      <c r="C1068" s="74"/>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row>
    <row r="1069">
      <c r="A1069" s="73"/>
      <c r="B1069" s="74"/>
      <c r="C1069" s="74"/>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row>
    <row r="1070">
      <c r="A1070" s="73"/>
      <c r="B1070" s="74"/>
      <c r="C1070" s="74"/>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row>
    <row r="1071">
      <c r="A1071" s="73"/>
      <c r="B1071" s="74"/>
      <c r="C1071" s="74"/>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row>
    <row r="1072">
      <c r="A1072" s="73"/>
      <c r="B1072" s="74"/>
      <c r="C1072" s="74"/>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row>
    <row r="1073">
      <c r="A1073" s="73"/>
      <c r="B1073" s="74"/>
      <c r="C1073" s="74"/>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row>
    <row r="1074">
      <c r="A1074" s="73"/>
      <c r="B1074" s="74"/>
      <c r="C1074" s="74"/>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row>
    <row r="1075">
      <c r="A1075" s="73"/>
      <c r="B1075" s="74"/>
      <c r="C1075" s="74"/>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row>
    <row r="1076">
      <c r="A1076" s="73"/>
      <c r="B1076" s="74"/>
      <c r="C1076" s="74"/>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row>
    <row r="1077">
      <c r="A1077" s="73"/>
      <c r="B1077" s="74"/>
      <c r="C1077" s="74"/>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row>
    <row r="1078">
      <c r="A1078" s="73"/>
      <c r="B1078" s="74"/>
      <c r="C1078" s="74"/>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row>
    <row r="1079">
      <c r="A1079" s="73"/>
      <c r="B1079" s="74"/>
      <c r="C1079" s="74"/>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row>
    <row r="1080">
      <c r="A1080" s="73"/>
      <c r="B1080" s="74"/>
      <c r="C1080" s="74"/>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row>
    <row r="1081">
      <c r="A1081" s="73"/>
      <c r="B1081" s="74"/>
      <c r="C1081" s="74"/>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row>
    <row r="1082">
      <c r="A1082" s="73"/>
      <c r="B1082" s="74"/>
      <c r="C1082" s="74"/>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row>
    <row r="1083">
      <c r="A1083" s="73"/>
      <c r="B1083" s="74"/>
      <c r="C1083" s="74"/>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row>
    <row r="1084">
      <c r="A1084" s="73"/>
      <c r="B1084" s="74"/>
      <c r="C1084" s="74"/>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row>
    <row r="1085">
      <c r="A1085" s="73"/>
      <c r="B1085" s="74"/>
      <c r="C1085" s="74"/>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row>
    <row r="1086">
      <c r="A1086" s="73"/>
      <c r="B1086" s="74"/>
      <c r="C1086" s="74"/>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row>
    <row r="1087">
      <c r="A1087" s="73"/>
      <c r="B1087" s="74"/>
      <c r="C1087" s="74"/>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row>
    <row r="1088">
      <c r="A1088" s="73"/>
      <c r="B1088" s="74"/>
      <c r="C1088" s="74"/>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row>
    <row r="1089">
      <c r="A1089" s="73"/>
      <c r="B1089" s="74"/>
      <c r="C1089" s="74"/>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row>
    <row r="1090">
      <c r="A1090" s="73"/>
      <c r="B1090" s="74"/>
      <c r="C1090" s="74"/>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row>
    <row r="1091">
      <c r="A1091" s="73"/>
      <c r="B1091" s="74"/>
      <c r="C1091" s="74"/>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row>
    <row r="1092">
      <c r="A1092" s="73"/>
      <c r="B1092" s="74"/>
      <c r="C1092" s="74"/>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row>
    <row r="1093">
      <c r="A1093" s="73"/>
      <c r="B1093" s="74"/>
      <c r="C1093" s="74"/>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row>
    <row r="1094">
      <c r="A1094" s="73"/>
      <c r="B1094" s="74"/>
      <c r="C1094" s="74"/>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row>
    <row r="1095">
      <c r="A1095" s="73"/>
      <c r="B1095" s="74"/>
      <c r="C1095" s="74"/>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row>
    <row r="1096">
      <c r="A1096" s="73"/>
      <c r="B1096" s="74"/>
      <c r="C1096" s="74"/>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row>
    <row r="1097">
      <c r="A1097" s="73"/>
      <c r="B1097" s="74"/>
      <c r="C1097" s="74"/>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row>
    <row r="1098">
      <c r="A1098" s="73"/>
      <c r="B1098" s="74"/>
      <c r="C1098" s="74"/>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row>
    <row r="1099">
      <c r="A1099" s="73"/>
      <c r="B1099" s="74"/>
      <c r="C1099" s="74"/>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row>
    <row r="1100">
      <c r="A1100" s="73"/>
      <c r="B1100" s="74"/>
      <c r="C1100" s="74"/>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row>
    <row r="1101">
      <c r="A1101" s="73"/>
      <c r="B1101" s="74"/>
      <c r="C1101" s="74"/>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row>
    <row r="1102">
      <c r="A1102" s="73"/>
      <c r="B1102" s="74"/>
      <c r="C1102" s="74"/>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row>
    <row r="1103">
      <c r="A1103" s="73"/>
      <c r="B1103" s="74"/>
      <c r="C1103" s="74"/>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row>
    <row r="1104">
      <c r="A1104" s="73"/>
      <c r="B1104" s="74"/>
      <c r="C1104" s="74"/>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row>
    <row r="1105">
      <c r="A1105" s="73"/>
      <c r="B1105" s="74"/>
      <c r="C1105" s="74"/>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row>
    <row r="1106">
      <c r="A1106" s="73"/>
      <c r="B1106" s="74"/>
      <c r="C1106" s="74"/>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row>
    <row r="1107">
      <c r="A1107" s="73"/>
      <c r="B1107" s="74"/>
      <c r="C1107" s="74"/>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row>
    <row r="1108">
      <c r="A1108" s="73"/>
      <c r="B1108" s="74"/>
      <c r="C1108" s="74"/>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row>
    <row r="1109">
      <c r="A1109" s="73"/>
      <c r="B1109" s="74"/>
      <c r="C1109" s="74"/>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row>
    <row r="1110">
      <c r="A1110" s="73"/>
      <c r="B1110" s="74"/>
      <c r="C1110" s="74"/>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row>
    <row r="1111">
      <c r="A1111" s="73"/>
      <c r="B1111" s="74"/>
      <c r="C1111" s="74"/>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row>
    <row r="1112">
      <c r="A1112" s="73"/>
      <c r="B1112" s="74"/>
      <c r="C1112" s="74"/>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row>
    <row r="1113">
      <c r="A1113" s="73"/>
      <c r="B1113" s="74"/>
      <c r="C1113" s="74"/>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row>
    <row r="1114">
      <c r="A1114" s="73"/>
      <c r="B1114" s="74"/>
      <c r="C1114" s="74"/>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row>
    <row r="1115">
      <c r="A1115" s="73"/>
      <c r="B1115" s="74"/>
      <c r="C1115" s="74"/>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row>
    <row r="1116">
      <c r="A1116" s="73"/>
      <c r="B1116" s="74"/>
      <c r="C1116" s="74"/>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row>
    <row r="1117">
      <c r="A1117" s="73"/>
      <c r="B1117" s="74"/>
      <c r="C1117" s="74"/>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row>
    <row r="1118">
      <c r="A1118" s="73"/>
      <c r="B1118" s="74"/>
      <c r="C1118" s="74"/>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row>
    <row r="1119">
      <c r="A1119" s="73"/>
      <c r="B1119" s="74"/>
      <c r="C1119" s="74"/>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row>
    <row r="1120">
      <c r="A1120" s="73"/>
      <c r="B1120" s="74"/>
      <c r="C1120" s="74"/>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row>
    <row r="1121">
      <c r="A1121" s="73"/>
      <c r="B1121" s="74"/>
      <c r="C1121" s="74"/>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row>
    <row r="1122">
      <c r="A1122" s="73"/>
      <c r="B1122" s="74"/>
      <c r="C1122" s="74"/>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row>
    <row r="1123">
      <c r="A1123" s="73"/>
      <c r="B1123" s="74"/>
      <c r="C1123" s="74"/>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row>
    <row r="1124">
      <c r="A1124" s="73"/>
      <c r="B1124" s="74"/>
      <c r="C1124" s="74"/>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row>
    <row r="1125">
      <c r="A1125" s="73"/>
      <c r="B1125" s="74"/>
      <c r="C1125" s="74"/>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row>
    <row r="1126">
      <c r="A1126" s="73"/>
      <c r="B1126" s="74"/>
      <c r="C1126" s="74"/>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row>
    <row r="1127">
      <c r="A1127" s="73"/>
      <c r="B1127" s="74"/>
      <c r="C1127" s="74"/>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row>
    <row r="1128">
      <c r="A1128" s="73"/>
      <c r="B1128" s="74"/>
      <c r="C1128" s="74"/>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row>
    <row r="1129">
      <c r="A1129" s="73"/>
      <c r="B1129" s="74"/>
      <c r="C1129" s="74"/>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row>
    <row r="1130">
      <c r="A1130" s="73"/>
      <c r="B1130" s="74"/>
      <c r="C1130" s="74"/>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row>
    <row r="1131">
      <c r="A1131" s="73"/>
      <c r="B1131" s="74"/>
      <c r="C1131" s="74"/>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row>
    <row r="1132">
      <c r="A1132" s="73"/>
      <c r="B1132" s="74"/>
      <c r="C1132" s="74"/>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row>
    <row r="1133">
      <c r="A1133" s="73"/>
      <c r="B1133" s="74"/>
      <c r="C1133" s="74"/>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row>
    <row r="1134">
      <c r="A1134" s="73"/>
      <c r="B1134" s="74"/>
      <c r="C1134" s="74"/>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row>
    <row r="1135">
      <c r="A1135" s="73"/>
      <c r="B1135" s="74"/>
      <c r="C1135" s="74"/>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row>
    <row r="1136">
      <c r="A1136" s="73"/>
      <c r="B1136" s="74"/>
      <c r="C1136" s="74"/>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row>
    <row r="1137">
      <c r="A1137" s="73"/>
      <c r="B1137" s="74"/>
      <c r="C1137" s="74"/>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row>
    <row r="1138">
      <c r="A1138" s="73"/>
      <c r="B1138" s="74"/>
      <c r="C1138" s="74"/>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row>
    <row r="1139">
      <c r="A1139" s="73"/>
      <c r="B1139" s="74"/>
      <c r="C1139" s="74"/>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row>
    <row r="1140">
      <c r="A1140" s="73"/>
      <c r="B1140" s="74"/>
      <c r="C1140" s="74"/>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row>
    <row r="1141">
      <c r="A1141" s="73"/>
      <c r="B1141" s="74"/>
      <c r="C1141" s="74"/>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row>
    <row r="1142">
      <c r="A1142" s="73"/>
      <c r="B1142" s="74"/>
      <c r="C1142" s="74"/>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row>
    <row r="1143">
      <c r="A1143" s="73"/>
      <c r="B1143" s="74"/>
      <c r="C1143" s="74"/>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row>
    <row r="1144">
      <c r="A1144" s="73"/>
      <c r="B1144" s="74"/>
      <c r="C1144" s="74"/>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row>
    <row r="1145">
      <c r="A1145" s="73"/>
      <c r="B1145" s="74"/>
      <c r="C1145" s="74"/>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row>
    <row r="1146">
      <c r="A1146" s="73"/>
      <c r="B1146" s="74"/>
      <c r="C1146" s="74"/>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row>
    <row r="1147">
      <c r="A1147" s="73"/>
      <c r="B1147" s="74"/>
      <c r="C1147" s="74"/>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row>
    <row r="1148">
      <c r="A1148" s="73"/>
      <c r="B1148" s="74"/>
      <c r="C1148" s="74"/>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row>
    <row r="1149">
      <c r="A1149" s="73"/>
      <c r="B1149" s="74"/>
      <c r="C1149" s="74"/>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row>
    <row r="1150">
      <c r="A1150" s="73"/>
      <c r="B1150" s="74"/>
      <c r="C1150" s="74"/>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row>
    <row r="1151">
      <c r="A1151" s="73"/>
      <c r="B1151" s="74"/>
      <c r="C1151" s="74"/>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row>
    <row r="1152">
      <c r="A1152" s="73"/>
      <c r="B1152" s="74"/>
      <c r="C1152" s="74"/>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row>
    <row r="1153">
      <c r="A1153" s="73"/>
      <c r="B1153" s="74"/>
      <c r="C1153" s="74"/>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row>
    <row r="1154">
      <c r="A1154" s="73"/>
      <c r="B1154" s="74"/>
      <c r="C1154" s="74"/>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row>
    <row r="1155">
      <c r="A1155" s="73"/>
      <c r="B1155" s="74"/>
      <c r="C1155" s="74"/>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row>
    <row r="1156">
      <c r="A1156" s="73"/>
      <c r="B1156" s="74"/>
      <c r="C1156" s="74"/>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row>
    <row r="1157">
      <c r="A1157" s="73"/>
      <c r="B1157" s="74"/>
      <c r="C1157" s="74"/>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row>
    <row r="1158">
      <c r="A1158" s="73"/>
      <c r="B1158" s="74"/>
      <c r="C1158" s="74"/>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row>
    <row r="1159">
      <c r="A1159" s="73"/>
      <c r="B1159" s="74"/>
      <c r="C1159" s="74"/>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row>
    <row r="1160">
      <c r="A1160" s="73"/>
      <c r="B1160" s="74"/>
      <c r="C1160" s="74"/>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row>
    <row r="1161">
      <c r="A1161" s="73"/>
      <c r="B1161" s="74"/>
      <c r="C1161" s="74"/>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row>
    <row r="1162">
      <c r="A1162" s="73"/>
      <c r="B1162" s="74"/>
      <c r="C1162" s="74"/>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row>
    <row r="1163">
      <c r="A1163" s="73"/>
      <c r="B1163" s="74"/>
      <c r="C1163" s="74"/>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row>
    <row r="1164">
      <c r="A1164" s="73"/>
      <c r="B1164" s="74"/>
      <c r="C1164" s="74"/>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row>
    <row r="1165">
      <c r="A1165" s="73"/>
      <c r="B1165" s="74"/>
      <c r="C1165" s="74"/>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row>
    <row r="1166">
      <c r="A1166" s="73"/>
      <c r="B1166" s="74"/>
      <c r="C1166" s="74"/>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row>
    <row r="1167">
      <c r="A1167" s="73"/>
      <c r="B1167" s="74"/>
      <c r="C1167" s="74"/>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row>
    <row r="1168">
      <c r="A1168" s="73"/>
      <c r="B1168" s="74"/>
      <c r="C1168" s="74"/>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row>
    <row r="1169">
      <c r="A1169" s="73"/>
      <c r="B1169" s="74"/>
      <c r="C1169" s="74"/>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row>
    <row r="1170">
      <c r="A1170" s="73"/>
      <c r="B1170" s="74"/>
      <c r="C1170" s="74"/>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row>
    <row r="1171">
      <c r="A1171" s="73"/>
      <c r="B1171" s="74"/>
      <c r="C1171" s="74"/>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row>
    <row r="1172">
      <c r="A1172" s="73"/>
      <c r="B1172" s="74"/>
      <c r="C1172" s="74"/>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row>
    <row r="1173">
      <c r="A1173" s="73"/>
      <c r="B1173" s="74"/>
      <c r="C1173" s="74"/>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row>
    <row r="1174">
      <c r="A1174" s="73"/>
      <c r="B1174" s="74"/>
      <c r="C1174" s="74"/>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row>
    <row r="1175">
      <c r="A1175" s="73"/>
      <c r="B1175" s="74"/>
      <c r="C1175" s="74"/>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row>
    <row r="1176">
      <c r="A1176" s="73"/>
      <c r="B1176" s="74"/>
      <c r="C1176" s="74"/>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row>
    <row r="1177">
      <c r="A1177" s="73"/>
      <c r="B1177" s="74"/>
      <c r="C1177" s="74"/>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row>
    <row r="1178">
      <c r="A1178" s="73"/>
      <c r="B1178" s="74"/>
      <c r="C1178" s="74"/>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row>
    <row r="1179">
      <c r="A1179" s="73"/>
      <c r="B1179" s="74"/>
      <c r="C1179" s="74"/>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row>
    <row r="1180">
      <c r="A1180" s="73"/>
      <c r="B1180" s="74"/>
      <c r="C1180" s="74"/>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row>
    <row r="1181">
      <c r="A1181" s="73"/>
      <c r="B1181" s="74"/>
      <c r="C1181" s="74"/>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row>
    <row r="1182">
      <c r="A1182" s="73"/>
      <c r="B1182" s="74"/>
      <c r="C1182" s="74"/>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row>
    <row r="1183">
      <c r="A1183" s="73"/>
      <c r="B1183" s="74"/>
      <c r="C1183" s="74"/>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row>
    <row r="1184">
      <c r="A1184" s="73"/>
      <c r="B1184" s="74"/>
      <c r="C1184" s="74"/>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row>
    <row r="1185">
      <c r="A1185" s="73"/>
      <c r="B1185" s="74"/>
      <c r="C1185" s="74"/>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row>
    <row r="1186">
      <c r="A1186" s="73"/>
      <c r="B1186" s="74"/>
      <c r="C1186" s="74"/>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row>
    <row r="1187">
      <c r="A1187" s="73"/>
      <c r="B1187" s="74"/>
      <c r="C1187" s="74"/>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row>
    <row r="1188">
      <c r="A1188" s="73"/>
      <c r="B1188" s="74"/>
      <c r="C1188" s="74"/>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row>
    <row r="1189">
      <c r="A1189" s="73"/>
      <c r="B1189" s="74"/>
      <c r="C1189" s="74"/>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row>
    <row r="1190">
      <c r="A1190" s="73"/>
      <c r="B1190" s="74"/>
      <c r="C1190" s="74"/>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row>
    <row r="1191">
      <c r="A1191" s="73"/>
      <c r="B1191" s="74"/>
      <c r="C1191" s="74"/>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row>
    <row r="1192">
      <c r="A1192" s="73"/>
      <c r="B1192" s="74"/>
      <c r="C1192" s="74"/>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row>
    <row r="1193">
      <c r="A1193" s="73"/>
      <c r="B1193" s="74"/>
      <c r="C1193" s="74"/>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row>
    <row r="1194">
      <c r="A1194" s="73"/>
      <c r="B1194" s="74"/>
      <c r="C1194" s="74"/>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row>
    <row r="1195">
      <c r="A1195" s="73"/>
      <c r="B1195" s="74"/>
      <c r="C1195" s="74"/>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row>
    <row r="1196">
      <c r="A1196" s="73"/>
      <c r="B1196" s="74"/>
      <c r="C1196" s="74"/>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row>
    <row r="1197">
      <c r="A1197" s="73"/>
      <c r="B1197" s="74"/>
      <c r="C1197" s="74"/>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row>
    <row r="1198">
      <c r="A1198" s="73"/>
      <c r="B1198" s="74"/>
      <c r="C1198" s="74"/>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row>
    <row r="1199">
      <c r="A1199" s="73"/>
      <c r="B1199" s="74"/>
      <c r="C1199" s="74"/>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row>
    <row r="1200">
      <c r="A1200" s="73"/>
      <c r="B1200" s="74"/>
      <c r="C1200" s="74"/>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row>
    <row r="1201">
      <c r="A1201" s="73"/>
      <c r="B1201" s="74"/>
      <c r="C1201" s="74"/>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row>
    <row r="1202">
      <c r="A1202" s="73"/>
      <c r="B1202" s="74"/>
      <c r="C1202" s="74"/>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row>
    <row r="1203">
      <c r="A1203" s="73"/>
      <c r="B1203" s="74"/>
      <c r="C1203" s="74"/>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row>
    <row r="1204">
      <c r="A1204" s="73"/>
      <c r="B1204" s="74"/>
      <c r="C1204" s="74"/>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row>
    <row r="1205">
      <c r="A1205" s="73"/>
      <c r="B1205" s="74"/>
      <c r="C1205" s="74"/>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row>
    <row r="1206">
      <c r="A1206" s="73"/>
      <c r="B1206" s="74"/>
      <c r="C1206" s="74"/>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row>
    <row r="1207">
      <c r="A1207" s="73"/>
      <c r="B1207" s="74"/>
      <c r="C1207" s="74"/>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row>
    <row r="1208">
      <c r="A1208" s="73"/>
      <c r="B1208" s="74"/>
      <c r="C1208" s="74"/>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row>
    <row r="1209">
      <c r="A1209" s="73"/>
      <c r="B1209" s="74"/>
      <c r="C1209" s="74"/>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row>
    <row r="1210">
      <c r="A1210" s="73"/>
      <c r="B1210" s="74"/>
      <c r="C1210" s="74"/>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row>
    <row r="1211">
      <c r="A1211" s="73"/>
      <c r="B1211" s="74"/>
      <c r="C1211" s="74"/>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row>
    <row r="1212">
      <c r="A1212" s="73"/>
      <c r="B1212" s="74"/>
      <c r="C1212" s="74"/>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row>
    <row r="1213">
      <c r="A1213" s="73"/>
      <c r="B1213" s="74"/>
      <c r="C1213" s="74"/>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row>
    <row r="1214">
      <c r="A1214" s="73"/>
      <c r="B1214" s="74"/>
      <c r="C1214" s="74"/>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row>
    <row r="1215">
      <c r="A1215" s="73"/>
      <c r="B1215" s="74"/>
      <c r="C1215" s="74"/>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row>
    <row r="1216">
      <c r="A1216" s="73"/>
      <c r="B1216" s="74"/>
      <c r="C1216" s="74"/>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row>
    <row r="1217">
      <c r="A1217" s="73"/>
      <c r="B1217" s="74"/>
      <c r="C1217" s="74"/>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row>
    <row r="1218">
      <c r="A1218" s="73"/>
      <c r="B1218" s="74"/>
      <c r="C1218" s="74"/>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row>
    <row r="1219">
      <c r="A1219" s="73"/>
      <c r="B1219" s="74"/>
      <c r="C1219" s="74"/>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row>
    <row r="1220">
      <c r="A1220" s="73"/>
      <c r="B1220" s="74"/>
      <c r="C1220" s="74"/>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row>
    <row r="1221">
      <c r="A1221" s="73"/>
      <c r="B1221" s="74"/>
      <c r="C1221" s="74"/>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row>
    <row r="1222">
      <c r="A1222" s="73"/>
      <c r="B1222" s="74"/>
      <c r="C1222" s="74"/>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row>
    <row r="1223">
      <c r="A1223" s="73"/>
      <c r="B1223" s="74"/>
      <c r="C1223" s="74"/>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row>
    <row r="1224">
      <c r="A1224" s="73"/>
      <c r="B1224" s="74"/>
      <c r="C1224" s="74"/>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row>
    <row r="1225">
      <c r="A1225" s="73"/>
      <c r="B1225" s="74"/>
      <c r="C1225" s="74"/>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row>
    <row r="1226">
      <c r="A1226" s="73"/>
      <c r="B1226" s="74"/>
      <c r="C1226" s="74"/>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row>
    <row r="1227">
      <c r="A1227" s="73"/>
      <c r="B1227" s="74"/>
      <c r="C1227" s="74"/>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row>
    <row r="1228">
      <c r="A1228" s="73"/>
      <c r="B1228" s="74"/>
      <c r="C1228" s="74"/>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row>
    <row r="1229">
      <c r="A1229" s="73"/>
      <c r="B1229" s="74"/>
      <c r="C1229" s="74"/>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row>
    <row r="1230">
      <c r="A1230" s="73"/>
      <c r="B1230" s="74"/>
      <c r="C1230" s="74"/>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row>
    <row r="1231">
      <c r="A1231" s="73"/>
      <c r="B1231" s="74"/>
      <c r="C1231" s="74"/>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row>
    <row r="1232">
      <c r="A1232" s="73"/>
      <c r="B1232" s="74"/>
      <c r="C1232" s="74"/>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row>
    <row r="1233">
      <c r="A1233" s="73"/>
      <c r="B1233" s="74"/>
      <c r="C1233" s="74"/>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row>
    <row r="1234">
      <c r="A1234" s="73"/>
      <c r="B1234" s="74"/>
      <c r="C1234" s="74"/>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row>
    <row r="1235">
      <c r="A1235" s="73"/>
      <c r="B1235" s="74"/>
      <c r="C1235" s="74"/>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row>
    <row r="1236">
      <c r="A1236" s="73"/>
      <c r="B1236" s="74"/>
      <c r="C1236" s="74"/>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row>
    <row r="1237">
      <c r="A1237" s="73"/>
      <c r="B1237" s="74"/>
      <c r="C1237" s="74"/>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row>
    <row r="1238">
      <c r="A1238" s="73"/>
      <c r="B1238" s="74"/>
      <c r="C1238" s="74"/>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row>
    <row r="1239">
      <c r="A1239" s="73"/>
      <c r="B1239" s="74"/>
      <c r="C1239" s="74"/>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row>
    <row r="1240">
      <c r="A1240" s="73"/>
      <c r="B1240" s="74"/>
      <c r="C1240" s="74"/>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row>
    <row r="1241">
      <c r="A1241" s="73"/>
      <c r="B1241" s="74"/>
      <c r="C1241" s="74"/>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row>
    <row r="1242">
      <c r="A1242" s="73"/>
      <c r="B1242" s="74"/>
      <c r="C1242" s="74"/>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row>
    <row r="1243">
      <c r="A1243" s="73"/>
      <c r="B1243" s="74"/>
      <c r="C1243" s="74"/>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row>
    <row r="1244">
      <c r="A1244" s="73"/>
      <c r="B1244" s="74"/>
      <c r="C1244" s="74"/>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row>
    <row r="1245">
      <c r="A1245" s="73"/>
      <c r="B1245" s="74"/>
      <c r="C1245" s="74"/>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row>
    <row r="1246">
      <c r="A1246" s="73"/>
      <c r="B1246" s="74"/>
      <c r="C1246" s="74"/>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row>
    <row r="1247">
      <c r="A1247" s="73"/>
      <c r="B1247" s="74"/>
      <c r="C1247" s="74"/>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row>
    <row r="1248">
      <c r="A1248" s="73"/>
      <c r="B1248" s="74"/>
      <c r="C1248" s="74"/>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row>
    <row r="1249">
      <c r="A1249" s="73"/>
      <c r="B1249" s="74"/>
      <c r="C1249" s="74"/>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row>
    <row r="1250">
      <c r="A1250" s="73"/>
      <c r="B1250" s="74"/>
      <c r="C1250" s="74"/>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row>
    <row r="1251">
      <c r="A1251" s="73"/>
      <c r="B1251" s="74"/>
      <c r="C1251" s="74"/>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row>
    <row r="1252">
      <c r="A1252" s="73"/>
      <c r="B1252" s="74"/>
      <c r="C1252" s="74"/>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row>
    <row r="1253">
      <c r="A1253" s="73"/>
      <c r="B1253" s="74"/>
      <c r="C1253" s="74"/>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row>
    <row r="1254">
      <c r="A1254" s="73"/>
      <c r="B1254" s="74"/>
      <c r="C1254" s="74"/>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row>
    <row r="1255">
      <c r="A1255" s="73"/>
      <c r="B1255" s="74"/>
      <c r="C1255" s="74"/>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row>
    <row r="1256">
      <c r="A1256" s="73"/>
      <c r="B1256" s="74"/>
      <c r="C1256" s="74"/>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row>
    <row r="1257">
      <c r="A1257" s="73"/>
      <c r="B1257" s="74"/>
      <c r="C1257" s="74"/>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row>
    <row r="1258">
      <c r="A1258" s="73"/>
      <c r="B1258" s="74"/>
      <c r="C1258" s="74"/>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row>
    <row r="1259">
      <c r="A1259" s="73"/>
      <c r="B1259" s="74"/>
      <c r="C1259" s="74"/>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row>
    <row r="1260">
      <c r="A1260" s="73"/>
      <c r="B1260" s="74"/>
      <c r="C1260" s="74"/>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row>
    <row r="1261">
      <c r="A1261" s="73"/>
      <c r="B1261" s="74"/>
      <c r="C1261" s="74"/>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row>
    <row r="1262">
      <c r="A1262" s="73"/>
      <c r="B1262" s="74"/>
      <c r="C1262" s="74"/>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row>
    <row r="1263">
      <c r="A1263" s="73"/>
      <c r="B1263" s="74"/>
      <c r="C1263" s="74"/>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row>
    <row r="1264">
      <c r="A1264" s="73"/>
      <c r="B1264" s="74"/>
      <c r="C1264" s="74"/>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row>
    <row r="1265">
      <c r="A1265" s="73"/>
      <c r="B1265" s="74"/>
      <c r="C1265" s="74"/>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row>
    <row r="1266">
      <c r="A1266" s="73"/>
      <c r="B1266" s="74"/>
      <c r="C1266" s="74"/>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row>
    <row r="1267">
      <c r="A1267" s="73"/>
      <c r="B1267" s="74"/>
      <c r="C1267" s="74"/>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row>
    <row r="1268">
      <c r="A1268" s="73"/>
      <c r="B1268" s="74"/>
      <c r="C1268" s="74"/>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row>
    <row r="1269">
      <c r="A1269" s="73"/>
      <c r="B1269" s="74"/>
      <c r="C1269" s="74"/>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row>
    <row r="1270">
      <c r="A1270" s="73"/>
      <c r="B1270" s="74"/>
      <c r="C1270" s="74"/>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row>
    <row r="1271">
      <c r="A1271" s="73"/>
      <c r="B1271" s="74"/>
      <c r="C1271" s="74"/>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row>
    <row r="1272">
      <c r="A1272" s="73"/>
      <c r="B1272" s="74"/>
      <c r="C1272" s="74"/>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row>
    <row r="1273">
      <c r="A1273" s="73"/>
      <c r="B1273" s="74"/>
      <c r="C1273" s="74"/>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row>
    <row r="1274">
      <c r="A1274" s="73"/>
      <c r="B1274" s="74"/>
      <c r="C1274" s="74"/>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row>
    <row r="1275">
      <c r="A1275" s="73"/>
      <c r="B1275" s="74"/>
      <c r="C1275" s="74"/>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row>
    <row r="1276">
      <c r="A1276" s="73"/>
      <c r="B1276" s="74"/>
      <c r="C1276" s="74"/>
      <c r="D1276" s="3"/>
      <c r="E1276" s="3"/>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row>
    <row r="1277">
      <c r="A1277" s="73"/>
      <c r="B1277" s="74"/>
      <c r="C1277" s="74"/>
      <c r="D1277" s="3"/>
      <c r="E1277" s="3"/>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row>
    <row r="1278">
      <c r="A1278" s="73"/>
      <c r="B1278" s="74"/>
      <c r="C1278" s="74"/>
      <c r="D1278" s="3"/>
      <c r="E1278" s="3"/>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row>
    <row r="1279">
      <c r="A1279" s="73"/>
      <c r="B1279" s="74"/>
      <c r="C1279" s="74"/>
      <c r="D1279" s="3"/>
      <c r="E1279" s="3"/>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row>
    <row r="1280">
      <c r="A1280" s="73"/>
      <c r="B1280" s="74"/>
      <c r="C1280" s="74"/>
      <c r="D1280" s="3"/>
      <c r="E1280" s="3"/>
      <c r="F1280" s="3"/>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row>
    <row r="1281">
      <c r="A1281" s="73"/>
      <c r="B1281" s="74"/>
      <c r="C1281" s="74"/>
      <c r="D1281" s="3"/>
      <c r="E1281" s="3"/>
      <c r="F1281" s="3"/>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row>
    <row r="1282">
      <c r="A1282" s="73"/>
      <c r="B1282" s="74"/>
      <c r="C1282" s="74"/>
      <c r="D1282" s="3"/>
      <c r="E1282" s="3"/>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row>
    <row r="1283">
      <c r="A1283" s="73"/>
      <c r="B1283" s="74"/>
      <c r="C1283" s="74"/>
      <c r="D1283" s="3"/>
      <c r="E1283" s="3"/>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row>
    <row r="1284">
      <c r="A1284" s="73"/>
      <c r="B1284" s="74"/>
      <c r="C1284" s="74"/>
      <c r="D1284" s="3"/>
      <c r="E1284" s="3"/>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row>
    <row r="1285">
      <c r="A1285" s="73"/>
      <c r="B1285" s="74"/>
      <c r="C1285" s="74"/>
      <c r="D1285" s="3"/>
      <c r="E1285" s="3"/>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row>
    <row r="1286">
      <c r="A1286" s="73"/>
      <c r="B1286" s="74"/>
      <c r="C1286" s="74"/>
      <c r="D1286" s="3"/>
      <c r="E1286" s="3"/>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row>
    <row r="1287">
      <c r="A1287" s="73"/>
      <c r="B1287" s="74"/>
      <c r="C1287" s="74"/>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row>
    <row r="1288">
      <c r="A1288" s="73"/>
      <c r="B1288" s="74"/>
      <c r="C1288" s="74"/>
      <c r="D1288" s="3"/>
      <c r="E1288" s="3"/>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row>
    <row r="1289">
      <c r="A1289" s="73"/>
      <c r="B1289" s="74"/>
      <c r="C1289" s="74"/>
      <c r="D1289" s="3"/>
      <c r="E1289" s="3"/>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row>
    <row r="1290">
      <c r="A1290" s="73"/>
      <c r="B1290" s="74"/>
      <c r="C1290" s="74"/>
      <c r="D1290" s="3"/>
      <c r="E1290" s="3"/>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row>
    <row r="1291">
      <c r="A1291" s="73"/>
      <c r="B1291" s="74"/>
      <c r="C1291" s="74"/>
      <c r="D1291" s="3"/>
      <c r="E1291" s="3"/>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row>
    <row r="1292">
      <c r="A1292" s="73"/>
      <c r="B1292" s="74"/>
      <c r="C1292" s="74"/>
      <c r="D1292" s="3"/>
      <c r="E1292" s="3"/>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row>
    <row r="1293">
      <c r="A1293" s="73"/>
      <c r="B1293" s="74"/>
      <c r="C1293" s="74"/>
      <c r="D1293" s="3"/>
      <c r="E1293" s="3"/>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row>
    <row r="1294">
      <c r="A1294" s="73"/>
      <c r="B1294" s="74"/>
      <c r="C1294" s="74"/>
      <c r="D1294" s="3"/>
      <c r="E1294" s="3"/>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row>
    <row r="1295">
      <c r="A1295" s="73"/>
      <c r="B1295" s="74"/>
      <c r="C1295" s="74"/>
      <c r="D1295" s="3"/>
      <c r="E1295" s="3"/>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row>
    <row r="1296">
      <c r="A1296" s="73"/>
      <c r="B1296" s="74"/>
      <c r="C1296" s="74"/>
      <c r="D1296" s="3"/>
      <c r="E1296" s="3"/>
      <c r="F1296" s="3"/>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row>
    <row r="1297">
      <c r="A1297" s="73"/>
      <c r="B1297" s="74"/>
      <c r="C1297" s="74"/>
      <c r="D1297" s="3"/>
      <c r="E1297" s="3"/>
      <c r="F1297" s="3"/>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row>
    <row r="1298">
      <c r="A1298" s="73"/>
      <c r="B1298" s="74"/>
      <c r="C1298" s="74"/>
      <c r="D1298" s="3"/>
      <c r="E1298" s="3"/>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row>
    <row r="1299">
      <c r="A1299" s="73"/>
      <c r="B1299" s="74"/>
      <c r="C1299" s="74"/>
      <c r="D1299" s="3"/>
      <c r="E1299" s="3"/>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row>
    <row r="1300">
      <c r="A1300" s="73"/>
      <c r="B1300" s="74"/>
      <c r="C1300" s="74"/>
      <c r="D1300" s="3"/>
      <c r="E1300" s="3"/>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row>
    <row r="1301">
      <c r="A1301" s="73"/>
      <c r="B1301" s="74"/>
      <c r="C1301" s="74"/>
      <c r="D1301" s="3"/>
      <c r="E1301" s="3"/>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row>
    <row r="1302">
      <c r="A1302" s="73"/>
      <c r="B1302" s="74"/>
      <c r="C1302" s="74"/>
      <c r="D1302" s="3"/>
      <c r="E1302" s="3"/>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row>
    <row r="1303">
      <c r="A1303" s="73"/>
      <c r="B1303" s="74"/>
      <c r="C1303" s="74"/>
      <c r="D1303" s="3"/>
      <c r="E1303" s="3"/>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row>
    <row r="1304">
      <c r="A1304" s="73"/>
      <c r="B1304" s="74"/>
      <c r="C1304" s="74"/>
      <c r="D1304" s="3"/>
      <c r="E1304" s="3"/>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row>
    <row r="1305">
      <c r="A1305" s="73"/>
      <c r="B1305" s="74"/>
      <c r="C1305" s="74"/>
      <c r="D1305" s="3"/>
      <c r="E1305" s="3"/>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row>
    <row r="1306">
      <c r="A1306" s="73"/>
      <c r="B1306" s="74"/>
      <c r="C1306" s="74"/>
      <c r="D1306" s="3"/>
      <c r="E1306" s="3"/>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row>
    <row r="1307">
      <c r="A1307" s="73"/>
      <c r="B1307" s="74"/>
      <c r="C1307" s="74"/>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row>
    <row r="1308">
      <c r="A1308" s="73"/>
      <c r="B1308" s="74"/>
      <c r="C1308" s="74"/>
      <c r="D1308" s="3"/>
      <c r="E1308" s="3"/>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row>
    <row r="1309">
      <c r="A1309" s="73"/>
      <c r="B1309" s="74"/>
      <c r="C1309" s="74"/>
      <c r="D1309" s="3"/>
      <c r="E1309" s="3"/>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row>
    <row r="1310">
      <c r="A1310" s="73"/>
      <c r="B1310" s="74"/>
      <c r="C1310" s="74"/>
      <c r="D1310" s="3"/>
      <c r="E1310" s="3"/>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row>
    <row r="1311">
      <c r="A1311" s="73"/>
      <c r="B1311" s="74"/>
      <c r="C1311" s="74"/>
      <c r="D1311" s="3"/>
      <c r="E1311" s="3"/>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row>
    <row r="1312">
      <c r="A1312" s="73"/>
      <c r="B1312" s="74"/>
      <c r="C1312" s="74"/>
      <c r="D1312" s="3"/>
      <c r="E1312" s="3"/>
      <c r="F1312" s="3"/>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row>
    <row r="1313">
      <c r="A1313" s="73"/>
      <c r="B1313" s="74"/>
      <c r="C1313" s="74"/>
      <c r="D1313" s="3"/>
      <c r="E1313" s="3"/>
      <c r="F1313" s="3"/>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row>
    <row r="1314">
      <c r="A1314" s="73"/>
      <c r="B1314" s="74"/>
      <c r="C1314" s="74"/>
      <c r="D1314" s="3"/>
      <c r="E1314" s="3"/>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row>
    <row r="1315">
      <c r="A1315" s="73"/>
      <c r="B1315" s="74"/>
      <c r="C1315" s="74"/>
      <c r="D1315" s="3"/>
      <c r="E1315" s="3"/>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row>
    <row r="1316">
      <c r="A1316" s="73"/>
      <c r="B1316" s="74"/>
      <c r="C1316" s="74"/>
      <c r="D1316" s="3"/>
      <c r="E1316" s="3"/>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row>
    <row r="1317">
      <c r="A1317" s="73"/>
      <c r="B1317" s="74"/>
      <c r="C1317" s="74"/>
      <c r="D1317" s="3"/>
      <c r="E1317" s="3"/>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row>
    <row r="1318">
      <c r="A1318" s="73"/>
      <c r="B1318" s="74"/>
      <c r="C1318" s="74"/>
      <c r="D1318" s="3"/>
      <c r="E1318" s="3"/>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row>
    <row r="1319">
      <c r="A1319" s="73"/>
      <c r="B1319" s="74"/>
      <c r="C1319" s="74"/>
      <c r="D1319" s="3"/>
      <c r="E1319" s="3"/>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row>
    <row r="1320">
      <c r="A1320" s="73"/>
      <c r="B1320" s="74"/>
      <c r="C1320" s="74"/>
      <c r="D1320" s="3"/>
      <c r="E1320" s="3"/>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row>
    <row r="1321">
      <c r="A1321" s="73"/>
      <c r="B1321" s="74"/>
      <c r="C1321" s="74"/>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row>
    <row r="1322">
      <c r="A1322" s="73"/>
      <c r="B1322" s="74"/>
      <c r="C1322" s="74"/>
      <c r="D1322" s="3"/>
      <c r="E1322" s="3"/>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row>
    <row r="1323">
      <c r="A1323" s="73"/>
      <c r="B1323" s="74"/>
      <c r="C1323" s="74"/>
      <c r="D1323" s="3"/>
      <c r="E1323" s="3"/>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row>
    <row r="1324">
      <c r="A1324" s="73"/>
      <c r="B1324" s="74"/>
      <c r="C1324" s="74"/>
      <c r="D1324" s="3"/>
      <c r="E1324" s="3"/>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row>
    <row r="1325">
      <c r="A1325" s="73"/>
      <c r="B1325" s="74"/>
      <c r="C1325" s="74"/>
      <c r="D1325" s="3"/>
      <c r="E1325" s="3"/>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row>
    <row r="1326">
      <c r="A1326" s="73"/>
      <c r="B1326" s="74"/>
      <c r="C1326" s="74"/>
      <c r="D1326" s="3"/>
      <c r="E1326" s="3"/>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row>
    <row r="1327">
      <c r="A1327" s="73"/>
      <c r="B1327" s="74"/>
      <c r="C1327" s="74"/>
      <c r="D1327" s="3"/>
      <c r="E1327" s="3"/>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row>
    <row r="1328">
      <c r="A1328" s="73"/>
      <c r="B1328" s="74"/>
      <c r="C1328" s="74"/>
      <c r="D1328" s="3"/>
      <c r="E1328" s="3"/>
      <c r="F1328" s="3"/>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row>
    <row r="1329">
      <c r="A1329" s="73"/>
      <c r="B1329" s="74"/>
      <c r="C1329" s="74"/>
      <c r="D1329" s="3"/>
      <c r="E1329" s="3"/>
      <c r="F1329" s="3"/>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row>
    <row r="1330">
      <c r="A1330" s="73"/>
      <c r="B1330" s="74"/>
      <c r="C1330" s="74"/>
      <c r="D1330" s="3"/>
      <c r="E1330" s="3"/>
      <c r="F1330" s="3"/>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row>
    <row r="1331">
      <c r="A1331" s="73"/>
      <c r="B1331" s="74"/>
      <c r="C1331" s="74"/>
      <c r="D1331" s="3"/>
      <c r="E1331" s="3"/>
      <c r="F1331" s="3"/>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row>
    <row r="1332">
      <c r="A1332" s="73"/>
      <c r="B1332" s="74"/>
      <c r="C1332" s="74"/>
      <c r="D1332" s="3"/>
      <c r="E1332" s="3"/>
      <c r="F1332" s="3"/>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row>
    <row r="1333">
      <c r="A1333" s="73"/>
      <c r="B1333" s="74"/>
      <c r="C1333" s="74"/>
      <c r="D1333" s="3"/>
      <c r="E1333" s="3"/>
      <c r="F1333" s="3"/>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row>
    <row r="1334">
      <c r="A1334" s="73"/>
      <c r="B1334" s="74"/>
      <c r="C1334" s="74"/>
      <c r="D1334" s="3"/>
      <c r="E1334" s="3"/>
      <c r="F1334" s="3"/>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row>
    <row r="1335">
      <c r="A1335" s="73"/>
      <c r="B1335" s="74"/>
      <c r="C1335" s="74"/>
      <c r="D1335" s="3"/>
      <c r="E1335" s="3"/>
      <c r="F1335" s="3"/>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row>
    <row r="1336">
      <c r="A1336" s="73"/>
      <c r="B1336" s="74"/>
      <c r="C1336" s="74"/>
      <c r="D1336" s="3"/>
      <c r="E1336" s="3"/>
      <c r="F1336" s="3"/>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row>
    <row r="1337">
      <c r="A1337" s="73"/>
      <c r="B1337" s="74"/>
      <c r="C1337" s="74"/>
      <c r="D1337" s="3"/>
      <c r="E1337" s="3"/>
      <c r="F1337" s="3"/>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row>
    <row r="1338">
      <c r="A1338" s="73"/>
      <c r="B1338" s="74"/>
      <c r="C1338" s="74"/>
      <c r="D1338" s="3"/>
      <c r="E1338" s="3"/>
      <c r="F1338" s="3"/>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row>
    <row r="1339">
      <c r="A1339" s="73"/>
      <c r="B1339" s="74"/>
      <c r="C1339" s="74"/>
      <c r="D1339" s="3"/>
      <c r="E1339" s="3"/>
      <c r="F1339" s="3"/>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row>
    <row r="1340">
      <c r="A1340" s="73"/>
      <c r="B1340" s="74"/>
      <c r="C1340" s="74"/>
      <c r="D1340" s="3"/>
      <c r="E1340" s="3"/>
      <c r="F1340" s="3"/>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row>
    <row r="1341">
      <c r="A1341" s="73"/>
      <c r="B1341" s="74"/>
      <c r="C1341" s="74"/>
      <c r="D1341" s="3"/>
      <c r="E1341" s="3"/>
      <c r="F1341" s="3"/>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row>
    <row r="1342">
      <c r="A1342" s="73"/>
      <c r="B1342" s="74"/>
      <c r="C1342" s="74"/>
      <c r="D1342" s="3"/>
      <c r="E1342" s="3"/>
      <c r="F1342" s="3"/>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row>
    <row r="1343">
      <c r="A1343" s="73"/>
      <c r="B1343" s="74"/>
      <c r="C1343" s="74"/>
      <c r="D1343" s="3"/>
      <c r="E1343" s="3"/>
      <c r="F1343" s="3"/>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row>
    <row r="1344">
      <c r="A1344" s="73"/>
      <c r="B1344" s="74"/>
      <c r="C1344" s="74"/>
      <c r="D1344" s="3"/>
      <c r="E1344" s="3"/>
      <c r="F1344" s="3"/>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row>
    <row r="1345">
      <c r="A1345" s="73"/>
      <c r="B1345" s="74"/>
      <c r="C1345" s="74"/>
      <c r="D1345" s="3"/>
      <c r="E1345" s="3"/>
      <c r="F1345" s="3"/>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row>
    <row r="1346">
      <c r="A1346" s="73"/>
      <c r="B1346" s="74"/>
      <c r="C1346" s="74"/>
      <c r="D1346" s="3"/>
      <c r="E1346" s="3"/>
      <c r="F1346" s="3"/>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row>
    <row r="1347">
      <c r="A1347" s="73"/>
      <c r="B1347" s="74"/>
      <c r="C1347" s="74"/>
      <c r="D1347" s="3"/>
      <c r="E1347" s="3"/>
      <c r="F1347" s="3"/>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row>
    <row r="1348">
      <c r="A1348" s="73"/>
      <c r="B1348" s="74"/>
      <c r="C1348" s="74"/>
      <c r="D1348" s="3"/>
      <c r="E1348" s="3"/>
      <c r="F1348" s="3"/>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row>
    <row r="1349">
      <c r="A1349" s="73"/>
      <c r="B1349" s="74"/>
      <c r="C1349" s="74"/>
      <c r="D1349" s="3"/>
      <c r="E1349" s="3"/>
      <c r="F1349" s="3"/>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row>
    <row r="1350">
      <c r="A1350" s="73"/>
      <c r="B1350" s="74"/>
      <c r="C1350" s="74"/>
      <c r="D1350" s="3"/>
      <c r="E1350" s="3"/>
      <c r="F1350" s="3"/>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row>
    <row r="1351">
      <c r="A1351" s="73"/>
      <c r="B1351" s="74"/>
      <c r="C1351" s="74"/>
      <c r="D1351" s="3"/>
      <c r="E1351" s="3"/>
      <c r="F1351" s="3"/>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row>
    <row r="1352">
      <c r="A1352" s="73"/>
      <c r="B1352" s="74"/>
      <c r="C1352" s="74"/>
      <c r="D1352" s="3"/>
      <c r="E1352" s="3"/>
      <c r="F1352" s="3"/>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row>
    <row r="1353">
      <c r="A1353" s="73"/>
      <c r="B1353" s="74"/>
      <c r="C1353" s="74"/>
      <c r="D1353" s="3"/>
      <c r="E1353" s="3"/>
      <c r="F1353" s="3"/>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row>
    <row r="1354">
      <c r="A1354" s="73"/>
      <c r="B1354" s="74"/>
      <c r="C1354" s="74"/>
      <c r="D1354" s="3"/>
      <c r="E1354" s="3"/>
      <c r="F1354" s="3"/>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row>
    <row r="1355">
      <c r="A1355" s="73"/>
      <c r="B1355" s="74"/>
      <c r="C1355" s="74"/>
      <c r="D1355" s="3"/>
      <c r="E1355" s="3"/>
      <c r="F1355" s="3"/>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row>
    <row r="1356">
      <c r="A1356" s="73"/>
      <c r="B1356" s="74"/>
      <c r="C1356" s="74"/>
      <c r="D1356" s="3"/>
      <c r="E1356" s="3"/>
      <c r="F1356" s="3"/>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row>
    <row r="1357">
      <c r="A1357" s="73"/>
      <c r="B1357" s="74"/>
      <c r="C1357" s="74"/>
      <c r="D1357" s="3"/>
      <c r="E1357" s="3"/>
      <c r="F1357" s="3"/>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row>
    <row r="1358">
      <c r="A1358" s="73"/>
      <c r="B1358" s="74"/>
      <c r="C1358" s="74"/>
      <c r="D1358" s="3"/>
      <c r="E1358" s="3"/>
      <c r="F1358" s="3"/>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row>
    <row r="1359">
      <c r="A1359" s="73"/>
      <c r="B1359" s="74"/>
      <c r="C1359" s="74"/>
      <c r="D1359" s="3"/>
      <c r="E1359" s="3"/>
      <c r="F1359" s="3"/>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row>
    <row r="1360">
      <c r="A1360" s="73"/>
      <c r="B1360" s="74"/>
      <c r="C1360" s="74"/>
      <c r="D1360" s="3"/>
      <c r="E1360" s="3"/>
      <c r="F1360" s="3"/>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row>
    <row r="1361">
      <c r="A1361" s="73"/>
      <c r="B1361" s="74"/>
      <c r="C1361" s="74"/>
      <c r="D1361" s="3"/>
      <c r="E1361" s="3"/>
      <c r="F1361" s="3"/>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row>
    <row r="1362">
      <c r="A1362" s="73"/>
      <c r="B1362" s="74"/>
      <c r="C1362" s="74"/>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row>
    <row r="1363">
      <c r="A1363" s="73"/>
      <c r="B1363" s="74"/>
      <c r="C1363" s="74"/>
      <c r="D1363" s="3"/>
      <c r="E1363" s="3"/>
      <c r="F1363" s="3"/>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row>
    <row r="1364">
      <c r="A1364" s="73"/>
      <c r="B1364" s="74"/>
      <c r="C1364" s="74"/>
      <c r="D1364" s="3"/>
      <c r="E1364" s="3"/>
      <c r="F1364" s="3"/>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row>
    <row r="1365">
      <c r="A1365" s="73"/>
      <c r="B1365" s="74"/>
      <c r="C1365" s="74"/>
      <c r="D1365" s="3"/>
      <c r="E1365" s="3"/>
      <c r="F1365" s="3"/>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row>
    <row r="1366">
      <c r="A1366" s="73"/>
      <c r="B1366" s="74"/>
      <c r="C1366" s="74"/>
      <c r="D1366" s="3"/>
      <c r="E1366" s="3"/>
      <c r="F1366" s="3"/>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row>
    <row r="1367">
      <c r="A1367" s="73"/>
      <c r="B1367" s="74"/>
      <c r="C1367" s="74"/>
      <c r="D1367" s="3"/>
      <c r="E1367" s="3"/>
      <c r="F1367" s="3"/>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row>
    <row r="1368">
      <c r="A1368" s="73"/>
      <c r="B1368" s="74"/>
      <c r="C1368" s="74"/>
      <c r="D1368" s="3"/>
      <c r="E1368" s="3"/>
      <c r="F1368" s="3"/>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row>
    <row r="1369">
      <c r="A1369" s="73"/>
      <c r="B1369" s="74"/>
      <c r="C1369" s="74"/>
      <c r="D1369" s="3"/>
      <c r="E1369" s="3"/>
      <c r="F1369" s="3"/>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row>
    <row r="1370">
      <c r="A1370" s="73"/>
      <c r="B1370" s="74"/>
      <c r="C1370" s="74"/>
      <c r="D1370" s="3"/>
      <c r="E1370" s="3"/>
      <c r="F1370" s="3"/>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row>
    <row r="1371">
      <c r="A1371" s="73"/>
      <c r="B1371" s="74"/>
      <c r="C1371" s="74"/>
      <c r="D1371" s="3"/>
      <c r="E1371" s="3"/>
      <c r="F1371" s="3"/>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row>
    <row r="1372">
      <c r="A1372" s="73"/>
      <c r="B1372" s="74"/>
      <c r="C1372" s="74"/>
      <c r="D1372" s="3"/>
      <c r="E1372" s="3"/>
      <c r="F1372" s="3"/>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row>
    <row r="1373">
      <c r="A1373" s="73"/>
      <c r="B1373" s="74"/>
      <c r="C1373" s="74"/>
      <c r="D1373" s="3"/>
      <c r="E1373" s="3"/>
      <c r="F1373" s="3"/>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row>
    <row r="1374">
      <c r="A1374" s="73"/>
      <c r="B1374" s="74"/>
      <c r="C1374" s="74"/>
      <c r="D1374" s="3"/>
      <c r="E1374" s="3"/>
      <c r="F1374" s="3"/>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row>
    <row r="1375">
      <c r="A1375" s="73"/>
      <c r="B1375" s="74"/>
      <c r="C1375" s="74"/>
      <c r="D1375" s="3"/>
      <c r="E1375" s="3"/>
      <c r="F1375" s="3"/>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row>
    <row r="1376">
      <c r="A1376" s="73"/>
      <c r="B1376" s="74"/>
      <c r="C1376" s="74"/>
      <c r="D1376" s="3"/>
      <c r="E1376" s="3"/>
      <c r="F1376" s="3"/>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row>
    <row r="1377">
      <c r="A1377" s="73"/>
      <c r="B1377" s="74"/>
      <c r="C1377" s="74"/>
      <c r="D1377" s="3"/>
      <c r="E1377" s="3"/>
      <c r="F1377" s="3"/>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row>
    <row r="1378">
      <c r="A1378" s="73"/>
      <c r="B1378" s="74"/>
      <c r="C1378" s="74"/>
      <c r="D1378" s="3"/>
      <c r="E1378" s="3"/>
      <c r="F1378" s="3"/>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row>
    <row r="1379">
      <c r="A1379" s="73"/>
      <c r="B1379" s="74"/>
      <c r="C1379" s="74"/>
      <c r="D1379" s="3"/>
      <c r="E1379" s="3"/>
      <c r="F1379" s="3"/>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row>
    <row r="1380">
      <c r="A1380" s="73"/>
      <c r="B1380" s="74"/>
      <c r="C1380" s="74"/>
      <c r="D1380" s="3"/>
      <c r="E1380" s="3"/>
      <c r="F1380" s="3"/>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row>
    <row r="1381">
      <c r="A1381" s="73"/>
      <c r="B1381" s="74"/>
      <c r="C1381" s="74"/>
      <c r="D1381" s="3"/>
      <c r="E1381" s="3"/>
      <c r="F1381" s="3"/>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row>
    <row r="1382">
      <c r="A1382" s="73"/>
      <c r="B1382" s="74"/>
      <c r="C1382" s="74"/>
      <c r="D1382" s="3"/>
      <c r="E1382" s="3"/>
      <c r="F1382" s="3"/>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row>
    <row r="1383">
      <c r="A1383" s="73"/>
      <c r="B1383" s="74"/>
      <c r="C1383" s="74"/>
      <c r="D1383" s="3"/>
      <c r="E1383" s="3"/>
      <c r="F1383" s="3"/>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row>
    <row r="1384">
      <c r="A1384" s="73"/>
      <c r="B1384" s="74"/>
      <c r="C1384" s="74"/>
      <c r="D1384" s="3"/>
      <c r="E1384" s="3"/>
      <c r="F1384" s="3"/>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row>
    <row r="1385">
      <c r="A1385" s="73"/>
      <c r="B1385" s="74"/>
      <c r="C1385" s="74"/>
      <c r="D1385" s="3"/>
      <c r="E1385" s="3"/>
      <c r="F1385" s="3"/>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row>
    <row r="1386">
      <c r="A1386" s="73"/>
      <c r="B1386" s="74"/>
      <c r="C1386" s="74"/>
      <c r="D1386" s="3"/>
      <c r="E1386" s="3"/>
      <c r="F1386" s="3"/>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row>
    <row r="1387">
      <c r="A1387" s="73"/>
      <c r="B1387" s="74"/>
      <c r="C1387" s="74"/>
      <c r="D1387" s="3"/>
      <c r="E1387" s="3"/>
      <c r="F1387" s="3"/>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row>
    <row r="1388">
      <c r="A1388" s="73"/>
      <c r="B1388" s="74"/>
      <c r="C1388" s="74"/>
      <c r="D1388" s="3"/>
      <c r="E1388" s="3"/>
      <c r="F1388" s="3"/>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row>
    <row r="1389">
      <c r="A1389" s="73"/>
      <c r="B1389" s="74"/>
      <c r="C1389" s="74"/>
      <c r="D1389" s="3"/>
      <c r="E1389" s="3"/>
      <c r="F1389" s="3"/>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row>
    <row r="1390">
      <c r="A1390" s="73"/>
      <c r="B1390" s="74"/>
      <c r="C1390" s="74"/>
      <c r="D1390" s="3"/>
      <c r="E1390" s="3"/>
      <c r="F1390" s="3"/>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row>
    <row r="1391">
      <c r="A1391" s="73"/>
      <c r="B1391" s="74"/>
      <c r="C1391" s="74"/>
      <c r="D1391" s="3"/>
      <c r="E1391" s="3"/>
      <c r="F1391" s="3"/>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row>
    <row r="1392">
      <c r="A1392" s="73"/>
      <c r="B1392" s="74"/>
      <c r="C1392" s="74"/>
      <c r="D1392" s="3"/>
      <c r="E1392" s="3"/>
      <c r="F1392" s="3"/>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row>
    <row r="1393">
      <c r="A1393" s="73"/>
      <c r="B1393" s="74"/>
      <c r="C1393" s="74"/>
      <c r="D1393" s="3"/>
      <c r="E1393" s="3"/>
      <c r="F1393" s="3"/>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row>
    <row r="1394">
      <c r="A1394" s="73"/>
      <c r="B1394" s="74"/>
      <c r="C1394" s="74"/>
      <c r="D1394" s="3"/>
      <c r="E1394" s="3"/>
      <c r="F1394" s="3"/>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row>
    <row r="1395">
      <c r="A1395" s="73"/>
      <c r="B1395" s="74"/>
      <c r="C1395" s="74"/>
      <c r="D1395" s="3"/>
      <c r="E1395" s="3"/>
      <c r="F1395" s="3"/>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row>
    <row r="1396">
      <c r="A1396" s="73"/>
      <c r="B1396" s="74"/>
      <c r="C1396" s="74"/>
      <c r="D1396" s="3"/>
      <c r="E1396" s="3"/>
      <c r="F1396" s="3"/>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row>
    <row r="1397">
      <c r="A1397" s="73"/>
      <c r="B1397" s="74"/>
      <c r="C1397" s="74"/>
      <c r="D1397" s="3"/>
      <c r="E1397" s="3"/>
      <c r="F1397" s="3"/>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row>
    <row r="1398">
      <c r="A1398" s="73"/>
      <c r="B1398" s="74"/>
      <c r="C1398" s="74"/>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row>
    <row r="1399">
      <c r="A1399" s="73"/>
      <c r="B1399" s="74"/>
      <c r="C1399" s="74"/>
      <c r="D1399" s="3"/>
      <c r="E1399" s="3"/>
      <c r="F1399" s="3"/>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row>
    <row r="1400">
      <c r="A1400" s="73"/>
      <c r="B1400" s="74"/>
      <c r="C1400" s="74"/>
      <c r="D1400" s="3"/>
      <c r="E1400" s="3"/>
      <c r="F1400" s="3"/>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row>
    <row r="1401">
      <c r="A1401" s="73"/>
      <c r="B1401" s="74"/>
      <c r="C1401" s="74"/>
      <c r="D1401" s="3"/>
      <c r="E1401" s="3"/>
      <c r="F1401" s="3"/>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row>
    <row r="1402">
      <c r="A1402" s="73"/>
      <c r="B1402" s="74"/>
      <c r="C1402" s="74"/>
      <c r="D1402" s="3"/>
      <c r="E1402" s="3"/>
      <c r="F1402" s="3"/>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row>
    <row r="1403">
      <c r="A1403" s="73"/>
      <c r="B1403" s="74"/>
      <c r="C1403" s="74"/>
      <c r="D1403" s="3"/>
      <c r="E1403" s="3"/>
      <c r="F1403" s="3"/>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row>
    <row r="1404">
      <c r="A1404" s="73"/>
      <c r="B1404" s="74"/>
      <c r="C1404" s="74"/>
      <c r="D1404" s="3"/>
      <c r="E1404" s="3"/>
      <c r="F1404" s="3"/>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row>
    <row r="1405">
      <c r="A1405" s="73"/>
      <c r="B1405" s="74"/>
      <c r="C1405" s="74"/>
      <c r="D1405" s="3"/>
      <c r="E1405" s="3"/>
      <c r="F1405" s="3"/>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row>
    <row r="1406">
      <c r="A1406" s="73"/>
      <c r="B1406" s="74"/>
      <c r="C1406" s="74"/>
      <c r="D1406" s="3"/>
      <c r="E1406" s="3"/>
      <c r="F1406" s="3"/>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row>
    <row r="1407">
      <c r="A1407" s="73"/>
      <c r="B1407" s="74"/>
      <c r="C1407" s="74"/>
      <c r="D1407" s="3"/>
      <c r="E1407" s="3"/>
      <c r="F1407" s="3"/>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row>
    <row r="1408">
      <c r="A1408" s="73"/>
      <c r="B1408" s="74"/>
      <c r="C1408" s="74"/>
      <c r="D1408" s="3"/>
      <c r="E1408" s="3"/>
      <c r="F1408" s="3"/>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row>
    <row r="1409">
      <c r="A1409" s="73"/>
      <c r="B1409" s="74"/>
      <c r="C1409" s="74"/>
      <c r="D1409" s="3"/>
      <c r="E1409" s="3"/>
      <c r="F1409" s="3"/>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row>
    <row r="1410">
      <c r="A1410" s="73"/>
      <c r="B1410" s="74"/>
      <c r="C1410" s="74"/>
      <c r="D1410" s="3"/>
      <c r="E1410" s="3"/>
      <c r="F1410" s="3"/>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row>
    <row r="1411">
      <c r="A1411" s="73"/>
      <c r="B1411" s="74"/>
      <c r="C1411" s="74"/>
      <c r="D1411" s="3"/>
      <c r="E1411" s="3"/>
      <c r="F1411" s="3"/>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row>
    <row r="1412">
      <c r="A1412" s="73"/>
      <c r="B1412" s="74"/>
      <c r="C1412" s="74"/>
      <c r="D1412" s="3"/>
      <c r="E1412" s="3"/>
      <c r="F1412" s="3"/>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row>
    <row r="1413">
      <c r="A1413" s="73"/>
      <c r="B1413" s="74"/>
      <c r="C1413" s="74"/>
      <c r="D1413" s="3"/>
      <c r="E1413" s="3"/>
      <c r="F1413" s="3"/>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row>
    <row r="1414">
      <c r="A1414" s="73"/>
      <c r="B1414" s="74"/>
      <c r="C1414" s="74"/>
      <c r="D1414" s="3"/>
      <c r="E1414" s="3"/>
      <c r="F1414" s="3"/>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row>
    <row r="1415">
      <c r="A1415" s="73"/>
      <c r="B1415" s="74"/>
      <c r="C1415" s="74"/>
      <c r="D1415" s="3"/>
      <c r="E1415" s="3"/>
      <c r="F1415" s="3"/>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row>
    <row r="1416">
      <c r="A1416" s="73"/>
      <c r="B1416" s="74"/>
      <c r="C1416" s="74"/>
      <c r="D1416" s="3"/>
      <c r="E1416" s="3"/>
      <c r="F1416" s="3"/>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row>
    <row r="1417">
      <c r="A1417" s="73"/>
      <c r="B1417" s="74"/>
      <c r="C1417" s="74"/>
      <c r="D1417" s="3"/>
      <c r="E1417" s="3"/>
      <c r="F1417" s="3"/>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row>
    <row r="1418">
      <c r="A1418" s="73"/>
      <c r="B1418" s="74"/>
      <c r="C1418" s="74"/>
      <c r="D1418" s="3"/>
      <c r="E1418" s="3"/>
      <c r="F1418" s="3"/>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row>
    <row r="1419">
      <c r="A1419" s="73"/>
      <c r="B1419" s="74"/>
      <c r="C1419" s="74"/>
      <c r="D1419" s="3"/>
      <c r="E1419" s="3"/>
      <c r="F1419" s="3"/>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row>
    <row r="1420">
      <c r="A1420" s="73"/>
      <c r="B1420" s="74"/>
      <c r="C1420" s="74"/>
      <c r="D1420" s="3"/>
      <c r="E1420" s="3"/>
      <c r="F1420" s="3"/>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row>
    <row r="1421">
      <c r="A1421" s="73"/>
      <c r="B1421" s="74"/>
      <c r="C1421" s="74"/>
      <c r="D1421" s="3"/>
      <c r="E1421" s="3"/>
      <c r="F1421" s="3"/>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row>
    <row r="1422">
      <c r="A1422" s="73"/>
      <c r="B1422" s="74"/>
      <c r="C1422" s="74"/>
      <c r="D1422" s="3"/>
      <c r="E1422" s="3"/>
      <c r="F1422" s="3"/>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row>
    <row r="1423">
      <c r="A1423" s="73"/>
      <c r="B1423" s="74"/>
      <c r="C1423" s="74"/>
      <c r="D1423" s="3"/>
      <c r="E1423" s="3"/>
      <c r="F1423" s="3"/>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row>
    <row r="1424">
      <c r="A1424" s="73"/>
      <c r="B1424" s="74"/>
      <c r="C1424" s="74"/>
      <c r="D1424" s="3"/>
      <c r="E1424" s="3"/>
      <c r="F1424" s="3"/>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row>
    <row r="1425">
      <c r="A1425" s="73"/>
      <c r="B1425" s="74"/>
      <c r="C1425" s="74"/>
      <c r="D1425" s="3"/>
      <c r="E1425" s="3"/>
      <c r="F1425" s="3"/>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row>
    <row r="1426">
      <c r="A1426" s="73"/>
      <c r="B1426" s="74"/>
      <c r="C1426" s="74"/>
      <c r="D1426" s="3"/>
      <c r="E1426" s="3"/>
      <c r="F1426" s="3"/>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row>
    <row r="1427">
      <c r="A1427" s="73"/>
      <c r="B1427" s="74"/>
      <c r="C1427" s="74"/>
      <c r="D1427" s="3"/>
      <c r="E1427" s="3"/>
      <c r="F1427" s="3"/>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row>
    <row r="1428">
      <c r="A1428" s="73"/>
      <c r="B1428" s="74"/>
      <c r="C1428" s="74"/>
      <c r="D1428" s="3"/>
      <c r="E1428" s="3"/>
      <c r="F1428" s="3"/>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row>
    <row r="1429">
      <c r="A1429" s="73"/>
      <c r="B1429" s="74"/>
      <c r="C1429" s="74"/>
      <c r="D1429" s="3"/>
      <c r="E1429" s="3"/>
      <c r="F1429" s="3"/>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row>
    <row r="1430">
      <c r="A1430" s="73"/>
      <c r="B1430" s="74"/>
      <c r="C1430" s="74"/>
      <c r="D1430" s="3"/>
      <c r="E1430" s="3"/>
      <c r="F1430" s="3"/>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row>
    <row r="1431">
      <c r="A1431" s="73"/>
      <c r="B1431" s="74"/>
      <c r="C1431" s="74"/>
      <c r="D1431" s="3"/>
      <c r="E1431" s="3"/>
      <c r="F1431" s="3"/>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row>
    <row r="1432">
      <c r="A1432" s="73"/>
      <c r="B1432" s="74"/>
      <c r="C1432" s="74"/>
      <c r="D1432" s="3"/>
      <c r="E1432" s="3"/>
      <c r="F1432" s="3"/>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row>
    <row r="1433">
      <c r="A1433" s="73"/>
      <c r="B1433" s="74"/>
      <c r="C1433" s="74"/>
      <c r="D1433" s="3"/>
      <c r="E1433" s="3"/>
      <c r="F1433" s="3"/>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row>
    <row r="1434">
      <c r="A1434" s="73"/>
      <c r="B1434" s="74"/>
      <c r="C1434" s="74"/>
      <c r="D1434" s="3"/>
      <c r="E1434" s="3"/>
      <c r="F1434" s="3"/>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row>
    <row r="1435">
      <c r="A1435" s="73"/>
      <c r="B1435" s="74"/>
      <c r="C1435" s="74"/>
      <c r="D1435" s="3"/>
      <c r="E1435" s="3"/>
      <c r="F1435" s="3"/>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row>
    <row r="1436">
      <c r="A1436" s="73"/>
      <c r="B1436" s="74"/>
      <c r="C1436" s="74"/>
      <c r="D1436" s="3"/>
      <c r="E1436" s="3"/>
      <c r="F1436" s="3"/>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row>
    <row r="1437">
      <c r="A1437" s="73"/>
      <c r="B1437" s="74"/>
      <c r="C1437" s="74"/>
      <c r="D1437" s="3"/>
      <c r="E1437" s="3"/>
      <c r="F1437" s="3"/>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row>
    <row r="1438">
      <c r="A1438" s="73"/>
      <c r="B1438" s="74"/>
      <c r="C1438" s="74"/>
      <c r="D1438" s="3"/>
      <c r="E1438" s="3"/>
      <c r="F1438" s="3"/>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row>
    <row r="1439">
      <c r="A1439" s="73"/>
      <c r="B1439" s="74"/>
      <c r="C1439" s="74"/>
      <c r="D1439" s="3"/>
      <c r="E1439" s="3"/>
      <c r="F1439" s="3"/>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row>
    <row r="1440">
      <c r="A1440" s="73"/>
      <c r="B1440" s="74"/>
      <c r="C1440" s="74"/>
      <c r="D1440" s="3"/>
      <c r="E1440" s="3"/>
      <c r="F1440" s="3"/>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row>
    <row r="1441">
      <c r="A1441" s="73"/>
      <c r="B1441" s="74"/>
      <c r="C1441" s="74"/>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row>
    <row r="1442">
      <c r="A1442" s="73"/>
      <c r="B1442" s="74"/>
      <c r="C1442" s="74"/>
      <c r="D1442" s="3"/>
      <c r="E1442" s="3"/>
      <c r="F1442" s="3"/>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row>
    <row r="1443">
      <c r="A1443" s="73"/>
      <c r="B1443" s="74"/>
      <c r="C1443" s="74"/>
      <c r="D1443" s="3"/>
      <c r="E1443" s="3"/>
      <c r="F1443" s="3"/>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row>
    <row r="1444">
      <c r="A1444" s="73"/>
      <c r="B1444" s="74"/>
      <c r="C1444" s="74"/>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row>
    <row r="1445">
      <c r="A1445" s="73"/>
      <c r="B1445" s="74"/>
      <c r="C1445" s="74"/>
      <c r="D1445" s="3"/>
      <c r="E1445" s="3"/>
      <c r="F1445" s="3"/>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row>
    <row r="1446">
      <c r="A1446" s="73"/>
      <c r="B1446" s="74"/>
      <c r="C1446" s="74"/>
      <c r="D1446" s="3"/>
      <c r="E1446" s="3"/>
      <c r="F1446" s="3"/>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row>
    <row r="1447">
      <c r="A1447" s="73"/>
      <c r="B1447" s="74"/>
      <c r="C1447" s="74"/>
      <c r="D1447" s="3"/>
      <c r="E1447" s="3"/>
      <c r="F1447" s="3"/>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row>
    <row r="1448">
      <c r="A1448" s="73"/>
      <c r="B1448" s="74"/>
      <c r="C1448" s="74"/>
      <c r="D1448" s="3"/>
      <c r="E1448" s="3"/>
      <c r="F1448" s="3"/>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row>
    <row r="1449">
      <c r="A1449" s="73"/>
      <c r="B1449" s="74"/>
      <c r="C1449" s="74"/>
      <c r="D1449" s="3"/>
      <c r="E1449" s="3"/>
      <c r="F1449" s="3"/>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row>
    <row r="1450">
      <c r="A1450" s="73"/>
      <c r="B1450" s="74"/>
      <c r="C1450" s="74"/>
      <c r="D1450" s="3"/>
      <c r="E1450" s="3"/>
      <c r="F1450" s="3"/>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row>
    <row r="1451">
      <c r="A1451" s="73"/>
      <c r="B1451" s="74"/>
      <c r="C1451" s="74"/>
      <c r="D1451" s="3"/>
      <c r="E1451" s="3"/>
      <c r="F1451" s="3"/>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row>
    <row r="1452">
      <c r="A1452" s="73"/>
      <c r="B1452" s="74"/>
      <c r="C1452" s="74"/>
      <c r="D1452" s="3"/>
      <c r="E1452" s="3"/>
      <c r="F1452" s="3"/>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row>
    <row r="1453">
      <c r="A1453" s="73"/>
      <c r="B1453" s="74"/>
      <c r="C1453" s="74"/>
      <c r="D1453" s="3"/>
      <c r="E1453" s="3"/>
      <c r="F1453" s="3"/>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row>
    <row r="1454">
      <c r="A1454" s="73"/>
      <c r="B1454" s="74"/>
      <c r="C1454" s="74"/>
      <c r="D1454" s="3"/>
      <c r="E1454" s="3"/>
      <c r="F1454" s="3"/>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row>
    <row r="1455">
      <c r="A1455" s="73"/>
      <c r="B1455" s="74"/>
      <c r="C1455" s="74"/>
      <c r="D1455" s="3"/>
      <c r="E1455" s="3"/>
      <c r="F1455" s="3"/>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row>
    <row r="1456">
      <c r="A1456" s="73"/>
      <c r="B1456" s="74"/>
      <c r="C1456" s="74"/>
      <c r="D1456" s="3"/>
      <c r="E1456" s="3"/>
      <c r="F1456" s="3"/>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row>
    <row r="1457">
      <c r="A1457" s="73"/>
      <c r="B1457" s="74"/>
      <c r="C1457" s="74"/>
      <c r="D1457" s="3"/>
      <c r="E1457" s="3"/>
      <c r="F1457" s="3"/>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row>
    <row r="1458">
      <c r="A1458" s="73"/>
      <c r="B1458" s="74"/>
      <c r="C1458" s="74"/>
      <c r="D1458" s="3"/>
      <c r="E1458" s="3"/>
      <c r="F1458" s="3"/>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row>
    <row r="1459">
      <c r="A1459" s="73"/>
      <c r="B1459" s="74"/>
      <c r="C1459" s="74"/>
      <c r="D1459" s="3"/>
      <c r="E1459" s="3"/>
      <c r="F1459" s="3"/>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row>
    <row r="1460">
      <c r="A1460" s="73"/>
      <c r="B1460" s="74"/>
      <c r="C1460" s="74"/>
      <c r="D1460" s="3"/>
      <c r="E1460" s="3"/>
      <c r="F1460" s="3"/>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row>
    <row r="1461">
      <c r="A1461" s="73"/>
      <c r="B1461" s="74"/>
      <c r="C1461" s="74"/>
      <c r="D1461" s="3"/>
      <c r="E1461" s="3"/>
      <c r="F1461" s="3"/>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row>
    <row r="1462">
      <c r="A1462" s="73"/>
      <c r="B1462" s="74"/>
      <c r="C1462" s="74"/>
      <c r="D1462" s="3"/>
      <c r="E1462" s="3"/>
      <c r="F1462" s="3"/>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row>
    <row r="1463">
      <c r="A1463" s="73"/>
      <c r="B1463" s="74"/>
      <c r="C1463" s="74"/>
      <c r="D1463" s="3"/>
      <c r="E1463" s="3"/>
      <c r="F1463" s="3"/>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row>
    <row r="1464">
      <c r="A1464" s="73"/>
      <c r="B1464" s="74"/>
      <c r="C1464" s="74"/>
      <c r="D1464" s="3"/>
      <c r="E1464" s="3"/>
      <c r="F1464" s="3"/>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row>
    <row r="1465">
      <c r="A1465" s="73"/>
      <c r="B1465" s="74"/>
      <c r="C1465" s="74"/>
      <c r="D1465" s="3"/>
      <c r="E1465" s="3"/>
      <c r="F1465" s="3"/>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row>
    <row r="1466">
      <c r="A1466" s="73"/>
      <c r="B1466" s="74"/>
      <c r="C1466" s="74"/>
      <c r="D1466" s="3"/>
      <c r="E1466" s="3"/>
      <c r="F1466" s="3"/>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row>
    <row r="1467">
      <c r="A1467" s="73"/>
      <c r="B1467" s="74"/>
      <c r="C1467" s="74"/>
      <c r="D1467" s="3"/>
      <c r="E1467" s="3"/>
      <c r="F1467" s="3"/>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row>
    <row r="1468">
      <c r="A1468" s="73"/>
      <c r="B1468" s="74"/>
      <c r="C1468" s="74"/>
      <c r="D1468" s="3"/>
      <c r="E1468" s="3"/>
      <c r="F1468" s="3"/>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row>
    <row r="1469">
      <c r="A1469" s="73"/>
      <c r="B1469" s="74"/>
      <c r="C1469" s="74"/>
      <c r="D1469" s="3"/>
      <c r="E1469" s="3"/>
      <c r="F1469" s="3"/>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row>
    <row r="1470">
      <c r="A1470" s="73"/>
      <c r="B1470" s="74"/>
      <c r="C1470" s="74"/>
      <c r="D1470" s="3"/>
      <c r="E1470" s="3"/>
      <c r="F1470" s="3"/>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row>
    <row r="1471">
      <c r="A1471" s="73"/>
      <c r="B1471" s="74"/>
      <c r="C1471" s="74"/>
      <c r="D1471" s="3"/>
      <c r="E1471" s="3"/>
      <c r="F1471" s="3"/>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row>
    <row r="1472">
      <c r="A1472" s="73"/>
      <c r="B1472" s="74"/>
      <c r="C1472" s="74"/>
      <c r="D1472" s="3"/>
      <c r="E1472" s="3"/>
      <c r="F1472" s="3"/>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row>
    <row r="1473">
      <c r="A1473" s="73"/>
      <c r="B1473" s="74"/>
      <c r="C1473" s="74"/>
      <c r="D1473" s="3"/>
      <c r="E1473" s="3"/>
      <c r="F1473" s="3"/>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row>
    <row r="1474">
      <c r="A1474" s="73"/>
      <c r="B1474" s="74"/>
      <c r="C1474" s="74"/>
      <c r="D1474" s="3"/>
      <c r="E1474" s="3"/>
      <c r="F1474" s="3"/>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row>
    <row r="1475">
      <c r="A1475" s="73"/>
      <c r="B1475" s="74"/>
      <c r="C1475" s="74"/>
      <c r="D1475" s="3"/>
      <c r="E1475" s="3"/>
      <c r="F1475" s="3"/>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row>
    <row r="1476">
      <c r="A1476" s="73"/>
      <c r="B1476" s="74"/>
      <c r="C1476" s="74"/>
      <c r="D1476" s="3"/>
      <c r="E1476" s="3"/>
      <c r="F1476" s="3"/>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row>
    <row r="1477">
      <c r="A1477" s="73"/>
      <c r="B1477" s="74"/>
      <c r="C1477" s="74"/>
      <c r="D1477" s="3"/>
      <c r="E1477" s="3"/>
      <c r="F1477" s="3"/>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row>
    <row r="1478">
      <c r="A1478" s="73"/>
      <c r="B1478" s="74"/>
      <c r="C1478" s="74"/>
      <c r="D1478" s="3"/>
      <c r="E1478" s="3"/>
      <c r="F1478" s="3"/>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row>
    <row r="1479">
      <c r="A1479" s="73"/>
      <c r="B1479" s="74"/>
      <c r="C1479" s="74"/>
      <c r="D1479" s="3"/>
      <c r="E1479" s="3"/>
      <c r="F1479" s="3"/>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row>
    <row r="1480">
      <c r="A1480" s="73"/>
      <c r="B1480" s="74"/>
      <c r="C1480" s="74"/>
      <c r="D1480" s="3"/>
      <c r="E1480" s="3"/>
      <c r="F1480" s="3"/>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row>
    <row r="1481">
      <c r="A1481" s="73"/>
      <c r="B1481" s="74"/>
      <c r="C1481" s="74"/>
      <c r="D1481" s="3"/>
      <c r="E1481" s="3"/>
      <c r="F1481" s="3"/>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row>
    <row r="1482">
      <c r="A1482" s="73"/>
      <c r="B1482" s="74"/>
      <c r="C1482" s="74"/>
      <c r="D1482" s="3"/>
      <c r="E1482" s="3"/>
      <c r="F1482" s="3"/>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row>
    <row r="1483">
      <c r="A1483" s="73"/>
      <c r="B1483" s="74"/>
      <c r="C1483" s="74"/>
      <c r="D1483" s="3"/>
      <c r="E1483" s="3"/>
      <c r="F1483" s="3"/>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row>
    <row r="1484">
      <c r="A1484" s="73"/>
      <c r="B1484" s="74"/>
      <c r="C1484" s="74"/>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row>
    <row r="1485">
      <c r="A1485" s="73"/>
      <c r="B1485" s="74"/>
      <c r="C1485" s="74"/>
      <c r="D1485" s="3"/>
      <c r="E1485" s="3"/>
      <c r="F1485" s="3"/>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row>
    <row r="1486">
      <c r="A1486" s="73"/>
      <c r="B1486" s="74"/>
      <c r="C1486" s="74"/>
      <c r="D1486" s="3"/>
      <c r="E1486" s="3"/>
      <c r="F1486" s="3"/>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row>
    <row r="1487">
      <c r="A1487" s="73"/>
      <c r="B1487" s="74"/>
      <c r="C1487" s="74"/>
      <c r="D1487" s="3"/>
      <c r="E1487" s="3"/>
      <c r="F1487" s="3"/>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row>
  </sheetData>
  <customSheetViews>
    <customSheetView guid="{782936E1-4790-4A09-97ED-27B8C1AB4746}" filter="1" showAutoFilter="1">
      <autoFilter ref="$A$1:$W$275"/>
    </customSheetView>
  </customSheetViews>
  <dataValidations>
    <dataValidation type="list" allowBlank="1" showErrorMessage="1" sqref="C277:C292">
      <formula1>"Tuần 1,Tuần 2,Tuần 3,Tuần 4"</formula1>
    </dataValidation>
    <dataValidation type="list" allowBlank="1" sqref="C2:C275">
      <formula1>"Tuần 1,Tuần 2,Tuần 3,Tuần 4"</formula1>
    </dataValidation>
    <dataValidation type="list" allowBlank="1" showErrorMessage="1" sqref="N2:N275 T2:T275">
      <formula1>"Pass,Fail,N/R"</formula1>
    </dataValidation>
    <dataValidation type="list" allowBlank="1" showErrorMessage="1" sqref="P276:P741 V276:V741">
      <formula1>"New,Reopent,InProcess,Resoved,Reject,dev done"</formula1>
    </dataValidation>
    <dataValidation type="list" allowBlank="1" showErrorMessage="1" sqref="N276:N741 T276:T741">
      <formula1>"Pass,Fail,N/R"</formula1>
    </dataValidation>
    <dataValidation type="list" allowBlank="1" showErrorMessage="1" sqref="P2:P275 V2:V275">
      <formula1>"New,Reopent,InProcess,Resoved,Reject,dev done"</formula1>
    </dataValidation>
  </dataValidations>
  <hyperlinks>
    <hyperlink r:id="rId1" ref="G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46"/>
    <hyperlink r:id="rId38" ref="M47"/>
    <hyperlink r:id="rId39" ref="M98"/>
    <hyperlink r:id="rId40" ref="M99"/>
    <hyperlink r:id="rId41" ref="M100"/>
    <hyperlink r:id="rId42" ref="M101"/>
    <hyperlink r:id="rId43" ref="M102"/>
    <hyperlink r:id="rId44" ref="M103"/>
    <hyperlink r:id="rId45" ref="M104"/>
    <hyperlink r:id="rId46" ref="M105"/>
    <hyperlink r:id="rId47" ref="M106"/>
    <hyperlink r:id="rId48" ref="M107"/>
    <hyperlink r:id="rId49" ref="M108"/>
    <hyperlink r:id="rId50" ref="M109"/>
    <hyperlink r:id="rId51" ref="M110"/>
    <hyperlink r:id="rId52" ref="M111"/>
    <hyperlink r:id="rId53" ref="M112"/>
    <hyperlink r:id="rId54" ref="M113"/>
    <hyperlink r:id="rId55" ref="M114"/>
    <hyperlink r:id="rId56" ref="M115"/>
    <hyperlink r:id="rId57" ref="M116"/>
    <hyperlink r:id="rId58" ref="M117"/>
    <hyperlink r:id="rId59" ref="M118"/>
    <hyperlink r:id="rId60" ref="M119"/>
    <hyperlink r:id="rId61" ref="M120"/>
    <hyperlink r:id="rId62" ref="M121"/>
    <hyperlink r:id="rId63" ref="M122"/>
    <hyperlink r:id="rId64" ref="M123"/>
    <hyperlink r:id="rId65" ref="M124"/>
    <hyperlink r:id="rId66" ref="M125"/>
    <hyperlink r:id="rId67" ref="M126"/>
    <hyperlink r:id="rId68" ref="M127"/>
    <hyperlink r:id="rId69" ref="M128"/>
    <hyperlink r:id="rId70" ref="M129"/>
    <hyperlink r:id="rId71" ref="M131"/>
    <hyperlink r:id="rId72" ref="M132"/>
    <hyperlink r:id="rId73" ref="M133"/>
    <hyperlink r:id="rId74" ref="M134"/>
    <hyperlink r:id="rId75" ref="M135"/>
    <hyperlink r:id="rId76" ref="M136"/>
    <hyperlink r:id="rId77" ref="M138"/>
    <hyperlink r:id="rId78" ref="M139"/>
    <hyperlink r:id="rId79" ref="M140"/>
    <hyperlink r:id="rId80" ref="M141"/>
    <hyperlink r:id="rId81" ref="M142"/>
    <hyperlink r:id="rId82" ref="M143"/>
    <hyperlink r:id="rId83" ref="M144"/>
    <hyperlink r:id="rId84" ref="M145"/>
    <hyperlink r:id="rId85" ref="M146"/>
    <hyperlink r:id="rId86" ref="M148"/>
    <hyperlink r:id="rId87" ref="M149"/>
    <hyperlink r:id="rId88" ref="M150"/>
    <hyperlink r:id="rId89" ref="M151"/>
    <hyperlink r:id="rId90" ref="M152"/>
    <hyperlink r:id="rId91" ref="M153"/>
    <hyperlink r:id="rId92" ref="M154"/>
    <hyperlink r:id="rId93" ref="M155"/>
    <hyperlink r:id="rId94" ref="M156"/>
    <hyperlink r:id="rId95" ref="M157"/>
    <hyperlink r:id="rId96" ref="M158"/>
    <hyperlink r:id="rId97" ref="M159"/>
    <hyperlink r:id="rId98" ref="M161"/>
    <hyperlink r:id="rId99" ref="M162"/>
    <hyperlink r:id="rId100" ref="M163"/>
    <hyperlink r:id="rId101" ref="M164"/>
    <hyperlink r:id="rId102" ref="M165"/>
    <hyperlink r:id="rId103" ref="M166"/>
    <hyperlink r:id="rId104" ref="M167"/>
    <hyperlink r:id="rId105" ref="M168"/>
    <hyperlink r:id="rId106" ref="M170"/>
    <hyperlink r:id="rId107" ref="M171"/>
    <hyperlink r:id="rId108" ref="M172"/>
    <hyperlink r:id="rId109" ref="M173"/>
    <hyperlink r:id="rId110" ref="M174"/>
    <hyperlink r:id="rId111" ref="M175"/>
    <hyperlink r:id="rId112" ref="M176"/>
    <hyperlink r:id="rId113" ref="M177"/>
    <hyperlink r:id="rId114" ref="M178"/>
    <hyperlink r:id="rId115" ref="M179"/>
    <hyperlink r:id="rId116" ref="M180"/>
    <hyperlink r:id="rId117" ref="M181"/>
    <hyperlink r:id="rId118" ref="M183"/>
    <hyperlink r:id="rId119" ref="M184"/>
    <hyperlink r:id="rId120" ref="M185"/>
    <hyperlink r:id="rId121" ref="M186"/>
    <hyperlink r:id="rId122" ref="M187"/>
    <hyperlink r:id="rId123" ref="M188"/>
    <hyperlink r:id="rId124" ref="M189"/>
    <hyperlink r:id="rId125" ref="M190"/>
    <hyperlink r:id="rId126" ref="M191"/>
    <hyperlink r:id="rId127" ref="M192"/>
    <hyperlink r:id="rId128" ref="M193"/>
    <hyperlink r:id="rId129" ref="M196"/>
    <hyperlink r:id="rId130" ref="M197"/>
    <hyperlink r:id="rId131" ref="M198"/>
    <hyperlink r:id="rId132" ref="M199"/>
    <hyperlink r:id="rId133" ref="M200"/>
    <hyperlink r:id="rId134" ref="M201"/>
    <hyperlink r:id="rId135" ref="M202"/>
    <hyperlink r:id="rId136" ref="M203"/>
    <hyperlink r:id="rId137" ref="M204"/>
    <hyperlink r:id="rId138" ref="M205"/>
    <hyperlink r:id="rId139" ref="M207"/>
    <hyperlink r:id="rId140" ref="M208"/>
    <hyperlink r:id="rId141" ref="M209"/>
    <hyperlink r:id="rId142" ref="M210"/>
    <hyperlink r:id="rId143" ref="M211"/>
    <hyperlink r:id="rId144" ref="M212"/>
    <hyperlink r:id="rId145" ref="M213"/>
    <hyperlink r:id="rId146" ref="M214"/>
    <hyperlink r:id="rId147" ref="M215"/>
    <hyperlink r:id="rId148" ref="M216"/>
    <hyperlink r:id="rId149" ref="M217"/>
    <hyperlink r:id="rId150" ref="M218"/>
    <hyperlink r:id="rId151" ref="M221"/>
    <hyperlink r:id="rId152" ref="M222"/>
    <hyperlink r:id="rId153" ref="M223"/>
    <hyperlink r:id="rId154" ref="M224"/>
    <hyperlink r:id="rId155" ref="M225"/>
    <hyperlink r:id="rId156" ref="M226"/>
    <hyperlink r:id="rId157" ref="M227"/>
    <hyperlink r:id="rId158" ref="M228"/>
    <hyperlink r:id="rId159" ref="M229"/>
    <hyperlink r:id="rId160" ref="M230"/>
    <hyperlink r:id="rId161" ref="M231"/>
    <hyperlink r:id="rId162" ref="M232"/>
    <hyperlink r:id="rId163" ref="M233"/>
    <hyperlink r:id="rId164" ref="M234"/>
    <hyperlink r:id="rId165" ref="M235"/>
    <hyperlink r:id="rId166" ref="M238"/>
    <hyperlink r:id="rId167" ref="M239"/>
    <hyperlink r:id="rId168" ref="M240"/>
    <hyperlink r:id="rId169" ref="M241"/>
    <hyperlink r:id="rId170" ref="M242"/>
    <hyperlink r:id="rId171" ref="M243"/>
    <hyperlink r:id="rId172" ref="M245"/>
    <hyperlink r:id="rId173" ref="M246"/>
    <hyperlink r:id="rId174" ref="M247"/>
    <hyperlink r:id="rId175" ref="M248"/>
    <hyperlink r:id="rId176" ref="M249"/>
    <hyperlink r:id="rId177" ref="M250"/>
    <hyperlink r:id="rId178" ref="M251"/>
    <hyperlink r:id="rId179" ref="M252"/>
    <hyperlink r:id="rId180" ref="M253"/>
    <hyperlink r:id="rId181" ref="M254"/>
    <hyperlink r:id="rId182" ref="M255"/>
    <hyperlink r:id="rId183" ref="M256"/>
    <hyperlink r:id="rId184" ref="M257"/>
    <hyperlink r:id="rId185" ref="M258"/>
    <hyperlink r:id="rId186" ref="M259"/>
    <hyperlink r:id="rId187" ref="M260"/>
    <hyperlink r:id="rId188" ref="M261"/>
    <hyperlink r:id="rId189" ref="M262"/>
    <hyperlink r:id="rId190" ref="M263"/>
    <hyperlink r:id="rId191" ref="M264"/>
    <hyperlink r:id="rId192" ref="M265"/>
    <hyperlink r:id="rId193" ref="M267"/>
    <hyperlink r:id="rId194" ref="M268"/>
    <hyperlink r:id="rId195" ref="M269"/>
    <hyperlink r:id="rId196" ref="M270"/>
    <hyperlink r:id="rId197" ref="M273"/>
    <hyperlink r:id="rId198" ref="M275"/>
    <hyperlink r:id="rId199" ref="H277"/>
    <hyperlink r:id="rId200" ref="O277"/>
    <hyperlink r:id="rId201" ref="M283"/>
    <hyperlink r:id="rId202" ref="M284"/>
    <hyperlink r:id="rId203" ref="M285"/>
    <hyperlink r:id="rId204" ref="M286"/>
    <hyperlink r:id="rId205" ref="M287"/>
    <hyperlink r:id="rId206" ref="M288"/>
    <hyperlink r:id="rId207" ref="M289"/>
    <hyperlink r:id="rId208" ref="M291"/>
    <hyperlink r:id="rId209" ref="M296"/>
    <hyperlink r:id="rId210" ref="M302"/>
    <hyperlink r:id="rId211" ref="M309"/>
    <hyperlink r:id="rId212" ref="M310"/>
    <hyperlink r:id="rId213" ref="M311"/>
    <hyperlink r:id="rId214" ref="M312"/>
    <hyperlink r:id="rId215" ref="M313"/>
    <hyperlink r:id="rId216" ref="M314"/>
    <hyperlink r:id="rId217" ref="M315"/>
    <hyperlink r:id="rId218" ref="M332"/>
    <hyperlink r:id="rId219" ref="M333"/>
  </hyperlinks>
  <drawing r:id="rId220"/>
  <tableParts count="1">
    <tablePart r:id="rId22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8" max="8" width="2.0"/>
  </cols>
  <sheetData>
    <row r="1">
      <c r="A1" s="77"/>
      <c r="B1" s="78"/>
      <c r="C1" s="79" t="s">
        <v>27</v>
      </c>
      <c r="D1" s="80"/>
      <c r="E1" s="80"/>
      <c r="F1" s="80"/>
      <c r="G1" s="78"/>
      <c r="H1" s="81"/>
      <c r="I1" s="82" t="s">
        <v>1037</v>
      </c>
      <c r="J1" s="80"/>
      <c r="K1" s="80"/>
      <c r="L1" s="80"/>
      <c r="M1" s="80"/>
      <c r="N1" s="78"/>
    </row>
    <row r="2">
      <c r="A2" s="83" t="s">
        <v>1818</v>
      </c>
      <c r="B2" s="83" t="s">
        <v>1819</v>
      </c>
      <c r="C2" s="84">
        <v>46171.0</v>
      </c>
      <c r="D2" s="84">
        <v>46203.0</v>
      </c>
      <c r="E2" s="84">
        <v>46204.0</v>
      </c>
      <c r="F2" s="84">
        <v>46205.0</v>
      </c>
      <c r="G2" s="84">
        <v>46206.0</v>
      </c>
      <c r="H2" s="85"/>
      <c r="I2" s="84">
        <v>46209.0</v>
      </c>
      <c r="J2" s="84">
        <v>46210.0</v>
      </c>
      <c r="K2" s="84">
        <v>46211.0</v>
      </c>
      <c r="L2" s="84">
        <v>46212.0</v>
      </c>
      <c r="M2" s="84">
        <v>46213.0</v>
      </c>
      <c r="N2" s="84">
        <v>46214.0</v>
      </c>
    </row>
    <row r="3">
      <c r="A3" s="86" t="s">
        <v>1820</v>
      </c>
      <c r="B3" s="87"/>
      <c r="C3" s="87"/>
      <c r="D3" s="87"/>
      <c r="E3" s="87"/>
      <c r="F3" s="87"/>
      <c r="G3" s="87"/>
      <c r="H3" s="88"/>
      <c r="I3" s="88"/>
      <c r="J3" s="88"/>
      <c r="K3" s="88"/>
      <c r="L3" s="88"/>
      <c r="M3" s="88"/>
      <c r="N3" s="88"/>
    </row>
  </sheetData>
  <mergeCells count="3">
    <mergeCell ref="A1:B1"/>
    <mergeCell ref="C1:G1"/>
    <mergeCell ref="I1:N1"/>
  </mergeCells>
  <drawing r:id="rId1"/>
</worksheet>
</file>