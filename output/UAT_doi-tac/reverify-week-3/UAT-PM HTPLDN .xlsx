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_TGPL Doanh Nghiệp-tuần 1" sheetId="1" r:id="rId5"/>
    <sheet state="visible" name="UAT_TGPL Doanh Nghiệp-tuần 2" sheetId="2" r:id="rId6"/>
    <sheet state="visible" name="UAT_TGPL Doanh Nghiệp-tuần 3" sheetId="3" r:id="rId7"/>
    <sheet state="visible" name="Tổng hợp tiến độ" sheetId="4" r:id="rId8"/>
  </sheets>
  <definedNames>
    <definedName name="A1P2P20000">#REF!</definedName>
    <definedName hidden="1" localSheetId="0" name="_xlnm._FilterDatabase">'UAT_TGPL Doanh Nghiệp-tuần 1'!$A$1:$X$275</definedName>
    <definedName hidden="1" localSheetId="2" name="_xlnm._FilterDatabase">'UAT_TGPL Doanh Nghiệp-tuần 3'!$A$1:$AD$301</definedName>
    <definedName hidden="1" localSheetId="0" name="Z_8CB6F74A_B712_4829_851B_571B65408413_.wvu.FilterData">'UAT_TGPL Doanh Nghiệp-tuần 1'!$A$1:$X$275</definedName>
    <definedName hidden="1" localSheetId="0" name="Z_066F75C6_1F8A_4704_9F06_25444D1797D3_.wvu.FilterData">'UAT_TGPL Doanh Nghiệp-tuần 1'!$A$1:$X$275</definedName>
  </definedNames>
  <calcPr/>
  <customWorkbookViews>
    <customWorkbookView activeSheetId="0" maximized="1" windowHeight="0" windowWidth="0" guid="{8CB6F74A-B712-4829-851B-571B65408413}" name="Bộ lọc 1"/>
    <customWorkbookView activeSheetId="0" maximized="1" windowHeight="0" windowWidth="0" guid="{066F75C6-1F8A-4704-9F06-25444D1797D3}" name="Dopai_Linh"/>
  </customWorkbookViews>
</workbook>
</file>

<file path=xl/sharedStrings.xml><?xml version="1.0" encoding="utf-8"?>
<sst xmlns="http://schemas.openxmlformats.org/spreadsheetml/2006/main" count="6367" uniqueCount="3174">
  <si>
    <t>Tên</t>
  </si>
  <si>
    <t>STT</t>
  </si>
  <si>
    <t>Tuần</t>
  </si>
  <si>
    <t>Mã TC</t>
  </si>
  <si>
    <t>Tên chức năng</t>
  </si>
  <si>
    <t>Tác nhân
"cbnv_tw        Test@1234
cbnv_bn        Test@1234
cbnv_dp Test@1234
cbpd_tw Test@1234
cbpd_bn Test@1234
cbpd_dp Test@1234"</t>
  </si>
  <si>
    <t>Mô tả</t>
  </si>
  <si>
    <t>Điều kiện</t>
  </si>
  <si>
    <t>Dữ liệu đầu vào</t>
  </si>
  <si>
    <t>Các bước thực hiện</t>
  </si>
  <si>
    <t>Kết quả mong đợi</t>
  </si>
  <si>
    <t>Kết quả thực tế</t>
  </si>
  <si>
    <t>Ảnh/vieo 1</t>
  </si>
  <si>
    <t>Trạng thái 1</t>
  </si>
  <si>
    <t>TKM phản hồi lần 1</t>
  </si>
  <si>
    <t>Trạng thái dev fix 1</t>
  </si>
  <si>
    <t>Verify</t>
  </si>
  <si>
    <t>DEV phản hồi lần 1</t>
  </si>
  <si>
    <t>Kết quả thực tế lần 2</t>
  </si>
  <si>
    <t>Ảnh/video 2</t>
  </si>
  <si>
    <t>Trạng thái 2</t>
  </si>
  <si>
    <t>TKM phản hồi lần 2</t>
  </si>
  <si>
    <t>Trạng thái dev fix 2</t>
  </si>
  <si>
    <t>DEV phản hồi lần 2</t>
  </si>
  <si>
    <t>I</t>
  </si>
  <si>
    <t>Dashboard</t>
  </si>
  <si>
    <t>cbnv_tw        Test@1234
cbnv_bn        Test@1234
cbnv_dp Test@1234
cbpd_tw Test@1234
cbpd_bn Test@1234
cbpd_dp Test@1234</t>
  </si>
  <si>
    <t>https://htpldn-uat.ospgroup.vn/login</t>
  </si>
  <si>
    <t>Tuần 1</t>
  </si>
  <si>
    <t>DB_01</t>
  </si>
  <si>
    <t>Cán bộ nghiệp vụ TW,BN,ĐP/Cán bộ phê duyệt TW,BN,ĐP</t>
  </si>
  <si>
    <t>Mở Dashboard thành công</t>
  </si>
  <si>
    <t>Đăng nhập hợp lệ</t>
  </si>
  <si>
    <t>Không có</t>
  </si>
  <si>
    <t>1. Đăng nhập
 2. Mở Tổng quan hệ thống</t>
  </si>
  <si>
    <t>Hiển thị Dashboard, loading các widget</t>
  </si>
  <si>
    <t>DB_01.png</t>
  </si>
  <si>
    <t>Pass</t>
  </si>
  <si>
    <t>DB_02</t>
  </si>
  <si>
    <t>Kiểm tra giá trị mặc định</t>
  </si>
  <si>
    <t>Có quyền xem</t>
  </si>
  <si>
    <t>Mở Dashboard</t>
  </si>
  <si>
    <t>Năm hiện tại, phạm vi đúng quyền, đơn vị đúng theo vai trò</t>
  </si>
  <si>
    <t>DB_03</t>
  </si>
  <si>
    <t>Người dùng TW xem toàn quốc</t>
  </si>
  <si>
    <t>TK Trung ương</t>
  </si>
  <si>
    <t>Xem được dữ liệu toàn quốc</t>
  </si>
  <si>
    <t>DB_04</t>
  </si>
  <si>
    <t>Người dùng Bộ chỉ xem đơn vị mình</t>
  </si>
  <si>
    <t>TK Bộ</t>
  </si>
  <si>
    <t>Không xem dữ liệu đơn vị khác</t>
  </si>
  <si>
    <t>DB_04.png</t>
  </si>
  <si>
    <t>DB_05</t>
  </si>
  <si>
    <t>Người dùng ĐP chỉ xem địa phương</t>
  </si>
  <si>
    <t>TK ĐP</t>
  </si>
  <si>
    <t>Không đổi được đơn vị</t>
  </si>
  <si>
    <t>DB_05.png</t>
  </si>
  <si>
    <t>DB_06</t>
  </si>
  <si>
    <t>Lọc theo năm</t>
  </si>
  <si>
    <t>Có dữ liệu</t>
  </si>
  <si>
    <t>Chọn năm-&gt;Áp dụng</t>
  </si>
  <si>
    <t>Các chỉ số cập nhật đúng</t>
  </si>
  <si>
    <t>Chức năng lọc thông tin theo năm không chính xác</t>
  </si>
  <si>
    <t>DB_06.mp4</t>
  </si>
  <si>
    <t>Fail</t>
  </si>
  <si>
    <t>dev done</t>
  </si>
  <si>
    <t>DB_07</t>
  </si>
  <si>
    <t>Lọc theo tháng</t>
  </si>
  <si>
    <t>Chọn tháng-&gt;Áp dụng</t>
  </si>
  <si>
    <t>Dữ liệu đúng kỳ</t>
  </si>
  <si>
    <t>Chức năng lọc theo tháng không hoạt động  chính xác</t>
  </si>
  <si>
    <t>DB_07.mp4</t>
  </si>
  <si>
    <t>DB_08</t>
  </si>
  <si>
    <t>Đổi cấp đơn vị</t>
  </si>
  <si>
    <t>TK TW</t>
  </si>
  <si>
    <t>Chọn cấp đơn vị</t>
  </si>
  <si>
    <t>Danh sách đơn vị thay đổi</t>
  </si>
  <si>
    <t>Chức năng đổi cấp đơn vị không hoạt động</t>
  </si>
  <si>
    <t>DB_08.mp4</t>
  </si>
  <si>
    <t>DB_09</t>
  </si>
  <si>
    <t>Xóa bộ lọc</t>
  </si>
  <si>
    <t>Đã lọc</t>
  </si>
  <si>
    <t>Bấm Xóa bộ lọc</t>
  </si>
  <si>
    <t>Trở về mặc định</t>
  </si>
  <si>
    <t>DB_09.png</t>
  </si>
  <si>
    <t>DB_10</t>
  </si>
  <si>
    <t>Làm mới</t>
  </si>
  <si>
    <t>Bấm Làm mới</t>
  </si>
  <si>
    <t>Dữ liệu cập nhật</t>
  </si>
  <si>
    <t>DB_10.png</t>
  </si>
  <si>
    <t>DB_11</t>
  </si>
  <si>
    <t>Hiển thị mũi tên tăng</t>
  </si>
  <si>
    <t>Màu xanh khi tăng</t>
  </si>
  <si>
    <t>DB_11.png</t>
  </si>
  <si>
    <t>DB_12</t>
  </si>
  <si>
    <t>Hiển thị mũi tên giảm</t>
  </si>
  <si>
    <t>Màu đỏ khi giảm</t>
  </si>
  <si>
    <t>DB_13</t>
  </si>
  <si>
    <t>Không có dữ liệu kỳ trước</t>
  </si>
  <si>
    <t>Hiển thị '-'</t>
  </si>
  <si>
    <t>THHDVM_01</t>
  </si>
  <si>
    <t>Tổng hợp hỏi đáp, vướng mắc được gửi về</t>
  </si>
  <si>
    <t>Cung cấp chức năng tổng hợp số liệu và hiển thị chỉ số chính về số lượng yêu cầu hỏi đáp/vướng mắc mới đã tiếp nhận.</t>
  </si>
  <si>
    <t>Số liệu đúng DB</t>
  </si>
  <si>
    <t>THHDVM_01.png</t>
  </si>
  <si>
    <t>THHDVM_02</t>
  </si>
  <si>
    <t>Kiểm tra Hỏi đáp mới</t>
  </si>
  <si>
    <t>THHDVM_03</t>
  </si>
  <si>
    <t>Click Hỏi đáp</t>
  </si>
  <si>
    <t>Click thẻ hỏi đáp mới</t>
  </si>
  <si>
    <t>Mở DS hỏi đáp mới</t>
  </si>
  <si>
    <t>THHDVM_03.png</t>
  </si>
  <si>
    <t>THHDVM_04</t>
  </si>
  <si>
    <t>Khoảng thời gian không có dữ liệu</t>
  </si>
  <si>
    <t>Lọc</t>
  </si>
  <si>
    <t>Hiển thị 0/Không có dữ liệu, không lỗi</t>
  </si>
  <si>
    <t>THHDVM_04.png</t>
  </si>
  <si>
    <t>VVDTN_01</t>
  </si>
  <si>
    <t>Tổng hợp các vụ việc đã tiếp nhận</t>
  </si>
  <si>
    <t>Cung cấp chỉ số tổng số vụ việc đã được ghi nhận vào hệ thống (bao gồm cả đang chờ xử lý).</t>
  </si>
  <si>
    <t>VVDTN_01.png</t>
  </si>
  <si>
    <t>VVDTN_02</t>
  </si>
  <si>
    <t>Click Vụ việc tiếp nhận</t>
  </si>
  <si>
    <t>Click thẻ Vụ việc tiếp nhận</t>
  </si>
  <si>
    <t>Mở DS Vụ việc tiếp nhận</t>
  </si>
  <si>
    <t>VVDTN_02.png</t>
  </si>
  <si>
    <t>VVDTN_03</t>
  </si>
  <si>
    <t>VVDTN_03.png</t>
  </si>
  <si>
    <t>VVDHT_01</t>
  </si>
  <si>
    <t>Tổng hợp các vụ việc đang hỗ trợ</t>
  </si>
  <si>
    <t>Cung cấp chỉ số về số lượng vụ việc đang trong quá trình phân công hoặc đang được chuyên gia thực hiện hỗ trợ.</t>
  </si>
  <si>
    <t>VVDHT_01.png</t>
  </si>
  <si>
    <t>VVDHT_03</t>
  </si>
  <si>
    <t>Click Vụ việc đang xử lý</t>
  </si>
  <si>
    <t xml:space="preserve">Click thẻ vụ việc đang xử lý </t>
  </si>
  <si>
    <t>Mở DS Vụ việc đang xử lý</t>
  </si>
  <si>
    <t>VVDHT_02.png</t>
  </si>
  <si>
    <t>VVDHT_04</t>
  </si>
  <si>
    <t>VVDHT_04.png</t>
  </si>
  <si>
    <t>VVDHTHT_01</t>
  </si>
  <si>
    <t>Tổng hợp các vụ việc đã hoàn thành hỗ trợ</t>
  </si>
  <si>
    <t>Cung cấp chỉ số tổng số vụ việc đã được xử lý xong và đóng hồ sơ.</t>
  </si>
  <si>
    <t>VVDHTHT_01.png</t>
  </si>
  <si>
    <t>VVDHTHT_02</t>
  </si>
  <si>
    <t>Click Vụ việc hoàn thành</t>
  </si>
  <si>
    <t>Click thẻ Vụ việc hoàn thành</t>
  </si>
  <si>
    <t>Mở DS Vụ việc hoàn thành</t>
  </si>
  <si>
    <t>VVDHTHT_02.png</t>
  </si>
  <si>
    <t>VVDHTHT_03</t>
  </si>
  <si>
    <t>VVDHTHT_03.png</t>
  </si>
  <si>
    <t>LDTBDDDR_01</t>
  </si>
  <si>
    <t>Tổng hợp các lớp đào tạo bồi dưỡng đang diễn ra</t>
  </si>
  <si>
    <t>Hiển thị số lượng và danh sách các khóa đào tạo/tập huấn đang mở và đang diễn ra.</t>
  </si>
  <si>
    <t>LDTBDDDR_01.png</t>
  </si>
  <si>
    <t>LDTBDDDR_02</t>
  </si>
  <si>
    <t>Click Đào tạo đang diễn ra</t>
  </si>
  <si>
    <t>Click thẻ Đào tạo đang diễn ra</t>
  </si>
  <si>
    <t>Mở DS Đào tạo đang diễn ra</t>
  </si>
  <si>
    <t>LDTBDDDR_02.png</t>
  </si>
  <si>
    <t>LDTBDDDR_03</t>
  </si>
  <si>
    <t>LDTBDDDR_03.png</t>
  </si>
  <si>
    <t>LDTBDDHT_01</t>
  </si>
  <si>
    <t>Tổng hợp các lớp đào tạo bồi dưỡng đã diễn ra</t>
  </si>
  <si>
    <t>Hiển thị số lượng và danh sách các khóa đào tạo/tập huấn đã hoàn thành và có kết quả.</t>
  </si>
  <si>
    <t>LDTBDDHT_01.png</t>
  </si>
  <si>
    <t>LDTBDDHT_02</t>
  </si>
  <si>
    <t>Click Đào tạo hoàn thành</t>
  </si>
  <si>
    <t>Click thẻ Đào tạo hoàn thành</t>
  </si>
  <si>
    <t>Mở DS Đào tạo hoàn thành</t>
  </si>
  <si>
    <t>LDTBDDHT_02.png</t>
  </si>
  <si>
    <t>LDTBDDHT_03</t>
  </si>
  <si>
    <t>CGTVPL_01</t>
  </si>
  <si>
    <t>Tổng số chuyên gia tư vấn pháp luật</t>
  </si>
  <si>
    <t>Hiển thị tổng số lượng chuyên gia, tư vấn viên đã được thẩm định và công nhận trong mạng lưới.</t>
  </si>
  <si>
    <t>CGTVPL_01.png</t>
  </si>
  <si>
    <t>CGTVPL_02</t>
  </si>
  <si>
    <t>Click Chuyên gia / Tư vấn viên</t>
  </si>
  <si>
    <t>Click thẻ Chuyên gia / Tư vấn viên</t>
  </si>
  <si>
    <t>Mở DS Chuyên gia / Tư vấn viên</t>
  </si>
  <si>
    <t>CGTVPL_02.png</t>
  </si>
  <si>
    <t>CGTVPL_03</t>
  </si>
  <si>
    <t>CGTVPL_03.png</t>
  </si>
  <si>
    <t>BS</t>
  </si>
  <si>
    <t>Tỷ lệ hồ sơ bổ sung</t>
  </si>
  <si>
    <t>Kiểm tra Tỷ lệ hố sơ bổ sung</t>
  </si>
  <si>
    <t>Click Tỷ lệ hố sơ bổ sung</t>
  </si>
  <si>
    <t>Click thẻ Tỷ lệ hố sơ bổ sung</t>
  </si>
  <si>
    <t>Mở DS Tỷ lệ hố sơ bổ sung</t>
  </si>
  <si>
    <t>Thời gian xử lý trung bình</t>
  </si>
  <si>
    <t>Kiểm tra Thời gian xử lý trung bình</t>
  </si>
  <si>
    <t>Click Thời gian xử lý trung bình</t>
  </si>
  <si>
    <t>Click thẻ Thời gian xử lý trung bình</t>
  </si>
  <si>
    <t>Mở DS Thời gian xử lý trung bình</t>
  </si>
  <si>
    <t>TKDGHQHTPL_01</t>
  </si>
  <si>
    <t>Biểu đồ thống kê đánh giá hiệu quả hỗ trợ pháp lý</t>
  </si>
  <si>
    <t>Trực quan hóa dữ liệu đánh giá chất lượng hỗ trợ, bao gồm điểm hài lòng và tỷ lệ tuân thủ (thời hạn xử lý).</t>
  </si>
  <si>
    <t>Dữ liệu đúng KPI</t>
  </si>
  <si>
    <r>
      <rPr>
        <rFont val="Times New Roman"/>
        <color rgb="FF1155CC"/>
        <sz val="12.0"/>
        <u/>
      </rPr>
      <t>TKDGHQHTPL_01.jpg</t>
    </r>
  </si>
  <si>
    <t>TKDGHQHTPL_02</t>
  </si>
  <si>
    <t>Biểu đồ hiệu quả hỗ trợ pháp lý</t>
  </si>
  <si>
    <t>-Biểu đồ đúng thiết kế
- Dữ liệu đúng KPI</t>
  </si>
  <si>
    <t>Biểu đồ không giống với thiết kế</t>
  </si>
  <si>
    <r>
      <rPr>
        <rFont val="Times New Roman"/>
        <color rgb="FF1155CC"/>
        <sz val="12.0"/>
        <u/>
      </rPr>
      <t>TKDGHQHTPL_02.webm</t>
    </r>
  </si>
  <si>
    <t>BA confirm</t>
  </si>
  <si>
    <t>TKCLDTBDPL_01</t>
  </si>
  <si>
    <t>Biểu đồ thống kê chất lượng đào tạo bồi dưỡng pháp lý</t>
  </si>
  <si>
    <t>Trực quan hóa dữ liệu về hiệu quả đào tạo (ví dụ: Tỷ lệ đạt chứng nhận, điểm trung bình kiểm tra).</t>
  </si>
  <si>
    <t>Hiển thị đúng %</t>
  </si>
  <si>
    <t>N/R</t>
  </si>
  <si>
    <t>chưa có dữ liệu test</t>
  </si>
  <si>
    <t>TKCLDTBDPL_02</t>
  </si>
  <si>
    <t>Biểu đồ tuân thủ thời hạn</t>
  </si>
  <si>
    <t>II</t>
  </si>
  <si>
    <t>Quản lý tiếp nhận hỏi đáp, vướng mắc pháp lý</t>
  </si>
  <si>
    <t>II.1</t>
  </si>
  <si>
    <t>Quản lý tổng hợp hỏi đáp, vướng mắc pháp lý</t>
  </si>
  <si>
    <t>Thêm mới hỏi đáp vướng mắc pháp lý</t>
  </si>
  <si>
    <t>Mở màn hình thêm mới</t>
  </si>
  <si>
    <t>Có quyền thao tác</t>
  </si>
  <si>
    <t>1. Mở màn hình
 2. Thực hiện theo TC
 3. Nhấn Lưu</t>
  </si>
  <si>
    <t>Hiển thị đầy đủ trường nhập</t>
  </si>
  <si>
    <t>Không nhập Nội dung</t>
  </si>
  <si>
    <t>Báo lỗi bắt buộc</t>
  </si>
  <si>
    <t>Không chọn Lĩnh vực</t>
  </si>
  <si>
    <t>Báo lỗi</t>
  </si>
  <si>
    <t>Không chọn Kênh</t>
  </si>
  <si>
    <t>Không chọn Mức độ</t>
  </si>
  <si>
    <t>Nội dung 1 ký tự</t>
  </si>
  <si>
    <t>Lưu thành công</t>
  </si>
  <si>
    <t>Nội dung 5000 ký tự</t>
  </si>
  <si>
    <t>Nội dung &gt;5000 ký tự</t>
  </si>
  <si>
    <t>Không cho lưu</t>
  </si>
  <si>
    <t>Email hợp lệ</t>
  </si>
  <si>
    <t>Email sai</t>
  </si>
  <si>
    <t>SĐT hợp lệ</t>
  </si>
  <si>
    <t>SĐT sai</t>
  </si>
  <si>
    <t>Chọn doanh nghiệp</t>
  </si>
  <si>
    <t>Lưu đúng</t>
  </si>
  <si>
    <t>Kênh Từ tư vấn nhanh</t>
  </si>
  <si>
    <t>Không cho chọn</t>
  </si>
  <si>
    <t>Mức Thường</t>
  </si>
  <si>
    <t>Deadline 15 ngày</t>
  </si>
  <si>
    <t>Mức Phức tạp</t>
  </si>
  <si>
    <t>Deadline 30 ngày</t>
  </si>
  <si>
    <t>Đơn vị mặc định</t>
  </si>
  <si>
    <t>Đúng user</t>
  </si>
  <si>
    <t>Upload PDF</t>
  </si>
  <si>
    <t>Thành công</t>
  </si>
  <si>
    <t>Upload Word</t>
  </si>
  <si>
    <t>Upload Excel</t>
  </si>
  <si>
    <t>Upload JPG</t>
  </si>
  <si>
    <t>File &gt;20MB</t>
  </si>
  <si>
    <t>10 file</t>
  </si>
  <si>
    <t>11 file</t>
  </si>
  <si>
    <t>Tổng &gt;100MB</t>
  </si>
  <si>
    <t>Lưu hợp lệ</t>
  </si>
  <si>
    <t>Tạo mới thành công</t>
  </si>
  <si>
    <t>Nhấn Hủy</t>
  </si>
  <si>
    <t>Không lưu</t>
  </si>
  <si>
    <t>Double click Lưu</t>
  </si>
  <si>
    <t>Chỉ tạo 1 bản ghi</t>
  </si>
  <si>
    <t>Sửa hỏi đáp vướng mắc pháp lý</t>
  </si>
  <si>
    <t>Mở màn sửa</t>
  </si>
  <si>
    <t>1. Mở màn hình
 2. Thực hiện theo TC
 3. Nhấn Lưu/Xóa</t>
  </si>
  <si>
    <t>Hiển thị dữ liệu</t>
  </si>
  <si>
    <t>Sửa nội dung</t>
  </si>
  <si>
    <t>Cập nhật thành công</t>
  </si>
  <si>
    <t>Xóa nội dung</t>
  </si>
  <si>
    <t>Đổi lĩnh vực</t>
  </si>
  <si>
    <t>Đổi mức độ</t>
  </si>
  <si>
    <t>Deadline cập nhật</t>
  </si>
  <si>
    <t>Thêm file</t>
  </si>
  <si>
    <t>Upload thành công</t>
  </si>
  <si>
    <t>Xóa file</t>
  </si>
  <si>
    <t>Xóa thành công</t>
  </si>
  <si>
    <t>Quá 10 file</t>
  </si>
  <si>
    <t>Chỉ cập nhật 1 lần</t>
  </si>
  <si>
    <t>Xóa hỏi đáp vướng mắc pháp lý</t>
  </si>
  <si>
    <t>Xóa 1 câu hỏi</t>
  </si>
  <si>
    <t>Chọn Không</t>
  </si>
  <si>
    <t>Không xóa</t>
  </si>
  <si>
    <t>Chọn Có</t>
  </si>
  <si>
    <t>Không có quyền</t>
  </si>
  <si>
    <t>Không được xóa</t>
  </si>
  <si>
    <t>Double click Xóa</t>
  </si>
  <si>
    <t>Chỉ xóa 1 lần</t>
  </si>
  <si>
    <t>Quản lý thông tin hỏi đáp, vướng mắc pháp lý</t>
  </si>
  <si>
    <t>Cán  bộ 
 TW,BN,ĐP</t>
  </si>
  <si>
    <t>Quản lý các trường dữ liệu chi tiết của từng yêu cầu (nội dung, người gửi, lĩnh vực, thời gian gửi...).</t>
  </si>
  <si>
    <t>· Đã đăng nhập, có quyền Quản lý hỏi đáp.</t>
  </si>
  <si>
    <t>1. Vào menu Trang chủ &gt; Hỏi đáp pháp lý</t>
  </si>
  <si>
    <r>
      <rPr>
        <rFont val="Times New Roman"/>
        <color rgb="FF1155CC"/>
        <sz val="12.0"/>
        <u/>
      </rPr>
      <t>QLTTHDVMPL_01.jpg</t>
    </r>
  </si>
  <si>
    <t>Kiểm tra truy cập màn hình danh sách hỏi đáp</t>
  </si>
  <si>
    <t>Tài khoản Cán bộ TW/BN/ĐP đã đăng nhập và có quyền xem màn hình</t>
  </si>
  <si>
    <t>Tài khoản hợp lệ</t>
  </si>
  <si>
    <t>1. Đăng nhập hệ thống
 2. Vào menu Trang chủ &gt; Hỏi đáp pháp lý</t>
  </si>
  <si>
    <t>Hiển thị đúng màn hình 'Quản lý hỏi đáp, vướng mắc pháp lý'; có breadcrumb, tiêu đề màn hình, bộ lọc, tab trạng thái, bảng danh sách và phân trang</t>
  </si>
  <si>
    <r>
      <rPr>
        <rFont val="Times New Roman"/>
        <color rgb="FF1155CC"/>
        <sz val="12.0"/>
        <u/>
      </rPr>
      <t>QLTTHDVMPL_02.jpg</t>
    </r>
  </si>
  <si>
    <t>Kiểm tra các cột thông tin hiển thị trên bảng</t>
  </si>
  <si>
    <t>Có dữ liệu hỏi đáp</t>
  </si>
  <si>
    <t>Danh sách có ít nhất 1 bản ghi</t>
  </si>
  <si>
    <t>1. Truy cập màn hình
 2. Quan sát header bảng</t>
  </si>
  <si>
    <t>Bảng hiển thị đủ các cột: checkbox, Mã HĐ, Nội dung, Lĩnh vực PL, Người gửi, Kênh, Trạng thái, Mức độ, SLA/Thời hạn, Ngày tạo, Hành động</t>
  </si>
  <si>
    <r>
      <rPr>
        <rFont val="Times New Roman"/>
        <color rgb="FF1155CC"/>
        <sz val="12.0"/>
        <u/>
      </rPr>
      <t>QLTTHDVMPL_03.jpg</t>
    </r>
  </si>
  <si>
    <t>Kiểm tra dữ liệu từng dòng hiển thị đúng thông tin chi tiết theo yêu cầu đề bài</t>
  </si>
  <si>
    <t>Có dữ liệu hỏi đáp đã tạo</t>
  </si>
  <si>
    <t>Bản ghi có mã, nội dung, lĩnh vực, người gửi, kênh, trạng thái, mức độ, SLA, ngày tạo</t>
  </si>
  <si>
    <t>1. Truy cập danh sách
 2. Đối chiếu thông tin 1 bản ghi với dữ liệu trong hệ thống/DB/API</t>
  </si>
  <si>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</si>
  <si>
    <t>Thông tin cột SLA/Thời hạn hiển thị không rõ ràng, khó tiếp cận</t>
  </si>
  <si>
    <r>
      <rPr>
        <rFont val="Times New Roman"/>
        <color rgb="FF1155CC"/>
        <sz val="12.0"/>
        <u/>
      </rPr>
      <t>QLTTHDVMPL_04.png</t>
    </r>
  </si>
  <si>
    <t>Kiểm tra nội dung câu hỏi dài được rút gọn trên danh sách</t>
  </si>
  <si>
    <t>Có bản ghi có nội dung dài</t>
  </si>
  <si>
    <t>Nội dung câu hỏi &gt; độ rộng cột</t>
  </si>
  <si>
    <t>1. Truy cập danh sách
 2. Quan sát cột Nội dung</t>
  </si>
  <si>
    <t>Nội dung dài được hiển thị dạng rút gọn/dấu '...' và không làm vỡ giao diện bảng</t>
  </si>
  <si>
    <r>
      <rPr>
        <rFont val="Times New Roman"/>
        <color rgb="FF1155CC"/>
        <sz val="12.0"/>
        <u/>
      </rPr>
      <t>QLTTHDVMPL_05.jpg</t>
    </r>
  </si>
  <si>
    <t>Kiểm tra mã hỏi đáp hiển thị dạng link có thể bấm</t>
  </si>
  <si>
    <t>Có bản ghi trong danh sách</t>
  </si>
  <si>
    <t>Mã HĐ bất kỳ</t>
  </si>
  <si>
    <t>1. Truy cập danh sách
 2. Bấm vào Mã HĐ</t>
  </si>
  <si>
    <t>Điều hướng/mở màn hình chi tiết hỏi đáp tương ứng với đúng bản ghi đã chọn</t>
  </si>
  <si>
    <r>
      <rPr>
        <rFont val="Times New Roman"/>
        <color rgb="FF1155CC"/>
        <sz val="12.0"/>
        <u/>
      </rPr>
      <t>QLTTHDVMPL_06.jpg</t>
    </r>
  </si>
  <si>
    <t>Kiểm tra các tab trạng thái và số lượng hiển thị</t>
  </si>
  <si>
    <t>Có dữ liệu ở các trạng thái</t>
  </si>
  <si>
    <t>Tất cả, Mới, Đang xử lý, Chờ phê duyệt, Đã duyệt, Công khai, Hoàn thành</t>
  </si>
  <si>
    <t>1. Truy cập màn hình
 2. Quan sát các tab và badge số lượng</t>
  </si>
  <si>
    <t>Hiển thị đủ tab trạng thái theo thiết kế; badge số lượng khớp với dữ liệu tương ứng</t>
  </si>
  <si>
    <r>
      <rPr>
        <rFont val="Times New Roman"/>
        <color rgb="FF1155CC"/>
        <sz val="12.0"/>
        <u/>
      </rPr>
      <t>QLTTHDVMPL_07.jpg</t>
    </r>
  </si>
  <si>
    <t>Kiểm tra bấm tab Mới</t>
  </si>
  <si>
    <t>Có bản ghi trạng thái Mới</t>
  </si>
  <si>
    <t>Tab Mới</t>
  </si>
  <si>
    <t>1. Bấm tab Mới</t>
  </si>
  <si>
    <t>Danh sách chỉ hiển thị bản ghi trạng thái Mới; tab Mới được active; số lượng hiển thị đúng</t>
  </si>
  <si>
    <r>
      <rPr>
        <rFont val="Times New Roman"/>
        <color rgb="FF1155CC"/>
        <sz val="12.0"/>
        <u/>
      </rPr>
      <t>QLTTHDVMPL_08.jpg</t>
    </r>
  </si>
  <si>
    <t>Kiểm tra bấm tab Đang xử lý</t>
  </si>
  <si>
    <t>Có bản ghi trạng thái Đang xử lý</t>
  </si>
  <si>
    <t>Tab Đang xử lý</t>
  </si>
  <si>
    <t>1. Bấm tab Đang xử lý</t>
  </si>
  <si>
    <t>Danh sách chỉ hiển thị bản ghi trạng thái Đang xử lý; tab được active</t>
  </si>
  <si>
    <r>
      <rPr>
        <rFont val="Times New Roman"/>
        <color rgb="FF1155CC"/>
        <sz val="12.0"/>
        <u/>
      </rPr>
      <t>QLTTHDVMPL_09.jpg</t>
    </r>
  </si>
  <si>
    <t>Kiểm tra sắp xếp theo Ngày tạo</t>
  </si>
  <si>
    <t>Có nhiều bản ghi khác ngày tạo</t>
  </si>
  <si>
    <t>Cột Ngày tạo</t>
  </si>
  <si>
    <t>1. Bấm biểu tượng sắp xếp ở cột Ngày tạo
 2. Bấm lại lần nữa</t>
  </si>
  <si>
    <t>Lần 1 danh sách sắp xếp tăng/giảm theo ngày tạo; lần 2 đảo chiều sắp xếp; dữ liệu đúng thứ tự</t>
  </si>
  <si>
    <t>Danh sách không cập nhật lại thứ tự khi nhấn vào cột Ngày tạo</t>
  </si>
  <si>
    <r>
      <rPr>
        <rFont val="Times New Roman"/>
        <color rgb="FF1155CC"/>
        <sz val="12.0"/>
        <u/>
      </rPr>
      <t>QLTTHDVMPL_10.webm</t>
    </r>
  </si>
  <si>
    <t>Kiểm tra hiển thị số lượng bản ghi và phân trang</t>
  </si>
  <si>
    <t>Có nhiều hơn 20 bản ghi</t>
  </si>
  <si>
    <t>Dữ liệu 44 bản ghi</t>
  </si>
  <si>
    <t>1. Truy cập màn hình
 2. Quan sát dòng 'Hiển thị 1-20 / 44 kết quả' và các nút trang</t>
  </si>
  <si>
    <t>Hiển thị đúng khoảng bản ghi hiện tại, tổng số kết quả và các nút trang</t>
  </si>
  <si>
    <r>
      <rPr>
        <rFont val="Times New Roman"/>
        <color rgb="FF1155CC"/>
        <sz val="12.0"/>
        <u/>
      </rPr>
      <t>QLTTHDVMPL_11.jpg</t>
    </r>
  </si>
  <si>
    <t>Kiểm tra chuyển sang trang tiếp theo</t>
  </si>
  <si>
    <t>Có nhiều hơn 1 trang dữ liệu</t>
  </si>
  <si>
    <t>Bấm trang 2 hoặc nút &gt;</t>
  </si>
  <si>
    <t>1. Bấm trang 2 hoặc nút chuyển trang</t>
  </si>
  <si>
    <t>Danh sách tải dữ liệu trang 2; không trùng dữ liệu trang 1; chỉ số hiển thị cập nhật đúng</t>
  </si>
  <si>
    <r>
      <rPr>
        <rFont val="Times New Roman"/>
        <color rgb="FF1155CC"/>
        <sz val="12.0"/>
        <u/>
      </rPr>
      <t>QLTTHDVMPL_12.jpg</t>
    </r>
  </si>
  <si>
    <t>Kiểm tra thay đổi số bản ghi/trang</t>
  </si>
  <si>
    <t>Có nhiều bản ghi</t>
  </si>
  <si>
    <t>Chọn 10/trang, 20/trang nếu hệ thống hỗ trợ</t>
  </si>
  <si>
    <t>1. Mở dropdown số dòng/trang
 2. Chọn giá trị khác</t>
  </si>
  <si>
    <t>Danh sách cập nhật số dòng theo lựa chọn; phân trang và tổng số kết quả cập nhật đúng</t>
  </si>
  <si>
    <r>
      <rPr>
        <rFont val="Times New Roman"/>
        <color rgb="FF1155CC"/>
        <sz val="12.0"/>
        <u/>
      </rPr>
      <t>QLTTHDVMPL_13.jpg</t>
    </r>
  </si>
  <si>
    <t>Kiểm tra icon Xem chi tiết</t>
  </si>
  <si>
    <t>Icon mắt tại cột Hành động</t>
  </si>
  <si>
    <t>1. Bấm icon Xem của 1 bản ghi</t>
  </si>
  <si>
    <t>Mở màn hình chi tiết đúng bản ghi; thông tin chi tiết khớp với dòng đã chọn</t>
  </si>
  <si>
    <r>
      <rPr>
        <rFont val="Times New Roman"/>
        <color rgb="FF1155CC"/>
        <sz val="12.0"/>
        <u/>
      </rPr>
      <t>QLTTHDVMPL_14.jpg</t>
    </r>
  </si>
  <si>
    <t>Kiểm tra chọn từng bản ghi bằng checkbox</t>
  </si>
  <si>
    <t>Checkbox từng dòng</t>
  </si>
  <si>
    <t>1. Tick checkbox 1 dòng
 2. Bỏ tick checkbox</t>
  </si>
  <si>
    <t>Dòng được chọn/bỏ chọn đúng; trạng thái checkbox phản ánh chính xác</t>
  </si>
  <si>
    <r>
      <rPr>
        <rFont val="Times New Roman"/>
        <color rgb="FF1155CC"/>
        <sz val="12.0"/>
        <u/>
      </rPr>
      <t>QLTTHDVMPL_15.jpg</t>
    </r>
  </si>
  <si>
    <t>Kiểm tra checkbox chọn tất cả trên trang hiện tại</t>
  </si>
  <si>
    <t>Có nhiều bản ghi trên trang</t>
  </si>
  <si>
    <t>Checkbox header</t>
  </si>
  <si>
    <t>1. Tick checkbox ở header
 2. Bỏ tick checkbox ở header</t>
  </si>
  <si>
    <t>Tất cả bản ghi trên trang hiện tại được chọn/bỏ chọn; không ảnh hưởng dữ liệu trang khác nếu chưa tải</t>
  </si>
  <si>
    <r>
      <rPr>
        <rFont val="Times New Roman"/>
        <color rgb="FF1155CC"/>
        <sz val="12.0"/>
        <u/>
      </rPr>
      <t>QLTTHDVMPL_16.jpg</t>
    </r>
  </si>
  <si>
    <t>Kiểm tra xuất Excel danh sách hiện tại</t>
  </si>
  <si>
    <t>Có dữ liệu danh sách</t>
  </si>
  <si>
    <t>Nút Xuất Excel</t>
  </si>
  <si>
    <t>1. Lọc dữ liệu nếu cần
 2. Bấm Xuất Excel
 3. Mở file tải về</t>
  </si>
  <si>
    <t>File Excel được tải về thành công; dữ liệu trong file khớp với danh sách/điều kiện lọc; đúng các cột cần xuất</t>
  </si>
  <si>
    <r>
      <rPr>
        <rFont val="Times New Roman"/>
        <color rgb="FF1155CC"/>
        <sz val="12.0"/>
        <u/>
      </rPr>
      <t>QLTTHDVMPL_17.jpg</t>
    </r>
  </si>
  <si>
    <t>Kiểm tra nút Làm mới</t>
  </si>
  <si>
    <t>Danh sách đang hiển thị</t>
  </si>
  <si>
    <t>Nút Làm mới</t>
  </si>
  <si>
    <t>1. Bấm Làm mới</t>
  </si>
  <si>
    <t>Danh sách được tải lại; dữ liệu mới nhất hiển thị; không làm lỗi giao diện</t>
  </si>
  <si>
    <r>
      <rPr>
        <rFont val="Times New Roman"/>
        <color rgb="FF1155CC"/>
        <sz val="12.0"/>
        <u/>
      </rPr>
      <t>QLTTHDVMPL_18.jpg</t>
    </r>
  </si>
  <si>
    <t>Kiểm tra giao diện khi màn hình nhỏ/zoom</t>
  </si>
  <si>
    <t>Có quyền truy cập</t>
  </si>
  <si>
    <t>Zoom 125%, màn hình laptop</t>
  </si>
  <si>
    <t>1. Mở màn hình ở kích thước nhỏ hoặc zoom trình duyệt
 2. Quan sát bảng và bộ lọc</t>
  </si>
  <si>
    <t>Giao diện không vỡ; bảng có scroll ngang nếu cần; nút chức năng vẫn thao tác được</t>
  </si>
  <si>
    <r>
      <rPr>
        <rFont val="Times New Roman"/>
        <color rgb="FF1155CC"/>
        <sz val="12.0"/>
        <u/>
      </rPr>
      <t>QLTTHDVMPL_19.jpg</t>
    </r>
  </si>
  <si>
    <t>Tìm kiếm hỏi đáp, vướng mắc được tổng hợp</t>
  </si>
  <si>
    <t>Cung cấp công cụ tìm kiếm toàn văn, nâng cao theo lĩnh vực, thời gian đối với các yêu cầu hỏi đáp đã tổng hợp.</t>
  </si>
  <si>
    <t>Lưu ý uc 11.14.19 sẽ trùng chức năng tìm kiếm</t>
  </si>
  <si>
    <r>
      <rPr>
        <rFont val="Times New Roman"/>
        <color rgb="FF1155CC"/>
        <sz val="12.0"/>
        <u/>
      </rPr>
      <t>TKHDVMTH_01.jpg</t>
    </r>
  </si>
  <si>
    <t>Kiểm tra tìm kiếm theo nội dung câu hỏi</t>
  </si>
  <si>
    <t>Có dữ liệu chứa từ khóa cần tìm</t>
  </si>
  <si>
    <t>Từ khóa: 'Doanh nghiệp'</t>
  </si>
  <si>
    <t>1. Nhập từ khóa vào ô tìm kiếm
 2. Bấm Tìm kiếm</t>
  </si>
  <si>
    <t>Danh sách chỉ hiển thị các bản ghi có nội dung/mã/người gửi phù hợp với từ khóa; số lượng kết quả được cập nhật đúng</t>
  </si>
  <si>
    <r>
      <rPr>
        <rFont val="Times New Roman"/>
        <color rgb="FF1155CC"/>
        <sz val="12.0"/>
        <u/>
      </rPr>
      <t>TKHDVMTH_02.jpg</t>
    </r>
  </si>
  <si>
    <t>Kiểm tra tìm kiếm theo mã hỏi đáp</t>
  </si>
  <si>
    <t>Có bản ghi có mã HĐ cụ thể</t>
  </si>
  <si>
    <t>Mã HĐ: HD-20260624-001</t>
  </si>
  <si>
    <t>1. Nhập mã HĐ vào ô tìm kiếm
 2. Bấm Tìm kiếm</t>
  </si>
  <si>
    <t>Hiển thị đúng bản ghi có mã HĐ tương ứng; không hiển thị bản ghi không liên quan</t>
  </si>
  <si>
    <r>
      <rPr>
        <rFont val="Times New Roman"/>
        <color rgb="FF1155CC"/>
        <sz val="12.0"/>
        <u/>
      </rPr>
      <t>TKHDVMTH_03.jpg</t>
    </r>
  </si>
  <si>
    <t>Kiểm tra tìm kiếm theo người gửi</t>
  </si>
  <si>
    <t>Có bản ghi người gửi cụ thể</t>
  </si>
  <si>
    <t>Người gửi: Nguyễn Văn A</t>
  </si>
  <si>
    <t>1. Nhập tên người gửi vào ô tìm kiếm
 2. Bấm Tìm kiếm</t>
  </si>
  <si>
    <t>Danh sách hiển thị các bản ghi của người gửi phù hợp</t>
  </si>
  <si>
    <r>
      <rPr>
        <rFont val="Times New Roman"/>
        <color rgb="FF1155CC"/>
        <sz val="12.0"/>
        <u/>
      </rPr>
      <t>TKHDVMTH_04.jpg</t>
    </r>
  </si>
  <si>
    <t>Kiểm tra tìm kiếm khi không có kết quả</t>
  </si>
  <si>
    <t>Có quyền truy cập màn hình</t>
  </si>
  <si>
    <t>Từ khóa không tồn tại: xyz999</t>
  </si>
  <si>
    <t>1. Nhập từ khóa không tồn tại
 2. Bấm Tìm kiếm</t>
  </si>
  <si>
    <t>Hiển thị trạng thái không có dữ liệu/kết quả; không lỗi giao diện; phân trang hiển thị phù hợp</t>
  </si>
  <si>
    <r>
      <rPr>
        <rFont val="Times New Roman"/>
        <color rgb="FF1155CC"/>
        <sz val="12.0"/>
        <u/>
      </rPr>
      <t>TKHDVMTH_05.jpg</t>
    </r>
  </si>
  <si>
    <t>Kiểm tra lọc theo Lĩnh vực PL</t>
  </si>
  <si>
    <t>Có dữ liệu thuộc nhiều lĩnh vực</t>
  </si>
  <si>
    <t>Lĩnh vực: Thuế</t>
  </si>
  <si>
    <t>1. Chọn Lĩnh vực pháp luật = Thuế
 2. Bấm Tìm kiếm</t>
  </si>
  <si>
    <t>Danh sách chỉ hiển thị bản ghi thuộc lĩnh vực Thuế; số lượng kết quả đúng</t>
  </si>
  <si>
    <r>
      <rPr>
        <rFont val="Times New Roman"/>
        <color rgb="FF1155CC"/>
        <sz val="12.0"/>
        <u/>
      </rPr>
      <t>TKHDVMTH_06.jpg</t>
    </r>
  </si>
  <si>
    <t>Kiểm tra lọc theo trạng thái</t>
  </si>
  <si>
    <t>Có dữ liệu nhiều trạng thái</t>
  </si>
  <si>
    <t>Trạng thái: Mới</t>
  </si>
  <si>
    <t>1. Chọn Trạng thái = Mới
 2. Bấm Tìm kiếm</t>
  </si>
  <si>
    <t>Danh sách chỉ hiển thị các bản ghi có trạng thái Mới</t>
  </si>
  <si>
    <t>- Tổng số bản ghi trên các tab hiển thị không đúng số lượng</t>
  </si>
  <si>
    <r>
      <rPr>
        <rFont val="Times New Roman"/>
        <color rgb="FF1155CC"/>
        <sz val="12.0"/>
        <u/>
      </rPr>
      <t>TKHDVMTH_07.webm</t>
    </r>
  </si>
  <si>
    <t>Kiểm tra nhập Từ ngày lớn hơn Đến ngày</t>
  </si>
  <si>
    <t>Từ ngày 25/06/2026, Đến ngày 24/06/2026</t>
  </si>
  <si>
    <t>1. Nhập Từ ngày &gt; Đến ngày
 2. Bấm Tìm kiếm</t>
  </si>
  <si>
    <t>Hệ thống hiển thị thông báo lỗi hợp lệ, không thực hiện tìm kiếm sai dữ liệu</t>
  </si>
  <si>
    <r>
      <rPr>
        <rFont val="Times New Roman"/>
        <sz val="12.0"/>
        <u/>
      </rPr>
      <t>TKHDVMTH_11.jpg</t>
    </r>
  </si>
  <si>
    <t>Kiểm tra lọc theo kênh tiếp nhận</t>
  </si>
  <si>
    <t>Có dữ liệu nhiều kênh</t>
  </si>
  <si>
    <t>Kênh: Trực tiếp/Hệ thống khác/Cổng PLQG</t>
  </si>
  <si>
    <t>1. Chọn Kênh tiếp nhận
 2. Bấm Tìm kiếm</t>
  </si>
  <si>
    <t>Danh sách chỉ hiển thị bản ghi đúng kênh tiếp nhận đã chọn</t>
  </si>
  <si>
    <r>
      <rPr>
        <rFont val="Times New Roman"/>
        <color rgb="FF1155CC"/>
        <sz val="12.0"/>
        <u/>
      </rPr>
      <t>TKHDVMTH_08.jpg</t>
    </r>
  </si>
  <si>
    <t>Kiểm tra lọc theo mức độ phức tạp</t>
  </si>
  <si>
    <t>Có dữ liệu nhiều mức độ</t>
  </si>
  <si>
    <t>Mức độ: Thường</t>
  </si>
  <si>
    <t>1. Chọn Mức độ phức tạp = Thường
 2. Bấm Tìm kiếm</t>
  </si>
  <si>
    <t>Danh sách chỉ hiển thị bản ghi có mức độ Thường</t>
  </si>
  <si>
    <r>
      <rPr>
        <rFont val="Times New Roman"/>
        <color rgb="FF1155CC"/>
        <sz val="12.0"/>
        <u/>
      </rPr>
      <t>TKHDVMTH_09.jpg</t>
    </r>
  </si>
  <si>
    <t>Kiểm tra lọc theo khoảng ngày hợp lệ</t>
  </si>
  <si>
    <t>Có dữ liệu trong khoảng ngày</t>
  </si>
  <si>
    <t>Từ ngày 22/06/2026, Đến ngày 24/06/2026</t>
  </si>
  <si>
    <t>1. Nhập Từ ngày
 2. Nhập Đến ngày
 3. Bấm Tìm kiếm</t>
  </si>
  <si>
    <t>Danh sách chỉ hiển thị bản ghi có ngày tạo nằm trong khoảng đã chọn, bao gồm ngày bắt đầu và ngày kết thúc nếu có dữ liệu</t>
  </si>
  <si>
    <r>
      <rPr>
        <rFont val="Times New Roman"/>
        <color rgb="FF1155CC"/>
        <sz val="12.0"/>
        <u/>
      </rPr>
      <t>TKHDVMTH_10.jpg</t>
    </r>
  </si>
  <si>
    <t>Kiểm tra kết hợp nhiều điều kiện lọc</t>
  </si>
  <si>
    <t>Có dữ liệu thỏa mãn nhiều điều kiện</t>
  </si>
  <si>
    <t>Từ khóa + Lĩnh vực Thuế + Trạng thái Mới + Kênh Hệ thống khác</t>
  </si>
  <si>
    <t>1. Nhập/chọn các điều kiện lọc
 2. Bấm Tìm kiếm</t>
  </si>
  <si>
    <t>Danh sách hiển thị đúng các bản ghi thỏa mãn đồng thời tất cả điều kiện lọc</t>
  </si>
  <si>
    <r>
      <rPr>
        <rFont val="Times New Roman"/>
        <color rgb="FF1155CC"/>
        <sz val="12.0"/>
        <u/>
      </rPr>
      <t>TKHDVMTH_12.jpg</t>
    </r>
  </si>
  <si>
    <t>Kiểm tra nút Xóa bộ lọc</t>
  </si>
  <si>
    <t>Đang có điều kiện lọc được nhập/chọn</t>
  </si>
  <si>
    <t>Có ít nhất 1 bộ lọc đã set</t>
  </si>
  <si>
    <t>1. Nhập/chọn bộ lọc
 2. Bấm Xóa bộ lọc</t>
  </si>
  <si>
    <t>Toàn bộ điều kiện lọc được reset về mặc định; danh sách quay về trạng thái ban đầu</t>
  </si>
  <si>
    <r>
      <rPr>
        <rFont val="Times New Roman"/>
        <color rgb="FF1155CC"/>
        <sz val="12.0"/>
        <u/>
      </rPr>
      <t>TKHDVMTH_13.jpg</t>
    </r>
  </si>
  <si>
    <t>II.2</t>
  </si>
  <si>
    <t>Quản lý tiếp nhận xử lý hỏi đáp, vướng mắc pháp lý</t>
  </si>
  <si>
    <t>Tiếp nhận xử lý hỏi đáp, vướng mắc pháp lý</t>
  </si>
  <si>
    <t>Thực hiện thao tác tiếp nhận và chuyển yêu cầu vào quy trình phân công xử lý.</t>
  </si>
  <si>
    <t>- User CB_NV đã đăng nhập.
 - Tồn tại bản ghi ở trạng thái Mới có đơn vị xử lý thuộc tài khoản đang đăng nhập.</t>
  </si>
  <si>
    <t>1. Vào menu Trang chủ &gt; Hỏi đáp pháp lý
2/ Mở danh sách tab "Mới".
3. Chọn bản ghi ở trạng thái Mới có đơn vị xử lý thuộc tài khoản đang đăng nhập..
4. Nhấn [Tiếp nhận].
5. Xác nhận tiếp nhận</t>
  </si>
  <si>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</si>
  <si>
    <r>
      <rPr>
        <rFont val="Times New Roman"/>
        <color rgb="FF1155CC"/>
        <sz val="12.0"/>
        <u/>
      </rPr>
      <t>TNXLHDVMPL_01.jpg</t>
    </r>
  </si>
  <si>
    <t>Tiếp nhận và mở chi tiết — Stepper hiển thị đúng</t>
  </si>
  <si>
    <t>- User CB_NV đã đăng nhập.
- Tiếp nhận bản ghi ở uc TNXLHDVMPL_01 thành công.</t>
  </si>
  <si>
    <t>1. Click vào bản ghi đã tiếp nhận.
2. Kiểm tra SCR-II-02 (Chi tiết).</t>
  </si>
  <si>
    <t>- Stepper 6 bước hiển thị, bước "Tiếp nhận" được highlight active.
 - Accordion Thông tin câu hỏi hiển thị đầy đủ.</t>
  </si>
  <si>
    <r>
      <rPr>
        <rFont val="Times New Roman"/>
        <color rgb="FF1155CC"/>
        <sz val="12.0"/>
        <u/>
      </rPr>
      <t>TNXLHDVMPL_02.jpg</t>
    </r>
  </si>
  <si>
    <t>Tiếp nhận vào Thứ 6 — deadline tính đúng ngày làm việc</t>
  </si>
  <si>
    <t>- User CB_NV đã đăng nhập.
 - HD-011 ở trạng thái MOI.
 - Hôm nay là Thứ 6.</t>
  </si>
  <si>
    <t>1. Tiếp nhận HD-011 vào Thứ 6 (18/04/2026).
 2. Kiểm tra deadline.</t>
  </si>
  <si>
    <t>- Deadline = Thứ 6 (18/04) + 5 ngày làm việc = skip Thứ 7+CN → Thứ 5 (24/04/2026) hoặc muộn hơn nếu có NGAY_LE.
 - SLA chỉ đếm T2-T6, trừ nghỉ lễ.</t>
  </si>
  <si>
    <r>
      <rPr>
        <rFont val="Times New Roman"/>
        <color rgb="FF1155CC"/>
        <sz val="12.0"/>
        <u/>
      </rPr>
      <t>TNXLHDVMPL_03.jpg</t>
    </r>
  </si>
  <si>
    <t>Tiếp nhận bản ghi đã bị xóa → lỗi</t>
  </si>
  <si>
    <t>- User CB_NV đã đăng nhập.
 - HD-013 ở MOI trên danh sách.
 - CB khác đã xóa mềm HD-013 (is_deleted=1).</t>
  </si>
  <si>
    <t>1. CB_NV nhấn [Tiếp nhận] HD-013 (đã bị xóa nhưng danh sách chưa refresh).</t>
  </si>
  <si>
    <t>- Lỗi **ERR-TN-02**: "Hỏi đáp không tồn tại hoặc đã bị xóa".
 - Không thay đổi trạng thái.</t>
  </si>
  <si>
    <r>
      <rPr>
        <rFont val="Times New Roman"/>
        <color rgb="FF1155CC"/>
        <sz val="12.0"/>
        <u/>
      </rPr>
      <t>TNXLHDVMPL_04.jpg</t>
    </r>
  </si>
  <si>
    <t>Tiếp nhận bản ghi ở trạng thái TIEP_NHAN → bị chặn</t>
  </si>
  <si>
    <t>- User CB_NV đã đăng nhập.
 - HD-015 đã ở TIEP_NHAN.</t>
  </si>
  <si>
    <t>1. Thử nhấn [Tiếp nhận] cho HD-015.</t>
  </si>
  <si>
    <t xml:space="preserve">- Nút [Tiếp nhận] bị ẩn cho bản ghi không ở trạng thái MOI.
</t>
  </si>
  <si>
    <r>
      <rPr>
        <rFont val="Times New Roman"/>
        <color rgb="FF1155CC"/>
        <sz val="12.0"/>
        <u/>
      </rPr>
      <t>TNXLHDVMPL_05.jpg</t>
    </r>
  </si>
  <si>
    <t>CB NV BN tiếp nhận bản ghi thuộc đơn vị khác → bị chặn</t>
  </si>
  <si>
    <t>- User CB_NV_BN (Bộ KH&amp;ĐT) đã đăng nhập.
 - Bản ghi thuộc đơn vị TW ở MOI.</t>
  </si>
  <si>
    <t>1. Thử truy cập/tiếp nhận bản ghi (thuộc TW).</t>
  </si>
  <si>
    <t>- Bản ghi KHÔNG xuất hiện trong danh sách CB_NV_BN (BR-AUTH-08).</t>
  </si>
  <si>
    <r>
      <rPr>
        <rFont val="Times New Roman"/>
        <color rgb="FF1155CC"/>
        <sz val="12.0"/>
        <u/>
      </rPr>
      <t>TNXLHDVMPL_06.jpg</t>
    </r>
  </si>
  <si>
    <t>Quản lý thông tin tiếp nhận xử lý hỏi đáp, vướng mắc pháp lý</t>
  </si>
  <si>
    <t>Quản lý các thông tin liên quan đến quá trình xử lý (người phân công, thời hạn xử lý, trạng thái luân chuyển).</t>
  </si>
  <si>
    <t>Lưu ý uc 13 và 18 gần tương tự nhau</t>
  </si>
  <si>
    <t>Xem danh sách đang xử lý — hard filter đúng trạng thái</t>
  </si>
  <si>
    <t>- User CB_NV đã đăng nhập.
 - Tồn tại bản ghi ở TIEP_NHAN, DA_PHAN_CONG, DANG_XU_LY, và DA_DUYET.</t>
  </si>
  <si>
    <t>1. Mở tab "Đang xử lý".
 2. Kiểm tra danh sách.</t>
  </si>
  <si>
    <t xml:space="preserve">- Chỉ hiển thị `trang_thai IN (TIEP_NHAN, DA_PHAN_CONG, DANG_XU_LY)`.
 - KHÔNG hiển thị MOI, DA_DUYET, CONG_KHAI, HOAN_THANH.
 </t>
  </si>
  <si>
    <r>
      <rPr>
        <rFont val="Times New Roman"/>
        <color rgb="FF1155CC"/>
        <sz val="12.0"/>
        <u/>
      </rPr>
      <t>QLTNXLHDVM_01.jpg</t>
    </r>
  </si>
  <si>
    <t>Cập nhật thời hạn xử lý kèm lý do thành công</t>
  </si>
  <si>
    <t>- User CB_NV đã đăng nhập.
 - Bản ghi ở **DANG_XU_LY**</t>
  </si>
  <si>
    <t>1. Mở chi tiết Bản ghi.
 2. Nhập thời hạn mới
 3. Nhập lý do thay đổi.
 4. Click [Lưu].</t>
  </si>
  <si>
    <t>Cập nhật thành công, hệ thống hiển thị thông báo "Đã cập nhật thời hạn" và tải lại thông tin trên màn hình.</t>
  </si>
  <si>
    <r>
      <rPr>
        <rFont val="Times New Roman"/>
        <color rgb="FF1155CC"/>
        <sz val="12.0"/>
        <u/>
      </rPr>
      <t>QLTNXLHDVM_02.jpg</t>
    </r>
  </si>
  <si>
    <t>Xem lịch sử Timeline (AUDIT_LOG)</t>
  </si>
  <si>
    <t>- User CB_NV đã đăng nhập.
 - Bản ghi có lịch sử: MOI → TIEP_NHAN → DA_PHAN_CONG → DANG_XU_LY.</t>
  </si>
  <si>
    <t>1. Mở chi tiết bản ghi vừa cập nhật.
 2. Mở Accordion "lịch sử xử lý" (Timeline).</t>
  </si>
  <si>
    <t>Hệ thống hiển thị dòng thời gian liệt kê toàn bộ các thao tác đã thực hiện trên hỏi đáp theo thứ tự thời gian, gồm các cột: thời điểm, người thực hiện, hành động, giá trị cũ → giá trị mới.</t>
  </si>
  <si>
    <r>
      <rPr>
        <rFont val="Times New Roman"/>
        <color rgb="FF1155CC"/>
        <sz val="12.0"/>
        <u/>
      </rPr>
      <t>QLTNXLHDVM_03.jpg</t>
    </r>
  </si>
  <si>
    <t>Cập nhật thời hạn — thiếu lý do → bị chặn</t>
  </si>
  <si>
    <t>- User CB_NV đã đăng nhập.
 - HD-022 ở DANG_XU_LY.</t>
  </si>
  <si>
    <t>1. Mở chi tiết HD-022.
 2. Nhập thời hạn mới.
 3. Bỏ trống lý do.
 4. Click [Lưu].</t>
  </si>
  <si>
    <t>- Không cho phép lưu khi lý do trống.</t>
  </si>
  <si>
    <r>
      <rPr>
        <rFont val="Times New Roman"/>
        <color rgb="FF1155CC"/>
        <sz val="12.0"/>
        <u/>
      </rPr>
      <t>QLTNXLHDVM_04.jpg</t>
    </r>
  </si>
  <si>
    <t>CB NV ĐP xem timeline bản ghi thuộc đơn vị khác → bị chặn</t>
  </si>
  <si>
    <t>- User CB_NV_DP (Sở TP HN) đã đăng nhập.
 - Bản ghi thuộc đơn vị TW ở DANG_XU_LY.</t>
  </si>
  <si>
    <t>1. Thử truy cập chi tiết bản ghi (đơn vị TW).</t>
  </si>
  <si>
    <t xml:space="preserve">- Bản ghi KHÔNG xuất hiện trong danh sách tab "Đang xử lý" của CB_NV_DP.
</t>
  </si>
  <si>
    <r>
      <rPr>
        <rFont val="Times New Roman"/>
        <color rgb="FF1155CC"/>
        <sz val="12.0"/>
        <u/>
      </rPr>
      <t>QLTNXLHDVM_05.jpg</t>
    </r>
  </si>
  <si>
    <t>Xem danh sách đã xử lý — Read-only</t>
  </si>
  <si>
    <t>- User CB_NV đã đăng nhập.
 - Tồn tại bản ghi ở DA_DUYET, CONG_KHAI, HOAN_THANH.</t>
  </si>
  <si>
    <t>1. Mở tab "Hoàn thành" 
 2. Kiểm tra danh sách.</t>
  </si>
  <si>
    <t>- Chỉ hiển thị `trang_thai IN (DA_DUYET, CONG_KHAI, HOAN_THANH)`.
 - Read-only: KHÔNG có nút [Thêm mới], [Sửa], [Xóa].
 - Cột bổ sung: `nguoi_duyet`, `ngay_duyet`.</t>
  </si>
  <si>
    <t>Không có cột bổ sung Người duyệt, Ngày duyệt</t>
  </si>
  <si>
    <r>
      <rPr>
        <rFont val="Times New Roman"/>
        <color rgb="FF1155CC"/>
        <sz val="12.0"/>
        <u/>
      </rPr>
      <t>QLTNXLHDVM_06.jpg</t>
    </r>
  </si>
  <si>
    <t>chờ cf lại tách trạng thái hay gộp =&gt; tách trạng thái</t>
  </si>
  <si>
    <t>Xem chi tiết đã xử lý — hiển thị toàn bộ lịch sử</t>
  </si>
  <si>
    <t>- User CB_NV đã đăng nhập.
 - Bản ghi ở HOAN_THANH.</t>
  </si>
  <si>
    <t>1. Click vào Bản ghi.
 2. Xem SCR-II-02 (Chi tiết).</t>
  </si>
  <si>
    <t>- Hiển thị nội dung phản hồi cuối cùng.
 - Thông tin người duyệt + ngày duyệt.
 - Timeline đầy đủ từ MOI → ... → HOAN_THANH.
 - Tất cả trường bị disabled/locked (BR-FLOW-03).</t>
  </si>
  <si>
    <r>
      <rPr>
        <rFont val="Times New Roman"/>
        <color rgb="FF1155CC"/>
        <sz val="12.0"/>
        <u/>
      </rPr>
      <t>QLTNXLHDVM_07.jpg</t>
    </r>
  </si>
  <si>
    <t>CB_PD_TW xem data cấp BN/ĐP — xem được nhưng KHÔNG duyệt được</t>
  </si>
  <si>
    <t>- User CB_PD_TW đã đăng nhập.
 - HD-090 thuộc cấp BN ở DANG_XU_LY.</t>
  </si>
  <si>
    <t>1. Mở tab "Đang xử lý".
 2. Xác nhận HD-090 (cấp BN) CÓ hiển thị.
 3. Click vào HD-090.</t>
  </si>
  <si>
    <t>- BR-AUTH-04: CB_PD_TW CÓ quyền XEM toàn bộ TW + BN + ĐP.
 - HD-090 hiển thị trong danh sách.
 - Nhưng khi chuyển CHO_PHE_DUYET, nút [Phê duyệt] sẽ bị chặn (BR-AUTH-05: phê duyệt cùng cấp).</t>
  </si>
  <si>
    <r>
      <rPr>
        <rFont val="Times New Roman"/>
        <color rgb="FF1155CC"/>
        <sz val="12.0"/>
        <u/>
      </rPr>
      <t>QLTNXLHDVM_08.jpg</t>
    </r>
  </si>
  <si>
    <t>Cập nhật thời hạn — thời hạn mới &lt; ngày hiện tại → kiểm tra ràng buộc</t>
  </si>
  <si>
    <t>- User CB_NV đã đăng nhập.
 - Bản ghi ở DANG_XU_LY</t>
  </si>
  <si>
    <t>1. Mở chi tiết bản ghi.
 2. Nhập thời hạn mới &lt; ngày hiện tại.
 3. Click [Lưu].</t>
  </si>
  <si>
    <t xml:space="preserve">- Hệ thống chặn không cho cập nhật ngày &lt; thời hạn hiện tại
</t>
  </si>
  <si>
    <r>
      <rPr>
        <rFont val="Times New Roman"/>
        <color rgb="FF1155CC"/>
        <sz val="12.0"/>
        <u/>
      </rPr>
      <t>QLTNXLHDVM_09.jpg</t>
    </r>
  </si>
  <si>
    <t>Tìm kiếm thông tin hỏi đáp, vướng mắc pháp lý đã tiếp 
 nhận xử lý</t>
  </si>
  <si>
    <t>Tìm kiếm các yêu cầu đang nằm trong hàng đợi chờ xử lý hoặc đã được phân công xử lý.</t>
  </si>
  <si>
    <r>
      <rPr>
        <rFont val="Times New Roman"/>
        <color rgb="FF1155CC"/>
        <sz val="12.0"/>
        <u/>
      </rPr>
      <t>TKHDVMPLDTNXL_01.jpg</t>
    </r>
  </si>
  <si>
    <r>
      <rPr>
        <rFont val="Times New Roman"/>
        <color rgb="FF1155CC"/>
        <sz val="12.0"/>
        <u/>
      </rPr>
      <t>TKHDVMPLDTNXL_02.jpg</t>
    </r>
  </si>
  <si>
    <r>
      <rPr>
        <rFont val="Times New Roman"/>
        <color rgb="FF1155CC"/>
        <sz val="12.0"/>
        <u/>
      </rPr>
      <t>TKHDVMPLDTNXL_03.jpg</t>
    </r>
  </si>
  <si>
    <r>
      <rPr>
        <rFont val="Times New Roman"/>
        <color rgb="FF1155CC"/>
        <sz val="12.0"/>
        <u/>
      </rPr>
      <t>TKHDVMPLDTNXL_04.jpg</t>
    </r>
  </si>
  <si>
    <r>
      <rPr>
        <rFont val="Times New Roman"/>
        <color rgb="FF1155CC"/>
        <sz val="12.0"/>
        <u/>
      </rPr>
      <t>TKHDVMPLDTNXL_05.jpg</t>
    </r>
  </si>
  <si>
    <t>- Các bản ghi của các trạng thái khác vẫn hiển thị
- Số lượng bản ghi ở tab Tất cả hiển thị không đúng với số lượng bản ghi tìm kiếm</t>
  </si>
  <si>
    <r>
      <rPr>
        <rFont val="Times New Roman"/>
        <color rgb="FF1155CC"/>
        <sz val="12.0"/>
        <u/>
      </rPr>
      <t>TKHDVMPLDTNXL_06.webm</t>
    </r>
  </si>
  <si>
    <r>
      <rPr>
        <rFont val="Times New Roman"/>
        <color rgb="FF1155CC"/>
        <sz val="12.0"/>
        <u/>
      </rPr>
      <t>TKHDVMPLDTNXL_07.jpg</t>
    </r>
  </si>
  <si>
    <r>
      <rPr>
        <rFont val="Times New Roman"/>
        <color rgb="FF1155CC"/>
        <sz val="12.0"/>
        <u/>
      </rPr>
      <t>TKHDVMPLDTNXL_08.jpg</t>
    </r>
  </si>
  <si>
    <r>
      <rPr>
        <rFont val="Times New Roman"/>
        <color rgb="FF1155CC"/>
        <sz val="12.0"/>
        <u/>
      </rPr>
      <t>TKHDVMPLDTNXL_09.jpg</t>
    </r>
  </si>
  <si>
    <r>
      <rPr>
        <rFont val="Times New Roman"/>
        <color rgb="FF1155CC"/>
        <sz val="12.0"/>
        <u/>
      </rPr>
      <t>TKHDVMPLDTNXL_10.jpg</t>
    </r>
  </si>
  <si>
    <r>
      <rPr>
        <rFont val="Times New Roman"/>
        <color rgb="FF1155CC"/>
        <sz val="12.0"/>
        <u/>
      </rPr>
      <t>TKHDVMPLDTNXL_11.jpg</t>
    </r>
  </si>
  <si>
    <r>
      <rPr>
        <rFont val="Times New Roman"/>
        <color rgb="FF1155CC"/>
        <sz val="12.0"/>
        <u/>
      </rPr>
      <t>TKHDVMPLDTNXL_12.jpg</t>
    </r>
  </si>
  <si>
    <t>Phân công xử lý câu hỏi, vướng mắc</t>
  </si>
  <si>
    <t>Cung cấp công cụ cho CB Nghiệp vụ gán/chuyển yêu cầu hỏi đáp đến Người hỗ trợ/Tổ chức tư vấn phù hợp.</t>
  </si>
  <si>
    <t>Kiểm tra hiển thị màn hình phân công</t>
  </si>
  <si>
    <t>1. Cán  bộ TW,BN,ĐP đăng nhập thành công
2. Tồn tại bản ghi có trạng thái Tiếp nhận</t>
  </si>
  <si>
    <t>1. Chọn "Hỏi đáp pháp lý" 
2. Chọn bản ghi có trạng thái Tiếp nhận
3. Nhấn "Phân công"
4. Kiểm tra popup phân công được hiển thị</t>
  </si>
  <si>
    <t>Popup/màn hình phân công hiển thị đúng với thiết kế</t>
  </si>
  <si>
    <t>Popup/màn hình phân công không giống với thiết kế</t>
  </si>
  <si>
    <r>
      <rPr>
        <rFont val="Times New Roman"/>
        <color rgb="FF000000"/>
        <sz val="12.0"/>
        <u/>
      </rPr>
      <t>PCXLCHVM_01.webm</t>
    </r>
  </si>
  <si>
    <t xml:space="preserve">Phân công xử lý thành công </t>
  </si>
  <si>
    <t>1. Cán  bộ TW,BN,ĐP đăng nhập thành công
2. Tồn tại bản ghi có trạng thái Đang xử lý</t>
  </si>
  <si>
    <t>1. Chọn "Hỏi đáp pháp lý" 
2. Chọn bản ghi có trạng thái Đang xử lý
3. Nhấn "Phân công"
4. Chọn cán bộ, nhập ghi chú và nhấn Phân công</t>
  </si>
  <si>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</si>
  <si>
    <r>
      <rPr>
        <rFont val="Times New Roman"/>
        <color rgb="FF1155CC"/>
        <sz val="12.0"/>
        <u/>
      </rPr>
      <t>PCXLCHVM_01.webm</t>
    </r>
  </si>
  <si>
    <t>Phân công lại (re-assign) — thay đổi người xử lý</t>
  </si>
  <si>
    <t>- User CB_NV đã đăng nhập.
 - HD-031 ở DA_PHAN_CONG, `nguoi_xu_ly = CB_A`.</t>
  </si>
  <si>
    <t>1. Mở chi tiết HD-031.
 2. Nhấn [Phân công].
 3. Chọn CB_B thay CB_A.
 4. Click [Xác nhận].</t>
  </si>
  <si>
    <t>- Cập nhật người xử lý
 - Gửi thông báo cho CB_B.
 - AUDIT_LOG ghi thay đổi (CB_A → CB_B).</t>
  </si>
  <si>
    <r>
      <rPr>
        <rFont val="Times New Roman"/>
        <color rgb="FF1155CC"/>
        <sz val="12.0"/>
        <u/>
      </rPr>
      <t>PCXLCHVM_03.jpg</t>
    </r>
  </si>
  <si>
    <t>Phân công cho CB có workload quá tải — cảnh báo nhưng vẫn cho phép</t>
  </si>
  <si>
    <t>- User CB_NV đã đăng nhập.
 - HD-032 ở TIEP_NHAN.
 - CB_C đang xử lý 15 yêu cầu (vượt ngưỡng).</t>
  </si>
  <si>
    <t>1. Mở phân công HD-032.
 2. Danh sách gợi ý hiện CB_C với nhãn cảnh báo đỏ.
 3. Chọn CB_C.
 4. Click [Xác nhận].</t>
  </si>
  <si>
    <t>- **WRN-PC-01**: "CB {CB_C} đang xử lý {15} yêu cầu. Xác nhận phân công?".
 - Nhãn cảnh báo đỏ hiển thị trên dòng CB_C.
 - Cho phép lưu sau khi xác nhận (WARNING, KHÔNG block).</t>
  </si>
  <si>
    <r>
      <rPr>
        <rFont val="Times New Roman"/>
        <color rgb="FF1155CC"/>
        <sz val="12.0"/>
        <u/>
      </rPr>
      <t>PCXLCHVM_04.jpg</t>
    </r>
  </si>
  <si>
    <t>Phân công khi trạng thái không hợp lệ (HOAN_THANH) → lỗi</t>
  </si>
  <si>
    <t>- User CB_NV đã đăng nhập.
 - HD-034 ở HOAN_THANH.</t>
  </si>
  <si>
    <t>1. Thử nhấn [Phân công] cho HD-034.</t>
  </si>
  <si>
    <t>- Nút [Phân công] bị ẩn cho HOAN_THANH.
 - Nếu API: **ERR-PC-02**: "Hỏi đáp ở trạng thái 'HOAN_THANH' không thể phân công".</t>
  </si>
  <si>
    <r>
      <rPr>
        <rFont val="Times New Roman"/>
        <color rgb="FF1155CC"/>
        <sz val="12.0"/>
        <u/>
      </rPr>
      <t>PCXLCHVM_05.jpg</t>
    </r>
  </si>
  <si>
    <t>Phân công mà không chọn người xử lý → bị chặn</t>
  </si>
  <si>
    <t>- User CB_NV đã đăng nhập.
 - HD-035 ở TIEP_NHAN.</t>
  </si>
  <si>
    <t>1. Mở phân công HD-035.
 2. Không chọn người xử lý.
 3. Click [Xác nhận].</t>
  </si>
  <si>
    <t>- Hệ thống yêu cầu chọn người xử lý.
 - Nút [Xác nhận] bị disabled hoặc báo lỗi validation.</t>
  </si>
  <si>
    <r>
      <rPr>
        <rFont val="Times New Roman"/>
        <color rgb="FF1155CC"/>
        <sz val="12.0"/>
        <u/>
      </rPr>
      <t>PCXLCHVM_06.jpg</t>
    </r>
  </si>
  <si>
    <t>CB NV BN phân công — danh sách gợi ý chỉ hiện CB cùng đơn vị</t>
  </si>
  <si>
    <t>- User CB_NV_BN đã đăng nhập.
 - HD-037 ở TIEP_NHAN, thuộc đơn vị BN.</t>
  </si>
  <si>
    <t>1. Mở phân công HD-037.
 2. Kiểm tra danh sách CB gợi ý.</t>
  </si>
  <si>
    <t>- Chỉ hiện CB thuộc cùng đơn vị BN (Row-Level Security).
 - KHÔNG hiện CB TW, BN khác, ĐP.</t>
  </si>
  <si>
    <r>
      <rPr>
        <rFont val="Times New Roman"/>
        <color rgb="FF1155CC"/>
        <sz val="12.0"/>
        <u/>
      </rPr>
      <t>PCXLCHVM_07.jpg</t>
    </r>
  </si>
  <si>
    <t>Phân công + đặt thời hạn tùy chỉnh (override SLA default)</t>
  </si>
  <si>
    <t>- User CB_NV đã đăng nhập.
 - HD-038 ở TIEP_NHAN.
 - SLA mặc định = 5 ngày.</t>
  </si>
  <si>
    <t>1. Mở phân công HD-038.
 2. Ô thời hạn hiện mặc định theo SLA.
 3. Sửa thời hạn = 10 ngày.
 4. Click [Xác nhận].</t>
  </si>
  <si>
    <t>- Phân công thành công với thời hạn = 10 ngày (override SLA default).
 - Deadline tính theo giá trị tùy chỉnh.</t>
  </si>
  <si>
    <r>
      <rPr>
        <rFont val="Times New Roman"/>
        <color rgb="FF1155CC"/>
        <sz val="12.0"/>
        <u/>
      </rPr>
      <t>PCXLCHVM_08.jpg</t>
    </r>
  </si>
  <si>
    <t>Phản hồi câu hỏi, vướng mắc</t>
  </si>
  <si>
    <t>Cung cấp công cụ cho Người hỗ trợ/CB Nghiệp vụ soạn thảo và gửi nội dung phản hồi chính thức cho người gửi.</t>
  </si>
  <si>
    <t>Kiểm tra hiển thị màn hình/popup phản hồi</t>
  </si>
  <si>
    <t xml:space="preserve">- User CB_NV đã đăng nhập.
- Tồn tại bản ghi tài khoản đăng nhập được phân công xử lý </t>
  </si>
  <si>
    <t>1. Chọn "Hỏi đáp pháp lý" 
2. Chọn bản ghi có trạng thái Đang xử lý hoặc đã tiếp nhận
3. Nhấn trực tiếp vào bản ghi
4. Kiểm tra popup/màn hình phản hồi được hiển thị</t>
  </si>
  <si>
    <t>- Màn hình/popup phản hồi hiển thị các trường thông tin giống với thiết kế</t>
  </si>
  <si>
    <t>- Hệ thống hiển thị thiếu trường thông tin "Tệp đính kèm phản hồi"
- Nội dung phản hồi tối đa 5000 ký tự nhưng hệ thống cho phép tối đa 20000 ký tự</t>
  </si>
  <si>
    <r>
      <rPr>
        <rFont val="Times New Roman"/>
        <color rgb="FF1155CC"/>
        <sz val="12.0"/>
        <u/>
      </rPr>
      <t>PHCHVM_02.jpg</t>
    </r>
  </si>
  <si>
    <t xml:space="preserve">SRS v3.5 STT7 = 20000 =&gt; giới hạn 20000 ký tự là đúng </t>
  </si>
  <si>
    <t>Soạn phản hồi và lưu nháp thành công</t>
  </si>
  <si>
    <t>1. Chọn "Hỏi đáp pháp lý" 
2. Chọn bản ghi có trạng thái Đang xử lý
3. Nhấn trực tiếp vào bản ghi
4. Nhập thông tin phản hồi hợp lệ và nhấn Lưu nháp</t>
  </si>
  <si>
    <t>Hệ thống lưu hoặc cập nhật nội dung phản hồi hiện tại và giữ nguyên trạng thái hỏi đáp là "Đang xử lý". Không kích hoạt chuyển trạng thái.</t>
  </si>
  <si>
    <r>
      <rPr>
        <rFont val="Times New Roman"/>
        <color rgb="FF1155CC"/>
        <sz val="12.0"/>
        <u/>
      </rPr>
      <t>PHCHVM_01.webm</t>
    </r>
  </si>
  <si>
    <t>Đính kèm tài liệu VBPL khi phản hồi</t>
  </si>
  <si>
    <t>1. Chọn "Hỏi đáp pháp lý" 
2. Chọn bản ghi có trạng thái Đang xử lý
3. Nhấn trực tiếp vào bản ghi
4. Đính kèm tài liệu hợp lệ và nhấn Lưu nháp</t>
  </si>
  <si>
    <t>- File hiển thị trong danh sách đính kèm.
- Lưu nháp thành công.</t>
  </si>
  <si>
    <t>Hệ thống hiển thị thiếu trường thông tin "Tệp đính kèm phản hồi"</t>
  </si>
  <si>
    <r>
      <rPr>
        <rFont val="Times New Roman"/>
        <color rgb="FF1155CC"/>
        <sz val="12.0"/>
        <u/>
      </rPr>
      <t>PHCHVM_03.webm</t>
    </r>
  </si>
  <si>
    <t>Gửi phản hồi — nội dung trống → lỗi</t>
  </si>
  <si>
    <t>1. Chọn "Hỏi đáp pháp lý" -&gt; Chọn bản ghi có trạng thái Đang xử lý
 2. Bỏ trống nội dung.
 3. Tick "Đã trả lời".
 4. Click [Gửi].</t>
  </si>
  <si>
    <t>- Lỗi **ERR-PH-01**: "Nội dung phản hồi là bắt buộc".
 - KHÔNG chuyển trạng thái.</t>
  </si>
  <si>
    <r>
      <rPr>
        <rFont val="Times New Roman"/>
        <color rgb="FF1155CC"/>
        <sz val="12.0"/>
        <u/>
      </rPr>
      <t>PHCHVM_04.jpg</t>
    </r>
  </si>
  <si>
    <t>Phản hồi khi trạng thái không hợp lệ (DA_DUYET) → lỗi</t>
  </si>
  <si>
    <t>- User CB_NV đã đăng nhập.
- Tồn tại bản ghi tcó trạng thái Đã duyệt</t>
  </si>
  <si>
    <t>1. Chọn "Hỏi đáp pháp lý" -&gt; Chọn bản ghi có trạng thái Đã duyệt
 2. Thử soạn phản hồi.</t>
  </si>
  <si>
    <t xml:space="preserve">- Khu vực soạn phản hồi bị disabled/ẩn.
 </t>
  </si>
  <si>
    <r>
      <rPr>
        <rFont val="Times New Roman"/>
        <color rgb="FF1155CC"/>
        <sz val="12.0"/>
        <u/>
      </rPr>
      <t>PHCHVM_05.jpg</t>
    </r>
  </si>
  <si>
    <t>Phản hồi nội dung vượt 5000 ký tự → lỗi</t>
  </si>
  <si>
    <t>1. Soạn phản hồi 5001 ký tự.
 2. Click [Gửi].</t>
  </si>
  <si>
    <t>- Lỗi: Nội dung phản hồi tối đa 5000 ký tự (tương tự ERR-HD-02).</t>
  </si>
  <si>
    <t>Hệ thống cho phép nhập tối đa 20000 ký tự</t>
  </si>
  <si>
    <r>
      <rPr>
        <rFont val="Times New Roman"/>
        <color rgb="FF1155CC"/>
        <sz val="12.0"/>
        <u/>
      </rPr>
      <t>PHCHVM_06.jpg</t>
    </r>
  </si>
  <si>
    <t>Reject</t>
  </si>
  <si>
    <t>Người soạn KHÔNG phải người được phân công → cảnh báo</t>
  </si>
  <si>
    <t xml:space="preserve">- User CB_NV đã đăng nhập.
- Tồn tại bản ghi tài khoản đăng nhập không được phân công xử lý </t>
  </si>
  <si>
    <t>1. Chọn "Hỏi đáp pháp lý" -&gt; Chọn bản ghi không được phân công xử lý
 2. Soạn phản hồi và nhấn Gửi</t>
  </si>
  <si>
    <t>- **WRN-PH-01**: "Bạn không phải người được phân công. Vẫn muốn phản hồi?".
 - Cho phép tiếp tục nếu xác nhận (WARNING, không block).</t>
  </si>
  <si>
    <r>
      <rPr>
        <rFont val="Times New Roman"/>
        <color rgb="FF1155CC"/>
        <sz val="12.0"/>
        <u/>
      </rPr>
      <t>PHCHVM_07.jpg</t>
    </r>
  </si>
  <si>
    <t>Gửi phản hồi → thông báo gửi đúng CB PD cùng cấp</t>
  </si>
  <si>
    <t>- User CB_NV_BN đã đăng nhập (cấp BN).
 - HD-049 ở DANG_XU_LY.</t>
  </si>
  <si>
    <t>1. Soạn phản hồi hoàn chỉnh.
 2. Nhấn Gửi.
 3. Kiểm tra CB PD nhận thông báo.</t>
  </si>
  <si>
    <t xml:space="preserve">- Lưu phản hồi hiện tại.
- Tự động chuyển trạng thái hỏi đáp: "Đang xử lý" → "Chờ phê duyệt".
- Gửi thông báo trong phần mềm đến Cán bộ phê duyệt cùng cấp đơn vị.
- Lưu vết thao tác theo quy định.
</t>
  </si>
  <si>
    <r>
      <rPr>
        <rFont val="Times New Roman"/>
        <color rgb="FF1155CC"/>
        <sz val="12.0"/>
        <u/>
      </rPr>
      <t>PHCHVM_08.jpg</t>
    </r>
  </si>
  <si>
    <t>Phản hồi chính xác 5000 ký tự → boundary accept</t>
  </si>
  <si>
    <t>- User CB_NV đã đăng nhập.
 - HD-050 ở DANG_XU_LY.</t>
  </si>
  <si>
    <t>1. Soạn phản hồi đúng 5000 ký tự.
 2. Click [Gửi].</t>
  </si>
  <si>
    <t>Xác nhận thành công, hệ thống hiển thị "Đã gửi phản hồi đi phê duyệt".</t>
  </si>
  <si>
    <t>Hệ thống hiển thị đồng thời 2 thông báo "Đã lưu nháp phản hồi" và "Đã gửi phản hồi đi phê duyệt". khi nhấn Gửi</t>
  </si>
  <si>
    <r>
      <rPr>
        <rFont val="Times New Roman"/>
        <color rgb="FF1155CC"/>
        <sz val="12.0"/>
        <u/>
      </rPr>
      <t>PHCHVM_09.jpg</t>
    </r>
  </si>
  <si>
    <t>Chọn mẫu → pre-fill → chọn mẫu khác → confirm ghi đè</t>
  </si>
  <si>
    <t>- User CB_NV đã đăng nhập.
 - HD-112 ở DANG_XU_LY.
 - Đang soạn nội dung (có text).</t>
  </si>
  <si>
    <t>1. Chọn mẫu M1 → nội dung pre-fill.
 2. Sửa một phần nội dung.
 3. Chọn mẫu M2 (khác M1).</t>
  </si>
  <si>
    <t>- Confirm dialog: "Nội dung hiện tại sẽ bị thay thế. Xác nhận?".
 - Nếu confirm → ghi đè bằng M2.
 - Nếu hủy → giữ nguyên nội dung đang soạn.</t>
  </si>
  <si>
    <t>Hệ thống không cập nhật lại Nội dung phản hồi khi người dùng thay đổi mẫu</t>
  </si>
  <si>
    <r>
      <rPr>
        <rFont val="Times New Roman"/>
        <color rgb="FF1155CC"/>
        <sz val="12.0"/>
        <u/>
      </rPr>
      <t>PHCHVM_10.webm</t>
    </r>
  </si>
  <si>
    <t>Lĩnh vực không có MAU_PHAN_HOI → dropdown mẫu trống</t>
  </si>
  <si>
    <t>- User CB_NV đã đăng nhập.
 - HD-113 ở DANG_XU_LY, lĩnh vực "Thuế" (chưa có mẫu).</t>
  </si>
  <si>
    <t>1. Mở soạn phản hồi HD-113.
 2. Kiểm tra dropdown mẫu phản hồi.</t>
  </si>
  <si>
    <t>- Dropdown trống hoặc disabled: "Chưa có mẫu cho lĩnh vực này".
 - CB NV vẫn có thể soạn thủ công.</t>
  </si>
  <si>
    <r>
      <rPr>
        <rFont val="Times New Roman"/>
        <color rgb="FF1155CC"/>
        <sz val="12.0"/>
        <u/>
      </rPr>
      <t>PHCHVM_11.jpg</t>
    </r>
  </si>
  <si>
    <t>Phản hồi khi CB PD đang duyệt — form phải bị KHÓA ở CHO_PHE_DUYET</t>
  </si>
  <si>
    <t>- CB_NV_A đã đăng nhập.
 - HD-114 ở CHO_PHE_DUYET (A đã gửi).</t>
  </si>
  <si>
    <t>1. A quay lại chi tiết HD-114 (CHO_PHE_DUYET).
 2. Kiểm tra form soạn phản hồi.</t>
  </si>
  <si>
    <t>- Form soạn phản hồi BỊ KHÓA khi trạng thái = CHO_PHE_DUYET.
 - CB NV chỉ thao tác được ở DA_PHAN_CONG / DANG_XU_LY.
 - Nếu KHÔNG khóa → lỗ hổng: phản hồi mới ghi đè bản đang chờ duyệt.</t>
  </si>
  <si>
    <r>
      <rPr>
        <rFont val="Times New Roman"/>
        <color rgb="FF1155CC"/>
        <sz val="12.0"/>
        <u/>
      </rPr>
      <t>PHCHVM_12.jpg</t>
    </r>
  </si>
  <si>
    <t>Quản lý công khai phản hồi câu hỏi, vướng mắc</t>
  </si>
  <si>
    <t>Quản lý quy trình kiểm duyệt và xuất bản công khai các câu trả lời.</t>
  </si>
  <si>
    <t>Phê duyệt phản hồi thành công — CB PD cùng cấp</t>
  </si>
  <si>
    <t>- User **CB_PD_TW** đã đăng nhập.
 - HD-050 ở CHO_PHE_DUYET, do CB_NV_TW tạo/xử lý.</t>
  </si>
  <si>
    <t>1. Mở tab "Chờ duyệt".
 2. Click HD-050.
 3. Xem nội dung phản hồi.
 4. Nhấn [Phê duyệt].</t>
  </si>
  <si>
    <t>- Trạng thái: CHO_PHE_DUYET → **DA_DUYET**.
 - AUDIT_LOG ghi APPROVE.
 - Thông báo gửi cho CB_NV_TW (người soạn).
 - BR-AUTH-05: CB PD TW duyệt cho bản ghi TW → hợp lệ.</t>
  </si>
  <si>
    <t>Thông báo không được gửi cho cbnv_tw</t>
  </si>
  <si>
    <r>
      <rPr>
        <rFont val="Times New Roman"/>
        <color rgb="FF1155CC"/>
        <sz val="12.0"/>
        <u/>
      </rPr>
      <t>QLCKPHCHVM_01.webm</t>
    </r>
  </si>
  <si>
    <t>Đã xóa cache và verify lại trên dữ liệu mới nhất -&gt; pass</t>
  </si>
  <si>
    <t>Phê duyệt hàng loạt (Batch Approve) thành công</t>
  </si>
  <si>
    <t>- User CB_PD đã đăng nhập.
 - 5 bản ghi ở CHO_PHE_DUYET cùng cấp.</t>
  </si>
  <si>
    <t>1. Mở tab "Chờ duyệt".
 2. Tick chọn 5 bản ghi.
 3. Click [Phê duyệt hàng loạt].</t>
  </si>
  <si>
    <t>- Xử lý per-record.
 - Tất cả 5 chuyển CHO_PHE_DUYET → DA_DUYET.
 - Kết quả: "5 duyệt thành công, 0 lỗi".
 - AUDIT_LOG ghi 5 entries.</t>
  </si>
  <si>
    <t>Hệ thống không ghi lại lịch sử phê duyệt của các bản ghi</t>
  </si>
  <si>
    <r>
      <rPr>
        <rFont val="Times New Roman"/>
        <color rgb="FF000000"/>
        <sz val="12.0"/>
        <u/>
      </rPr>
      <t>QLCKPHCHVM_02.webm</t>
    </r>
  </si>
  <si>
    <t>Từ chối phê duyệt kèm lý do hợp lệ (≥10 ký tự)</t>
  </si>
  <si>
    <t>- User CB_PD đã đăng nhập.
 - HD-051 ở CHO_PHE_DUYET.</t>
  </si>
  <si>
    <t>1. Mở chi tiết HD-051.
 2. Nhấn [Từ chối].
 3. Nhập lý do từ chối.
 4. Click [Xác nhận].</t>
  </si>
  <si>
    <t>- Trạng thái: CHO_PHE_DUYET → DANG_XU_LY (trả lại CB NV sửa).
 - Lý do từ chối hiển thị cho CB NV.
 - Gửi thông báo in-app + email cho CB NV.
 - AUDIT_LOG ghi REJECT + lý do.</t>
  </si>
  <si>
    <r>
      <rPr>
        <rFont val="Times New Roman"/>
        <color rgb="FF1155CC"/>
        <sz val="12.0"/>
        <u/>
      </rPr>
      <t>QLCKPHCHVM_03.jpg</t>
    </r>
  </si>
  <si>
    <t>Từ chối — lý do trống → lỗi</t>
  </si>
  <si>
    <t>- User CB_PD đã đăng nhập.
 - HD-052 ở CHO_PHE_DUYET.</t>
  </si>
  <si>
    <t>1. Nhấn [Từ chối].
 2. Bỏ trống lý do.
 3. Click [Xác nhận].</t>
  </si>
  <si>
    <t>- Lỗi **ERR-PD-02**: "Vui lòng nhập lý do từ chối".
 - KHÔNG chuyển trạng thái.</t>
  </si>
  <si>
    <r>
      <rPr>
        <rFont val="Times New Roman"/>
        <color rgb="FF1155CC"/>
        <sz val="12.0"/>
        <u/>
      </rPr>
      <t>QLCKPHCHVM_04.jpg</t>
    </r>
  </si>
  <si>
    <t>Từ chối — lý do &lt; 10 ký tự → lỗi</t>
  </si>
  <si>
    <t>- User CB_PD đã đăng nhập.
 - HD-053 ở CHO_PHE_DUYET.</t>
  </si>
  <si>
    <t>1. Nhấn [Từ chối].
 2. Nhập "Thiếu" (5 ký tự).
 3. Click [Xác nhận].</t>
  </si>
  <si>
    <t>- Lỗi **ERR-PD-02** (min 10 ký tự theo BR-FLOW-04).
 - KHÔNG chuyển trạng thái.</t>
  </si>
  <si>
    <r>
      <rPr>
        <rFont val="Times New Roman"/>
        <color rgb="FF1155CC"/>
        <sz val="12.0"/>
        <u/>
      </rPr>
      <t>QLCKPHCHVM_05.jpg</t>
    </r>
  </si>
  <si>
    <t>Từ chối — CB PD phê duyệt xuyên cấp → lỗi</t>
  </si>
  <si>
    <t>- User **CB_PD_BN** đã đăng nhập.
 - HD-054 ở CHO_PHE_DUYET, thuộc đơn vị TW (hoặc ĐP khác cấp).</t>
  </si>
  <si>
    <t>1. Thử [Từ chối] hoặc [Phê duyệt] HD-054.</t>
  </si>
  <si>
    <t xml:space="preserve">- Bản ghi KHÔNG hiển thị trong danh sách CB_PD_BN.
</t>
  </si>
  <si>
    <r>
      <rPr>
        <rFont val="Times New Roman"/>
        <color rgb="FF1155CC"/>
        <sz val="12.0"/>
        <u/>
      </rPr>
      <t>QLCKPHCHVM_06.jpg</t>
    </r>
  </si>
  <si>
    <t>Phê duyệt bản ghi KHÔNG ở CHO_PHE_DUYET → lỗi</t>
  </si>
  <si>
    <t>- User CB_PD đã đăng nhập.
 - HD-055 ở DA_DUYET (đã duyệt rồi).</t>
  </si>
  <si>
    <t>1. Thử nhấn [Phê duyệt] HD-055.</t>
  </si>
  <si>
    <t xml:space="preserve">- Nút [Phê duyệt] bị ẩn cho DA_DUYET.
</t>
  </si>
  <si>
    <r>
      <rPr>
        <rFont val="Times New Roman"/>
        <color rgb="FF1155CC"/>
        <sz val="12.0"/>
        <u/>
      </rPr>
      <t>QLCKPHCHVM_07.jpg</t>
    </r>
  </si>
  <si>
    <t>Đóng hồ sơ thủ công OK — DA_DUYET → HOAN_THANH</t>
  </si>
  <si>
    <t>- User CB NV cùng đơn vị HOẶC CB PD cùng cấp đã đăng nhập.
 - HD-059 ở DA_DUYET.</t>
  </si>
  <si>
    <t>1. Mở chi tiết HD-059.
 2. Nhấn [Đóng hồ sơ].
 3. Confirm dialog: "Đóng hồ sơ? Hồ sơ sẽ không thể chỉnh sửa."
 4. Click [Xác nhận].</t>
  </si>
  <si>
    <t xml:space="preserve">- Trạng thái: DA_DUYET → **HOAN_THANH** 
 - Bản ghi bị khóa vĩnh viễn 
 - AUDIT_LOG ghi CLOSE.
 </t>
  </si>
  <si>
    <r>
      <rPr>
        <rFont val="Times New Roman"/>
        <color rgb="FF1155CC"/>
        <sz val="12.0"/>
        <u/>
      </rPr>
      <t>QLCKPHCHVM_08.jpg</t>
    </r>
  </si>
  <si>
    <t>Đóng hồ sơ từ CONG_KHAI → HOAN_THANH (skip DA_DUYET)</t>
  </si>
  <si>
    <t>- User CB NV / CB PD cùng cấp đã đăng nhập.
 - HD-062 ở CONG_KHAI.</t>
  </si>
  <si>
    <t>1. Mở chi tiết HD-062.
 2. Nhấn [Đóng hồ sơ].
 3. Xác nhận.</t>
  </si>
  <si>
    <t>- Trạng thái: CONG_KHAI → **HOAN_THANH** (luồng kết thúc từ CONG_KHAI).
 - Bản ghi bị khóa (BR-FLOW-03).
 - AUDIT_LOG ghi CLOSE.</t>
  </si>
  <si>
    <r>
      <rPr>
        <rFont val="Times New Roman"/>
        <color rgb="FF1155CC"/>
        <sz val="12.0"/>
        <u/>
      </rPr>
      <t>QLCKPHCHVM_09.jpg</t>
    </r>
  </si>
  <si>
    <t>CB PD xem nội dung phản hồi — Read-only (KHÔNG có nút sửa trên UI)</t>
  </si>
  <si>
    <t>- User CB_PD đã đăng nhập.
 - HD-121 ở CHO_PHE_DUYET.</t>
  </si>
  <si>
    <t>1. Mở chi tiết HD-121.
 2. Kiểm tra section phản hồi.</t>
  </si>
  <si>
    <t xml:space="preserve">- Nội dung phản hồi hiển thị read-only (KHÔNG có Rich-text editor).
 - CB_PD KHÔNG có form sửa trực tiếp PHAN_HOI </t>
  </si>
  <si>
    <r>
      <rPr>
        <rFont val="Times New Roman"/>
        <color rgb="FF1155CC"/>
        <sz val="12.0"/>
        <u/>
      </rPr>
      <t>QLCKPHCHVM_10.jpg</t>
    </r>
  </si>
  <si>
    <t>Confirm dialog: Phê duyệt đơn lẻ phải hiện confirm</t>
  </si>
  <si>
    <t>- User CB_PD đã đăng nhập.
 - HD-122 ở CHO_PHE_DUYET.</t>
  </si>
  <si>
    <t>1. Nhấn [Phê duyệt].
 2. Kiểm tra confirm dialog.</t>
  </si>
  <si>
    <t>- Confirm dialog BẮT BUỘC hiện trước khi phê duyệt (SCR-II-02 C12).
 - Nội dung: "Xác nhận phê duyệt?".
 - [Xác nhận] → thực hiện. [Hủy] → quay lại.</t>
  </si>
  <si>
    <r>
      <rPr>
        <rFont val="Times New Roman"/>
        <color rgb="FF1155CC"/>
        <sz val="12.0"/>
        <u/>
      </rPr>
      <t>QLCKPHCHVM_11.jpg</t>
    </r>
  </si>
  <si>
    <t>II.3</t>
  </si>
  <si>
    <t>Quản lý danh sách câu hỏi, vướng mắc đã xử lý</t>
  </si>
  <si>
    <t>Quản lý câu hỏi, vướng mắc đã xử lý</t>
  </si>
  <si>
    <t>Quản lý các trường dữ liệu chi tiết của từng yêu cầu đã hoàn thành xử lý.</t>
  </si>
  <si>
    <t>1. Chọn "Hỏi đáp pháp lý" -&gt; Mở tab "Đang xử lý".
 2. Kiểm tra danh sách.</t>
  </si>
  <si>
    <t>- Chỉ hiển thị `trang_thai IN (TIEP_NHAN, DA_PHAN_CONG, DANG_XU_LY)`.
 - KHÔNG hiển thị MOI, DA_DUYET, CONG_KHAI, HOAN_THANH.
 - Không có nút [Thêm mới] / [Xóa].</t>
  </si>
  <si>
    <t>Hệ thống hiển thị nút "Xóa"</t>
  </si>
  <si>
    <r>
      <rPr>
        <rFont val="Times New Roman"/>
        <color rgb="FF1155CC"/>
        <sz val="12.0"/>
        <u/>
      </rPr>
      <t>QLCHVMDXL_01.jpg</t>
    </r>
  </si>
  <si>
    <t>đúng srs</t>
  </si>
  <si>
    <t>1. Mở chi tiết
 2. Nhập thời hạn mới 
 3. Nhập lý do thay đổi.
 4. Click [Lưu].</t>
  </si>
  <si>
    <t>- Cập nhật thành công, thời hạn mới 
 - AUDIT_LOG ghi UPDATE (thời hạn cũ → mới + lý do).
 - Thông báo gửi cho người được phân công.</t>
  </si>
  <si>
    <r>
      <rPr>
        <rFont val="Times New Roman"/>
        <color rgb="FF1155CC"/>
        <sz val="12.0"/>
        <u/>
      </rPr>
      <t>QLCHVMDXL_02.jpg</t>
    </r>
  </si>
  <si>
    <t>1. Mở chi tiết bản ghi
 2. Mở Lịch sử xử lý.</t>
  </si>
  <si>
    <t>- Hiển thị đầy đủ dòng thời gian các thao tác đã thực hiện trên hỏi đáp.</t>
  </si>
  <si>
    <r>
      <rPr>
        <rFont val="Times New Roman"/>
        <color rgb="FF1155CC"/>
        <sz val="12.0"/>
        <u/>
      </rPr>
      <t>QLCHVMDXL_03.jpg</t>
    </r>
  </si>
  <si>
    <t>- Hệ thống yêu cầu nhập lý do thay đổi.
 - Không cho phép lưu khi lý do trống.</t>
  </si>
  <si>
    <r>
      <rPr>
        <rFont val="Times New Roman"/>
        <color rgb="FF1155CC"/>
        <sz val="12.0"/>
        <u/>
      </rPr>
      <t>QLCHVMDXL_04.jpg</t>
    </r>
  </si>
  <si>
    <t>- User CB_NV_DP (Sở TP HN) đã đăng nhập.
 - HD-023 thuộc đơn vị TW ở DANG_XU_LY.</t>
  </si>
  <si>
    <t>1. Thử truy cập chi tiết HD-023 (đơn vị TW).</t>
  </si>
  <si>
    <t>- HD-023 KHÔNG xuất hiện trong danh sách tab "Đang xử lý" của CB_NV_DP.
 - Row-Level Security (BR-AUTH-08) chặn ở tầng data.</t>
  </si>
  <si>
    <r>
      <rPr>
        <rFont val="Times New Roman"/>
        <color rgb="FF1155CC"/>
        <sz val="12.0"/>
        <u/>
      </rPr>
      <t>QLCHVMDXL_05.jpg</t>
    </r>
  </si>
  <si>
    <t>- Không có cột bổ sung Người duyệt, Ngày duyệt</t>
  </si>
  <si>
    <r>
      <rPr>
        <rFont val="Times New Roman"/>
        <color rgb="FF1155CC"/>
        <sz val="12.0"/>
        <u/>
      </rPr>
      <t>QLCHVMDXL_06.jpg</t>
    </r>
  </si>
  <si>
    <t>chờ cf lại tách trạng thái hay gộp</t>
  </si>
  <si>
    <t>- User CB_NV đã đăng nhập.
 - HD-024 ở HOAN_THANH.</t>
  </si>
  <si>
    <t>1. Click vào HD-024.
 2. Xem SCR-II-02 (Chi tiết).</t>
  </si>
  <si>
    <r>
      <rPr>
        <rFont val="Times New Roman"/>
        <color rgb="FF1155CC"/>
        <sz val="12.0"/>
        <u/>
      </rPr>
      <t>QLCHVMDXL_07.jpg</t>
    </r>
  </si>
  <si>
    <t>Thử sửa bản ghi HOAN_THANH → bị khóa</t>
  </si>
  <si>
    <t>- User CB_NV đã đăng nhập.
 - HD-025 ở HOAN_THANH.</t>
  </si>
  <si>
    <t>1. Mở chi tiết HD-025.
 2. Thử sửa nội dung.</t>
  </si>
  <si>
    <t>- Nút [Sửa] bị ẩn/disabled.
 - BR-FLOW-03: bản ghi ở HOAN_THANH bị khóa hoàn toàn.</t>
  </si>
  <si>
    <r>
      <rPr>
        <rFont val="Times New Roman"/>
        <color rgb="FF1155CC"/>
        <sz val="12.0"/>
        <u/>
      </rPr>
      <t>QLCHVMDXL_08.jpg</t>
    </r>
  </si>
  <si>
    <r>
      <rPr>
        <rFont val="Times New Roman"/>
        <color rgb="FF1155CC"/>
        <sz val="12.0"/>
        <u/>
      </rPr>
      <t>QLCHVMDXL_09.jpg</t>
    </r>
  </si>
  <si>
    <t>1. Mở chi tiết bản ghi và cập nhật thời hạn
 3. Click [Lưu].</t>
  </si>
  <si>
    <t>- Hệ thống không cho phép chọn hạn mới &lt; ngày hiện tại hoặc chặn: "Thời hạn phải lớn hơn ngày hiện tại".
- Nếu chấp nhận: bản ghi lập tức chuyển badge ĐỎ/ĐEN.</t>
  </si>
  <si>
    <r>
      <rPr>
        <rFont val="Times New Roman"/>
        <color rgb="FF1155CC"/>
        <sz val="12.0"/>
        <u/>
      </rPr>
      <t>QLCHVMDXL_10.jpg</t>
    </r>
  </si>
  <si>
    <t>Tìm kiếm thông tin câu hỏi, vướng mắc đã xử lý</t>
  </si>
  <si>
    <t>Tìm kiếm trong kho dữ liệu các câu hỏi và câu trả lời đã được xử lý xong.</t>
  </si>
  <si>
    <r>
      <rPr>
        <rFont val="Times New Roman"/>
        <color rgb="FF1155CC"/>
        <sz val="12.0"/>
        <u/>
      </rPr>
      <t>TKCHVMDXL_01.jpg</t>
    </r>
  </si>
  <si>
    <r>
      <rPr>
        <rFont val="Times New Roman"/>
        <color rgb="FF1155CC"/>
        <sz val="12.0"/>
        <u/>
      </rPr>
      <t>TKCHVMDXL_02.jpg</t>
    </r>
  </si>
  <si>
    <r>
      <rPr>
        <rFont val="Times New Roman"/>
        <color rgb="FF1155CC"/>
        <sz val="12.0"/>
        <u/>
      </rPr>
      <t>TKCHVMDXL_03.jpg</t>
    </r>
  </si>
  <si>
    <r>
      <rPr>
        <rFont val="Times New Roman"/>
        <color rgb="FF1155CC"/>
        <sz val="12.0"/>
        <u/>
      </rPr>
      <t>TKCHVMDXL_04.jpg</t>
    </r>
  </si>
  <si>
    <r>
      <rPr>
        <rFont val="Times New Roman"/>
        <color rgb="FF1155CC"/>
        <sz val="12.0"/>
        <u/>
      </rPr>
      <t>TKCHVMDXL_05.jpg</t>
    </r>
  </si>
  <si>
    <t>Hệ thống hiển thị toàn bộ bản ghi</t>
  </si>
  <si>
    <r>
      <rPr>
        <rFont val="Times New Roman"/>
        <color rgb="FF1155CC"/>
        <sz val="12.0"/>
        <u/>
      </rPr>
      <t>TKCHVMDXL_06.webm</t>
    </r>
  </si>
  <si>
    <r>
      <rPr>
        <rFont val="Times New Roman"/>
        <color rgb="FF1155CC"/>
        <sz val="12.0"/>
        <u/>
      </rPr>
      <t>TKCHVMDXL_07.jpg</t>
    </r>
  </si>
  <si>
    <r>
      <rPr>
        <rFont val="Times New Roman"/>
        <color rgb="FF1155CC"/>
        <sz val="12.0"/>
        <u/>
      </rPr>
      <t>TKCHVMDXL_08.jpg</t>
    </r>
  </si>
  <si>
    <r>
      <rPr>
        <rFont val="Times New Roman"/>
        <color rgb="FF1155CC"/>
        <sz val="12.0"/>
        <u/>
      </rPr>
      <t>TKCHVMDXL_09.jpg</t>
    </r>
  </si>
  <si>
    <r>
      <rPr>
        <rFont val="Times New Roman"/>
        <color rgb="FF1155CC"/>
        <sz val="12.0"/>
        <u/>
      </rPr>
      <t>TKCHVMDXL_10.jpg</t>
    </r>
  </si>
  <si>
    <t>Tab "Tất cả" hiển thị số lượng bản ghi phù hợp với tiêu chí tìm kiếm nhưng bảng danh sách không hiển thị bản ghi nào</t>
  </si>
  <si>
    <r>
      <rPr>
        <rFont val="Times New Roman"/>
        <color rgb="FF1155CC"/>
        <sz val="12.0"/>
        <u/>
      </rPr>
      <t>TKCHVMDXL_11.webm</t>
    </r>
  </si>
  <si>
    <r>
      <rPr>
        <rFont val="Times New Roman"/>
        <color rgb="FF1155CC"/>
        <sz val="12.0"/>
        <u/>
      </rPr>
      <t>TKCHVMDXL_12.jpg</t>
    </r>
  </si>
  <si>
    <t>III</t>
  </si>
  <si>
    <t>Quản lý thông tin chương trình đào tạo, tập huấn</t>
  </si>
  <si>
    <t>Quản lý chương trình đào tạo, tập huấn</t>
  </si>
  <si>
    <t>Cán  bộ  nghiệp  vụ 
 TW,BN,ĐP</t>
  </si>
  <si>
    <t>Tổng hợp và quản lý danh sách các chương trình đào tạo/tập huấn đã, đang và sẽ diễn ra.</t>
  </si>
  <si>
    <t>Mở màn danh sách</t>
  </si>
  <si>
    <t>Đăng nhập</t>
  </si>
  <si>
    <t>-</t>
  </si>
  <si>
    <t>1.Mở menu Đào tạo&gt;Chương trình đào tạo</t>
  </si>
  <si>
    <t>Hiển thị đầy đủ danh sách, cột: Mã,Tên,Lĩnh vực,Ngân sách,Số khóa,Trạng thái,Hành động</t>
  </si>
  <si>
    <r>
      <rPr>
        <rFont val="Times New Roman"/>
        <color rgb="FF1155CC"/>
        <sz val="12.0"/>
        <u/>
      </rPr>
      <t>TTCTDTTH_02.jpg</t>
    </r>
  </si>
  <si>
    <t>Kiểm tra phân trang</t>
  </si>
  <si>
    <t>Có &gt;20 bản ghi</t>
  </si>
  <si>
    <t>Chuyển trang</t>
  </si>
  <si>
    <t>Hiển thị đúng dữ liệu trang tiếp theo</t>
  </si>
  <si>
    <r>
      <rPr>
        <rFont val="Times New Roman"/>
        <color rgb="FF1155CC"/>
        <sz val="12.0"/>
        <u/>
      </rPr>
      <t>TTCTDTTH_01.jpg</t>
    </r>
  </si>
  <si>
    <t>Theo tên CT</t>
  </si>
  <si>
    <t>Tên hợp lệ</t>
  </si>
  <si>
    <t>Nhập tên và bấm Tìm kiếm</t>
  </si>
  <si>
    <t>Chỉ hiển thị bản ghi phù hợp</t>
  </si>
  <si>
    <r>
      <rPr>
        <rFont val="Times New Roman"/>
        <color rgb="FF1155CC"/>
        <sz val="12.0"/>
        <u/>
      </rPr>
      <t>TTCTDTTH_03.jpg</t>
    </r>
  </si>
  <si>
    <t>Theo mã CT</t>
  </si>
  <si>
    <t>Mã hợp lệ</t>
  </si>
  <si>
    <t>Nhập mã và tìm</t>
  </si>
  <si>
    <t>Trả đúng bản ghi</t>
  </si>
  <si>
    <r>
      <rPr>
        <rFont val="Times New Roman"/>
        <color rgb="FF1155CC"/>
        <sz val="12.0"/>
        <u/>
      </rPr>
      <t>TTCTDTTH_04.jpg</t>
    </r>
  </si>
  <si>
    <t>Không có kết quả</t>
  </si>
  <si>
    <t>abcxyz</t>
  </si>
  <si>
    <t>Nhập từ khóa không tồn tại</t>
  </si>
  <si>
    <t>Hiển thị không có dữ liệu</t>
  </si>
  <si>
    <r>
      <rPr>
        <rFont val="Times New Roman"/>
        <color rgb="FF1155CC"/>
        <sz val="12.0"/>
        <u/>
      </rPr>
      <t>TTCTDTTH_05.jpg</t>
    </r>
  </si>
  <si>
    <t>Theo lĩnh vực</t>
  </si>
  <si>
    <t>Lao động</t>
  </si>
  <si>
    <t>Chọn lĩnh vực&gt;Tìm kiếm</t>
  </si>
  <si>
    <t>Chỉ hiển thị lĩnh vực đã chọn</t>
  </si>
  <si>
    <r>
      <rPr>
        <rFont val="Times New Roman"/>
        <color rgb="FF1155CC"/>
        <sz val="12.0"/>
        <u/>
      </rPr>
      <t>TTCTDTTH_06.jpg</t>
    </r>
  </si>
  <si>
    <t>Theo khoảng ngày</t>
  </si>
  <si>
    <t>Hợp lệ</t>
  </si>
  <si>
    <t>Chọn từ ngày-đến ngày</t>
  </si>
  <si>
    <t>Hiển thị đúng kết quả</t>
  </si>
  <si>
    <r>
      <rPr>
        <rFont val="Times New Roman"/>
        <color rgb="FF1155CC"/>
        <sz val="12.0"/>
        <u/>
      </rPr>
      <t>TTCTDTTH_07.jpg</t>
    </r>
  </si>
  <si>
    <t>Từ ngày &gt; Đến ngày</t>
  </si>
  <si>
    <t>Chọn sai khoảng ngày</t>
  </si>
  <si>
    <t>Hiển thị cảnh báo hoặc không cho tìm</t>
  </si>
  <si>
    <r>
      <rPr>
        <rFont val="Times New Roman"/>
        <color rgb="FF1155CC"/>
        <sz val="12.0"/>
        <u/>
      </rPr>
      <t>TTCTDTTH_08.jpg</t>
    </r>
  </si>
  <si>
    <t>Reset điều kiện</t>
  </si>
  <si>
    <t>Đã nhập điều kiện</t>
  </si>
  <si>
    <t>Toàn bộ điều kiện được xóa, danh sách mặc định</t>
  </si>
  <si>
    <r>
      <rPr>
        <rFont val="Times New Roman"/>
        <color rgb="FF1155CC"/>
        <sz val="12.0"/>
        <u/>
      </rPr>
      <t>TTCTDTTH_09.jpg</t>
    </r>
  </si>
  <si>
    <t>Refresh</t>
  </si>
  <si>
    <t>Danh sách tải lại</t>
  </si>
  <si>
    <r>
      <rPr>
        <rFont val="Times New Roman"/>
        <color rgb="FF1155CC"/>
        <sz val="12.0"/>
        <u/>
      </rPr>
      <t>TTCTDTTH_10.jpg</t>
    </r>
  </si>
  <si>
    <t>Tất cả</t>
  </si>
  <si>
    <t>Chọn tab Tất cả</t>
  </si>
  <si>
    <t>Hiển thị toàn bộ</t>
  </si>
  <si>
    <r>
      <rPr>
        <rFont val="Times New Roman"/>
        <color rgb="FF1155CC"/>
        <sz val="12.0"/>
        <u/>
      </rPr>
      <t>TTCTDTTH_11.jpg</t>
    </r>
  </si>
  <si>
    <t>Dự thảo</t>
  </si>
  <si>
    <t>Chọn tab Dự thảo</t>
  </si>
  <si>
    <t>Chỉ hiển thị Dự thảo</t>
  </si>
  <si>
    <r>
      <rPr>
        <rFont val="Times New Roman"/>
        <color rgb="FF1155CC"/>
        <sz val="12.0"/>
        <u/>
      </rPr>
      <t>TTCTDTTH_12.jpg</t>
    </r>
  </si>
  <si>
    <t>Chờ duyệt</t>
  </si>
  <si>
    <t>Chọn tab Chờ duyệt</t>
  </si>
  <si>
    <t>Chỉ hiển thị Chờ duyệt</t>
  </si>
  <si>
    <r>
      <rPr>
        <rFont val="Times New Roman"/>
        <color rgb="FF1155CC"/>
        <sz val="12.0"/>
        <u/>
      </rPr>
      <t>TTCTDTTH_13.jpg</t>
    </r>
  </si>
  <si>
    <t>Đã duyệt</t>
  </si>
  <si>
    <t>Chọn tab Đã duyệt</t>
  </si>
  <si>
    <t>Chỉ hiển thị Đã duyệt</t>
  </si>
  <si>
    <r>
      <rPr>
        <rFont val="Times New Roman"/>
        <color rgb="FF1155CC"/>
        <sz val="12.0"/>
        <u/>
      </rPr>
      <t>TTCTDTTH_14.jpg</t>
    </r>
  </si>
  <si>
    <t>Đã hủy</t>
  </si>
  <si>
    <t>Chọn tab Đã hủy</t>
  </si>
  <si>
    <t>Chỉ hiển thị Đã hủy</t>
  </si>
  <si>
    <r>
      <rPr>
        <rFont val="Times New Roman"/>
        <color rgb="FF1155CC"/>
        <sz val="12.0"/>
        <u/>
      </rPr>
      <t>TTCTDTTH_15.jpg</t>
    </r>
  </si>
  <si>
    <t>Đang thực hiện</t>
  </si>
  <si>
    <t>Chọn tab Đang thực hiện</t>
  </si>
  <si>
    <t>Chỉ hiển thị Đang thực hiện</t>
  </si>
  <si>
    <t>Hoàn thành</t>
  </si>
  <si>
    <t>Chọn tab Hoàn thành</t>
  </si>
  <si>
    <t>Chỉ hiển thị Hoàn thành</t>
  </si>
  <si>
    <t>Icon mắt</t>
  </si>
  <si>
    <t>Bấm icon mắt</t>
  </si>
  <si>
    <t>Mở màn chi tiết đúng CT</t>
  </si>
  <si>
    <r>
      <rPr>
        <rFont val="Times New Roman"/>
        <color rgb="FF1155CC"/>
        <sz val="12.0"/>
        <u/>
      </rPr>
      <t>TTCTDTTH_18.jpg</t>
    </r>
  </si>
  <si>
    <t>Icon bút</t>
  </si>
  <si>
    <t>Có quyền sửa</t>
  </si>
  <si>
    <t>Bấm icon sửa</t>
  </si>
  <si>
    <t>Mở màn chỉnh sửa</t>
  </si>
  <si>
    <r>
      <rPr>
        <rFont val="Times New Roman"/>
        <color rgb="FF1155CC"/>
        <sz val="12.0"/>
        <u/>
      </rPr>
      <t>TTCTDTTH_19.jpg</t>
    </r>
  </si>
  <si>
    <t>Nút Thêm mới</t>
  </si>
  <si>
    <t>Có quyền</t>
  </si>
  <si>
    <t>Bấm Thêm mới</t>
  </si>
  <si>
    <t>Đi tới màn tạo mới</t>
  </si>
  <si>
    <r>
      <rPr>
        <rFont val="Times New Roman"/>
        <color rgb="FF1155CC"/>
        <sz val="12.0"/>
        <u/>
      </rPr>
      <t>TTCTDTTH_20.jpg</t>
    </r>
  </si>
  <si>
    <t>Export</t>
  </si>
  <si>
    <t>Bấm Xuất Excel</t>
  </si>
  <si>
    <t>Tải file thành công, dữ liệu đúng</t>
  </si>
  <si>
    <r>
      <rPr>
        <rFont val="Times New Roman"/>
        <color rgb="FF1155CC"/>
        <sz val="12.0"/>
        <u/>
      </rPr>
      <t>TTCTDTTH_21.jpg</t>
    </r>
  </si>
  <si>
    <t>Kiểm tra footer</t>
  </si>
  <si>
    <t>Quan sát footer</t>
  </si>
  <si>
    <t>Hiển thị đúng x-y/tổng kết quả</t>
  </si>
  <si>
    <r>
      <rPr>
        <rFont val="Times New Roman"/>
        <color rgb="FF1155CC"/>
        <sz val="12.0"/>
        <u/>
      </rPr>
      <t>TTCTDTTH_22.jpg</t>
    </r>
  </si>
  <si>
    <t>20/trang</t>
  </si>
  <si>
    <t>Đổi 20-&gt;50</t>
  </si>
  <si>
    <t>Hiển thị đúng số dòng</t>
  </si>
  <si>
    <r>
      <rPr>
        <rFont val="Times New Roman"/>
        <color rgb="FF1155CC"/>
        <sz val="12.0"/>
        <u/>
      </rPr>
      <t>TTCTDTTH_23.jpg</t>
    </r>
  </si>
  <si>
    <t>Tìm kiếm chương trình đào tạo, tập huấn</t>
  </si>
  <si>
    <t>Cán bộ nghiệp vụ TW,BN,ĐP/Cán bộ phê duyệt TW,BN,ĐP/Doanh nghiệp/Người hỗ trợ</t>
  </si>
  <si>
    <t>Cung cấp công cụ tìm kiếm khóa học theo tên, thời gian, lĩnh vực.</t>
  </si>
  <si>
    <t>Kiểm tra placeholder ô tìm kiếm</t>
  </si>
  <si>
    <t>User đã đăng nhập và ở màn danh sách CTĐT</t>
  </si>
  <si>
    <t>Không nhập dữ liệu</t>
  </si>
  <si>
    <t>Quan sát ô tìm kiếm bên trái bộ lọc</t>
  </si>
  <si>
    <t>Hiển thị placeholder 'Tìm theo tên/mã CTĐT' đúng UI, không che khuất nội dung</t>
  </si>
  <si>
    <r>
      <rPr>
        <rFont val="Times New Roman"/>
        <color rgb="FF1155CC"/>
        <sz val="12.0"/>
        <u/>
      </rPr>
      <t>TKCTDTTH_01.jpg</t>
    </r>
  </si>
  <si>
    <t>Tìm kiếm theo tên chương trình</t>
  </si>
  <si>
    <t>Có dữ liệu chương trình trong danh sách</t>
  </si>
  <si>
    <t>Chương trình đào tạo luật lao động năm 2026</t>
  </si>
  <si>
    <t>1. Nhập tên chương trình
 2. Bấm Tìm kiếm</t>
  </si>
  <si>
    <t>Danh sách chỉ hiển thị các chương trình có tên khớp điều kiện tìm kiếm</t>
  </si>
  <si>
    <r>
      <rPr>
        <rFont val="Times New Roman"/>
        <color rgb="FF1155CC"/>
        <sz val="12.0"/>
        <u/>
      </rPr>
      <t>TKCTDTTH_02.jpg</t>
    </r>
  </si>
  <si>
    <t xml:space="preserve">Tìm kiếm theo mã CTĐT </t>
  </si>
  <si>
    <t>Có dữ liệu phù hợp</t>
  </si>
  <si>
    <t>CTDT-BTP-TW-2026-0008</t>
  </si>
  <si>
    <t>1. Nhập mã CTĐT
 2. Bấm Tìm kiếm</t>
  </si>
  <si>
    <t>Hiển thị đúng chương trình có mã tương ứng</t>
  </si>
  <si>
    <r>
      <rPr>
        <rFont val="Times New Roman"/>
        <color rgb="FF1155CC"/>
        <sz val="12.0"/>
        <u/>
      </rPr>
      <t>TKCTDTTH_03.jpg</t>
    </r>
  </si>
  <si>
    <t>Tìm kiếm không phân biệt hoa thường</t>
  </si>
  <si>
    <t>LUẬT LAO ĐỘNG</t>
  </si>
  <si>
    <t>1. Nhập từ khóa khác kiểu chữ
 2. Bấm Tìm kiếm</t>
  </si>
  <si>
    <t>Kết quả vẫn trả về đúng như khi nhập chữ thường</t>
  </si>
  <si>
    <r>
      <rPr>
        <rFont val="Times New Roman"/>
        <color rgb="FF1155CC"/>
        <sz val="12.0"/>
        <u/>
      </rPr>
      <t>TKCTDTTH_04.jpg</t>
    </r>
  </si>
  <si>
    <t>Tìm kiếm có khoảng trắng đầu/cuối</t>
  </si>
  <si>
    <t>luật lao động</t>
  </si>
  <si>
    <t>1. Nhập từ khóa có khoảng trắng
 2. Bấm Tìm kiếm</t>
  </si>
  <si>
    <t>Hệ thống tự trim khoảng trắng và trả về kết quả đúng</t>
  </si>
  <si>
    <r>
      <rPr>
        <rFont val="Times New Roman"/>
        <color rgb="FF1155CC"/>
        <sz val="12.0"/>
        <u/>
      </rPr>
      <t>TKCTDTTH_05.jpg</t>
    </r>
  </si>
  <si>
    <t>Tìm kiếm ký tự không tồn tại</t>
  </si>
  <si>
    <t>Không có dữ liệu khớp</t>
  </si>
  <si>
    <t>abcxyz123</t>
  </si>
  <si>
    <t>Hiển thị trạng thái không có dữ liệu/kết quả; không lỗi giao diện</t>
  </si>
  <si>
    <r>
      <rPr>
        <rFont val="Times New Roman"/>
        <color rgb="FF1155CC"/>
        <sz val="12.0"/>
        <u/>
      </rPr>
      <t>TKCTDTTH_06.jpg</t>
    </r>
  </si>
  <si>
    <t>Tìm kiếm ký tự đặc biệt</t>
  </si>
  <si>
    <t>@#$%^&amp;*</t>
  </si>
  <si>
    <t>1. Nhập ký tự đặc biệt
 2. Bấm Tìm kiếm</t>
  </si>
  <si>
    <t>Không phát sinh lỗi; hệ thống xử lý an toàn và trả kết quả rỗng nếu không khớp</t>
  </si>
  <si>
    <r>
      <rPr>
        <rFont val="Times New Roman"/>
        <color rgb="FF1155CC"/>
        <sz val="12.0"/>
        <u/>
      </rPr>
      <t>TKCTDTTH_07.jpg</t>
    </r>
  </si>
  <si>
    <t>Mở dropdown lĩnh vực</t>
  </si>
  <si>
    <t>Có dữ liệu danh mục lĩnh vực</t>
  </si>
  <si>
    <t>1. Click ô Lĩnh vực</t>
  </si>
  <si>
    <t>Dropdown hiển thị danh sách lĩnh vực: Thuế, Lao động, Đất đai, Dân sự, Thương mại, Hình sự, Hành chính, Sở hữu trí tuệ...</t>
  </si>
  <si>
    <r>
      <rPr>
        <rFont val="Times New Roman"/>
        <color rgb="FF1155CC"/>
        <sz val="12.0"/>
        <u/>
      </rPr>
      <t>TKCTDTTH_08.jpg</t>
    </r>
  </si>
  <si>
    <t>Chọn một lĩnh vực và tìm kiếm</t>
  </si>
  <si>
    <t>Có bản ghi thuộc lĩnh vực được chọn</t>
  </si>
  <si>
    <t>1. Chọn Lĩnh vực = Lao động
 2. Bấm Tìm kiếm</t>
  </si>
  <si>
    <t>Danh sách chỉ hiển thị các chương trình có lĩnh vực Lao động</t>
  </si>
  <si>
    <r>
      <rPr>
        <rFont val="Times New Roman"/>
        <color rgb="FF1155CC"/>
        <sz val="12.0"/>
        <u/>
      </rPr>
      <t>TKCTDTTH_09.jpg</t>
    </r>
  </si>
  <si>
    <t>Chọn Từ ngày bằng date picker</t>
  </si>
  <si>
    <t>1. Click ô Từ ngày
 2. Chọn ngày</t>
  </si>
  <si>
    <t>Ngày được điền đúng định dạng trong ô Từ ngày</t>
  </si>
  <si>
    <r>
      <rPr>
        <rFont val="Times New Roman"/>
        <color rgb="FF1155CC"/>
        <sz val="12.0"/>
        <u/>
      </rPr>
      <t>TKCTDTTH_10.jpg</t>
    </r>
  </si>
  <si>
    <t>Chọn Đến ngày bằng date picker</t>
  </si>
  <si>
    <t>1. Click ô Đến ngày
 2. Chọn ngày</t>
  </si>
  <si>
    <t>Ngày được điền đúng định dạng trong ô Đến ngày</t>
  </si>
  <si>
    <r>
      <rPr>
        <rFont val="Times New Roman"/>
        <color rgb="FF1155CC"/>
        <sz val="12.0"/>
        <u/>
      </rPr>
      <t>TKCTDTTH_11.jpg</t>
    </r>
  </si>
  <si>
    <t>Lọc theo khoảng thời gian hợp lệ</t>
  </si>
  <si>
    <t>01/01/2026 - 31/12/2026</t>
  </si>
  <si>
    <t>1. Chọn Từ ngày
 2. Chọn Đến ngày
 3. Bấm Tìm kiếm</t>
  </si>
  <si>
    <t>Danh sách chỉ hiển thị chương trình có thời gian thuộc khoảng đã chọn</t>
  </si>
  <si>
    <r>
      <rPr>
        <rFont val="Times New Roman"/>
        <color rgb="FF1155CC"/>
        <sz val="12.0"/>
        <u/>
      </rPr>
      <t>TKCTDTTH_12.jpg</t>
    </r>
  </si>
  <si>
    <t>Chỉ nhập Từ ngày</t>
  </si>
  <si>
    <t>Có dữ liệu từ ngày trở đi</t>
  </si>
  <si>
    <t>1. Chọn Từ ngày
 2. Để trống Đến ngày
 3. Bấm Tìm kiếm</t>
  </si>
  <si>
    <t>Hiển thị chương trình có thời gian từ ngày đã chọn trở đi</t>
  </si>
  <si>
    <r>
      <rPr>
        <rFont val="Times New Roman"/>
        <color rgb="FF1155CC"/>
        <sz val="12.0"/>
        <u/>
      </rPr>
      <t>TKCTDTTH_13.jpg</t>
    </r>
  </si>
  <si>
    <t>Chỉ nhập Đến ngày</t>
  </si>
  <si>
    <t>Có dữ liệu trước ngày</t>
  </si>
  <si>
    <t>1. Để trống Từ ngày
 2. Chọn Đến ngày
 3. Bấm Tìm kiếm</t>
  </si>
  <si>
    <t>Hiển thị chương trình có thời gian đến ngày đã chọn</t>
  </si>
  <si>
    <r>
      <rPr>
        <rFont val="Times New Roman"/>
        <color rgb="FF1155CC"/>
        <sz val="12.0"/>
        <u/>
      </rPr>
      <t>TKCTDTTH_14.jpg</t>
    </r>
  </si>
  <si>
    <t>Từ ngày lớn hơn Đến ngày</t>
  </si>
  <si>
    <t>31/12/2026 - 01/01/2026</t>
  </si>
  <si>
    <t>1. Chọn Từ ngày sau Đến ngày
 2. Bấm Tìm kiếm</t>
  </si>
  <si>
    <t>Hiển thị cảnh báo hợp lệ, ví dụ 'Từ ngày không được lớn hơn Đến ngày'; không thực hiện tìm kiếm sai</t>
  </si>
  <si>
    <r>
      <rPr>
        <rFont val="Times New Roman"/>
        <color rgb="FF1155CC"/>
        <sz val="12.0"/>
        <u/>
      </rPr>
      <t>TKCTDTTH_15.jpg</t>
    </r>
  </si>
  <si>
    <t>Lọc khoảng ngày không có dữ liệu</t>
  </si>
  <si>
    <t>Không có bản ghi trong khoảng</t>
  </si>
  <si>
    <t>01/01/2030 - 31/12/2030</t>
  </si>
  <si>
    <t>1. Chọn khoảng ngày không có dữ liệu
 2. Bấm Tìm kiếm</t>
  </si>
  <si>
    <t>Hiển thị không có dữ liệu/kết quả phù hợp</t>
  </si>
  <si>
    <r>
      <rPr>
        <rFont val="Times New Roman"/>
        <color rgb="FF1155CC"/>
        <sz val="12.0"/>
        <u/>
      </rPr>
      <t>TKCTDTTH_16.jpg</t>
    </r>
  </si>
  <si>
    <t xml:space="preserve">Kết hợp điều kiện </t>
  </si>
  <si>
    <t>1. Nhập từ khóa
 2. Chọn lĩnh vực
 3. Chọn khoảng ngày
 4. Bấm Tìm kiếm</t>
  </si>
  <si>
    <t>Hiển thị các bản ghi phù hợp với tiêu chí tìm kiếm</t>
  </si>
  <si>
    <r>
      <rPr>
        <rFont val="Times New Roman"/>
        <color rgb="FF1155CC"/>
        <sz val="12.0"/>
        <u/>
      </rPr>
      <t>TKCTDTTH_17.jpg</t>
    </r>
  </si>
  <si>
    <t>Bấm Tìm kiếm khi không nhập bộ lọc</t>
  </si>
  <si>
    <t>Trống</t>
  </si>
  <si>
    <t>1. Để trống tất cả điều kiện
 2. Bấm Tìm kiếm</t>
  </si>
  <si>
    <t>Hiển thị danh sách mặc định/toàn bộ dữ liệu theo tab hiện tại</t>
  </si>
  <si>
    <r>
      <rPr>
        <rFont val="Times New Roman"/>
        <color rgb="FF1155CC"/>
        <sz val="12.0"/>
        <u/>
      </rPr>
      <t>TKCTDTTH_18.jpg</t>
    </r>
  </si>
  <si>
    <t>Xóa toàn bộ điều kiện tìm kiếm</t>
  </si>
  <si>
    <t>Đã nhập từ khóa, lĩnh vực, ngày</t>
  </si>
  <si>
    <t>1. Bấm Xóa bộ lọc</t>
  </si>
  <si>
    <t>Các ô tìm kiếm, lĩnh vực, từ ngày, đến ngày được làm trống; danh sách về trạng thái mặc định</t>
  </si>
  <si>
    <r>
      <rPr>
        <rFont val="Times New Roman"/>
        <color rgb="FF1155CC"/>
        <sz val="12.0"/>
        <u/>
      </rPr>
      <t>TKCTDTTH_19.jpg</t>
    </r>
  </si>
  <si>
    <t>Tìm kiếm trong tab trạng thái đang chọn</t>
  </si>
  <si>
    <t>1. Chọn tab Đã duyệt
 2. Nhập điều kiện tìm kiếm
 3. Bấm Tìm kiếm</t>
  </si>
  <si>
    <t>Kết quả chỉ nằm trong tab Đã duyệt và thỏa điều kiện tìm kiếm</t>
  </si>
  <si>
    <r>
      <rPr>
        <rFont val="Times New Roman"/>
        <color rgb="FF1155CC"/>
        <sz val="12.0"/>
        <u/>
      </rPr>
      <t>TKCTDTTH_20.jpg</t>
    </r>
  </si>
  <si>
    <t>Đổi tab sau khi đã lọc</t>
  </si>
  <si>
    <t>Đã áp dụng bộ lọc</t>
  </si>
  <si>
    <t>1. Lọc dữ liệu
 2. Chuyển sang tab khác</t>
  </si>
  <si>
    <t>Hệ thống xử lý đúng theo thiết kế: giữ bộ lọc hoặc reset bộ lọc; dữ liệu không sai trạng thái</t>
  </si>
  <si>
    <r>
      <rPr>
        <rFont val="Times New Roman"/>
        <color rgb="FF1155CC"/>
        <sz val="12.0"/>
        <u/>
      </rPr>
      <t>TKCTDTTH_21.jpg</t>
    </r>
  </si>
  <si>
    <t>Quản lý đăng ký đào tạo, tập huấn</t>
  </si>
  <si>
    <t>Quản lý danh sách người đăng ký tham gia các khóa đào tạo và trạng thái phê duyệt đăng ký.</t>
  </si>
  <si>
    <t>Truy cập màn hình</t>
  </si>
  <si>
    <t>1. Đăng nhập tài khoản thuộc phân quyền thực hiện chức năng</t>
  </si>
  <si>
    <t>1. Chọn menu "Đào tạo, tập huấn" -&gt; "Khóa học"</t>
  </si>
  <si>
    <t>Hệ thống truy cập màn hình thành công</t>
  </si>
  <si>
    <r>
      <rPr>
        <rFont val="Times New Roman"/>
        <color rgb="FF1155CC"/>
        <sz val="12.0"/>
        <u/>
      </rPr>
      <t>QLDKDTTH_01.jpg</t>
    </r>
  </si>
  <si>
    <t>Tiêu đề màn hình</t>
  </si>
  <si>
    <t>1. Chọn menu "Đào tạo, tập huấn" -&gt; "Khóa học"
2. Kiểm tra hiển thị tiêu đề</t>
  </si>
  <si>
    <t>Tiêu đề hiển thị đúng với màn hình chức năng</t>
  </si>
  <si>
    <r>
      <rPr>
        <rFont val="Times New Roman"/>
        <color rgb="FF1155CC"/>
        <sz val="12.0"/>
        <u/>
      </rPr>
      <t>QLDKDTTH_02.jpg</t>
    </r>
  </si>
  <si>
    <t>Kiểm tra hiển thị bảng danh sách Khóa học</t>
  </si>
  <si>
    <t>1. Chọn menu "Đào tạo, tập huấn" -&gt; "Khóa học"
2. Kiểm tra hiển thị bảng danh sách</t>
  </si>
  <si>
    <t>- Bảng danh sách hiển thị dữ liệu ứng với các cột thông tin
- Dữ liệu hiển thị không bị tràn/đè lên nhau
- Mỗi trạng thái có màu phân biệt.
- Chỉ các khóa học có trạng thái Dự thảo mới được sửa/xóa</t>
  </si>
  <si>
    <r>
      <rPr>
        <rFont val="Times New Roman"/>
        <color rgb="FF1155CC"/>
        <sz val="12.0"/>
        <u/>
      </rPr>
      <t>QLDKDTTH_03.jpg</t>
    </r>
  </si>
  <si>
    <t>Kiểm tra hiển thị bảng danh sách Học viên</t>
  </si>
  <si>
    <t>1. Chọn menu "Đào tạo, tập huấn" -&gt; "Khóa học"
2. Nhấn xem chi tiết khóa học
3. Chọn tab "Học viên"</t>
  </si>
  <si>
    <t>- Tại bước 2: Hệ thống hiển thị màn hình xem chi tiết thành công
- Tại bước 3: Hệ thống hiển thị danh sách học viên thành công</t>
  </si>
  <si>
    <t>Tại bước 3: Hệ thống không hiển thị thông tin danh sách học viên mặc dù tồn tại dữ liệu</t>
  </si>
  <si>
    <r>
      <rPr>
        <rFont val="Times New Roman"/>
        <color rgb="FF1155CC"/>
        <sz val="12.0"/>
        <u/>
      </rPr>
      <t>QLDKDTTH_04.jpg</t>
    </r>
  </si>
  <si>
    <t>Duyệt học viên khi khoá học còn mở đăng ký</t>
  </si>
  <si>
    <t>1. Đăng nhập tài khoản thuộc phân quyền thực hiện chức năng
2. Hồ sơ đăng ký ở trạng thái "Chờ duyệt" và khóa học còn mở đăng ký.</t>
  </si>
  <si>
    <t>1. Chọn menu "Đào tạo, tập huấn" -&gt; "Khóa học"
2. Nhấn xem chi tiết khóa học
3. Chọn tab "Học viên"
4. Nhấn "Duyệt"</t>
  </si>
  <si>
    <t xml:space="preserve">- Hệ thống hiển thị thông báo "Đã duyệt đăng ký".
- Cập nhật trạng thái hồ sơ đăng ký: "Chờ duyệt" → "Đã duyệt".
- Gửi thông báo cho học viên về kết quả duyệt.
- Lưu vết thao tác theo quy định.
</t>
  </si>
  <si>
    <t>uc QLDKDTTH_04 lỗi</t>
  </si>
  <si>
    <t>Duyệt học viên khi khoá học đã đóng đăng ký</t>
  </si>
  <si>
    <t>1. Đăng nhập tài khoản thuộc phân quyền thực hiện chức năng
2. Hồ sơ đăng ký ở trạng thái "Chờ duyệt" và khóa học đã đóng đăng ký</t>
  </si>
  <si>
    <t>Hệ thống từ chối thao tác và hiển thị thông báo "Khóa học đã đóng đăng ký".</t>
  </si>
  <si>
    <t>Kiểm tra form từ chối học viên</t>
  </si>
  <si>
    <t xml:space="preserve">1. Đăng nhập tài khoản thuộc phân quyền thực hiện chức năng
2. Hồ sơ đăng ký ở trạng thái "Chờ Duyệt" </t>
  </si>
  <si>
    <t>1. Chọn menu "Đào tạo, tập huấn" -&gt; "Khóa học"
2. Nhấn xem chi tiết khóa học
3. Chọn tab "Học viên"
4. Nhấn "Từ chối"</t>
  </si>
  <si>
    <t>- Hệ thống hiển thị form từ chối gồm textbox nhập Lý do từ chối, 2 button Xác nhận và Hủy
- Form hiển thị đồng nhất về phông chữ, cỡ chữ, ngôn ngữ
- Thông tin và dữ liệu hiển thị không bị tràn/đè lên nhau</t>
  </si>
  <si>
    <t>- Form chưa đồng nhất về ngôn ngữ
- Thông tin hiển thị bị đè lên nhau</t>
  </si>
  <si>
    <t>QLDKDTTH_07.png</t>
  </si>
  <si>
    <t>Từ chối học viên khi nhập lý do hợp lệ</t>
  </si>
  <si>
    <t>1. Chọn menu "Đào tạo, tập huấn" -&gt; "Khóa học"
2. Nhấn xem chi tiết khóa học
3. Chọn tab "Học viên"
4. Nhập lý do và Nhấn "Từ chối"</t>
  </si>
  <si>
    <t xml:space="preserve">- Hệ thống hiển thị thông báo "Đã Từ chối đăng ký".
- Cập nhật trạng thái hồ sơ đăng ký: "Chờ duyệt" → "Từ chối" kèm lý do.
- Gửi thông báo cho học viên kèm lý do từ chối.
- Lưu vết thao tác theo quy định.
</t>
  </si>
  <si>
    <t>Từ chối học viên khi không nhập lý do</t>
  </si>
  <si>
    <t>Hệ thống hiển thị thông báo "Lý do từ chối là bắt buộc" và yêu cầu NSD nhập hoặc disable nút xác nhận khi lý do để trống.</t>
  </si>
  <si>
    <t>QLDKDTTH_09.jpg</t>
  </si>
  <si>
    <t>KTHSYCHTPL_11</t>
  </si>
  <si>
    <t>Tuần 2</t>
  </si>
  <si>
    <t>DKTGKH_07</t>
  </si>
  <si>
    <t>Nhập đăng ký thủ công</t>
  </si>
  <si>
    <t>1. Đăng nhập tài khoản Cán bộ nghiệp vụ
2. Khóa học còn mở đăng ký</t>
  </si>
  <si>
    <t>1. Chọn menu "Đào tạo, tập huấn" -&gt; "Khóa học"
2. Nhấn xem chi tiết khóa học
3. Chọn tab "Học viên"
4. Thêm mới thủ công</t>
  </si>
  <si>
    <t>Dữ liệu hợp lệ, hệ thống tạo hồ sơ đăng ký ở trạng thái "Chờ duyệt" với nguồn đăng ký là "Nhập thủ công" và hiển thị thông báo "Đã tạo đăng ký thành công".</t>
  </si>
  <si>
    <t>Hệ thống hiển thị thông báo thêm mới thành công nhưng lỗi hiển thị dữ liệu của bản ghi được thêm mới lên màn hình danh sách</t>
  </si>
  <si>
    <t xml:space="preserve"> DKTGKH_07.webm</t>
  </si>
  <si>
    <r>
      <rPr>
        <rFont val="Arial"/>
        <color theme="1"/>
      </rPr>
      <t xml:space="preserve">❌ Không phải bug.
• Thêm học viên thủ công (CB_NV_TW): hệ thống báo "Đã thêm học viên", bản ghi tạo ở trạng thái "Chờ duyệt", nguồn "Nhập tay".
• Danh sách tab "Học viên" hiển thị đủ các cột Họ tên / Email / SĐT / Đơn vị của bản ghi vừa thêm — đã tái hiện bằng thao tác thêm mới, dữ liệu lên đúng.
• Theo đặc tả Đăng ký tham gia khóa học (UC23), danh sách học viên hiển thị các cột này; hệ thống đáp ứng đúng.
→ Đối tác kiểm tra lại.
— Cập nhật (đã kiểm tra lại trên cả 2 môi trường dev và UAT):
- Môi trường dev: danh sách học viên nhập tay hiển thị đầy đủ Họ tên / Email / SĐT / Đơn vị, đúng thiết kế.
- Môi trường UAT: 4 cột này vẫn hiển thị "-" đúng như đối tác phản ánh.
- Nguyên nhân: backend 2 môi trường trả về cấu trúc dữ liệu khác nhau — backend UAT trả thông tin học viên lồng trong nhóm con nên màn hình đọc chưa đúng chỗ; backend dev đã trả đúng.
</t>
    </r>
    <r>
      <rPr>
        <rFont val="Arial"/>
        <b/>
        <color rgb="FFCC0000"/>
      </rPr>
      <t>→ Đề nghị dev đồng bộ bản build môi trường UAT theo môi trường dev, sau đó kiểm tra lại.</t>
    </r>
  </si>
  <si>
    <t>DKTGKH_12</t>
  </si>
  <si>
    <t>Tải lên tệp Excel</t>
  </si>
  <si>
    <t>1. Chọn menu "Đào tạo, tập huấn" -&gt; "Khóa học"
2. Nhấn xem chi tiết khóa học
3. Chọn tab "Học viên"
4. Tải lên tệp Excel</t>
  </si>
  <si>
    <t>- Hệ thống hiển thị hộp thoại yêu cầu chọn tệp Excel (XLS, XLSX) theo mẫu chuẩn của hệ thống
- Hiển thị bản xem trước kết quả (số dòng hợp lệ, số dòng lỗi và lý do từng dòng lỗi).
- Khi xác nhận nạp dữ liệu, hệ thống tạo các hồ sơ đăng ký hợp lệ ở trạng thái "Chờ duyệt" với nguồn đăng ký là "Tải lên Excel".
- Nạp thành công, hệ thống hiển thị báo cáo kết quả "Đã nạp {số thành công} đăng ký thành công, {số lỗi} đăng ký không hợp lệ".</t>
  </si>
  <si>
    <t>Hệ thống không hiển thị bản xem trước kết quả (số dòng hợp lệ, số dòng lỗi và lý do từng dòng lỗi) theo thiết kế.</t>
  </si>
  <si>
    <t>DKTGKH_12.webm</t>
  </si>
  <si>
    <t>❌ BA chốt: KHÔNG phải lỗi — phần mềm đúng SRS.
- Import Excel đăng ký học viên theo FR-III-04 (UC23) là "kiểm tra → nạp từng dòng → báo cáo kết quả" (srs-fr-03:474, :485), không có bước xem trước tách riêng. Phần mềm đã hiện đủ báo cáo tổng / thành công / bỏ qua trùng / lỗi kèm lý do. Hệ thống đáp ứng đúng SRS.
- Nếu cần bước xem trước → là yêu cầu cải tiến, trao đổi BA. Đề nghị cập nhật lại Kết quả mong đợi của test case.</t>
  </si>
  <si>
    <t>KTDGKQHT_01</t>
  </si>
  <si>
    <t>Quản lý kiểm tra, đánh giá kết quả học tập</t>
  </si>
  <si>
    <t>Quản lý điểm danh, điểm kiểm tra/đánh giá cuối khóa của học viên.</t>
  </si>
  <si>
    <t>1. Đăng nhập tài khoản</t>
  </si>
  <si>
    <t>1. Chọn menu "Đào tạo, tập huấn" -&gt; "Khóa học"
2. Nhấn xem chi tiết khóa học
3. Chọn tab "Điểm danh", "Kết quả kiểm tra"</t>
  </si>
  <si>
    <t>Hệ thống hiển thị màn hình mỗi tab giống với thiết kế</t>
  </si>
  <si>
    <t>Hệ thống hiển thị màn hình các tab không giống với thiết kế</t>
  </si>
  <si>
    <t xml:space="preserve"> KTDGKQHT_01.webm</t>
  </si>
  <si>
    <t>✅ Bug đúng – chuyển dev.
• Tab "Kết quả" chỉ có cột Họ tên, Chuyên cần, Điểm kiểm tra, Kết quả → thiếu Email, Số điện thoại, Đơn vị, Xếp loại.
• Tab "Điểm danh" thiếu cột Email, Số điện thoại.
• SRS FR-III-05 (UC24) §Outputs (dòng 574–590): bắt buộc hiển thị Email/SĐT/Đơn vị (ghi rõ "Yêu cầu đối tác mục 05/05b") và Xếp loại.
• Verify: CB_NV_TW, khóa AAA-KH-TW. Bug ID: BUG-KTDGKQHT_01.</t>
  </si>
  <si>
    <t>KTDGKQHT_03</t>
  </si>
  <si>
    <t>Nhập điểm danh thủ công</t>
  </si>
  <si>
    <t>1. Chọn menu "Đào tạo, tập huấn" -&gt; "Khóa học"
2. Nhấn xem chi tiết khóa học
3. Chọn tab "Điểm danh" 
4. Chọn buổi học từ danh sách và chọn trạng thái điểm danh cho từng học viên
5. Nhấn Lưu</t>
  </si>
  <si>
    <t>Hệ thống ghi nhận và hiển thị thông báo "Đã lưu điểm danh".</t>
  </si>
  <si>
    <t>Hệ thống không hiển thị bảng danh sách học viên mặc dù tồn tại dữ liệu học viên</t>
  </si>
  <si>
    <t xml:space="preserve"> KTDGKQHT_03.webm</t>
  </si>
  <si>
    <t>Verify lại 17/07/2026 (sau khi dev báo fix): ĐẠT 4/4 ý BA chốt → Pass.
Ý 4 — thứ duy nhất còn lại sau 2 vòng Reopen — ĐÃ FIX THẬT và fix đúng bài: khóa KH-SEED-0001 đang "Đã kết thúc" nay MẤT HẲN nút "Lưu điểm danh" và "Import Excel" (chỉ còn "Xuất Excel"); sau khi chọn buổi thì cả 3 ô trạng thái (Có mặt / Vắng có phép / Vắng không phép) và ô Ghi chú đều xám mờ, không sửa được; giá trị đã lưu vẫn hiển thị đúng. Máy chủ cũng chặn: gửi đúng yêu cầu ghi điểm danh mà màn hình từng gửi hồi trước thì bị từ chối với thông báo "Chỉ điểm danh được khi khóa học đang diễn ra" → chặn ở CẢ giao diện lẫn máy chủ, không phải chỉ ẩn nút.
Đúng FR-III-05 (UC24) PRE-03 (srs-fr-03-dao-tao.md dòng 533): "Nhập điểm danh: khóa học ở DANG_DIEN_RA. Khi khóa chuyển DA_KET_THUC thì điểm danh đóng"; và bảng chuyển trạng thái Khóa học (srs-v3.5.md dòng 5759) ghi tác động "Đóng điểm danh".
Ý 1, 2, 3 không hỏng ngược: vẫn có dòng "Vui lòng chọn buổi học để bắt đầu điểm danh"; bộ chọn vẫn là danh sách buổi học đủ Ngày · Khung giờ · Nội dung; 2 buổi cùng ngày vẫn lưu tách bạch (buổi sáng "Có mặt", buổi chiều chưa điểm danh — dữ liệu độc lập).
LƯU Ý — phát hiện 1 lỗi MỚI ở chính tab Điểm danh, đã mở dòng TC riêng QLKH_03: buổi học chưa hề điểm danh thì màn hình tự tick sẵn "Vắng không phép" dù dữ liệu lưu là rỗng. Đây là lỗi hỏng ngược do bản build mới (vòng verify trước hiển thị đúng). Không tính vào case này.
Bug ID: BUG-KTDGKQHT_03 (Closed). Tài khoản verify: cbnv_tw (CB_NV_TW). Dữ liệu: khóa KH-SEED-0001 "Đã kết thúc", 2 buổi ngày 20/02/2026, 1 học viên đã duyệt.</t>
  </si>
  <si>
    <t>KTDGKQHT_08</t>
  </si>
  <si>
    <t>Nhập điểm kiểm tra thủ công không hợp lệ</t>
  </si>
  <si>
    <t>1. Đăng nhập tài khoản
2. Khóa học ở trạng thái "Đang diễn ra" hoặc "Đã kết thúc".</t>
  </si>
  <si>
    <t>1. Chọn menu "Đào tạo, tập huấn" -&gt; "Khóa học"
2. Nhấn xem chi tiết khóa học
3. Chọn tab "Kết quả kiểm tra" 
4. Nhập điểm không hợp lệ
5. Nhấn Lưu</t>
  </si>
  <si>
    <t>Hệ thống từ chối và hiển thị thông báo "Điểm kiểm tra phải từ 0 đến 10".</t>
  </si>
  <si>
    <t>Hệ thống không hiển thị danh sách học viên mặc dù tồn tại dữ liệu</t>
  </si>
  <si>
    <t xml:space="preserve"> KTDGKQHT_08.webm</t>
  </si>
  <si>
    <t>Verify lại 17/07/2026 (sau khi dev báo fix): ĐẠT 4/5 ý BA chốt, cả 2 lỗi chính BA giao đều đã fix → Pass.
Ý 2 — thứ duy nhất còn lại sau 2 vòng Reopen — ĐÃ FIX THẬT: khóa DDD-KH-011 đang "Đang diễn ra" nay hiện khung cảnh báo màu vàng "Kết quả tạm tính" ở đầu tab Kết quả, kèm câu giải thích nguyên văn: "Khóa học đang diễn ra — kết quả bên dưới là tạm tính, chưa phải kết quả chính thức. Kết quả được chốt khi trình phê duyệt." Đo lại trên ĐÚNG khóa mà vòng trước đo ra "không có" nên so sánh trước/sau là 1:1. Phần này còn làm hơn yêu cầu: BA chỉ yêu cầu nhãn, dev bổ sung cả lý do và thời điểm kết quả được chốt.
Ý 1 và ý 3 không hỏng ngược: khóa "Đang diễn ra" vẫn mở được tab Kết quả và hiện đủ danh sách học viên, ô nhập điểm sửa được (đúng FR-III-05 (UC24) PRE-04, srs-fr-03-dao-tao.md dòng 534: "Nhập điểm kiểm tra: khóa học ở DANG_DIEN_RA hoặc DA_KET_THUC"). Gõ 15 thì ô vẫn giữ nguyên 15, không tự kéo về 10; bấm Lưu thì hệ thống từ chối, báo đúng nguyên văn "Điểm kiểm tra phải từ 0 đến 10" (ERR-KQ-01) và không ghi gì. Ý 5 (nhập điểm và gửi duyệt kết quả là 2 việc tách bạch) đã xác nhận ở vòng trước, không đổi phạm vi.
CÒN 1 Ý CẦN BA CHỐT — ý 4 (nhập điểm qua Excel): phần mềm vẫn không có đường nhập điểm từ file Excel (nút Import Excel chỉ có ở tab Học viên và tab Điểm danh, mẫu file không có cột điểm). Đây là câu hỏi đặc tả, KHÔNG phải lỗi dev còn tồn, nên không chặn kết quả Pass của case. Đề nghị BA xác nhận: bỏ ý 4, hoặc nếu thực sự cần nhập điểm từ Excel thì đây là chức năng chưa có, cần mở yêu cầu riêng cho Dev bổ sung.
Bug ID: BUG-KTDGKQHT_08 (Closed). Tài khoản verify: cbnv_tw (CB_NV_TW). Dữ liệu: khóa DDD-KH-011 "Đang diễn ra", 1 học viên.</t>
  </si>
  <si>
    <t>TTKTDGKQHT_01</t>
  </si>
  <si>
    <t>Tìm kiếm thông tin kiểm tra, đánh giá kết quả học tập</t>
  </si>
  <si>
    <t>Tìm kiếm kết quả học tập theo tên học viên, mã khóa học.</t>
  </si>
  <si>
    <t xml:space="preserve">1. Đăng nhập tài khoản
</t>
  </si>
  <si>
    <t>1. Chọn menu "Đào tạo, tập huấn" -&gt; "Khóa học"
2. Nhấn xem chi tiết khóa học
3. Chọn tab "Kết quả kiểm tra" 
4. Kiểm tra các tiêu chí và thực hiện tìm kiếm</t>
  </si>
  <si>
    <t>Hệ thống không hiển thị các trường thông tin tìm kiếm</t>
  </si>
  <si>
    <t>TTKTDGKQHT_01.jpg</t>
  </si>
  <si>
    <t>✅ Bug đúng – chuyển dev.
• Tab "Kết quả kiểm tra" trong chi tiết khóa học KHÔNG hiển thị trường tìm kiếm / bộ lọc nào (chỉ có nút Xuất DOCX, Hủy công bố, ô Ghi chú).
• SRS FR-III-06 (UC25) "Tìm kiếm kết quả" (dòng 616–635): tab phải có bộ lọc theo tên học viên, khóa học, kết quả (Đạt/Không đạt).
• Verify: CB_NV_TW, khóa trạng thái "Hoàn thành". Bug ID: BUG-TTKTDGKQHT_01.</t>
  </si>
  <si>
    <t>QLKTLBG_02</t>
  </si>
  <si>
    <t>Kiểm tra hiển thị bảng danh sách</t>
  </si>
  <si>
    <t>1. Chọn menu "Đào tạo, tập huấn" -&gt; "Kho tài liệu / Bài giảng"</t>
  </si>
  <si>
    <t>- Hệ thống hiển thị bảng danh sách giống với thiết kế thành công
- Dữ liệu hiển thị đúng định dạng và trường thông tin
- Dữ liệu hiển thị không bị tràn/đè lên nhau, đồng nhất ngôn ngữ hiển thị
- Mặc định: 20 bản ghi/trang.</t>
  </si>
  <si>
    <t>Hệ thống hiển thị thông báo lỗi "Lỗi hệ thống, vui lòng thử lại sau."</t>
  </si>
  <si>
    <r>
      <rPr>
        <rFont val="Times New Roman"/>
        <sz val="13.0"/>
        <u/>
      </rPr>
      <t>QLKTLBG_02.jpg</t>
    </r>
  </si>
  <si>
    <t>Đã kiểm tra lại, không tái hiện được lỗi — chức năng hiển thị danh sách hoạt động bình thường.</t>
  </si>
  <si>
    <t/>
  </si>
  <si>
    <t>QLKTLBG_03</t>
  </si>
  <si>
    <t>Kiểm tra nút chức năng Thêm mới</t>
  </si>
  <si>
    <t>1. Chọn menu "Đào tạo, tập huấn" -&gt; "Kho tài liệu / Bài giảng"
2. Nhấn Thêm mới</t>
  </si>
  <si>
    <t>Hệ thống mở biểu mẫu "Thêm mới bài giảng" với các trường giống với thiết kế</t>
  </si>
  <si>
    <t>Thiếu trường thông tin "Ảnh đại diện"</t>
  </si>
  <si>
    <r>
      <rPr>
        <rFont val="Times New Roman"/>
        <sz val="13.0"/>
        <u/>
      </rPr>
      <t>QLKTLBG_03.jpg</t>
    </r>
  </si>
  <si>
    <r>
      <rPr>
        <rFont val="Arial"/>
        <color theme="1"/>
      </rPr>
      <t xml:space="preserve">❌ Không phải bug.
• Form "Thêm bài giảng" (CB_NV_TW) CÓ trường "Ảnh đại diện" — kèm ô upload "Kéo thả hoặc nhấp để chọn ảnh", định dạng .jpg/.jpeg/.png/.gif, tối đa 5MB.
• Form đủ các trường: Tên bài giảng, Mô tả, Loại tài liệu, Tệp tài liệu, Lĩnh vực, Ảnh đại diện, Công khai — khớp đặc tả Quản lý kho tài liệu, bài giảng (UC26).
→ Đối tác kiểm tra lại.
— Cập nhật (đã kiểm tra lại trên cả 2 môi trường dev và UAT):
- Môi trường dev: biểu mẫu Thêm bài giảng có đầy đủ trường "Ảnh đại diện" (ảnh .jpg/.jpeg/.png/.gif, tối đa 5MB), đúng thiết kế.
- Môi trường UAT: biểu mẫu vẫn thiếu trường "Ảnh đại diện" đúng như đối tác phản ánh.
- Nguyên nhân: môi trường UAT đang chạy bản build cũ hơn môi trường dev (bản dev đã bổ sung trường này).
</t>
    </r>
    <r>
      <rPr>
        <rFont val="Arial"/>
        <b/>
        <color rgb="FFCC0000"/>
      </rPr>
      <t>→ Đề nghị dev đồng bộ bản build môi trường UAT theo môi trường dev, sau đó kiểm tra lại.</t>
    </r>
  </si>
  <si>
    <t>QLKTLBG_08</t>
  </si>
  <si>
    <t>Thêm mới hợp lệ</t>
  </si>
  <si>
    <t>1. Chọn menu "Đào tạo, tập huấn" -&gt; "Kho tài liệu / Bài giảng"
2. Nhấn Thêm mới
3. Nhập thông tin hợp lệ và nhấn Lưu</t>
  </si>
  <si>
    <t>Hệ thống lưu bản ghi và hiển thị thông báo "Đã thêm bài giảng".</t>
  </si>
  <si>
    <t>Hệ thống hiển thị thông báo "Lỗi hệ thống, vui lòng thử lại sau.</t>
  </si>
  <si>
    <r>
      <rPr>
        <rFont val="Times New Roman"/>
        <sz val="13.0"/>
        <u/>
      </rPr>
      <t>QLKTLBG_08.jpg</t>
    </r>
  </si>
  <si>
    <t>Đã kiểm tra lại, không tái hiện được lỗi — chức năng thêm mới bài giảng hoạt động bình thường.</t>
  </si>
  <si>
    <t>TTKTLBG_01</t>
  </si>
  <si>
    <t>Tìm kiếm thông tin kho tài liệu, bài giảng</t>
  </si>
  <si>
    <t>Tìm kiếm tài liệu, bài giảng theo từ khóa, tên khóa học.</t>
  </si>
  <si>
    <t>1. Đăng nhập tài khoản
2. Tồn tại bản ghi phù hợp với tiêu chí tìm kiếm</t>
  </si>
  <si>
    <t>1. Chọn menu "Đào tạo, tập huấn" -&gt; "Kho tài liệu / Bài giảng"
2. Tìm kiếm tài liệu, bài giảng theo từ khóa, tên khóa học.</t>
  </si>
  <si>
    <t>Hệ thống hiển thị danh sách bài giảng phù hợp, phân trang 20 bản ghi mỗi trang.</t>
  </si>
  <si>
    <t>TTKTLBG_01.jpg</t>
  </si>
  <si>
    <t>Đã kiểm tra lại, không tái hiện được lỗi — chức năng tìm kiếm hoạt động bình thường.</t>
  </si>
  <si>
    <t>TTKTLBG_02</t>
  </si>
  <si>
    <t>Kiểm tra hiển thị các tiêu chí tìm kiếm</t>
  </si>
  <si>
    <t>1. Chọn menu "Đào tạo, tập huấn" -&gt; "Kho tài liệu / Bài giảng"
2. Kiểm tra hiển thị các tiêu chí tìm kiếm</t>
  </si>
  <si>
    <t>Hệ thống hiển thị các tiêu chí tìm kiếm giống với thiết kế</t>
  </si>
  <si>
    <t>Thiếu trường tìm kiếm theo tiêu chí "Lĩnh vực pháp lý"</t>
  </si>
  <si>
    <t xml:space="preserve"> TTKTLBG_02.webm</t>
  </si>
  <si>
    <t>✅ BA duyệt bổ sung 15/07/2026 — chuyển Dev.
- Bổ sung bộ lọc "Lĩnh vực pháp lý" vào màn tìm kho tài liệu / bài giảng. Lý do: bài giảng đã có sẵn trường lĩnh vực khi tạo — có dữ liệu mà không cho lọc là lãng phí.
- Hiện có 5 bộ lọc (Tên bài giảng, Loại tài liệu, Công khai, Từ ngày, Đến ngày) — đúng FR-III-08 (srs-fr-03:782-788) nên trước đây không tính là lỗi; nay BA quyết bổ sung.
- Owner: BA sửa SRS FR-III-08 §Đầu vào (:782-788) → Dev FE + BE.
- Verify lại: thanh tìm kiếm có bộ lọc Lĩnh vực pháp lý → lọc ra đúng bài giảng theo lĩnh vực.</t>
  </si>
  <si>
    <t>QLNHCH_02</t>
  </si>
  <si>
    <t>Kiểm tra hiển thị Thẻ thống kê tổng quan</t>
  </si>
  <si>
    <t>1. Chọn menu "Đào tạo, tập huấn" -&gt; "Ngân hàng câu hỏi &amp; Đề kiểm tra"</t>
  </si>
  <si>
    <t>- Hệ thống hiển thị Thẻ thống kê tổng quan giống với thiết kế 
- Dữ liệu hiển thị đúng định dạng và trường thông tin
- Dữ liệu hiển thị không bị tràn/đè lên nhau, đồng nhất ngôn ngữ hiển thị</t>
  </si>
  <si>
    <t>Hệ thống không hiển thị Thẻ thống kê tổng quan theo thiết kế</t>
  </si>
  <si>
    <r>
      <rPr>
        <rFont val="Times New Roman"/>
        <sz val="13.0"/>
        <u/>
      </rPr>
      <t>QLNHCH_02.jpg</t>
    </r>
  </si>
  <si>
    <t>❌ BA chốt: KHÔNG phải lỗi — phần mềm đúng SRS.
- Màn Ngân hàng câu hỏi theo FR-III-09 (UC28) gồm danh sách + phân trang (srs-fr-03:868-877, :892), không quy định thẻ thống kê tổng quan. Phần mềm đã có tiêu đề + 2 tab (Câu hỏi / Đề kiểm tra), mỗi tab có thanh lọc và bảng phân trang. Hệ thống đáp ứng đúng SRS.
- Nếu cần thẻ thống kê → là yêu cầu cải tiến, trao đổi BA. Đề nghị cập nhật lại Kết quả mong đợi của test case.</t>
  </si>
  <si>
    <t>QLNHCH_04</t>
  </si>
  <si>
    <t>1. Chọn menu "Đào tạo, tập huấn" -&gt; "Ngân hàng câu hỏi &amp; Đề kiểm tra"
2. Nhấn Thêm mới</t>
  </si>
  <si>
    <t>Hệ thống mở biểu mẫu với các trường giống với thiết kế</t>
  </si>
  <si>
    <t>Trường thông tin Trạng thái hiển thị danh sách chọn không đúng với thiết kế</t>
  </si>
  <si>
    <r>
      <rPr>
        <rFont val="Times New Roman"/>
        <sz val="13.0"/>
        <u/>
      </rPr>
      <t>QLNHCH_04.webm</t>
    </r>
  </si>
  <si>
    <t>❌ BA chốt: KHÔNG phải lỗi — 2 giá trị là chủ đích.
- Trường Trạng thái câu hỏi có 2 giá trị Kích hoạt / Vô hiệu hóa là đúng SRS (srs-fr-03:848). BA đã chốt 07/05/2026 lấy bộ 2 làm chuẩn, bỏ bộ 3 Nháp/Công khai/Ẩn cũ (đã có bước chuyển đổi dữ liệu cũ).
- Lý do nghiệp vụ: bộ 3 Nháp/Công khai/Ẩn là mô hình XUẤT BẢN RA NGOÀI, chỉ hợp với nội dung công khai lên Cổng PLQG (như biểu mẫu — vẫn giữ bộ 3). Câu hỏi kiểm tra là tài nguyên NỘI BỘ, chỉ dùng soạn đề, không công khai ra Cổng → chỉ cần dùng được (Kích hoạt) / ngừng dùng (Vô hiệu hóa).
- Đề nghị cập nhật lại Kết quả mong đợi của test case theo bộ 2 giá trị.</t>
  </si>
  <si>
    <t>QLNHCH_08</t>
  </si>
  <si>
    <t>Xem chi tiết</t>
  </si>
  <si>
    <t>1. Chọn menu "Đào tạo, tập huấn" -&gt; "Ngân hàng câu hỏi &amp; Đề kiểm tra"
2. Xem chi tiết</t>
  </si>
  <si>
    <t>Hệ thống mở cửa sổ hiển thị đầy đủ nội dung câu hỏi, các lựa chọn và đáp án đúng.</t>
  </si>
  <si>
    <t>Màn hình không có nút chức năng Xem</t>
  </si>
  <si>
    <r>
      <rPr>
        <rFont val="Times New Roman"/>
        <sz val="13.0"/>
        <u/>
      </rPr>
      <t>QLNHCH_08.jpg</t>
    </r>
  </si>
  <si>
    <t>✅ Bug đúng – chuyển dev.
• Màn Ngân hàng câu hỏi (tab Câu hỏi): mỗi dòng chỉ có nút Sửa + Xóa, không có chức năng Xem chi tiết; bấm vào nội dung câu hỏi cũng không mở chi tiết.
• Danh sách chỉ hiển thị nội dung tóm tắt → thiếu màn xem đầy đủ nội dung, các lựa chọn và đáp án đúng.
• SRS FR-III-09 (UC28 – CRUD câu hỏi, dòng 823–828) + thiết kế màn MH-03.4: yêu cầu xem được chi tiết câu hỏi.
• Verify: CB_NV_TW, đã tạo 1 câu hỏi để kiểm tra. Bug ID: BUG-QLNHCH_08.</t>
  </si>
  <si>
    <t>QLNHCH_15</t>
  </si>
  <si>
    <t>Nhập excel</t>
  </si>
  <si>
    <t>1. Chọn menu "Đào tạo, tập huấn" -&gt; "Ngân hàng câu hỏi &amp; Đề kiểm tra"
2. Bấm nút "Nhập Excel"</t>
  </si>
  <si>
    <t xml:space="preserve">- Hệ thống yêu cầu chọn tệp Excel theo mẫu chuẩn.
- Sau khi nạp, hệ thống hiển thị báo cáo số câu hỏi nhập thành công và số dòng lỗi.
</t>
  </si>
  <si>
    <t>- Hệ thống hiển thị thông báo "Tất cả các câu hỏi đều lỗi" mặc dù tồn tại câu hỏi có dữ liệu hợp lệ</t>
  </si>
  <si>
    <r>
      <rPr>
        <rFont val="Times New Roman"/>
        <sz val="13.0"/>
        <u/>
      </rPr>
      <t>QLNHCH_15.webm</t>
    </r>
  </si>
  <si>
    <t>❌ Không phải bug.
• Hệ thống nhận diện đúng: file nhập có 1 dòng đúng định dạng mã → báo "Hợp lệ 1, Lỗi 2" và cho import dòng hợp lệ.
• Các dòng lỗi là do file dùng nhãn tiếng Việt ("Khó", "Tự luận") thay vì mã quy định, và có dòng thiếu trường bắt buộc → lỗi thật; hệ thống không bỏ sót dòng hợp lệ và ghi rõ lý do lỗi từng dòng.
• File mẫu có sheet "Hướng dẫn" ghi rõ mã cần nhập (ví dụ: Mức độ nhập "KHO" thay cho "Khó", Loại câu hỏi nhập "TU_LUAN" thay cho "Tự luận").
• Verify: CB_NV_TW, Ngân hàng câu hỏi &gt; Nhập Excel.
→ Đối tác nhập đúng mã theo sheet "Hướng dẫn" trong file mẫu rồi nhập lại.</t>
  </si>
  <si>
    <t>TKNHCH_05</t>
  </si>
  <si>
    <t>Tìm kiếm không có kết quả</t>
  </si>
  <si>
    <t>1. Đăng nhập tài khoản
2. Không tồn tại bản ghi phù hợp với tiêu chí tìm kiếm</t>
  </si>
  <si>
    <t>1. Chọn menu "Đào tạo, tập huấn" -&gt; "Ngân hàng câu hỏi &amp; Đề kiểm tra"
2. Tìm kiếm không có kết quả</t>
  </si>
  <si>
    <t>Không có kết quả, hiển thị thông báo "Không tìm thấy bài giảng phù hợp".</t>
  </si>
  <si>
    <t>Hệ thống hiển thị toàn bộ bản ghi trong danh sách</t>
  </si>
  <si>
    <r>
      <rPr>
        <rFont val="Times New Roman"/>
        <sz val="13.0"/>
        <u/>
      </rPr>
      <t>TKNHCH_05.webm</t>
    </r>
  </si>
  <si>
    <t>✅ Bug đúng – chuyển dev.
• Màn Ngân hàng câu hỏi (tab Câu hỏi): tìm theo từ khóa không lọc — nhập từ khóa không khớp bản ghi nào nhưng danh sách vẫn hiển thị toàn bộ câu hỏi.
• SRS FR-III-10 (UC29 – Tìm kiếm NHCH, dòng 945–948): tìm theo từ khóa phải trả về đúng câu hỏi phù hợp; không khớp thì danh sách rỗng.
• Verify: CB_NV_TW, tìm từ khóa "zzzznomatch..." nhưng danh sách vẫn còn bản ghi. Bug ID: BUG-TKNHCH_05.</t>
  </si>
  <si>
    <t>QLGVTG_02</t>
  </si>
  <si>
    <t>1. Chọn menu "Đào tạo, tập huấn" -&gt; "Giảng viên / Trợ giảng"</t>
  </si>
  <si>
    <t>- Hệ thống hiển thị bảng danh sách giống với thiết kế thành công
- Dữ liệu hiển thị đúng định dạng và trường thông tin
- Dữ liệu hiển thị không bị tràn/đè lên nhau, đồng nhất ngôn ngữ hiển thị</t>
  </si>
  <si>
    <t>Bảng danh sách hiển thị thiếu cột thông tin Vai trò, Lĩnh vực pháp lý</t>
  </si>
  <si>
    <r>
      <rPr>
        <rFont val="Times New Roman"/>
        <color rgb="FF4285F4"/>
        <sz val="13.0"/>
        <u/>
      </rPr>
      <t>QLGVTG_02.webm</t>
    </r>
  </si>
  <si>
    <t>✅ Bug đúng – chuyển dev.
• Bảng danh sách Giảng viên/Trợ giảng có các cột: Họ tên, Chuyên ngành, Trình độ, Số khóa đã dạy, Trạng thái, Hành động → thiếu cột Vai trò và Lĩnh vực.
• SRS FR-III-11 (UC30 – Outputs, dòng 954–969): danh sách phải hiển thị cột Vai trò và Lĩnh vực.
• Verify: CB_NV_TW, màn Giảng viên/Trợ giảng. Bug ID: BUG-QLGVTG_02.</t>
  </si>
  <si>
    <t>QLGVTG_03</t>
  </si>
  <si>
    <t>1. Chọn menu "Đào tạo, tập huấn" -&gt; "Giảng viên / Trợ giảng"
2. Nhấn Thêm mới</t>
  </si>
  <si>
    <t>Biểu mẫu thêm mới thiếu trường thông tin "Tệp đính kèm"</t>
  </si>
  <si>
    <r>
      <rPr>
        <rFont val="Times New Roman"/>
        <color rgb="FF4285F4"/>
        <sz val="13.0"/>
        <u/>
      </rPr>
      <t>QLGVTG_03.jpg</t>
    </r>
  </si>
  <si>
    <t>✅ Bug đúng – chuyển dev.
• Biểu mẫu Thêm mới giảng viên có 9 trường (Họ và tên, Chuyên ngành, Trình độ, Tổ chức, Email, Điện thoại, Mô tả năng lực, Lĩnh vực, Trạng thái) → thiếu trường "Tệp đính kèm".
• SRS FR-III-11 (UC30 – Inputs, dòng 965): liệt kê file_dinh_kem là trường của biểu mẫu (không bắt buộc) → cần bổ sung.
• Verify: CB_NV_TW, màn Giảng viên/Trợ giảng → Thêm mới. Bug ID: BUG-QLGVTG_03.</t>
  </si>
  <si>
    <t>QLGVTG_05</t>
  </si>
  <si>
    <t>Thêm mới dữ liệu không hợp lệ</t>
  </si>
  <si>
    <t>1. Chọn menu "Đào tạo, tập huấn" -&gt; "Giảng viên / Trợ giảng"
2. Nhấn Thêm mới
3. Nhập dữ liệu không hợp lệ</t>
  </si>
  <si>
    <t>Hệ thống đánh dấu trường lỗi và hiển thị thông báo tương ứng.</t>
  </si>
  <si>
    <t>Không hiển thị thông báo lỗi khi nhập số điện thoại không hợp lệ</t>
  </si>
  <si>
    <r>
      <rPr>
        <rFont val="Times New Roman"/>
        <color rgb="FF4285F4"/>
        <sz val="13.0"/>
        <u/>
      </rPr>
      <t>QLGVTG_05.jpg</t>
    </r>
  </si>
  <si>
    <t>✅ BA duyệt bổ sung 15/07/2026 — chuyển Dev.
- Bổ sung kiểm tra định dạng SĐT giảng viên, VẪN để không bắt buộc. Chuẩn: số bắt đầu bằng 0, gồm 10 chữ số (di động) hoặc 11 chữ số (cố định) — quy tắc gợi ý ^0\d{9,10}$.
- Không bắt "đúng 10 số": số cố định là 11 số (0 + mã vùng + thuê bao), bắt 10 sẽ loại nhầm. Quy ước "10-11 chữ số" đã có sẵn trong SRS (TVV srs-fr-04:297) vốn đúng độ dài — điểm mới chỉ là ràng buộc "bắt đầu bằng số 0".
- BA chốt siết CẢ HỆ THỐNG: áp cho mọi field SĐT (giảng viên srs-fr-03:965, TVV/NHT, hỏi đáp srs-fr-02:1064, API srs-fr-16:1155).
- Owner: BA bổ sung ràng buộc + mã lỗi vào FR-III-11 §Đầu vào (:965) và §Lỗi (:973) → Dev FE (+ BE nếu kiểm ở máy chủ).
- Verify lại: nhập SĐT sai (không bắt đầu bằng 0 / sai độ dài) → báo lỗi; để trống → vẫn lưu được.</t>
  </si>
  <si>
    <t>QLGVTG_06</t>
  </si>
  <si>
    <t>1. Chọn menu "Đào tạo, tập huấn" -&gt; "Giảng viên / Trợ giảng"
2. Nhấn Thêm mới
3. Nhập thông tin hợp lệ và nhấn Lưu</t>
  </si>
  <si>
    <t>- Hệ thống lưu bản ghi và hiển thị thông báo "Đã thêm giảng viên".
- Bản ghi hiển thị ở đầu danh sách</t>
  </si>
  <si>
    <t>Bản ghi được thêm mới không hiển thị ở đầu danh sách</t>
  </si>
  <si>
    <r>
      <rPr>
        <rFont val="Times New Roman"/>
        <color rgb="FF4285F4"/>
        <sz val="13.0"/>
        <u/>
      </rPr>
      <t>QLGVTG_06.webm</t>
    </r>
  </si>
  <si>
    <t>🐞 BA chốt: LÀ LỖI — chuyển Dev.
- Danh sách giảng viên đang sắp theo tên A→Z. Căn cứ: quy ước dùng chung DG-06 yêu cầu "sắp xếp mặc định theo thời gian cập nhật mới nhất" (srs-v3.5.md:919) → sắp A→Z là vi phạm. Quy ước nằm ở mục dùng chung nên phiếu QA đã bỏ sót.
- Verdict đổi từ "BA confirm" sang Open.
- Verify lại: thêm 1 giảng viên → bản ghi mới nằm ở đầu danh sách.</t>
  </si>
  <si>
    <t>QLGVTG_07</t>
  </si>
  <si>
    <t>1. Chọn menu "Đào tạo, tập huấn" -&gt; "Giảng viên / Trợ giảng"
2. Bấm nút "⊙ Xem" trên thẻ giảng viên</t>
  </si>
  <si>
    <t>Hệ thống mở màn hình Chi tiết giảng viên hiển thị 2 tab: "Thông tin" (đầy đủ thông tin cá nhân và năng lực) và "Lịch sử giảng dạy" (danh sách các khóa đã tham gia tại STT 20–23).</t>
  </si>
  <si>
    <t>- Màn hình không có nút chức năng Xem chi tiết</t>
  </si>
  <si>
    <r>
      <rPr>
        <rFont val="Times New Roman"/>
        <color rgb="FF4285F4"/>
        <sz val="13.0"/>
        <u/>
      </rPr>
      <t>QLGVTG_07.jpg</t>
    </r>
  </si>
  <si>
    <t>✅ BA duyệt bổ sung 15/07/2026 — chuyển Dev FE.
- Thêm nút 👁 Xem vào cột Hành động màn Giảng viên (SCR-III-05, srs-fr-03:1852), mở màn chi tiết 2 tab SẴN CÓ. Chỉ là hiển thị — dữ liệu và màn chi tiết đã có.
- Lý do: hầu hết màn danh sách nghiệp vụ đều đã có nút Xem riêng (Hỏi đáp, Doanh nghiệp, Vụ việc, Đào tạo, Quản trị user); màn giảng viên đang là ngoại lệ lệch chuẩn.
- BA không nâng thành quy ước chung — chỉ sửa riêng màn giảng viên.
- Verify lại: cột Hành động có 👁 Xem → bấm mở đúng màn chi tiết 2 tab.</t>
  </si>
  <si>
    <t>QLGVTG_08</t>
  </si>
  <si>
    <t>Kiểm tra chức năng nút Sửa</t>
  </si>
  <si>
    <t>1. Chọn menu "Đào tạo, tập huấn" -&gt; "Giảng viên / Trợ giảng"
2. Bấm nút "Sửa" trên thẻ giảng viên</t>
  </si>
  <si>
    <t>- Breadcrumb hiển thị đường dẫn điều hướng đúng với màn hình chức năng
- Hệ thống mở biểu mẫu hiển thị dữ liệu hiện tại</t>
  </si>
  <si>
    <t>Breadcrumb hiển thị đường dẫn điều hướng không đúng(Chức năng "Chỉnh sửa" nhưng lại hiển thị "Chi tiết"</t>
  </si>
  <si>
    <r>
      <rPr>
        <rFont val="Times New Roman"/>
        <color rgb="FF4285F4"/>
        <sz val="13.0"/>
        <u/>
      </rPr>
      <t>QLGVTG_08.png</t>
    </r>
  </si>
  <si>
    <t>✅ BA duyệt 15/07/2026 — chuyển Dev FE.
- Bấm "Sửa" thì breadcrumb/tiêu đề phải ghi "Chỉnh sửa", phân biệt với "Chi tiết" (xem). Tiền lệ: module Tư vấn viên đã làm đúng — bấm Sửa ghi "Chỉnh sửa [Họ tên]" (srs-fr-04:1480).
- Kèm: bổ sung quy ước chung về nhãn đường dẫn theo chế độ (Xem chi tiết / Chỉnh sửa / Thêm mới) để đồng bộ các module.
- Verify lại: bấm Sửa → breadcrumb "Chỉnh sửa"; bấm tên giảng viên → breadcrumb "Chi tiết".</t>
  </si>
  <si>
    <t>QLGVTG_09</t>
  </si>
  <si>
    <t>Sửa thiếu hoặc sai dữ liệu</t>
  </si>
  <si>
    <t>1. Chọn menu "Đào tạo, tập huấn" -&gt; "Giảng viên / Trợ giảng"
2. Bấm nút "Sửa" trên thẻ giảng viên
3. Sửa thiếu hoặc sai dữ liệu</t>
  </si>
  <si>
    <t>- Không hiển thị thông báo lỗi khi nhập số điện thoại không hợp lệ
- Thông báo lỗi của trường Lĩnh vực bị duplicate</t>
  </si>
  <si>
    <r>
      <rPr>
        <rFont val="Times New Roman"/>
        <color rgb="FF4285F4"/>
        <sz val="13.0"/>
        <u/>
      </rPr>
      <t>QLGVTG_09.jpg</t>
    </r>
  </si>
  <si>
    <t>✅ Bug đúng – chuyển dev (lỗi trùng thông báo).
• Ở màn Sửa giảng viên, khi bỏ trống Lĩnh vực rồi lưu, thông báo "Vui lòng chọn ít nhất 1 lĩnh vực" hiển thị 2 lần (trùng lặp). Màn Thêm mới chỉ hiện 1 lần.
• SRS FR-III-11 (UC30 – Error Handling, dòng 973): mỗi trường lỗi hiển thị một thông báo tương ứng.
• Riêng Điện thoại nhập sai không báo lỗi: đúng đặc tả (so_dien_thoai là text, không bắt buộc, không ràng buộc định dạng; dòng 965) → không phải lỗi.
• Verify: CB_NV_TW, màn Sửa giảng viên. Bug ID: BUG-QLGVTG_09.</t>
  </si>
  <si>
    <t>QLGVTG_12</t>
  </si>
  <si>
    <t>Xóa Giảng viên đang được phân công dạy một số khóa học</t>
  </si>
  <si>
    <t>1. Đăng nhập tài khoản
2. Giảng viên đang được phân công dạy một số khóa học</t>
  </si>
  <si>
    <t>1. Chọn menu "Đào tạo, tập huấn" -&gt; "Giảng viên / Trợ giảng"
2. Bấm nút "Xóa" trên thẻ giảng viên
3. Xác nhận</t>
  </si>
  <si>
    <t>Hệ thống hiển thị cảnh báo "Giảng viên đang được phân công dạy {số lượng} khóa" và yêu cầu xác nhận trước khi xóa.</t>
  </si>
  <si>
    <t>Hệ thống hiển thị thông báo lỗi "Đơn vị của bạn khác đơn vị của giảng viên"</t>
  </si>
  <si>
    <r>
      <rPr>
        <rFont val="Times New Roman"/>
        <color rgb="FF4285F4"/>
        <sz val="13.0"/>
        <u/>
      </rPr>
      <t>QLGVTG_12.webm</t>
    </r>
  </si>
  <si>
    <t>🐞 BA chốt: LÀ LỖI — chuyển Dev BE.
- Phần mềm đang so khớp đơn vị bằng nhau tuyệt đối nên chặn CB Trung ương xóa giảng viên tỉnh. Căn cứ: giảng viên CÓ phân quyền theo đơn vị (srs-v3.5.md:2534, :1256), NHƯNG cán bộ Trung ương là NGOẠI LỆ được thao tác toàn quốc (BR-AUTH-08, srs-fr-05:2350).
- Việc cần làm: bỏ so khớp đơn vị tuyệt đối — Trung ương thao tác toàn quốc, Bộ ngành/Địa phương chỉ trong đơn vị mình. Khi giảng viên đang được phân công thì hiện cảnh báo WRN-GV-01 "đang dạy N khóa" (srs-fr-03:973, :967) và bắt xác nhận trước khi xóa.
- Kèm dọn SRS (BA đồng ý 15/07/2026): ghi chú "giữ giảng viên bản cũ 11 trường" (CHANGELOG-v3-to-v3.5.md:2018, srs-fr-03:1876) mâu thuẫn entity thật 18 trường có don_vi_id → xóa ghi chú, lấy entity 18 trường làm chuẩn.
- Verify lại: CB Trung ương xóa giảng viên tỉnh khác → không báo lỗi đơn vị; nếu đang dạy N khóa thì hiện cảnh báo WRN-GV-01 + hỏi xác nhận.</t>
  </si>
  <si>
    <t>TKGVTG_02</t>
  </si>
  <si>
    <t>1. Chọn menu "Đào tạo, tập huấn" -&gt; "Giảng viên / Trợ giảng"
2. Kiểm tra hiển thị các tiêu chí tìm kiếm</t>
  </si>
  <si>
    <t>Hệ thống hiển thị thiếu tiêu chí tìm kiếm theo Vai trò</t>
  </si>
  <si>
    <r>
      <rPr>
        <rFont val="Times New Roman"/>
        <color rgb="FF1155CC"/>
        <sz val="13.0"/>
        <u/>
      </rPr>
      <t>TKGVTG_02.webm</t>
    </r>
  </si>
  <si>
    <t>✅ Bug đúng – chuyển dev.
• Thanh tìm kiếm Giảng viên/Trợ giảng có: ô từ khóa (họ tên/chuyên ngành), Lĩnh vực, Trạng thái → thiếu bộ lọc Vai trò.
• SRS FR-III-12 (UC31 – Inputs, dòng 981–992): tìm kiếm GV phải có bộ lọc Vai trò (Giảng viên / Trợ giảng).
• Verify: CB_NV_TW, màn Giảng viên/Trợ giảng. Bug ID: BUG-TKGVTG_02.</t>
  </si>
  <si>
    <t>TKGVTG_07</t>
  </si>
  <si>
    <t>Sắp xếp theo tiêu chí</t>
  </si>
  <si>
    <t xml:space="preserve">1. Chọn menu "Đào tạo, tập huấn" -&gt; "Giảng viên / Trợ giảng"
2. Chọn tiêu chí sắp xếp </t>
  </si>
  <si>
    <t>Hệ thống sắp xếp danh sách theo tiêu chí đó, luân phiên tăng dần / giảm dần qua mỗi lần chọn.</t>
  </si>
  <si>
    <t>Hệ thống không cho phép thực hiện sắp xếp theo tiêu chí</t>
  </si>
  <si>
    <r>
      <rPr>
        <rFont val="Times New Roman"/>
        <color rgb="FF1155CC"/>
        <sz val="13.0"/>
        <u/>
      </rPr>
      <t>TKGVTG_07.webm</t>
    </r>
  </si>
  <si>
    <t>❌ BA chốt 15/07/2026: KHÔNG phải lỗi — phần mềm đúng SRS.
- Màn tìm kiếm giảng viên (FR-III-12) và mẫu danh sách chung P-01 (srs-v3.5.md:681) không quy định sắp xếp theo cột — chỉ lọc + phân trang. Hệ thống đáp ứng đúng SRS.
- Nếu cần bổ sung sắp xếp theo cột → là yêu cầu cải tiến, trao đổi BA. Đề nghị cập nhật lại Kết quả mong đợi của test case.</t>
  </si>
  <si>
    <t>QLDXDTTH_03</t>
  </si>
  <si>
    <t>Xem chi tiết đề xuất</t>
  </si>
  <si>
    <t>1. Chọn menu "Đào tạo, tập huấn" -&gt; "Chương trình đào tạo"
2. Mở tab "Đề xuất đào tạo"
3. Bấm nút "Xem" trên dòng đề xuất</t>
  </si>
  <si>
    <t>Hệ thống mở màn hình chi tiết hiển thị đầy đủ thông tin đề xuất.</t>
  </si>
  <si>
    <t>Màn hình không có chức năng Xem chi tiết</t>
  </si>
  <si>
    <r>
      <rPr>
        <rFont val="Times New Roman"/>
        <color rgb="FF1155CC"/>
        <sz val="13.0"/>
        <u/>
      </rPr>
      <t>QLDXDTTH_03.webm</t>
    </r>
  </si>
  <si>
    <t>🔴 Reopen 16/07/2026 — fix một phần.
ĐÃ ĐẠT: DN xem được đề xuất của mình, cả danh sách lẫn chi tiết; và chỉ thấy đề xuất của mình (DN Hà Nội thấy 1 đề xuất, trong khi cán bộ TW thấy 4 — 3 đề xuất của DN An Giang không lộ sang).
CHƯA ĐẠT — màn chi tiết chưa "chỉ đọc" như BA chốt: ở vai trò DN, màn chi tiết vẫn hiển thị các nút thao tác xử lý của cán bộ ([Chỉnh sửa], [Tiếp nhận]; sau đó là [Bắt đầu xử lý], [Từ chối]). Đã thử thật: tài khoản DN bấm [Tiếp nhận] trên chính đề xuất của mình → hệ thống báo "Đã tiếp nhận đề xuất" và đổi trạng thái Mới gửi → Đã tiếp nhận. Máy chủ không chặn, tức DN tự tiếp nhận/từ chối được đề xuất của chính mình.
CẦN: ở vai trò DN/NHT, màn chi tiết đề xuất chỉ hiển thị thông tin, không cho thực hiện các thao tác xử lý thuộc về cán bộ; quyền cần được kiểm ở máy chủ chứ không chỉ ẩn nút trên giao diện.
Lưu ý: đề xuất "QA UAT verify - de xuat dao tao kiem thu chuc nang Xem chi tiet va Xoa (row28/29)" hiện đang ở trạng thái "Đã tiếp nhận" do bước kiểm thử trên; cần reset về "Mới gửi" nếu muốn test lại từ đầu.</t>
  </si>
  <si>
    <t>QLDXDTTH_06</t>
  </si>
  <si>
    <t>Xóa đề xuất ở trạng thái "Mới" và do chính Doanh nghiệp hoặc Người hỗ trợ đang đăng nhập đã tạo</t>
  </si>
  <si>
    <t>1. Đăng nhập tài khoản
2. Tồn tại đề xuất ở trạng thái Mới</t>
  </si>
  <si>
    <t>1. Chọn menu "Diễn đàn, hỗ trợ pháp lý" -&gt; Chương trình hỗ trợ pháp lý DN
2. Tại mục "Danh mục", chọn Đào tạo -&gt; Kế hoạch đào tạo của tôi
3. Bấm nút "Xóa" tại đề xuất có trạng thái Mới</t>
  </si>
  <si>
    <t>- Hệ thống hiển thị hộp xác nhận.
- Hệ thống xóa mềm đề xuất và hiển thị thông báo "Đã xóa đề xuất".</t>
  </si>
  <si>
    <t>Hệ thống không hiển thị thông báo xóa thành công</t>
  </si>
  <si>
    <r>
      <rPr>
        <rFont val="Times New Roman"/>
        <color rgb="FF1155CC"/>
        <sz val="13.0"/>
        <u/>
      </rPr>
      <t>QLDXDTTH_06.webm</t>
    </r>
  </si>
  <si>
    <t>🔴 Reopen 16/07/2026 — fix một phần.
ĐÃ ĐẠT — lỗi gốc "xóa xong không có thông báo" đã hết: với đề xuất do chính Người hỗ trợ đang đăng nhập tạo, trạng thái Mới gửi, bấm Xóa → hiện hộp xác nhận "Xóa đề xuất? Hành động này không thể hoàn tác." → xác nhận → hệ thống báo "Đã xóa đề xuất" và danh sách cập nhật ngay. Đúng Kết quả mong đợi của test case.
CHƯA ĐẠT — không thực hiện được thao tác của case ở vai trò Doanh nghiệp: với đề xuất do chính DN tạo, trạng thái Mới gửi, cột Hành động chỉ có [Tiếp nhận] và [Sửa], KHÔNG có nút [Xóa]. Màn chi tiết và form chỉnh sửa cũng không có. Trong khi mô tả case là "Xóa đề xuất ở trạng thái Mới và do chính Doanh nghiệp hoặc Người hỗ trợ đang đăng nhập đã tạo".
Bất nhất cần lưu ý (cùng gốc với QLDXDTTH_03): cùng một đề xuất, cùng trạng thái, cùng là chủ sở hữu — DN lại có nút [Tiếp nhận] (thao tác của cán bộ) nhưng không có [Xóa] (thao tác của chính DN). Bộ nút của vai trò DN đang bị gán ngược.
CẦN: doanh nghiệp xóa được đề xuất của chính mình khi đề xuất còn ở trạng thái Mới, với cùng hộp xác nhận và thông báo như luồng của Người hỗ trợ.</t>
  </si>
  <si>
    <t>QLDXDTTH_09</t>
  </si>
  <si>
    <t>Kiểm tra Doanh nghiệp/Người hỗ trợ nhận thông báo</t>
  </si>
  <si>
    <t>1. Cán bộ nghiệp vụ cập nhật trạng thái đề xuất
2. Đăng nhập tài khoản Doanh nghiệp/Người hỗ trợ trực tiếp tạo đề xuất được phê duyệt</t>
  </si>
  <si>
    <t>1. Chọn menu "Diễn đàn, hỗ trợ pháp lý" -&gt; Chương trình hỗ trợ pháp lý DN
2. Tại mục "Danh mục", chọn Đào tạo -&gt; Kế hoạch đào tạo của tôi
3. Kiểm tra thông báo và đề xuất được phê duyệt</t>
  </si>
  <si>
    <t>- Doanh nghiệp/Người hỗ trợ nhận thông báo thành công
- Đề xuất được cập nhật trạng thái thành công</t>
  </si>
  <si>
    <t xml:space="preserve">- Doanh nghiệp/Người hỗ trợ không nhận được thông báo
- Đề xuất không được cập nhật trạng thái </t>
  </si>
  <si>
    <r>
      <rPr>
        <rFont val="Times New Roman"/>
        <color rgb="FF1155CC"/>
        <sz val="13.0"/>
        <u/>
      </rPr>
      <t>QLDXDTTH_09.webm</t>
    </r>
  </si>
  <si>
    <t>❌ Ý "DN không nhận thông báo" — BA chốt: KHÔNG phải lỗi, phần mềm đúng SRS.
- FR-III-13 chỉ quy định thông báo MỘT CHIỀU: DN gửi đề xuất → báo cho cán bộ (srs-fr-03:1019, :1023). SRS không yêu cầu báo ngược lại cho DN khi cán bộ tiếp nhận / đánh dấu đã thực hiện. BR-NOTIF-01 (srs-v3.5.md:5520) cũng không có sự kiện nào cho vòng đời đề xuất đào tạo.
- Trạng thái đề xuất phía DN CÓ cập nhật đúng sang "Đã tiếp nhận" → phần "trạng thái không cập nhật" không xảy ra.
- Muốn báo cho DN khi đề xuất đổi trạng thái → là yêu cầu cải tiến (thêm sự kiện vào BR-NOTIF-01 + sửa FR-III-13), nếu cần thì trao đổi BA.
⚠️ GIỮ status dev done: chiều ngược lại (DN gửi đề xuất → cán bộ KHÔNG nhận thông báo) là lỗi thật, SRS bắt buộc — đã log BUG-DEXUAT-NOTIF-CB-01, vẫn đang chờ Dev.</t>
  </si>
  <si>
    <t>QLLKHDTBD_02</t>
  </si>
  <si>
    <t xml:space="preserve">1. Chọn menu "Đào tạo, tập huấn" -&gt; "Kế hoạch đào tạo"
</t>
  </si>
  <si>
    <r>
      <rPr>
        <rFont val="Times New Roman"/>
        <color rgb="FF1155CC"/>
        <sz val="13.0"/>
        <u/>
      </rPr>
      <t>QLLKHDTBD_02.jpg</t>
    </r>
  </si>
  <si>
    <t>QLLKHDTBD_06</t>
  </si>
  <si>
    <t>1. Chọn menu "Đào tạo, tập huấn" -&gt; "Kế hoạch đào tạo"
2. Nhấn Thêm mới
3. Nhập thông tin hợp lệ và nhấn Lưu</t>
  </si>
  <si>
    <t>Hợp lệ, hệ thống lưu bản ghi ở trạng thái "Nháp" và hiển thị thông báo "Đã tạo kế hoạch đào tạo".</t>
  </si>
  <si>
    <t>Hệ thống hiển thị thông báo lỗi: Lỗi hệ thống, vui lòng thử lại sau.</t>
  </si>
  <si>
    <r>
      <rPr>
        <rFont val="Times New Roman"/>
        <color rgb="FF1155CC"/>
        <sz val="13.0"/>
        <u/>
      </rPr>
      <t>QLLKHDTBD_06.webm</t>
    </r>
  </si>
  <si>
    <t>- Tạo mới Kế hoạch đào tạo: nếu có NHẬP "Ngân sách dự kiến" thì lưu được (thành công).
- Nhưng nếu ĐỂ TRỐNG "Ngân sách dự kiến" (trường này không bắt buộc nhập) → hệ thống báo "Lỗi hệ thống, vui lòng thử lại sau." và không tạo được kế hoạch.
- Đề nghị: cho phép tạo kế hoạch khi bỏ trống Ngân sách, đúng như trường không bắt buộc (FR-III-14 / UC33 – Thêm mới kế hoạch đào tạo).</t>
  </si>
  <si>
    <t>PDKQDTTH_01</t>
  </si>
  <si>
    <t>Phê duyệt kết quả đào tạo bồi dưỡng</t>
  </si>
  <si>
    <t>CB Phê duyệt xem xét và phê duyệt kết quả đào tạo bồi dưỡng.</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</si>
  <si>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</si>
  <si>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"Phê duyệt"</t>
  </si>
  <si>
    <t xml:space="preserve">- Hệ thống hiển thị thông báo "Đã phê duyệt kết quả đào tạo".
+ Kiểm tra đã có đầy đủ dữ liệu kết quả đào tạo.
+ Cập nhật trạng thái khóa học: "Chờ duyệt kết quả" → "Hoàn thành".
+ Ghi thời điểm phê duyệt và người phê duyệt.
+ Gửi thông báo cho Cán bộ nghiệp vụ.
+ Lưu vết thao tác theo quy định.
</t>
  </si>
  <si>
    <t>Cán bộ nghiệp vụ không nhận được thông báo</t>
  </si>
  <si>
    <t xml:space="preserve"> PDKQDTBD_01.webm</t>
  </si>
  <si>
    <t>✅ Bug ĐÚNG – chuyển dev.
• Đã dựng đúng luồng: CB Nghiệp vụ trình duyệt kết quả một khóa học (khóa chuyển "Chờ duyệt kết quả"), sau đó CB Phê duyệt bấm "Duyệt KQ" → khóa chuyển "Hoàn thành" thành công.
• Nhưng CB Nghiệp vụ KHÔNG nhận được thông báo về việc kết quả đã được phê duyệt: kiểm tra chuông + danh sách thông báo của CB NV, không có thông báo nào cho khóa vừa được duyệt.
• Hệ thống thông báo cho CB NV vẫn hoạt động (vẫn nhận thông báo đăng ký khóa học khác) → chỉ thiếu riêng thông báo "phê duyệt kết quả đào tạo".
• Theo SRS FR-III-18 (UC37) §Processing + Postconditions (srs-fr-03 dòng 1261, 1265): sau khi phê duyệt, hệ thống phải "Thông báo CB NV" / "CB NV nhận thông báo".
• Verify: trình duyệt KQ bằng CB_NV_TW, duyệt bằng CB_PD_TW, kiểm thông báo bằng CB_NV_TW. Bug ID: BUG-PDKQDTTH_01.</t>
  </si>
  <si>
    <t>PDKQDTTH_05</t>
  </si>
  <si>
    <t>Từ chối kết quả</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</si>
  <si>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</si>
  <si>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"Từ chối"
4. Nhập lý do hợp lệ và xác nhận</t>
  </si>
  <si>
    <t xml:space="preserve">- Tại bước 3: Hệ thống mở hộp thoại yêu cầu nhập lý do từ chối
- Tại bước 4:
+ Cập nhật trạng thái khóa học: "Chờ duyệt kết quả" → "Đã kết thúc" kèm lý do từ chối.
+ Gửi thông báo cho Cán bộ nghiệp vụ kèm lý do để rà soát, bổ sung.
+ Lưu vết thao tác theo quy định.
- Hệ thống hiển thị thông báo "Đã từ chối kết quả đào tạo".
</t>
  </si>
  <si>
    <t xml:space="preserve"> PDKQDTBD_05.webm</t>
  </si>
  <si>
    <t>✅ Bug ĐÚNG – chuyển dev.
• Cùng nguyên nhân với BUG-PDKQDTTH_01: hệ thống không gửi thông báo cho CB Nghiệp vụ khi CB Phê duyệt xử lý kết quả đào tạo (áp dụng cho cả phê duyệt lẫn từ chối).
• Đã kiểm tra cơ chế thông báo quyết định kết quả đào tạo tới CB NV: sau khi CB PD xử lý kết quả, danh sách + chuông thông báo của CB NV không phát sinh thông báo nào về quyết định kết quả (dù hệ thống vẫn gửi được các loại thông báo khác cho CB NV).
• Theo SRS FR-III-18 (UC37) §Processing + Postconditions (srs-fr-03 dòng 1261, 1265): khi từ chối kết quả (khóa về "Đã kết thúc"), hệ thống phải gửi thông báo cho CB NV kèm lý do — "CB NV nhận thông báo".
• Verify: cơ chế thông báo kết quả kiểm bằng CB_PD_TW + CB_NV_TW. Bug ID: BUG-PDKQDTTH_05.</t>
  </si>
  <si>
    <t>CBKQDTBD_01</t>
  </si>
  <si>
    <t>Công bố kết quả đào tạo bồi dưỡng</t>
  </si>
  <si>
    <t>Cung cấp chức năng công bố kết quả, cập nhật kết quả vào tài khoản của học viên.</t>
  </si>
  <si>
    <t>1. Đăng nhập tài khoản 
2. Khóa học ở trạng thái "Hoàn thành".</t>
  </si>
  <si>
    <t>1. Chọn menu "Đào tạo, tập huấn" -&gt; "Khóa học"
2. Nhấn xem chi tiết khóa học
3. Chọn danh sách học viên và bấm nút "Công bố và sinh chứng nhận"</t>
  </si>
  <si>
    <t xml:space="preserve">- Hệ thống hiển thị thông báo "Đã phát hành chứng nhận cho {số lượng} học viên".
+ Kiểm tra các học viên được chọn có kết quả "Đạt".
+ Tự sinh số chứng nhận cho từng học viên theo định dạng chuẩn.
+ Sinh tệp chứng nhận điện tử (PDF có ký số) cho từng học viên theo hình thức tạo hàng loạt.
+ Lưu tệp vào hệ thống và liên kết với bản ghi học viên.
+ Lưu vết thao tác theo quy định.
</t>
  </si>
  <si>
    <t>Màn hình không có chức năng</t>
  </si>
  <si>
    <t xml:space="preserve"> CBKQDTBD_01.webm</t>
  </si>
  <si>
    <t>❌ BA chốt: KHÔNG phải lỗi — không cấp chứng nhận PDF là chủ đích.
- FR-III-19 chọn Hướng B "không cấp chứng nhận PDF" (srs-fr-03:1278), duyệt 06/05/2026. Lý do pháp lý: NĐ55/2019 không trao thẩm quyền cấp chứng nhận đào tạo cho phần mềm; PDF tự sinh dễ bị hiểu nhầm là chứng nhận chính thức (:1280).
- Chức năng công bố kết quả ĐÃ CÓ ở tab "Kết quả" (công bố / hủy công bố + xuất DOCX) — phần mềm làm đúng phạm vi.
- Nếu muốn khôi phục cấp chứng nhận → là mở rộng phạm vi có RỦI RO PHÁP LÝ, cần quy chế nội bộ Bộ Tư pháp trước khi làm; trao đổi BA.</t>
  </si>
  <si>
    <t>QLTVV_02</t>
  </si>
  <si>
    <t>1. Chọn menu "Mạng lướt tư vấn viên" -&gt; "Tư vấn viên/Chuyên gia"</t>
  </si>
  <si>
    <t>- Hệ thống hiển thị bảng danh sách giống với thiết kế
- Dữ liệu hiển thị đúng định dạng và trường thông tin
- Mặc định: hệ thống sắp xếp theo ngày công nhận mới nhất trước, 20 bản ghi mỗi trang
- Dữ liệu hiển thị không bị tràn/đè lên nhau, đồng nhất ngôn ngữ hiển thị</t>
  </si>
  <si>
    <t>- Trường thông tin Điểm đánh giá hiển thị không giống với thiết kế
- Trường thông tin Loại viết tắt
- Hệ thống không mặc định sắp xếp theo ngày công nhận mới nhất</t>
  </si>
  <si>
    <r>
      <rPr>
        <rFont val="Times New Roman"/>
        <color rgb="FF1155CC"/>
        <sz val="12.0"/>
        <u/>
      </rPr>
      <t>QLTVV_02.webm</t>
    </r>
  </si>
  <si>
    <t>✅ Bug ĐÚNG – chuyển dev (2/3 ý là lỗi hiển thị; ý sắp xếp mặc định không tính lỗi).
- Cột "Loại": web hiển thị mã viết tắt "TVV"/"CG" thay vì nhãn đầy đủ. Theo SRS §3.0 (bảng ánh xạ Loại) và SCR-IV-01 (FR-IV-01/UC39), phải hiển thị "Tư vấn viên"/"Chuyên gia" — không hiển thị mã enum cho người dùng cuối.
- Cột "Điểm đánh giá": chưa có đánh giá thì chỉ hiển thị "—"; khi có đánh giá lại hiển thị số thô theo thang /10 kèm 1 sao (evidence đối tác: TVV "TVV R11 Verify Mail Fix" hiện "8.3"). Theo thiết kế/SCR-IV-01 phải theo thang "x.x/5" + 5 sao, và "—/5" khi chưa có đánh giá.
- Ý "không sắp xếp mặc định theo ngày công nhận mới nhất": SRS/thiết kế không quy định thứ tự sắp xếp mặc định cho danh sách này nên không tính là lỗi. Nếu muốn cố định thứ tự này, cần BA bổ sung đặc tả.
- Verify: đăng nhập CB_NV_TW (cbnv_tw) → Mạng lưới Tư vấn viên → Tư vấn viên/Chuyên gia; tái hiện "Loại=TVV". (Điểm ĐG: env được giao chưa có TVV nào có đánh giá nên hiện "—"; thang /10 lấy theo evidence đối tác.)
- Tham chiếu SRS: srs-fr-04-chuyen-gia-tvv §3.0 (dòng 1337, 1379-1384) + SCR-IV-01 (dòng 1442, 1445). Bug ID: BUG-QLTVV_02.</t>
  </si>
  <si>
    <t>QLTVV_04</t>
  </si>
  <si>
    <t>1. Chọn menu "Mạng lướt tư vấn viên" -&gt; "Tư vấn viên/Chuyên gia"
2. Bấm nút "Xem" trên dòng tư vấn viên</t>
  </si>
  <si>
    <t>Hệ thống mở màn hình Hồ sơ chi tiết tư vấn viên hiển thị đầy đủ thông tin trong 5 thẻ: Hồ sơ, Thẩm định, Năng lực, Lịch sử hỗ trợ, Đánh giá</t>
  </si>
  <si>
    <t>- Khu vực thông tin đầu trang (thẻ giới thiệu tư vấn viên): hiển thị thiếu thông tin Loại, Tổ chức tư vấn, Lĩnh vực pháp luật và Điểm đánh giá trung bình không đúng với thiết kế
- Nhóm 2  Thông tin nghề nghiệp: hiển thị thiếu thông tin Mô tả kinh nghiệm, Chứng chỉ hành nghề
- Thiếu Nhóm 4  Lĩnh vực pháp luật</t>
  </si>
  <si>
    <r>
      <rPr>
        <rFont val="Times New Roman"/>
        <color rgb="FF1155CC"/>
        <sz val="13.0"/>
        <u/>
      </rPr>
      <t>QLTVV_04.webm</t>
    </r>
  </si>
  <si>
    <t>✅ Bug ĐÚNG – chuyển dev.
- Màn Chi tiết TVV, tab "Hồ sơ", nhóm "Nghề nghiệp": web thiếu 2 trường "Chứng chỉ hành nghề" và "Mô tả kinh nghiệm" (kèm "Chức vụ", "Nơi công tác"). Theo SRS SCR-IV-03 tab "Hồ sơ" nhóm Nghề nghiệp (FR-IV-05/UC43), phải hiển thị: chức vụ, nơi công tác, trình độ, chứng chỉ hành nghề, số thẻ, mô tả kinh nghiệm. Các field rỗng khác vẫn hiện "—" nên 2 trường trên là thiếu hẳn khỏi giao diện.
- Nhóm "Thông tin cá nhân": thiếu "Loại" (Tư vấn viên/Chuyên gia) và "Đơn vị quản lý" theo SRS.
- Điểm đánh giá TB ở đầu trang: evidence đối tác hiển thị thang /10 (8.3/10), trong khi SRS quy định thang /5 (vd x.x/5). Đề nghị dev kiểm cùng — env được giao chưa có TVV nào có đánh giá để tái hiện số cụ thể.
- Làm rõ: "Lĩnh vực pháp luật" và "Tổ chức" KHÔNG thiếu — web có hiển thị (Lĩnh vực nằm trong nhóm "Tổ chức &amp; Mạng lưới"). Header không hiển thị Loại/Tổ chức/Lĩnh vực là do SRS đặc tả các trường này ở tab Hồ sơ, không ở thẻ header.
- Verify: đăng nhập CB_NV_TW (cbnv_tw), mở Chi tiết 1 TVV (vd TVV-SEED-0001) → nhóm Nghề nghiệp không có dòng Chứng chỉ hành nghề/Mô tả kinh nghiệm.
- Tham chiếu SRS: srs-fr-04-chuyen-gia-tvv SCR-IV-03 (dòng 1541, 1554) + FR-IV-01 Outputs (dòng 188). Bug ID: BUG-QLTVV_04.</t>
  </si>
  <si>
    <t>QLTVV_07</t>
  </si>
  <si>
    <t>Sắp xếp theo cột</t>
  </si>
  <si>
    <t>1. Chọn menu "Mạng lướt tư vấn viên" -&gt; "Tư vấn viên/Chuyên gia"
2. Bấm vào tiêu đề cột cần sắp xếp</t>
  </si>
  <si>
    <t xml:space="preserve">- Hệ thống sắp xếp danh sách theo cột đó, luân phiên tăng dần / giảm dần qua mỗi lần bấm.
</t>
  </si>
  <si>
    <t>Không thực hiện sắp xếp khi bấm vào tiêu đề cột</t>
  </si>
  <si>
    <r>
      <rPr>
        <rFont val="Times New Roman"/>
        <color rgb="FF1155CC"/>
        <sz val="13.0"/>
        <u/>
      </rPr>
      <t>QLTVV_07.webm</t>
    </r>
  </si>
  <si>
    <t>❌ BA chốt 15/07/2026: KHÔNG phải lỗi — phần mềm đúng SRS.
- Màn danh sách TVV (FR-IV-02) và mẫu danh sách chung P-01 (srs-v3.5.md:681) không quy định sắp xếp theo cột — chỉ lọc + phân trang. Hệ thống đáp ứng đúng SRS. (Chốt chung với TKGVTG_07 và TKTVV_08.)
- Nếu cần sắp xếp theo cột → là yêu cầu cải tiến, trao đổi BA. Đề nghị cập nhật lại Kết quả mong đợi của test case.</t>
  </si>
  <si>
    <t>QLTVV_10</t>
  </si>
  <si>
    <t>Xuất Excel theo Phụ lục 1  Quyết định 1322/QĐ-BTP khi không áp dụng điều kiện lọc</t>
  </si>
  <si>
    <t>1. Đăng nhập tài khoản
2. Danh sách có số lượng bản ghi nhỏ hơn 10.000</t>
  </si>
  <si>
    <t>1. Chọn menu "Mạng lướt tư vấn viên" -&gt; "Tư vấn viên/Chuyên gia"
2. Bấm nút "Xuất Excel theo Phụ lục 1  Quyết định 1322/QĐ-Bộ Tư pháp"</t>
  </si>
  <si>
    <t>Hệ thống xuất toàn bộ danh sách tư vấn viên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</si>
  <si>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t>File excel được xuất không hiển thị thông tin Ngày cấp đi kèm chứng chỉ mặc dù tồn tại dữ liệu</t>
  </si>
  <si>
    <r>
      <rPr>
        <rFont val="Times New Roman"/>
        <color rgb="FF1155CC"/>
        <sz val="13.0"/>
        <u/>
      </rPr>
      <t>QLTVV_10.webm</t>
    </r>
  </si>
  <si>
    <t>✅ Bug ĐÚNG – chuyển dev.
- File Excel xuất theo Phụ lục 1 (QĐ 1322/QĐ-BTP): cột "Chứng chỉ (tên + ngày cấp)" chỉ hiển thị mã/số thẻ, KHÔNG có ngày cấp. Theo SRS FR-IV-02 (UC40) và mẫu SCR-IV-01, cột này phải gồm cả tên chứng chỉ VÀ ngày cấp.
- Tái hiện trên env được giao: seed 1 TVV có số thẻ "STHN-QA-TEST-2243" rồi xuất Excel → cột "Chứng chỉ (tên + ngày cấp)" chỉ ra "STHN-QA-TEST-2243", không có ngày cấp (giống hệt evidence đối tác: "THE-TVV-AG-01", "STHN-2344/2243").
- Nguyên nhân gốc (để dev lưu ý): mô hình dữ liệu TVV hiện KHÔNG có trường lưu chứng chỉ kèm ngày cấp (chỉ có "số thẻ hành nghề" là 1 mã đơn) — không có nguồn dữ liệu ngày cấp để xuất. Cần bổ sung trường chứng chỉ chi tiết (tên + ngày cấp) và đưa vào file xuất.
- Verify: đăng nhập CB_NV_TW (cbnv_tw) → danh sách TVV → "Xuất Excel" (không lọc) → mở file, cột "Chứng chỉ (tên + ngày cấp)".
- Tham chiếu SRS: srs-fr-04-chuyen-gia-tvv FR-IV-02 (UC40, dòng 243) + SCR-IV-01 (dòng 1453). Bug ID: BUG-QLTVV_10.</t>
  </si>
  <si>
    <t>QLTVV_12</t>
  </si>
  <si>
    <t>Xuất Excel theo Phụ lục 1  Quyết định 1322/QĐ-BTP khi áp dụng điều kiện lọc</t>
  </si>
  <si>
    <t>1. Chọn menu "Mạng lướt tư vấn viên" -&gt; "Tư vấn viên/Chuyên gia"
2. Chọn tiêu chí lọc có kết quả
3. Bấm nút "Xuất Excel theo Phụ lục 1  Quyết định 1322/QĐ-Bộ Tư pháp"</t>
  </si>
  <si>
    <t>Hệ thống xuất danh sách tư vấn viên theo tiêu chí lọc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</si>
  <si>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r>
      <rPr>
        <rFont val="Times New Roman"/>
        <color rgb="FF1155CC"/>
        <sz val="13.0"/>
        <u/>
      </rPr>
      <t>QLTVV_12.jpg</t>
    </r>
  </si>
  <si>
    <t>✅ Bug ĐÚNG – chuyển dev (cùng nguyên nhân với QLTVV_10, trường hợp có áp dụng bộ lọc).
- Khi xuất Excel Phụ lục 1 (QĐ 1322/QĐ-BTP) CÓ áp dụng bộ lọc: cột "Chứng chỉ (tên + ngày cấp)" vẫn chỉ hiển thị mã/số thẻ, KHÔNG có ngày cấp. Theo SRS FR-IV-02 (UC40) và SCR-IV-01, cột này phải gồm tên chứng chỉ + ngày cấp.
- Tái hiện trên env được giao: seed 1 TVV có số thẻ "STHN-QA-TEST-2243" → xuất Excel với bộ lọc → cột "Chứng chỉ (tên + ngày cấp)" chỉ ra "STHN-QA-TEST-2243", không ngày cấp (giống evidence đối tác: "THE-TVV-AG-01", "STHN-2344/2243").
- Nguyên nhân gốc: mô hình dữ liệu TVV không có trường chứng chỉ kèm ngày cấp (chỉ có số thẻ hành nghề) — không có nguồn ngày cấp để xuất. Trùng nguyên nhân BUG-QLTVV_10.
- Verify: đăng nhập CB_NV_TW (cbnv_tw) → danh sách TVV → chọn bộ lọc → "Xuất Excel" → mở file, cột "Chứng chỉ (tên + ngày cấp)".
- Tham chiếu SRS: srs-fr-04-chuyen-gia-tvv FR-IV-02 (UC40, dòng 243) + SCR-IV-01 (dòng 1453). Bug ID: BUG-QLTVV_12.</t>
  </si>
  <si>
    <t>QLTVV_13</t>
  </si>
  <si>
    <t>Kiểm tra nút chức năng Thêm tư vấn viên</t>
  </si>
  <si>
    <t>1. Chọn menu "Mạng lướt tư vấn viên" -&gt; "Tư vấn viên/Chuyên gia"
2. Bấm nút "+ Thêm tư vấn viên"</t>
  </si>
  <si>
    <t>Hệ thống chuyển sang màn hình "Thêm mới tư vấn viên" với các trường thông tin giống với thiết kế</t>
  </si>
  <si>
    <t xml:space="preserve">Hệ thống hiển thị form thêm mới thiếu trường thông tin Mô tả kinh nghiệm, Chứng chỉ hành nghề </t>
  </si>
  <si>
    <t>✅ Bug ĐÚNG (một phần) – chuyển dev.
- Form "Thêm mới Tư vấn viên", nhóm "Nghề nghiệp": THIẾU trường "Mô tả kinh nghiệm". Theo SRS SCR-IV-02 (FR-IV-03/UC41), nhóm Thông tin nghề nghiệp phải có "Mô tả kinh nghiệm" (ô văn bản dài, tối đa 5000 ký tự). Form hiện chỉ có "Số năm kinh nghiệm" (số) và "Ghi chú" chung — không có "Mô tả kinh nghiệm".
- Ý "thiếu Chứng chỉ hành nghề": KHÔNG chính xác — form CÓ mục "Chứng chỉ chi tiết" (bảng: tên chứng chỉ + ngày cấp + nơi cấp) để nhập chứng chỉ; đây là dạng đầy đủ hơn một ô "Chứng chỉ hành nghề" đơn.
- Lưu ý: đối tác không đính kèm ảnh/video cho case này; kết luận dựa trên verify trực tiếp trên web (env được giao) đối chiếu SRS + case liên quan QLTVV_23 (form Sửa, cùng field).
- Verify: đăng nhập CB_NV_TW (cbnv_tw) → Thêm mới Tư vấn viên → mở nhóm "Nghề nghiệp".
- Tham chiếu SRS: srs-fr-04-chuyen-gia-tvv SCR-IV-02 cell 3.7 (dòng 1502). Bug ID: BUG-QLTVV_13.</t>
  </si>
  <si>
    <t>QLTVV_18</t>
  </si>
  <si>
    <t>Tệp đính kèm vượt quá số lượng</t>
  </si>
  <si>
    <t>1. Chọn menu "Mạng lướt tư vấn viên" -&gt; "Tư vấn viên/Chuyên gia"
2. Bấm nút "+ Thêm tư vấn viên"
3. Tệp đính kèm vượt quá số lượng và nhấn Lưu</t>
  </si>
  <si>
    <t>Hệ thống hiển thị thông báo "Tệp vượt quá dung lượng/số lượng cho phép hoặc sai định dạng".</t>
  </si>
  <si>
    <t>Hệ thống không hiển thị thông báo lỗi</t>
  </si>
  <si>
    <r>
      <rPr>
        <rFont val="Times New Roman"/>
        <color rgb="FF1155CC"/>
        <sz val="13.0"/>
        <u/>
      </rPr>
      <t>QLTVV_18.webm</t>
    </r>
  </si>
  <si>
    <t>✅ Bug ĐÚNG – chuyển dev.
- Khi tải lên "File đính kèm" (Bằng cấp/Chứng chỉ) vượt quá 10 tệp: hệ thống lặng lẽ bỏ qua tệp thứ 11 (giữ đúng 10 tệp) mà KHÔNG hiển thị bất kỳ thông báo lỗi nào. Theo SRS SCR-IV-02 (mục 5.1) "vượt giới hạn → lỗi cụ thể" và FR-IV-01 (ERR-TVV-07: "Tối đa 10 file bằng cấp"), hệ thống phải hiển thị thông báo khi vượt số lượng.
- Tái hiện: đăng nhập CB_NV_TW (cbnv_tw) → Thêm mới TVV → mục "File đính kèm" → tải lần lượt 11 file PDF → danh sách dừng ở 10 file, tệp thứ 11 bị bỏ, không có toast/thông báo lỗi (đã kiểm bằng MutationObserver + .ant-message + .ant-form-item-explain-error đều rỗng).
- Verify: mở form Thêm mới TVV, mục "File đính kèm (Bằng cấp / Chứng chỉ)".
- Tham chiếu SRS: srs-fr-04-chuyen-gia-tvv SCR-IV-02 mục 5.1 (dòng 1508) + FR-IV-01 ERR-TVV-07 (dòng 202). Bug ID: BUG-QLTVV_18.</t>
  </si>
  <si>
    <t>QLTVV_20</t>
  </si>
  <si>
    <t>Kiểm tra hiển thị và các nút tương tác khi tải tệp lên hệ thống thành công</t>
  </si>
  <si>
    <t>1. Chọn menu "Mạng lướt tư vấn viên" -&gt; "Tư vấn viên/Chuyên gia"
2. Bấm nút "+ Thêm tư vấn viên"
3. Kiểm tra các nút tương tác khi tải tệp lên hệ thống thành công</t>
  </si>
  <si>
    <t>Danh sách tệp đã tải hiển thị tên, dung lượng và các nút xem / tải lại / xóa.</t>
  </si>
  <si>
    <t>Danh sách tệp đã tải không hiển thị dung lượng và các nút xem / tải lại.</t>
  </si>
  <si>
    <r>
      <rPr>
        <rFont val="Times New Roman"/>
        <color rgb="FF1155CC"/>
        <sz val="13.0"/>
        <u/>
      </rPr>
      <t>QLTVV_20.webm</t>
    </r>
  </si>
  <si>
    <t>✅ Bug ĐÚNG (một phần) – chuyển dev.
- Danh sách tệp đã tải trong mục "File đính kèm": mỗi dòng chỉ có tên tệp + nút Xóa ("Gỡ bỏ tập tin"); KHÔNG hiển thị dung lượng (kích thước) và KHÔNG có nút "Xem". Theo SRS SCR-IV-02 (mục 5.3), mỗi dòng danh sách file đã tải phải có: tên file + kích thước + nút "Xem" + nút "Xóa".
- Ý "thiếu nút Tải lại": không tính là lỗi — SRS chỉ yêu cầu Xem/Xóa, không có "Tải lại" (nút này chỉ có trong bản thiết kế đối tác).
- Tái hiện trên env được giao: đăng nhập CB_NV_TW (cbnv_tw) → Thêm mới TVV → tải 1 tệp PDF → dòng tệp chỉ có tên + nút gỡ bỏ; kiểm DOM chỉ thấy icon paper-clip + delete, không có kích thước, không có nút Xem.
- Tham chiếu SRS: srs-fr-04-chuyen-gia-tvv SCR-IV-02 mục 5.3 (dòng 1510). Bug ID: BUG-QLTVV_20.</t>
  </si>
  <si>
    <t>QLTVV_21</t>
  </si>
  <si>
    <t>Thêm mới Dữ liệu hợp lệ</t>
  </si>
  <si>
    <t>1. Chọn menu "Mạng lướt tư vấn viên" -&gt; "Tư vấn viên/Chuyên gia"
2. Bấm nút "+ Thêm tư vấn viên"
3. Nhập Dữ liệu hợp lệ và nhấn Lưu</t>
  </si>
  <si>
    <t>Hệ thống tự sinh mã tư vấn viên, lưu bản ghi ở trạng thái "Mới đăng ký", tạo liên kết đến tổ chức và lĩnh vực pháp luật, gửi thông báo đến Cán bộ nghiệp vụ cùng đơn vị, lưu vết thao tác, hiển thị thông báo "Đã thêm tư vấn viên thành công" và quay về màn hình danh sách.</t>
  </si>
  <si>
    <t>- Hệ thống hiển thị thông báo "Tạo hồ sơ TVV thành công nhưng không tải lên được:{tên file ảnh}"
- Không hiển thị thông tin Số quyết định và file đính kèm mặc dù tồn tại dữ liệu khi thêm mới</t>
  </si>
  <si>
    <r>
      <rPr>
        <rFont val="Times New Roman"/>
        <color rgb="FF1155CC"/>
        <sz val="13.0"/>
        <u/>
      </rPr>
      <t>QLTVV_21.webm</t>
    </r>
  </si>
  <si>
    <t>✅ Bug ĐÚNG – chuyển dev.
- Tái hiện trên env được giao (CB_NV_TW): Thêm mới TVV hợp lệ với Ảnh chân dung (.png) + File thẻ hành nghề (.pdf) + File đính kèm (.pdf), nhập Số QĐ công bố. Khi Lưu: hệ thống tạo hồ sơ thành công nhưng hiện toast "Tạo hồ sơ TVV thành công nhưng không tải lên được: {tên ảnh}" (đúng như đối tác mô tả).
- Trên hồ sơ vừa tạo (TVV-BTP-TW-0001) phát sinh cùng lúc 3 lỗi:
  (a) Ảnh chân dung KHÔNG được lưu: hệ thống từ chối ảnh với thông báo "Chỉ chấp nhận file PDF", trong khi SRS SCR-IV-02 mục 2.3 (dòng 1484) quy định Ảnh chân dung phải nhận .jpg/.png (tối đa 5MB).
  (b) File đính kèm (.pdf) tải lên thành công nhưng KHÔNG gắn vào hồ sơ: màn chi tiết hiển thị "Chưa có file đính kèm", dù SRS SCR-IV-03 tab Hồ sơ (dòng 1554) yêu cầu hiển thị danh sách file đính kèm.
  (c) Số quyết định đã nhập KHÔNG hiển thị: màn chi tiết hiện "Số quyết định: —" dù đã nhập Số QĐ công bố (SRS SCR-IV-02 mục 5.1 dòng 1681).
- Verify: đăng nhập CB_NV_TW (cbnv_tw) → Thêm mới Tư vấn viên → nhập hợp lệ + tải 3 file → Lưu → mở chi tiết hồ sơ.
- Tham chiếu SRS: srs-fr-04-chuyen-gia-tvv SCR-IV-02 mục 2.3 (dòng 1484) + mục 5.1 (dòng 1681) + SCR-IV-03 tab Hồ sơ (dòng 1554). Bug ID: BUG-QLTVV_21.</t>
  </si>
  <si>
    <t>QLTVV_22</t>
  </si>
  <si>
    <t>Hủy có thay đổi chưa lưu</t>
  </si>
  <si>
    <t>1. Chọn menu "Mạng lướt tư vấn viên" -&gt; "Tư vấn viên/Chuyên gia"
2. Bấm nút "+ Thêm tư vấn viên"
3. Nhập thông tin hợp lệ và Nhấn Hủy</t>
  </si>
  <si>
    <t>- Hệ thống hiển thị hộp xác nhận "Bạn có chắc chắn rời khỏi mà không lưu?"
- Xác nhận rời khỏi → hệ thống bỏ các thay đổi và quay lại danh sách 
- Chọn "Ở lại" → đóng hộp xác nhận, giữ nguyên biểu mẫu.</t>
  </si>
  <si>
    <t>- Chọn "Ở lại" → hệ thống xóa các thông tin đã nhập trước đó</t>
  </si>
  <si>
    <r>
      <rPr>
        <rFont val="Times New Roman"/>
        <color rgb="FF1155CC"/>
        <sz val="13.0"/>
        <u/>
      </rPr>
      <t>QLTVV_22.webm</t>
    </r>
  </si>
  <si>
    <t>✅ Bug ĐÚNG – chuyển dev.
- Tái hiện trên env được giao (CB_NV_TW): Thêm mới TVV → nhập dữ liệu (Họ tên, Số CMND/CCCD, Số QĐ công bố, Giới tính) → bấm Hủy → hệ thống hiện hộp xác nhận "Bạn có thay đổi chưa được lưu. Nếu tiếp tục, các thay đổi sẽ bị mất. Bạn có muốn tiếp tục?" với 2 nút "Ở lại" / "Tiếp tục".
- Bấm "Ở lại": hộp thoại đóng, vẫn ở lại biểu mẫu (đúng), NHƯNG toàn bộ dữ liệu đã nhập bị xóa sạch — các ô trở về rỗng (kiểm tra: trước khi Hủy có 3 ô có giá trị, sau khi chọn "Ở lại" cả 3 ô đều rỗng).
- Kỳ vọng: "Ở lại" = hủy thao tác Hủy, giữ nguyên biểu mẫu và dữ liệu đang nhập (đúng như đối tác mô tả). Chính nội dung hộp thoại cũng ngụ ý chỉ khi "Tiếp tục" mới mất dữ liệu.
- Verify: đăng nhập CB_NV_TW (cbnv_tw) → Thêm mới Tư vấn viên → nhập vài trường → bấm Hủy → chọn "Ở lại" → quan sát các ô nhập.
- Tham chiếu SRS: srs-fr-04-chuyen-gia-tvv SCR-IV-02 mục 7 thanh hành động (dòng 1512 — Hủy khi có thay đổi chưa lưu mở hộp xác nhận) + quy ước hộp thoại xác nhận (dòng 1392). Bug ID: BUG-QLTVV_22.</t>
  </si>
  <si>
    <t>QLTVV_23</t>
  </si>
  <si>
    <t>Kiểm tra nút chức năng Sửa tư vấn viên khi tư vấn viên không ở trạng thái "Vô hiệu hóa"</t>
  </si>
  <si>
    <t>1. Đăng nhập tài khoản
2. Tư vấn viên không ở trạng thái "Vô hiệu hóa".</t>
  </si>
  <si>
    <t>1. Chọn menu "Mạng lướt tư vấn viên" -&gt; "Tư vấn viên/Chuyên gia"
2. Bấm nút "Sửa" trên dòng tương ứng</t>
  </si>
  <si>
    <t>Hệ thống mở biểu mẫu "Chỉnh sửa tư vấn viên" với các trường thông tin giống với thiết kế và hiển thị dữ liệu hiện tại.</t>
  </si>
  <si>
    <t xml:space="preserve">Hệ thống hiển thị form chỉnh sửa thiếu trường thông tin Mô tả kinh nghiệm, Chứng chỉ hành nghề </t>
  </si>
  <si>
    <r>
      <rPr>
        <rFont val="Times New Roman"/>
        <color rgb="FF1155CC"/>
        <sz val="13.0"/>
        <u/>
      </rPr>
      <t>QLTVV_23.webm</t>
    </r>
  </si>
  <si>
    <t>✅ Bug ĐÚNG (một phần) – chuyển dev.
- Form "Chỉnh sửa Tư vấn viên" (màn Sửa), nhóm "Nghề nghiệp": THIẾU trường "Mô tả kinh nghiệm". Theo SRS SCR-IV-02 cell 3.7 (dòng 1502), nhóm Nghề nghiệp phải có "Mô tả kinh nghiệm" (ô văn bản dài, tối đa 5000 ký tự). Form Sửa hiện chỉ có "Số năm kinh nghiệm" (số) — không có "Mô tả kinh nghiệm". (Cùng lỗi với form Thêm mới — BUG-QLTVV_13.)
- Ý "thiếu Chứng chỉ hành nghề": KHÔNG chính xác — form Sửa CÓ mục "Chứng chỉ chi tiết" (bảng: tên chứng chỉ + ngày cấp + nơi cấp) + trường "Số thẻ hành nghề"; đây là dạng đầy đủ hơn một ô "Chứng chỉ hành nghề" đơn.
- Verify: đăng nhập CB_NV_TW (cbnv_tw) → mở 1 TVV đang hoạt động → nút Sửa → nhóm "Nghề nghiệp".
- Tham chiếu SRS: srs-fr-04-chuyen-gia-tvv SCR-IV-02 cell 3.7 (dòng 1502) — màn Thêm mới/Chỉnh sửa dùng chung. Bug ID: BUG-QLTVV_23.</t>
  </si>
  <si>
    <t>QLTVV_24</t>
  </si>
  <si>
    <t>Sửa Dữ liệu hợp lệ</t>
  </si>
  <si>
    <t>1. Chọn menu "Mạng lướt tư vấn viên" -&gt; "Tư vấn viên/Chuyên gia"
2. Bấm nút "Sửa" trên dòng tương ứng
3. Nhập dữ liệu hợp lệ và nhấn Lưu</t>
  </si>
  <si>
    <t>Hệ thống cập nhật bản ghi, lưu vết thao tác (giá trị cũ → giá trị mới), hiển thị thông báo "Đã cập nhật tư vấn viên thành công".</t>
  </si>
  <si>
    <t>Hệ thống hiển thị thông báo "Chỉ chấp nhận file pdf" mặc dù file tải lên đúng định dạng quy định</t>
  </si>
  <si>
    <r>
      <rPr>
        <rFont val="Times New Roman"/>
        <color rgb="FF1155CC"/>
        <sz val="13.0"/>
        <u/>
      </rPr>
      <t>QLTVV_24.webm</t>
    </r>
  </si>
  <si>
    <t>- Ảnh chân dung .png nay đã được chấp nhận và bấm Lưu thành công (không còn báo "Chỉ chấp nhận file PDF").
- Nhưng sau khi lưu, ảnh chân dung không hiển thị ở màn chi tiết — vẫn là chữ viết tắt thay cho ảnh; thao tác xem/tải ảnh vừa lưu báo không tìm thấy tệp.</t>
  </si>
  <si>
    <t>QLTVV_28</t>
  </si>
  <si>
    <t>Xóa tư vấn viên đang có vụ việc chưa hoàn thành</t>
  </si>
  <si>
    <t>1. Đăng nhập tài khoản
2. Tư vấn viên đang có vụ việc chưa hoàn thành</t>
  </si>
  <si>
    <t>1. Chọn menu "Mạng lướt tư vấn viên" -&gt; "Tư vấn viên/Chuyên gia"
2. Bấm nút "Xóa" trên dòng tương ứng</t>
  </si>
  <si>
    <t>Hệ thống từ chối thao tác và hiển thị thông báo "Tư vấn viên đang có vụ việc chưa hoàn thành".</t>
  </si>
  <si>
    <t>Hệ thống hiển thị thông báo "Không thể xóa tư vấn viên. Vui lòng thử lại."</t>
  </si>
  <si>
    <r>
      <rPr>
        <rFont val="Times New Roman"/>
        <color rgb="FF1155CC"/>
        <sz val="13.0"/>
        <u/>
      </rPr>
      <t>QLTVV_28.webm</t>
    </r>
  </si>
  <si>
    <r>
      <rPr>
        <rFont val="Arial"/>
        <color theme="1"/>
      </rPr>
      <t xml:space="preserve">❌ Không phải bug.
- Đối tác phản ánh: khi xóa Tư vấn viên đang có vụ việc chưa hoàn thành, hệ thống chỉ báo chung chung "Không thể xóa tư vấn viên. Vui lòng thử lại." mà không nêu lý do nghiệp vụ.
- Kiểm tra lại đúng điều kiện (Cán bộ Nghiệp vụ xóa một Tư vấn viên đang hoạt động và đang có vụ việc xử lý): hệ thống CHẶN xóa và hiển thị đúng thông báo nêu rõ lý do: "Không thể xóa: TVV còn vụ việc đang xử lý". Không xuất hiện thông báo chung chung "Vui lòng thử lại".
- Tư vấn viên vẫn còn nguyên trong danh sách sau thao tác (không bị xóa) — đúng yêu cầu chặn xóa khi còn vụ việc.
→ </t>
    </r>
    <r>
      <rPr>
        <rFont val="Arial"/>
        <color theme="7"/>
      </rPr>
      <t>Đối tác kiểm tra lại.=&gt; tài liệu đúng</t>
    </r>
  </si>
  <si>
    <t>TKTVV_02</t>
  </si>
  <si>
    <t>Kiểm tra các trường thông tin tìm kiếm</t>
  </si>
  <si>
    <t>1. Chọn menu "Mạng lướt tư vấn viên" -&gt; "Tư vấn viên/Chuyên gia"
2. Kiểm tra các trường thông tin tìm kiếm</t>
  </si>
  <si>
    <t>- Hiển thị các trường thông tin tìm kiếm đúng với thiết kế
- Giá trị mặc định của Lĩnh vực pháp luật là "Tất cả", giá trị mặc định của textbox là rỗng
- Dữ liệu của các danh sách chọn đúng với trường thông tin tương ứng</t>
  </si>
  <si>
    <t>- Giá trị mặc định của Lĩnh vực pháp luật là rỗng
- Tổ chức kiểu dữ liệu không phải là danh sách chọn
- Trạng thái không tự dộng ẩn khi đang ở một thẻ trạng thái cụ thể hoặc hiển thị giá trị mặc định theo thẻ đang chọn</t>
  </si>
  <si>
    <r>
      <rPr>
        <rFont val="Times New Roman"/>
        <color rgb="FF1155CC"/>
        <sz val="13.0"/>
        <u/>
      </rPr>
      <t>TKTVV_02.webm</t>
    </r>
  </si>
  <si>
    <t>✅ Ý "bộ lọc Lĩnh vực mặc định Tất cả" — BA chốt 15/07/2026: bổ sung, chuyển Dev FE.
- Thêm mục "Tất cả" vào danh sách lọc. Luật với ô chọn nhiều: chọn "Tất cả" → tự bỏ chọn mọi option lẻ; chọn 1 option lẻ → tự bỏ "Tất cả".
- Lý do: để trống tuy cùng kết quả (không lọc = trả tất cả) nhưng muốn quay về "tất cả" phải bỏ chọn từng option → tốn thao tác. SRS chỉ nói "ô chọn nhiều", không quy định giá trị mặc định (srs-fr-04:1432, :230).
- BA áp thành quy ước chung: mọi trường lọc dạng chọn nhiều toàn hệ thống.
⚠️ GIỮ status dev done: ý gốc của case (trường Tổ chức đang là ô nhập chữ tự do, phải là danh sách chọn theo FR-IV-02) vẫn đang chờ Dev.</t>
  </si>
  <si>
    <t>TKTVV_04</t>
  </si>
  <si>
    <t>Tìm kiếm theo bộ lọc có kết quả</t>
  </si>
  <si>
    <t>1. Chọn menu "Mạng lướt tư vấn viên" -&gt; "Tư vấn viên/Chuyên gia"
2. Tìm kiếm theo bộ lọc có kết quả</t>
  </si>
  <si>
    <t>Có kết quả, hệ thống hiển thị danh sách các thẻ giảng viên phù hợp.</t>
  </si>
  <si>
    <t>- Hệ thống hiển thị các bản ghi không phù hợp với tiêu chí tìm kiếm theo Tổ chức
- Hệ thống không tự động chuyển tab phù hợp với tiêu chí Trạng thái</t>
  </si>
  <si>
    <r>
      <rPr>
        <rFont val="Times New Roman"/>
        <color rgb="FF1155CC"/>
        <sz val="12.0"/>
        <u/>
      </rPr>
      <t>TKTVV_04.webm</t>
    </r>
  </si>
  <si>
    <t>✅ Bug ĐÚNG – chuyển dev.
- Tái hiện được cả 2 ý. Bộ lọc "Tổ chức" và "Trạng thái" không có tác dụng: kết quả trả về không đúng tiêu chí đã chọn.
- Thực tế web: thẻ "Đang hoạt động" có 4 bản ghi. Nhập Tổ chức = "Alpha" (không bản ghi nào thuộc tổ chức này) → vẫn trả đủ 4/4 bản ghi. Nhập Tổ chức = "Trung tâm" (chỉ 1 bản ghi khớp) → vẫn trả 4/4. Chọn Trạng thái = "Tạm dừng" → hệ thống vẫn giữ thẻ "Đang hoạt động" và trả 4 bản ghi đều đang "Đang hoạt động".
- Yêu cầu đặc tả: FR-IV-02 (UC40) §Processing bước 2 (dòng 241) "Kết hợp tất cả điều kiện lọc có giá trị (AND)"; §Acceptance Criteria (dòng 271) "lọc theo nhiều điều kiện → áp dụng AND tất cả". Tiêu chí Tổ chức là Inputs #4 (dòng 232).
- Ghi chú: bộ lọc "Trạng thái" không nên hiển thị khi đang đứng ở một thẻ cụ thể (SCR-IV-01 dòng 1435) — cùng gốc với BUG-TKTVV_02.
- Verify: tài khoản cbnv_tw (CB_NV_TW), màn "Mạng lưới Tư vấn viên &gt; Tư vấn viên / Chuyên gia".
- Bug ID: BUG-TKTVV_04.</t>
  </si>
  <si>
    <t>TKTVV_08</t>
  </si>
  <si>
    <t xml:space="preserve">1. Chọn menu "Mạng lướt tư vấn viên" -&gt; "Tư vấn viên/Chuyên gia"
2. Tìm kiếm theo từ khóa có kết quả
3. Chọn tiêu chí sắp xếp </t>
  </si>
  <si>
    <t>Hệ thống không thực hiện sắp xếp khi nhấn vào tên cột</t>
  </si>
  <si>
    <r>
      <rPr>
        <rFont val="Times New Roman"/>
        <color rgb="FF1155CC"/>
        <sz val="13.0"/>
        <u/>
      </rPr>
      <t>TKTVV_08.webm</t>
    </r>
  </si>
  <si>
    <t>❌ BA chốt 15/07/2026: KHÔNG phải lỗi — phần mềm đúng SRS.
- Cùng vấn đề với QLTVV_07 (một vấn đề, hai mã case). Màn danh sách TVV (FR-IV-02) và mẫu P-01 (srs-v3.5.md:681) không quy định sắp xếp theo cột — chỉ lọc + phân trang. Hệ thống đáp ứng đúng SRS.
- Nếu cần sắp xếp theo cột → là yêu cầu cải tiến, trao đổi BA. Đề nghị cập nhật lại Kết quả mong đợi của test case.</t>
  </si>
  <si>
    <t>DKTGMLTVV_02</t>
  </si>
  <si>
    <t>Kiểm tra hiển thị Nhóm 1 Thông tin cá nhân</t>
  </si>
  <si>
    <t>1. Chọn menu "Mạng lướt tư vấn viên" -&gt; "Tư vấn viên/Chuyên gia"
2. Chọn tab "Mới đăng ký"
3. Nhấn Thêm mới</t>
  </si>
  <si>
    <t>- Hệ thống hiển thị các trường thông tin giống với thiết kế
- Dữ liệu hiển thị đúng định dạng và trường thông tin
- Dữ liệu hiển thị không bị tràn/đè lên nhau, đồng nhất ngôn ngữ hiển thị</t>
  </si>
  <si>
    <t>- Dữ liệu trường thông tin Loại, Giới tính không giống với thiết kế
- Khi upload ảnh hệ thống không hiển thị bản xem trước</t>
  </si>
  <si>
    <r>
      <rPr>
        <rFont val="Times New Roman"/>
        <color rgb="FF1155CC"/>
        <sz val="13.0"/>
        <u/>
      </rPr>
      <t>DKTGMLTVV_02.webm</t>
    </r>
  </si>
  <si>
    <t>❌ Ý "trường Loại phải có 3 giá trị" — BA chốt 15/07/2026: KHÔNG phải lỗi, giữ 2 giá trị.
- Trường "Loại" đúng 2 giá trị Tư vấn viên / Chuyên gia theo SRS (srs-fr-04:1483, :252). "Người hỗ trợ pháp lý" KHÔNG phải một giá trị của trường Loại, mà là đối tượng riêng đã có FR và màn hình riêng (FR-IV-NHT-01/02/03, :1199). BA đã chốt 03/05/2026.
- SRS/quyết định BA có thứ bậc cao hơn bản thiết kế → đề nghị sửa lại bản thiết kế HTPLDN-041 cho khớp SRS.
⚠️ GIỮ status dev done: các ý khác của case (Giới tính đang là danh sách chọn…) vẫn đang chờ Dev.</t>
  </si>
  <si>
    <t>DKTGMLTVV_03</t>
  </si>
  <si>
    <t>Kiểm tra hiển thị Nhóm 2 Thông tin nghề nghiệp</t>
  </si>
  <si>
    <t>Màn hình hiển thị thiếu trường thông tin Chứng chỉ hành nghề,  Mô tả kinh nghiệm</t>
  </si>
  <si>
    <r>
      <rPr>
        <rFont val="Times New Roman"/>
        <color rgb="FF1155CC"/>
        <sz val="13.0"/>
        <u/>
      </rPr>
      <t>DKTGMLTVV_03.webm</t>
    </r>
  </si>
  <si>
    <t>✅ Bug ĐÚNG – chuyển dev.
- Tái hiện được: nhóm "Nghề nghiệp" trên form Thêm mới Tư vấn viên thiếu cả 2 trường bạn nêu. Các trường hiện có: Trình độ học vấn, Chuyên ngành, Chức vụ, Nơi công tác, Số năm kinh nghiệm, Số thẻ hành nghề, File thẻ hành nghề, Bằng cấp chi tiết, Chứng chỉ chi tiết — không có "Chứng chỉ hành nghề" và không có "Mô tả kinh nghiệm".
- Yêu cầu đặc tả: SCR-IV-02 nhóm 2 quy định đủ 2 trường này — mục 3.2 "Chứng chỉ hành nghề | ô văn bản" (dòng 1497) và mục 3.7 "Mô tả kinh nghiệm | ô văn bản dài | Tối đa 5000 ký tự" (dòng 1502). Đây là 2 trường riêng, tách biệt với "Chứng chỉ chi tiết" (mục 3.4) và "Số thẻ hành nghề" (mục 3.5) đang có trên web.
- Verify bằng ĐÚNG vai trò Người hỗ trợ pháp lý (NHT) như màn hình bạn quay. Kiểm chéo thêm vai trò Cán bộ nghiệp vụ: kết quả như nhau.
- Bug ID: BUG-DKTGMLTVV_03 (cùng nguyên nhân với BUG-QLTVV_13 / BUG-QLTVV_23 đã báo ở lô trước — form Thêm mới và form Sửa cùng thiếu).</t>
  </si>
  <si>
    <t>DKTGMLTVV_11</t>
  </si>
  <si>
    <t xml:space="preserve">Gửi đăng ký khi Tệp đính kèm vượt dung lượng, số lượng hoặc sai định dạng </t>
  </si>
  <si>
    <t xml:space="preserve">1. Chọn menu "Mạng lướt tư vấn viên" -&gt; "Tư vấn viên/Chuyên gia"
2. Chọn tab "Mới đăng ký"
3. Nhấn Thêm mới
4. Tệp đính kèm vượt dung lượng, số lượng hoặc sai định dạng </t>
  </si>
  <si>
    <t>Hệ thống giới hạn chỉ upload 10 file nhưng không hiển thị thông báo cho người dùng dễ dàng nhận biết</t>
  </si>
  <si>
    <r>
      <rPr>
        <rFont val="Times New Roman"/>
        <color rgb="FF1155CC"/>
        <sz val="13.0"/>
        <u/>
      </rPr>
      <t>DKTGMLTVV_11.webm</t>
    </r>
  </si>
  <si>
    <t>✅ Bug ĐÚNG – chuyển dev.
- Tái hiện được đúng ý bạn báo: chọn 11 tệp PDF cho "File đính kèm (Bằng cấp / Chứng chỉ)" → danh sách dừng đúng ở 10 tệp, tệp thứ 11 bị bỏ im lặng, KHÔNG có thông báo nào (đã theo dõi DOM trong 4 giây sau thao tác: không toast, không dòng lỗi dưới ô, console sạch).
- Yêu cầu đặc tả: FR-IV-01 §Error Handling E7 (dòng 202): số file vượt 10 → mã ERR-TVV-07 → hiển thị "Tối đa 10 file bằng cấp" (mức ERROR). SCR-IV-02 mục 5.1 (dòng 1508) cũng ghi "tối đa 10 file... Vượt giới hạn → lỗi cụ thể".
- Khoanh vùng giúp dev: 2 nhánh còn lại của case này ĐANG CHẠY ĐÚNG — tải sai định dạng báo "Định dạng không được hỗ trợ. Chấp nhận: .pdf"; tải tệp 11MB báo "Kích thước vượt quá giới hạn 10MB.". Chỉ riêng nhánh vượt SỐ LƯỢNG là thiếu thông báo.
- Verify bằng ĐÚNG vai trò Người hỗ trợ pháp lý (NHT) như màn hình bạn quay. Kiểm chéo thêm vai trò Cán bộ nghiệp vụ: kết quả như nhau.
- Bug ID: BUG-DKTGMLTVV_11 (cùng nguyên nhân với BUG-QLTVV_18 đã báo ở lô trước).</t>
  </si>
  <si>
    <t>DKTGMLTVV_14</t>
  </si>
  <si>
    <t>Hủy khi có thay đổi</t>
  </si>
  <si>
    <t>1. Chọn menu "Mạng lướt tư vấn viên" -&gt; "Tư vấn viên/Chuyên gia"
2. Dữ liệu hợp lệ và nhấn Hủy</t>
  </si>
  <si>
    <t>Hệ thống hiển thị hộp xác nhận "Bạn có chắc chắn rời khỏi mà không gửi đăng ký?". Xác nhận rời khỏi → hệ thống bỏ các thay đổi và quay về trang chủ; chọn "Ở lại" → đóng hộp xác nhận, giữ nguyên biểu mẫu.</t>
  </si>
  <si>
    <t>Khi xác nhận Ở lại hệ thống xóa các thông tin đã nhập trước đó</t>
  </si>
  <si>
    <r>
      <rPr>
        <rFont val="Times New Roman"/>
        <color rgb="FF1155CC"/>
        <sz val="13.0"/>
        <u/>
      </rPr>
      <t>DKTGMLTVV_14.webm</t>
    </r>
  </si>
  <si>
    <t>✅ Bug ĐÚNG – chuyển dev.
- Tái hiện được, và xác định được nguyên nhân chính xác hơn: biểu mẫu bị xóa trắng NGAY KHI bấm nút "Hủy" — tức trước cả khi hộp thoại xác nhận kịp hiện ra và trước khi người dùng chọn nút nào. Đo giá trị các ô ở 3 thời điểm: (1) trước khi bấm Hủy — có đủ dữ liệu; (2) lúc hộp thoại vừa hiện, chưa bấm gì — đã trắng; (3) sau khi chọn "Ở lại" — vẫn trắng. Vậy nút "Ở lại" không phải thủ phạm, nó chỉ không khôi phục lại được dữ liệu đã bị xóa trước đó.
- Hộp thoại hiển thị đúng: "Bạn có thay đổi chưa được lưu / Nếu tiếp tục, các thay đổi sẽ bị mất" với 2 nút "Ở lại" và "Tiếp tục". Ảnh chân dung và danh sách tệp đính kèm không bị xóa; chỉ các trường nhập liệu bị mất.
- Yêu cầu đặc tả: SCR-IV-02 mục 7 – thanh hành động (dòng 1512): bấm "Hủy" khi có thay đổi chưa lưu thì mở hộp thoại xác nhận; theo quy ước hộp thoại xác nhận (dòng 1392), nút phụ ("Ở lại") nghĩa là KHÔNG thực hiện hành động — phải đóng hộp thoại và giữ nguyên biểu mẫu. Việc bỏ dữ liệu chỉ được xảy ra khi người dùng chọn nút chính ("Tiếp tục").
- Verify bằng ĐÚNG vai trò Người hỗ trợ pháp lý (NHT) như màn hình bạn quay. Kiểm chéo thêm vai trò Cán bộ nghiệp vụ: kết quả như nhau.
- Bug ID: BUG-DKTGMLTVV_14 (cùng nguyên nhân với BUG-QLTVV_22 đã báo ở lô trước).</t>
  </si>
  <si>
    <t>CNHSNLTVV_02</t>
  </si>
  <si>
    <t>Kiểm tra hiển thị các trường thông tin</t>
  </si>
  <si>
    <t xml:space="preserve">1. Chọn menu "Mạng lướt tư vấn viên" -&gt; "Tư vấn viên/Chuyên gia"
</t>
  </si>
  <si>
    <t>- Hệ thống hiển thị các trường thông tin giống với thiết kế
- Dữ liệu hiển thị Giá trị hiện tại và đúng định dạng 
- Dữ liệu hiển thị không bị tràn/đè lên nhau, đồng nhất ngôn ngữ hiển thị</t>
  </si>
  <si>
    <t>Màn hình hiển thị các trường thông tin không giống với thiết kế</t>
  </si>
  <si>
    <r>
      <rPr>
        <rFont val="Times New Roman"/>
        <color rgb="FF1155CC"/>
        <sz val="13.0"/>
        <u/>
      </rPr>
      <t>CNHSNLTVV_02.webm</t>
    </r>
  </si>
  <si>
    <t>✅ Bug ĐÚNG – chuyển dev.
- Web hiện tại: form "Cập nhật năng lực" (thẻ Năng lực, màn Chi tiết tư vấn viên) chỉ có 6 trường: Kinh nghiệm tư vấn, Chuyên ngành, Lĩnh vực pháp luật, Chứng chỉ hiện có (chỉ đọc), Thêm chứng chỉ mới, Ghi chú cập nhật.
- Thiếu 5 trường theo đặc tả: Bằng cấp chi tiết, Chứng chỉ chi tiết, Trình độ, Số năm kinh nghiệm, Số thẻ hành nghề / File thẻ hành nghề.
- Mâu thuẫn ngay trong cùng một thẻ: thẻ Năng lực có hiển thị dòng "Bằng cấp" và "Chứng chỉ", nhưng chính nút "Cập nhật năng lực" của thẻ đó lại không cho nhập/sửa hai mục này (chỉ sửa được ở màn Sửa hồ sơ).
- Theo SRS: FR-IV-04 (UC42) "Cập nhật năng lực", màn hình SCR-IV-03 – thẻ Năng lực; bảng dữ liệu đầu vào quy định đủ 11 trường (srs-fr-04-chuyen-gia-tvv.md, dòng 376–388), và SCR-IV-03 (dòng 1566) quy định thẻ Năng lực gồm Bằng cấp chi tiết, Chứng chỉ chi tiết, Kinh nghiệm chi tiết kèm nút "Cập nhật năng lực" mở biểu mẫu sửa nhanh.
- Đã verify bằng đúng vai trò của phản ánh: tài khoản Người hỗ trợ (NHT) cùng đơn vị với tư vấn viên, thử trên 2 trạng thái tư vấn viên (Đang hoạt động và Mới đăng ký) — biểu mẫu đều chỉ ra 6 trường.
- Bug ID: BUG-CNHSNLTVV_02.</t>
  </si>
  <si>
    <t>QLHSTVV_02</t>
  </si>
  <si>
    <t>Kiểm tra hiển thị Khu vực thông tin đầu trang (thẻ giới thiệu tư vấn viên)</t>
  </si>
  <si>
    <t>1. Chọn menu "Mạng lướt tư vấn viên" -&gt; "Tư vấn viên/Chuyên gia"
2. Tìm kiếm và Nhấn xem chi tiết ứng viên</t>
  </si>
  <si>
    <t>- Hệ thống hiển thị các trường thông tin giống với thiết kế, không được chỉnh sửa
- Dữ liệu hiển thị Giá trị hiện tại và đúng định dạng 
- Dữ liệu hiển thị không bị tràn/đè lên nhau, đồng nhất ngôn ngữ hiển thị</t>
  </si>
  <si>
    <t>Không hiển thị các trường thông tin "Loại", "Tổ chức tư vấn",  "Lĩnh vực pháp luật"</t>
  </si>
  <si>
    <r>
      <rPr>
        <rFont val="Times New Roman"/>
        <color rgb="FF1155CC"/>
        <sz val="13.0"/>
        <u/>
      </rPr>
      <t>QLHSTVV_02.jpg</t>
    </r>
  </si>
  <si>
    <t>❌ BA xác nhận 15/07/2026: KHÔNG phải lỗi — phần mềm đúng SRS.
- Theo SCR-IV-03 (srs-fr-04:1541), thẻ giới thiệu đầu trang gồm Ảnh, Họ tên, Mã TVV, Trạng thái, điểm đánh giá, Ngày công nhận. 3 trường Loại / Tổ chức tư vấn / Lĩnh vực pháp luật được SRS đặt ở thẻ "Hồ sơ" bên dưới (:1554), không phải thẻ đầu trang. Hệ thống đáp ứng đúng SRS.
- Muốn đưa 3 trường lên thẻ đầu trang → là yêu cầu cải tiến, trao đổi BA.
- Lưu ý việc KHÁC: trường "Loại" vẫn phải hiện trong thẻ "Hồ sơ" theo :1554 → BUG-QLTVV_04 giữ Open, theo dõi ở case đó.</t>
  </si>
  <si>
    <t>QLHSTVV_03</t>
  </si>
  <si>
    <t>Kiểm tra hiển thị Thẻ "Hồ sơ" nội dung chỉ xem, tổ chức thành 5 nhóm thu gọn</t>
  </si>
  <si>
    <t>- Hệ thống hiển thị 5 nhóm giống với thiết kế
- Các trường thông tin giống với thiết kế, không được chỉnh sửa
- Dữ liệu hiển thị Giá trị hiện tại và đúng định dạng 
- Dữ liệu hiển thị không bị tràn/đè lên nhau, đồng nhất ngôn ngữ hiển thị</t>
  </si>
  <si>
    <t>- 5 nhóm thông tin không giống với thiết kế</t>
  </si>
  <si>
    <r>
      <rPr>
        <rFont val="Times New Roman"/>
        <color rgb="FF1155CC"/>
        <sz val="13.0"/>
        <u/>
      </rPr>
      <t>QLHSTVV_03.webm</t>
    </r>
  </si>
  <si>
    <t>✅ Bug ĐÚNG – chuyển dev.
- Web hiện tại: thẻ "Hồ sơ" của màn Chi tiết tư vấn viên chia 5 nhóm: Thông tin cá nhân / Nghề nghiệp / Tổ chức &amp; Mạng lưới / File đính kèm / Ghi chú.
- Sai so với đặc tả ở bố cục nhóm: "Lĩnh vực pháp luật" phải là MỘT NHÓM RIÊNG nhưng đang bị gộp vào nhóm "Tổ chức &amp; Mạng lưới"; đồng thời phát sinh thêm nhóm "Ghi chú" không có trong đặc tả, và thiếu nhóm "Thông tin công khai" (nhóm này chỉ hiện khi hồ sơ đã công khai).
- Theo SRS: FR-IV-05 (UC43) – SCR-IV-03, thẻ "Hồ sơ" (srs-fr-04-chuyen-gia-tvv.md, dòng 1554) quy định 6 nhóm thu gọn, chỉ đọc: (a) Thông tin cá nhân, (b) Nghề nghiệp, (c) Tổ chức, (d) Lĩnh vực, (e) File đính kèm, (f) Thông tin công khai (chỉ hiển thị khi hồ sơ đã công khai). Bản thiết kế đối tác dẫn cũng tách riêng "Nhóm 4 – Lĩnh vực pháp luật".
- Đã kiểm tra để loại trừ nguyên nhân thiếu dữ liệu: tư vấn viên thử nghiệm CÓ đủ cả Tổ chức chính và Lĩnh vực, vẫn không tách nhóm.
- Đã verify bằng đúng vai trò của phản ánh: tài khoản Cán bộ Nghiệp vụ Trung ương, trên 2 tư vấn viên (một chưa công khai, một đã công khai) — bố cục nhóm như nhau.
- Lưu ý: các trường còn thiếu BÊN TRONG nhóm (Loại, Đơn vị quản lý, Chức vụ, Nơi công tác, Chứng chỉ hành nghề, Mô tả kinh nghiệm) đã ghi nhận ở BUG-QLTVV_04, không lặp lại ở đây.
- Bug ID: BUG-QLHSTVV_03.</t>
  </si>
  <si>
    <t>QLHSTVV_04</t>
  </si>
  <si>
    <t>← Quay lại danh sách</t>
  </si>
  <si>
    <t>1. Chọn menu "Mạng lướt tư vấn viên" -&gt; "Tư vấn viên/Chuyên gia"
2. Tìm kiếm và Nhấn xem chi tiết ứng viên
3. Bấm nút "← Quay lại danh sách"</t>
  </si>
  <si>
    <t>Hệ thống chuyển về màn hình Danh sách tư vấn viên, giữ nguyên các bộ lọc đang áp dụng trước đó.</t>
  </si>
  <si>
    <t>Hệ thống chuyển về màn hình Danh sách tư vấn viên nhưng không giữ nguyên các bộ lọc đang áp dụng trước đó.</t>
  </si>
  <si>
    <r>
      <rPr>
        <rFont val="Times New Roman"/>
        <color rgb="FF1155CC"/>
        <sz val="13.0"/>
        <u/>
      </rPr>
      <t>QLHSTVV_04.webm</t>
    </r>
  </si>
  <si>
    <t>✅ BA duyệt 15/07/2026 — chuyển Dev FE.
- Giữ bộ lọc khi bấm "Quay lại danh sách" từ màn chi tiết. Phạm vi giữ: thẻ trạng thái + từ khóa + bộ lọc nâng cao + số trang.
- SRS chỉ quy định nút Quay lại về mặt điều hướng, không nơi nào yêu cầu ghi nhớ bộ lọc (srs-fr-04:1540, :1452-1459) → đây là khoảng trống SRS, BA quyết bổ sung.
- BA nâng thành quy ước chung: áp mọi màn danh sách (TVV, Tổ chức tư vấn, Người hỗ trợ, Vụ việc).
- Verify lại: lọc danh sách → mở chi tiết → Quay lại → bộ lọc, từ khóa và số trang giữ nguyên.</t>
  </si>
  <si>
    <t>QLHSTVV_05</t>
  </si>
  <si>
    <t>Kiểm tra hiển thị thẻ "Thẩm định" khi người dùng là Người hỗ trợ hoặc Doanh nghiệp.</t>
  </si>
  <si>
    <t>1. Đăng nhập tài khoản Người hỗ trợ 
2. Tồn tại bản ghi phù hợp với tiêu chí tìm kiếm</t>
  </si>
  <si>
    <t xml:space="preserve">1. Chọn menu "Mạng lướt tư vấn viên" -&gt; "Tư vấn viên/Chuyên gia"
2. Tìm kiếm và Nhấn xem chi tiết ứng viên
</t>
  </si>
  <si>
    <t>Thẻ "Thẩm định" bị ẩn hoàn toàn</t>
  </si>
  <si>
    <t>Hệ thống hiển thị thẻ "Thẩm định"</t>
  </si>
  <si>
    <t>QLHSTVV_05.jpg</t>
  </si>
  <si>
    <t>✅ Bug ĐÚNG – chuyển dev.
- Web hiện tại: đăng nhập vai trò Người hỗ trợ pháp lý, mở Chi tiết tư vấn viên thì thẻ "Thẩm định" VẪN hiển thị. Với tư vấn viên ở trạng thái "Mới đăng ký", thẻ này còn mở được và hiện đầy đủ biểu mẫu chấm điểm 4 nhóm (Pháp lý / Năng lực chuyên môn / Hiệu quả &amp; uy tín / Mạng lưới) cùng phần Kết luận thẩm định — đây là nội dung nhận xét nội bộ của cán bộ.
- Theo SRS: FR-IV-05 (UC43) – SCR-IV-03, thẻ "Thẩm định" (srs-fr-04-chuyen-gia-tvv.md, dòng 1555) quy định điều kiện hiển thị: vai trò là Cán bộ Nghiệp vụ HOẶC Cán bộ Phê duyệt cùng đơn vị, VÀ hồ sơ đang ở trạng thái "Đang thẩm định" hoặc "Chờ phê duyệt". Vai trò Người hỗ trợ không nằm trong danh sách được xem ⇒ thẻ phải ẩn hoàn toàn. Trạng thái "Mới đăng ký" cũng không nằm trong 2 trạng thái được hiển thị.
- Đã verify bằng đúng vai trò và đúng trạng thái của phản ánh: tài khoản Người hỗ trợ pháp lý, tư vấn viên trạng thái "Mới đăng ký" (giống hệt ảnh đối tác gửi).
- Bug ID: BUG-QLHSTVV_05.</t>
  </si>
  <si>
    <t>QLHSTVV_06</t>
  </si>
  <si>
    <t>Chuyển thẻ nội dung</t>
  </si>
  <si>
    <t>1. Chọn menu "Mạng lướt tư vấn viên" -&gt; "Tư vấn viên/Chuyên gia"
2. Tìm kiếm và Nhấn xem chi tiết ứng viên
3. Chọn 1 trong 5 thẻ: "Hồ sơ" / "Thẩm định" / "Năng lực" / "Lịch sử hỗ trợ" / "Đánh giá".</t>
  </si>
  <si>
    <t xml:space="preserve">- Hệ thống hiển thị nội dung tương ứng với thẻ đã chọn. Thẻ "Lịch sử hỗ trợ" và "Đánh giá" có hiển thị số đếm bản ghi ngay cạnh tên thẻ.
</t>
  </si>
  <si>
    <t>- Lỗi hiển thị trường thông tin "Bằng cấp" trong thẻ Năng lực
- Không hiển thị số đếm bản ghi ngay bên cạnh tên thẻ</t>
  </si>
  <si>
    <r>
      <rPr>
        <rFont val="Times New Roman"/>
        <color rgb="FF1155CC"/>
        <sz val="13.0"/>
        <u/>
      </rPr>
      <t>QLHSTVV_06.webm</t>
    </r>
  </si>
  <si>
    <t>✅ Ý "số đếm cạnh tên thẻ" — BA duyệt bổ sung 15/07/2026: chuyển Dev FE.
- Bổ sung số đếm cạnh tên thẻ Lịch sử hỗ trợ / Đánh giá (kiểu "Đánh giá (2)") cho đồng nhất với hệ thống. Dữ liệu đã có sẵn — hiện số liệu đang nằm bên trong thẻ (srs-fr-04:1567, :1570).
⚠️ GIỮ status dev done: ý 1 của case (thẻ "Năng lực" hiển thị sai) là lỗi thật, vẫn đang chờ Dev.</t>
  </si>
  <si>
    <t>TDHSTVV_02</t>
  </si>
  <si>
    <t>Kiểm tra hiển thị Nhóm tiêu chí 1  Pháp lý (bắt buộc)</t>
  </si>
  <si>
    <t>1. Chọn menu "Mạng lướt tư vấn viên" -&gt; "Tư vấn viên/Chuyên gia"
2. Tìm kiếm và Nhấn xem chi tiết ứng viên
3. Chọn tab "Thẩm định"</t>
  </si>
  <si>
    <t>Tên trường thông tin "Không vi phạm" không đúng với thiết kế</t>
  </si>
  <si>
    <r>
      <rPr>
        <rFont val="Times New Roman"/>
        <color rgb="FF1155CC"/>
        <sz val="13.0"/>
        <u/>
      </rPr>
      <t>TDHSTVV_02.webm</t>
    </r>
  </si>
  <si>
    <t>✅ Bug ĐÚNG – chuyển dev.
- Web đang hiển thị mục kiểm tra thứ 4 của "Nhóm 1 — Pháp lý (bắt buộc)" là "Không có vi phạm đạo đức nghề nghiệp".
- Theo FR-IV-06 (UC44) · màn hình SCR-IV-03 tab "Thẩm định" (srs-fr-04-chuyen-gia-tvv.md, dòng 1556), danh sách kiểm tra Nhóm 1 phải gồm: "Bằng cấp hợp lệ" / "Chứng chỉ hành nghề" / "Thẻ hành nghề còn hiệu lực" / "Không vi phạm". Ba mục đầu web hiển thị đúng, riêng mục thứ 4 đặt tên sai so với đặc tả.
- Verify: tài khoản cbnv_tw (Cán bộ Nghiệp vụ - Trung ương), hồ sơ TVV-BTP-TW-0003, tab "Thẩm định".
- Bug ID: BUG-TDHSTVV_02.</t>
  </si>
  <si>
    <t>TDHSTVV_04</t>
  </si>
  <si>
    <t>Kiểm tra hiển thị Nhóm tiêu chí 3  Hiệu quả và uy tín</t>
  </si>
  <si>
    <t>Tên trường thông tin "Không áp dụng (tư vấn viên mới)" không đúng với thiết kế</t>
  </si>
  <si>
    <r>
      <rPr>
        <rFont val="Times New Roman"/>
        <color rgb="FF1155CC"/>
        <sz val="13.0"/>
        <u/>
      </rPr>
      <t>TDHSTVV_04.webm</t>
    </r>
  </si>
  <si>
    <t>✅ Bug ĐÚNG – chuyển dev.
- Web đang hiển thị hộp tích của "Nhóm 3 — Hiệu quả &amp; uy tín" là "N/A — TVV mới, chưa có lịch sử hỗ trợ".
- Theo FR-IV-06 (UC44) · màn hình SCR-IV-03 tab "Thẩm định" (srs-fr-04-chuyen-gia-tvv.md, dòng 1558), hộp tích của Nhóm 3 phải có tên "Không áp dụng (tư vấn viên mới)". Ngoài sai tên, nhãn hiện tại còn dùng chữ viết tắt tiếng Anh "N/A" và "TVV", không đồng nhất ngôn ngữ hiển thị tiếng Việt như các nhãn khác trong biểu mẫu.
- Verify: tài khoản cbnv_tw (Cán bộ Nghiệp vụ - Trung ương), hồ sơ TVV-BTP-TW-0003, tab "Thẩm định".
- Bug ID: BUG-TDHSTVV_04.</t>
  </si>
  <si>
    <t>TDHSTVV_08</t>
  </si>
  <si>
    <t>Lưu nháp</t>
  </si>
  <si>
    <t>1. Đăng nhập tài khoản
2. Hồ sơ đang ở trạng thái "Chờ thẩm định" hoặc "Đang thẩm định"; người dùng là Cán bộ nghiệp vụ cùng đơn vị.</t>
  </si>
  <si>
    <t>1. Chọn menu "Mạng lướt tư vấn viên" -&gt; "Tư vấn viên/Chuyên gia"
2. Tìm kiếm và Nhấn xem chi tiết ứng viên
3. Chọn tab "Thẩm định"
4. Nhập thông tin hợp lệ và nhấn Lưu nháp</t>
  </si>
  <si>
    <t xml:space="preserve">-  Lưu các giá trị đã nhập vào hồ sơ thẩm định mà chưa thay đổi kết luận cuối cùng.
- Cho phép cán bộ thẩm định quay lại hoàn thiện sau.
- Lưu vết thao tác.
- Hiển thị thông báo "Đã lưu nháp kết quả thẩm định".
</t>
  </si>
  <si>
    <t>Hệ thống không hiển thị thông báo và không lưu giá trị đã nhập</t>
  </si>
  <si>
    <r>
      <rPr>
        <rFont val="Times New Roman"/>
        <color rgb="FF1155CC"/>
        <sz val="13.0"/>
        <u/>
      </rPr>
      <t>TDHSTVV_08.webm</t>
    </r>
  </si>
  <si>
    <t>✅ Bug ĐÚNG – chuyển dev.
- Bấm "Lưu nháp" trên tab Thẩm định: hệ thống KHÔNG hiển thị bất kỳ thông báo nào (đã theo dõi DOM liên tục 3,5 giây sau cú bấm, không có thông báo nào xuất hiện), dù yêu cầu lưu đã chạy và máy chủ trả về thành công.
- Nội dung 3 ô "Nhận xét" (Nhóm 2, Nhóm 3, Nhóm 4) không được gửi lên máy chủ, nên bị mất hoàn toàn.
- Sau khi tải lại trang: 3 ô Nhận xét trống, "Kết luận Pháp lý" và "Kết luận thẩm định" không được chọn lại → bản nháp không được nạp lại, cán bộ không thể quay lại hoàn thiện sau.
- Theo FR-IV-06 (UC44) · SCR-IV-03 tab "Thẩm định" (srs-fr-04-chuyen-gia-tvv.md, dòng 1563), nút "Lưu nháp" phải lưu kết quả thẩm định tạm (gồm điểm và ô nhận xét của Nhóm 2/3/4 — dòng 1557-1559) và phải phản hồi cho người dùng biết đã lưu.
- Verify: tài khoản cbnv_tw (Cán bộ Nghiệp vụ - Trung ương), hồ sơ TVV-BTP-TW-0003 ở đúng trạng thái "Đang thẩm định" như đối tác.
- Bug ID: BUG-TDHSTVV_08.</t>
  </si>
  <si>
    <t>TDHSTVV_09</t>
  </si>
  <si>
    <t>Lưu nháp khi mất kết nối</t>
  </si>
  <si>
    <t>1. Đăng nhập tài khoản
2. Hồ sơ đang ở trạng thái "Chờ thẩm định" hoặc "Đang thẩm định"; người dùng là Cán bộ nghiệp vụ cùng đơn vị.
3. Mất kết nối</t>
  </si>
  <si>
    <t>-  Hệ thống hiển thị thông báo "Không thể lưu, vui lòng thử lại".</t>
  </si>
  <si>
    <r>
      <rPr>
        <rFont val="Times New Roman"/>
        <color rgb="FF1155CC"/>
        <sz val="13.0"/>
        <u/>
      </rPr>
      <t>TDHSTVV_09.webm</t>
    </r>
  </si>
  <si>
    <t>🔴 Reopen 16/07/2026 — fix một phần (2/3 tiêu chí BA duyệt).
ĐÃ ĐẠT — lỗi gốc "nuốt lỗi im lặng" đã hết. Ngắt mạng thật rồi bấm "Lưu nháp" trên màn Thẩm định hồ sơ TVV (hồ sơ TVV-BTP-TW-0014, trạng thái Đang thẩm định, vai trò CB Nghiệp vụ Trung ương): hệ thống báo "Không kết nối được máy chủ." và các nút Lưu nháp / Gửi KQ / Trình duyệt đều nhả ra, không còn quay vòng vô hạn như trước. Dữ liệu đã nhập vẫn nằm nguyên trên biểu mẫu; có mạng lại bấm Lưu nháp thì lưu được ngay ("Đã lưu kết quả thẩm định").
CHƯA ĐẠT — thiếu cách thử lại ngay tại thông báo lỗi. BA chốt tiêu chí gồm 3 ý: thông báo lỗi + dừng spinner + có nút Thử lại; ý thứ ba chưa có. Thông báo lỗi hiện dạng toast tự tắt sau khoảng 3 giây, không kèm nút Thử lại, và cũng không có chỗ nào khác trên màn cho cán bộ thử lại thao tác vừa hỏng. Cán bộ nhìn đi chỗ khác vài giây là mất hẳn dấu vết, dễ tưởng đã lưu xong.
CẦN: khi lưu thất bại do mất kết nối, cán bộ phải có cách thử lại ngay tại chỗ báo lỗi, theo mẫu module Vụ việc đã có sẵn (srs-fr-05-vu-viec.md:1574 — "Lưu thất bại. Vui lòng kiểm tra kết nối và thử lại." kèm nút [Thử lại]) mà BA đã nâng thành quy ước chung áp cho mọi module.</t>
  </si>
  <si>
    <t>TDHSTVV_12</t>
  </si>
  <si>
    <t>Kiểm tra nút chức năng Gửi kết quả thẩm định</t>
  </si>
  <si>
    <t xml:space="preserve">1. Đăng nhập tài khoản Cán bộ nghiệp vụ cùng đơn vị.
</t>
  </si>
  <si>
    <t xml:space="preserve">1. Chọn menu "Mạng lướt tư vấn viên" -&gt; "Tư vấn viên/Chuyên gia"
2. Tìm kiếm và Nhấn xem chi tiết ứng viên
3. Chọn tab "Thẩm định"
</t>
  </si>
  <si>
    <t>- Kết luận thẩm định đã được chọn hệ thống enable nút, chưa được chọn disable</t>
  </si>
  <si>
    <t>Hệ thống enable nút mặc dù chưa chọn Kết luận thẩm định</t>
  </si>
  <si>
    <r>
      <rPr>
        <rFont val="Times New Roman"/>
        <color rgb="FF1155CC"/>
        <sz val="13.0"/>
        <u/>
      </rPr>
      <t>TDHSTVV_12.jpg</t>
    </r>
  </si>
  <si>
    <t>✅ Bug ĐÚNG – chuyển dev.
- Khi chưa chọn "Kết luận thẩm định", nút "Gửi KQ" vẫn bật (bấm được). Kiểm bằng cách đọc trực tiếp thuộc tính của nút: "Gửi KQ" không bị khóa, trong khi nút "Trình duyệt" bên cạnh thì bị khóa đúng.
- Theo FR-IV-06 (UC44) · SCR-IV-03 tab "Thẩm định" (srs-fr-04-chuyen-gia-tvv.md, dòng 1564), điều kiện hiển thị của nút "Gửi kết quả thẩm định" là "Tab Thẩm định, kết luận đã chọn" — tức chưa chọn kết luận thì nút phải khóa. Nút "Trình phê duyệt" (dòng 1565) đã được cài đúng theo mẫu điều kiện này, riêng nút "Gửi KQ" bị bỏ sót.
- Ghi nhận thêm để dev nắm: bấm "Gửi KQ" khi chưa chọn kết luận thì biểu mẫu vẫn báo lỗi tại chỗ ("Vui lòng chọn kết luận") và không đổi trạng thái hồ sơ — dữ liệu không bị hỏng, nhưng trạng thái bật/tắt của nút vẫn sai so với đặc tả.
- Verify: tài khoản cbnv_tw (Cán bộ Nghiệp vụ - Trung ương), hồ sơ TVV-BTP-TW-0003 ở trạng thái "Đang thẩm định".
- Bug ID: BUG-TDHSTVV_12.</t>
  </si>
  <si>
    <t>TDHSTVV_13</t>
  </si>
  <si>
    <t>Gửi kết quả thẩm định Kết luận "Yêu cầu bổ sung"</t>
  </si>
  <si>
    <t>1. Chọn menu "Mạng lướt tư vấn viên" -&gt; "Tư vấn viên/Chuyên gia"
2. Tìm kiếm và Nhấn xem chi tiết ứng viên
3. Chọn tab "Thẩm định"
4. Kết luận "Yêu cầu bổ sung" và nhấn Gửi thẩm định</t>
  </si>
  <si>
    <t>Hệ thống chuyển hồ sơ sang trạng thái "Yêu cầu bổ sung", gửi thông báo kèm lý do đến Người hỗ trợ, lưu vết thao tác, hiển thị thông báo "Đã gửi yêu cầu bổ sung đến Người hỗ trợ".</t>
  </si>
  <si>
    <t>- Hệ thống không hiển thị thông báo</t>
  </si>
  <si>
    <r>
      <rPr>
        <rFont val="Times New Roman"/>
        <color rgb="FF1155CC"/>
        <sz val="13.0"/>
        <u/>
      </rPr>
      <t>TDHSTVV_13.webm</t>
    </r>
  </si>
  <si>
    <t>✅ Bug ĐÚNG – chuyển dev (đúng ở ý đối tác nêu: không hiển thị thông báo).
- Đã chạy lại đúng thao tác: chọn Kết luận thẩm định "YÊU CẦU BỔ SUNG", nhập lý do, bấm "Gửi KQ". Hệ thống KHÔNG hiển thị bất kỳ thông báo nào (theo dõi giao diện liên tục 4 giây sau cú bấm).
- Phần nghiệp vụ chạy đúng: hồ sơ chuyển sang trạng thái "Yêu cầu bổ sung" và lý do được lưu lại đầy đủ. Lỗi chỉ nằm ở việc thiếu thông báo phản hồi cho cán bộ.
- Theo quy định giao diện UI-04 áp dụng toàn hệ thống (srs-v3.5.md, dòng 571): "Toast notification cho thao tác thành công" — thao tác thành công thì bắt buộc phải có thông báo. Chức năng liên quan: FR-IV-06 (UC44) - SCR-IV-03 nút "Gửi kết quả thẩm định" (srs-fr-04-chuyen-gia-tvv.md, dòng 1564).
- Lưu ý: câu chữ thông báo trong Kết quả mong đợi ("Đã gửi yêu cầu bổ sung đến Người hỗ trợ") không có trong đặc tả; SRS (dòng 519 và 1564) quy định thông báo được gửi đến CHỦ HỒ SƠ (tư vấn viên), không phải "Người hỗ trợ". Bug này chỉ yêu cầu phải có thông báo thành công, không áp đặt câu chữ.
- Verify: tài khoản cbnv_tw (Cán bộ Nghiệp vụ - Trung ương), hồ sơ TVV-BTP-TW-0003 ở trạng thái "Đang thẩm định" trước thao tác.
- Bug ID: BUG-TDHSTVV_13.</t>
  </si>
  <si>
    <t>TDHSTVV_14</t>
  </si>
  <si>
    <t>Gửi kết quả thẩm định Kết luận "Không đạt"</t>
  </si>
  <si>
    <t>1. Chọn menu "Mạng lướt tư vấn viên" -&gt; "Tư vấn viên/Chuyên gia"
2. Tìm kiếm và Nhấn xem chi tiết ứng viên
3. Chọn tab "Thẩm định"
4. Kết luận "Không đạt" và nhấn Gửi thẩm định</t>
  </si>
  <si>
    <t>Hệ thống chuyển hồ sơ sang trạng thái "Từ chối", ghi nhận thời điểm và người từ chối, gửi thông báo kèm lý do đến Người hỗ trợ, lưu vết thao tác, hiển thị thông báo "Đã từ chối hồ sơ".</t>
  </si>
  <si>
    <t>- Hệ thống hiển thị thông báo "Dữ liệu đã bị thay đổi, vui lòng tải lại" nhưng khi tải lại dữ liệu vẫn là dữ liệu cũ</t>
  </si>
  <si>
    <r>
      <rPr>
        <rFont val="Times New Roman"/>
        <color rgb="FF1155CC"/>
        <sz val="13.0"/>
        <u/>
      </rPr>
      <t>TDHSTVV_14.webm</t>
    </r>
  </si>
  <si>
    <t>✅ Bug ĐÚNG – chuyển dev. Tái hiện chính xác, và tìm được nguyên nhân thật.
- Đã chạy lại đúng điều kiện đối tác (hồ sơ đang ở trạng thái "Yêu cầu bổ sung", chọn KHÔNG ĐẠT, bấm "Gửi KQ"): hệ thống hiện đúng thông báo "Dữ liệu đã bị thay đổi, vui lòng tải lại", tải lại thì dữ liệu vẫn như cũ.
- Nguyên nhân: thông báo này SAI bản chất. Máy chủ thực tế báo "TVV không ở trạng thái hợp lệ để thẩm định" (mã ERR-STATE-IV-TD-01), tức hồ sơ đang ở trạng thái không cho phép thẩm định. Giao diện lại dịch thành thông báo xung đột dữ liệu, nên người dùng tải lại trang vô ích và không bao giờ biết lý do thật. Lỗi xảy ra cả khi vừa tải lại trang mới hoàn toàn, nên không phải do giữ dữ liệu cũ.
- Kèm theo: theo FR-IV-06 (UC44) - SCR-IV-03 (srs-fr-04-chuyen-gia-tvv.md, dòng 1555), thẻ "Thẩm định" chỉ được hiển thị khi hồ sơ ở trạng thái "Đang thẩm định" hoặc "Chờ phê duyệt". Web vẫn cho mở thẻ này và bấm "Gửi KQ" ở trạng thái "Yêu cầu bổ sung", tức dẫn người dùng vào thao tác chắc chắn bị từ chối.
- Đối chứng trên trạng thái hợp lệ: đã seed hồ sơ mới TVV-BTP-TW-0004, chọn KHÔNG ĐẠT và gửi -&gt; hồ sơ chuyển sang "Từ chối" đúng nghiệp vụ, NHƯNG vẫn không hiện thông báo thành công nào (Kết quả mong đợi là "Đã từ chối hồ sơ"). Vi phạm quy định giao diện UI-04 (srs-v3.5.md, dòng 571: "Toast notification cho thao tác thành công").
- Verify: tài khoản cbnv_tw (Cán bộ Nghiệp vụ - Trung ương), hồ sơ TVV-BTP-TW-0003 (Yêu cầu bổ sung) và TVV-BTP-TW-0004 (trạng thái hợp lệ).
- Bug ID: BUG-TDHSTVV_14.</t>
  </si>
  <si>
    <t>TDHSTVV_17</t>
  </si>
  <si>
    <t>Trình phê duyệt khi Cán bộ nghiệp vụ thuộc cấp Trung ương hoặc Bộ/Ngành</t>
  </si>
  <si>
    <t>1. Đăng nhập tài khoản Cán bộ nghiệp vụ cùng đơn vị.
2. Hồ sơ đang ở trạng thái "Đang thẩm định"</t>
  </si>
  <si>
    <t>1. Chọn menu "Mạng lướt tư vấn viên" -&gt; "Tư vấn viên/Chuyên gia"
2. Tìm kiếm và Nhấn xem chi tiết ứng viên
3. Chọn tab "Thẩm định"
4. Kết luận thẩm định là "Đạt"
5. Nhấn nút "Trình phê duyệt"</t>
  </si>
  <si>
    <t xml:space="preserve">- Hồ sơ trình cấp phê duyệt cùng cấp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</si>
  <si>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Sau khi nhấn Trình duyệt và reload trang, hệ thống không hiển thị thông tin Nhân xét đã được nhập
- Cán bộ phê duyệt không nhận được thông báo</t>
  </si>
  <si>
    <r>
      <rPr>
        <rFont val="Times New Roman"/>
        <color rgb="FF1155CC"/>
        <sz val="13.0"/>
        <u/>
      </rPr>
      <t>TDHSTVV_17.webm</t>
    </r>
  </si>
  <si>
    <t>✅ Bug ĐÚNG – chuyển dev. Cả 3 ý đối tác nêu đều tái hiện được.
- Ý 1 (không hiển thị thông báo): ĐÚNG. Bấm "Trình duyệt" -&gt; hồ sơ chuyển "Chờ phê duyệt" nhưng không hiện thông báo thành công nào (theo dõi giao diện liên tục 4 giây). Vi phạm quy định giao diện UI-04 (srs-v3.5.md, dòng 571: "Toast notification cho thao tác thành công").
- Ý 2 (Nhận xét không hiển thị sau khi tải lại): ĐÚNG. Sau khi tải lại, cả 3 ô Nhận xét (Nhóm 2, 3, 4) đều trống, trong khi Kết luận thẩm định vẫn còn. Nguyên nhân: giao diện KHÔNG gửi nội dung Nhận xét lên máy chủ, nên nhận xét bị mất hẳn (cùng gốc với BUG-TDHSTVV_08). Theo FR-IV-06 (UC44) - SCR-IV-03 (srs-fr-04-chuyen-gia-tvv.md, dòng 1557-1559), ô nhận xét của Nhóm 2/3/4 là một phần kết quả thẩm định, phải được lưu.
- Ý 3 (Cán bộ phê duyệt không nhận được thông báo): ĐÚNG. Đã đăng nhập tài khoản cbpd_tw (Cán bộ Phê duyệt cùng đơn vị) kiểm tra ngay sau thao tác: hồ sơ CÓ nằm trong danh sách "Chờ phê duyệt" của họ, nhưng quét 50 thông báo gần nhất thì không có thông báo nào về hồ sơ này. Trái với FR-IV-06 §Processing bước 4 (dòng 518) và Tiêu chí chấp nhận (dòng 551): trình duyệt phải gửi thông báo đến Cán bộ Phê duyệt cùng đơn vị.
- Phát hiện thêm: (a) bấm "Trình duyệt" không hiện hộp thoại xác nhận, trong khi SRS dòng 1565 + 1396 quy định phải có hộp thoại "Xác nhận trình phê duyệt?"; (b) hệ thống không ghi nhận người trình và ngày trình vào hồ sơ.
- Verify: tài khoản cbnv_tw (CB Nghiệp vụ Trung ương) trên hồ sơ TVV-BTP-TW-0005 tự tạo; kiểm thông báo bằng tài khoản cbpd_tw cùng đơn vị.
- Bug ID: BUG-TDHSTVV_17.</t>
  </si>
  <si>
    <t>TDHSTVV_18</t>
  </si>
  <si>
    <t>Trình phê duyệt khi Cán bộ nghiệp vụ thuộc cấp Địa phương</t>
  </si>
  <si>
    <t xml:space="preserve">- Hệ thống tự động chuyển hồ sơ lên cấp Bộ/Ngành tương ứng với lĩnh vực chuyên môn của tư vấn viên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</si>
  <si>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Cán bộ phê duyệt không nhận được thông báo</t>
  </si>
  <si>
    <r>
      <rPr>
        <rFont val="Times New Roman"/>
        <color rgb="FF1155CC"/>
        <sz val="13.0"/>
        <u/>
      </rPr>
      <t>TDHSTVV_18.webm</t>
    </r>
  </si>
  <si>
    <t>❌ Ý "hồ sơ tự lên cấp Bộ/Ngành" — BA chốt: KHÔNG phải lỗi, đúng thiết kế hiện hành.
- Kỳ vọng "tự chuyển lên cấp trên" là theo bản SRS v3 cũ. Từ v3.5, cơ chế chuyển cấp bắt buộc (ESCALATE) đã được BỎ theo NĐ121/2025 Đ.39-40 và NĐ55/2019 Đ.9 (srs-fr-04:80, :518, :570).
- Cơ sở: mỗi cấp — Địa phương (UBND cấp tỉnh), Bộ ngành, Trung ương (Bộ Tư pháp) — tự công bố mạng lưới TVV trong phạm vi phân cấp của mình, không đẩy hồ sơ xuyên cấp. CB Địa phương thẩm định Đạt thì hồ sơ ở lại cấp Địa phương để CB Phê duyệt cùng cấp xử lý — đúng quy định.
- Đề nghị cập nhật lại Kết quả mong đợi của test case (bỏ ý "tự lên cấp Bộ/Ngành").
⚠️ GIỮ status dev done: 2 ý khác của case (không có thông báo thành công; CB Phê duyệt cùng đơn vị không nhận thông báo) là lỗi thật — đã log BUG-TDHSTVV_18, vẫn đang chờ Dev.</t>
  </si>
  <si>
    <t>PDHSTVV_02</t>
  </si>
  <si>
    <t>1. Đăng nhập tài khoản 
2. Hồ sơ đang ở trạng thái "Chờ phê duyệt"</t>
  </si>
  <si>
    <t>- Không hiển thị tệp đính kèm mặc dù tồn tại dữ liệu
- Lỗi hiển thị thông tin "Bằng cấp" trong tab Năng lực
- Tab Đánh giá hiển thị điểm đánh giá trung bình theo thang điểm 10(thiết kế yêu cầu hiển thị thang điểm 1-5)</t>
  </si>
  <si>
    <r>
      <rPr>
        <rFont val="Times New Roman"/>
        <color rgb="FF1155CC"/>
        <sz val="13.0"/>
        <u/>
      </rPr>
      <t>PDHSTVV_02.webm</t>
    </r>
  </si>
  <si>
    <t>✅ Bug ĐÚNG – chuyển dev.
- Thẻ "Hồ sơ": mục "File đính kèm" hiển thị "Chưa có file đính kèm" dù hồ sơ đang có tệp thẻ hành nghề đã lưu. Theo FR-IV-05 (UC43) §Outputs (srs-fr-04 dòng 468) và SCR-IV-03 thẻ Hồ sơ nhóm File đính kèm (dòng 1554), thẻ Hồ sơ phải liệt kê tệp kèm tên + dung lượng + nút "Xem" / "Tải xuống".
- Thẻ "Năng lực": trường "Bằng cấp" in nguyên chuỗi dữ liệu thô ra màn hình thay vì hiển thị Tên trường / Chuyên ngành / Năm tốt nghiệp (SCR-IV-03 thẻ Năng lực, dòng 1566).
- Thẻ "Đánh giá": trên môi trường kiểm thử đang hiển thị đúng thang 1–5 ("—/5", "0.0/5") theo SCR-IV-03 (dòng 1570-1572) — riêng ý "thang điểm 10" KHÔNG tái hiện.
- Verify: tài khoản cbpd_tw (CB Phê duyệt - Trung ương), hồ sơ TVV-BTP-TW-0005 ở trạng thái "Chờ phê duyệt", đã có sẵn tệp thẻ hành nghề + bằng cấp chi tiết.
- Bug ID: BUG-PDHSTVV_02.</t>
  </si>
  <si>
    <t>PDHSTVV_03</t>
  </si>
  <si>
    <t>Kiểm tra nút chức năng Phê duyệt</t>
  </si>
  <si>
    <t>1. Chọn menu "Mạng lướt tư vấn viên" -&gt; "Tư vấn viên/Chuyên gia"
2. Tìm kiếm và Nhấn xem chi tiết ứng viên
3. Nhấn Phê duyệt</t>
  </si>
  <si>
    <t xml:space="preserve">- Hệ thống mở cửa sổ xác nhận yêu cầu nhập:
+ Số quyết định công nhận (bắt buộc, tối đa 100 ký tự, định dạng theo mẫu QĐ-{số}/QĐ-{mã đơn vị}).
+ Ý kiến phê duyệt (không bắt buộc, tối đa 2.000 ký tự).
</t>
  </si>
  <si>
    <t>- Số quyết định cho phép tối đa 200 ký tự</t>
  </si>
  <si>
    <r>
      <rPr>
        <rFont val="Times New Roman"/>
        <color rgb="FF1155CC"/>
        <sz val="13.0"/>
        <u/>
      </rPr>
      <t>PDHSTVV_03.jpg</t>
    </r>
  </si>
  <si>
    <t>✅ Bug ĐÚNG – chuyển dev.
- Hộp thoại "Xác nhận phê duyệt": ô "Số quyết định công nhận" đang cho phép nhập tới 200 ký tự (bộ đếm hiển thị "0 / 200"). Đã thử nhập chuỗi 150 ký tự → hệ thống nhận đủ 150 ký tự, không báo lỗi, nút "Phê duyệt" vẫn bật.
- Theo FR-IV-07 (UC45) §Inputs (srs-fr-04 dòng 581), Số quyết định công nhận là trường bắt buộc khi phê duyệt, theo mẫu QĐ-{số}/QĐ-{đơn vị} và tối đa 100 ký tự → hệ thống phải chặn khi vượt 100 ký tự.
- Ô "Ý kiến phê duyệt (tùy chọn)" giới hạn 2.000 ký tự — đúng yêu cầu.
- Verify: tài khoản cbpd_tw (CB Phê duyệt - Trung ương), hồ sơ TVV-BTP-TW-0005 ở trạng thái "Chờ phê duyệt".
- Bug ID: BUG-PDHSTVV_03.</t>
  </si>
  <si>
    <t>PDHSTVV_05</t>
  </si>
  <si>
    <t xml:space="preserve">Phê duyệt khi nhập số quyết định công nhận không hợp lệ </t>
  </si>
  <si>
    <t>1. Chọn menu "Mạng lướt tư vấn viên" -&gt; "Tư vấn viên/Chuyên gia"
2. Tìm kiếm và Nhấn xem chi tiết ứng viên
3. Nhập số quyết định không hợp lệ và Nhấn Phê duyệt</t>
  </si>
  <si>
    <t>Hệ thống hiển thị thông báo lỗi</t>
  </si>
  <si>
    <t>Hệ thống hiển thị thông báo "Phê duyệt TVV thành công" và cập nhật trạng thái của hồ sơ</t>
  </si>
  <si>
    <r>
      <rPr>
        <rFont val="Times New Roman"/>
        <color rgb="FF1155CC"/>
        <sz val="13.0"/>
        <u/>
      </rPr>
      <t>PDHSTVV_05.webm</t>
    </r>
  </si>
  <si>
    <t>✅ Bug ĐÚNG – chuyển dev.
- Đã nhập đúng giá trị đối tác dùng: số quyết định công nhận "A1000@" (không đúng mẫu). Hệ thống hiển thị thông báo "Phê duyệt TVV thành công", không có bất kỳ thông báo lỗi nào.
- Hồ sơ chuyển sang "Chờ kích hoạt tài khoản", ghi Ngày công nhận 12/07/2026 và lưu luôn giá trị sai vào hồ sơ (thẻ Hồ sơ hiển thị Số quyết định: A1000@).
- Theo FR-IV-07 (UC45) §Inputs (srs-fr-04 dòng 581), Số quyết định công nhận phải theo mẫu QĐ-{số}/QĐ-{đơn vị} (tối đa 100 ký tự) → hệ thống phải từ chối giá trị sai mẫu và báo lỗi, không được phê duyệt.
- Verify: tài khoản cbpd_tw (CB Phê duyệt - Trung ương), hồ sơ TVV-BTP-TW-0005 ở trạng thái "Chờ phê duyệt" trước thao tác.
- Bug ID: BUG-PDHSTVV_05.</t>
  </si>
  <si>
    <t>PDHSTVV_06</t>
  </si>
  <si>
    <t>Phê duyệt thành công</t>
  </si>
  <si>
    <t>1. Chọn menu "Mạng lướt tư vấn viên" -&gt; "Tư vấn viên/Chuyên gia"
2. Tìm kiếm và Nhấn xem chi tiết ứng viên
3. Nhập thông tin hợp lệ và Nhấn Phê duyệt</t>
  </si>
  <si>
    <t xml:space="preserve">- Chuyển hồ sơ sang trạng thái "Đang hoạt động".
- Ghi nhận ngày công nhận, thời điểm phê duyệt, người phê duyệt và số quyết định vào hồ sơ.
- Gửi thông báo đến Người hỗ trợ là chủ hồ sơ với nội dung "Hồ sơ của bạn đã được công nhận, mã số tư vấn viên: {mã}".
- Lưu vết thao tác.
- Hiển thị thông báo "Đã công nhận tư vấn viên" và làm mới màn hình.
</t>
  </si>
  <si>
    <t>- Hệ thống chuyển hồ sơ sang trạng thái "Chờ kích hoạt tài khoản"
- Không gửi thông báo đến chủ hồ sơ
- Thông báo hiển thị không giống với thiết kế</t>
  </si>
  <si>
    <r>
      <rPr>
        <rFont val="Times New Roman"/>
        <color rgb="FF1155CC"/>
        <sz val="13.0"/>
        <u/>
      </rPr>
      <t>PDHSTVV_06.webm</t>
    </r>
  </si>
  <si>
    <t>🔴 Reopen 16/07/2026 — cả 2 điều chỉnh BA chuyển Dev đều chưa được làm.
Đã chạy đủ luồng thật: cán bộ Phê duyệt Trung ương (cbpd_tw) phê duyệt hồ sơ TVV-BTP-TW-0014 đang ở trạng thái "Chờ phê duyệt", rồi mở hộp thư kiểm mail gửi ra.
CHƯA ĐẠT 1 — mail kích hoạt không có mã số tư vấn viên. Mail có gửi đúng cho chủ hồ sơ (tiêu đề "Hồ sơ TVV đã được phê duyệt — kích hoạt tài khoản"), nội dung gồm lời chào, câu báo hồ sơ đã được phê duyệt và link kích hoạt. Kiểm cả bản HTML lẫn bản chữ thuần: không có mã TVV-BTP-TW-0014, không có bất kỳ mã tư vấn viên nào, cũng không có cụm "mã số". Kết quả mong đợi của test case là "Hồ sơ của bạn đã được công nhận, mã số tư vấn viên: {mã}".
CHƯA ĐẠT 2 — câu chữ thông báo chưa đổi. Bấm Phê duyệt, thông báo hiện ra vẫn là "Phê duyệt TVV thành công", chưa đổi thành "Đã công nhận tư vấn viên" như BA chốt.
Đúng, không phải lỗi (khớp kết luận BA): hồ sơ chuyển "Chờ kích hoạt tài khoản" + ghi nhận Ngày công nhận 16/07/2026 + tự tạo tài khoản và gửi mail kích hoạt cho chủ hồ sơ — đây là cơ chế đúng, không tính lỗi.
CẦN: bổ sung mã số tư vấn viên vào nội dung mail kích hoạt gửi chủ hồ sơ; và đổi câu chữ thông báo sau khi phê duyệt thành "Đã công nhận tư vấn viên".</t>
  </si>
  <si>
    <t>PDHSTVV_08</t>
  </si>
  <si>
    <t>Từ chối khi nhập lý do hợp lệ</t>
  </si>
  <si>
    <t>1. Chọn menu "Mạng lướt tư vấn viên" -&gt; "Tư vấn viên/Chuyên gia"
2. Tìm kiếm và Nhấn xem chi tiết ứng viên
3. Nhấn Từ chối</t>
  </si>
  <si>
    <t>- Chuyển hồ sơ sang trạng thái "Từ chối".
- Ghi nhận thời điểm, người từ chối và lý do vào hồ sơ.
- Gửi thông báo đến Cán bộ nghiệp vụ đã thẩm định và Người hỗ trợ là chủ hồ sơ kèm lý do.
- Lưu vết thao tác.
- Hiển thị thông báo "Đã từ chối hồ sơ".
.</t>
  </si>
  <si>
    <t>Hệ thống không gửi thông báo đến Cán bộ nghiệp vụ đã thẩm định</t>
  </si>
  <si>
    <r>
      <rPr>
        <rFont val="Times New Roman"/>
        <color rgb="FF1155CC"/>
        <sz val="13.0"/>
        <u/>
      </rPr>
      <t>PDHSTVV_08.webm</t>
    </r>
  </si>
  <si>
    <t>❌ Ý "cán bộ thẩm định không nhận thông báo" — BA chốt: KHÔNG phải lỗi, phần mềm đúng SRS.
- Theo FR-IV-07, khi hồ sơ TVV được duyệt hoặc từ chối, hệ thống báo cho CHỦ HỒ SƠ (ứng viên TVV) — srs-fr-04:593, :627, :1398. SRS không quy định báo cho cán bộ nghiệp vụ đã thẩm định ở chiều này. (Chiều ngược lại thì SRS có: trình duyệt → báo cán bộ phê duyệt, :518.)
- Muốn bổ sung báo cho cán bộ thẩm định → là yêu cầu cải tiến, trao đổi BA.
⚠️ GIỮ status dev done: ý chính của case (CHỦ HỒ SƠ không nhận thông báo từ chối) là lỗi thật — đã log BUG-PDHSTVV_08, vẫn đang chờ Dev.</t>
  </si>
  <si>
    <t>PDHSTVV_09</t>
  </si>
  <si>
    <t>Kiểm tra thông báo lỗi khi nhập trùng số quyết định công nhận</t>
  </si>
  <si>
    <t>1. Đăng nhập tài khoản 
2. Hồ sơ đang ở trạng thái "Chờ phê duyệt"
3. Số quyết định công nhận đã tồn tại</t>
  </si>
  <si>
    <t>1. Chọn menu "Mạng lướt tư vấn viên" -&gt; "Tư vấn viên/Chuyên gia"
2. Tìm kiếm và Nhấn xem chi tiết ứng viên
3. Nhập trùng số quyết định công nhận</t>
  </si>
  <si>
    <t>Hệ thống hiển thị thông báo thành công</t>
  </si>
  <si>
    <r>
      <rPr>
        <rFont val="Times New Roman"/>
        <color rgb="FF1155CC"/>
        <sz val="13.0"/>
        <u/>
      </rPr>
      <t>PDHSTVV_09.webm</t>
    </r>
  </si>
  <si>
    <t>❌ BA chốt: KHÔNG phải lỗi — phần mềm đúng SRS.
- Một quyết định công nhận thường kèm danh sách NHIỀU tư vấn viên, nên nhiều hồ sơ mang cùng một số QĐ là đúng nghiệp vụ. SRS CỐ Ý không đặt ràng buộc "không trùng" cho trường này — chỉ ràng buộc định dạng (srs-fr-04:2025). Các trường cần duy nhất khác (CCCD, email) đều được ghi rõ kèm mã lỗi riêng; số QĐ thì không. Hệ thống đáp ứng đúng SRS.
- Nếu muốn kiểm soát trùng → là yêu cầu cải tiến; phương án gợi ý: cảnh báo mềm (không chặn), hoặc chỉ bắt duy nhất theo cụm (số QĐ + đơn vị + ngày ký). Trao đổi BA.</t>
  </si>
  <si>
    <t>CNDSMLTVV_05</t>
  </si>
  <si>
    <t xml:space="preserve">Xác nhận "Công khai lên Cổng pháp luật quốc gia" </t>
  </si>
  <si>
    <t>1. Đăng nhập tài khoản 
2. Hồ sơ đang ở trạng thái "Đang hoạt động" và chưa được công khai</t>
  </si>
  <si>
    <t>1. Chọn menu "Mạng lướt tư vấn viên" -&gt; "Tư vấn viên/Chuyên gia"
2. Tìm kiếm và Nhấn xem chi tiết ứng viên
3. Bấm "Công khai lên Cổng pháp luật quốc gia" và nhấn Xác nhận</t>
  </si>
  <si>
    <t xml:space="preserve">- Hệ thống:
+ Đặt cờ công khai cho tư vấn viên.
+ Ghi nhận thời điểm công khai.
+ Gọi giao diện tích hợp đẩy dữ liệu lên Cổng pháp luật quốc gia.
+ Lưu vết thao tác.
+ Hiển thị thông báo "Đã đẩy tư vấn viên lên Cổng pháp luật quốc gia".
- Dữ liệu được tiếp nhận bởi Cổng pháp luật quốc gia trong lần gọi đầu tiên.
</t>
  </si>
  <si>
    <t>Hệ thống hiển thị thông báo "Không thể công khai. Vui lòng thử lại."</t>
  </si>
  <si>
    <r>
      <rPr>
        <rFont val="Times New Roman"/>
        <color rgb="FF1155CC"/>
        <sz val="13.0"/>
        <u/>
      </rPr>
      <t>CNDSMLTVV_05.webm</t>
    </r>
  </si>
  <si>
    <t>🐞 BA chốt 16/07/2026: mô hình KÉO — chuyển Dev BE + FE. (Case gấp nhất.)
- Phần mềm đang làm ĐẨY: khi công khai, backend gọi thẳng sang Cổng PLQG; gọi thất bại → trả 502 ERR-SYS-IV-CK-02 → rollback, không đặt được cờ công khai → chức năng chết.
- SRS chốt KÉO, nhắc lại 4 chỗ (srs-fr-04:638, :657, :682-683, :1457): phần mềm CHỈ đặt cờ và đổi trạng thái, Cổng tự kéo dữ liệu định kỳ, phần mềm KHÔNG gọi sang Cổng. Đồng bộ chuẩn chung Nhóm XII (BR-API-01, srs-v3.5.md:5544).
- Bằng chứng lệch mô hình: mã ERR-SYS-IV-CK-02 mà code trả KHÔNG tồn tại trong toàn bộ SRS. FR-IV-08 §Error Handling (:674-675) chỉ có ERR-CK-01 (trạng thái không hợp lệ) và ERR-CK-02 (thiếu mô tả công khai) — vì SRS quy định KÉO nên không thể có "lỗi kết nối Cổng khi công khai".
- Việc cần làm: bỏ lời gọi sang Cổng khỏi thao tác công khai; công khai chỉ đặt cờ cong_khai + đổi trạng thái, LUÔN thành công khi đủ điều kiện (Cổng sập cũng không chặn); bỏ mã ERR-SYS-IV-CK-02.
- Sửa Kết quả mong đợi của test case: bỏ "đẩy", bỏ "Cổng tiếp nhận trong lần gọi đầu tiên".
- Verify lại: bấm công khai TVV đủ điều kiện → thành công, cờ công khai được đặt, không có lời gọi sang Cổng.</t>
  </si>
  <si>
    <t>DGTVV_02</t>
  </si>
  <si>
    <t>Kiểm tra hiển thị Khu vực tổng hợp điểm đánh giá (đầu thẻ)</t>
  </si>
  <si>
    <t xml:space="preserve">1. Đăng nhập tài khoản </t>
  </si>
  <si>
    <t>1. Chọn menu "Mạng lướt tư vấn viên" -&gt; "Tư vấn viên/Chuyên gia"
2. Tìm kiếm và Nhấn xem chi tiết ứng viên
3. Kiểm tra hiển thị Khu vực tổng hợp điểm đánh giá (đầu thẻ)</t>
  </si>
  <si>
    <t>Tài liệu yêu cầu điểm đánh giá thang 1-5 nhưng hệ thống hiện tại đang hiển thị điểm đánh giá thang 1-10</t>
  </si>
  <si>
    <r>
      <rPr>
        <rFont val="Times New Roman"/>
        <color rgb="FF1155CC"/>
        <sz val="13.0"/>
        <u/>
      </rPr>
      <t>DGTVV_02.jpg</t>
    </r>
  </si>
  <si>
    <r>
      <rPr>
        <rFont val="Arial"/>
        <color theme="1"/>
      </rPr>
      <t xml:space="preserve">❌ Không phải bug.
- Đối tác phản ánh: khu vực tổng hợp điểm đánh giá ở đầu thẻ hồ sơ tư vấn viên đang hiển thị theo thang 1-10 (ví dụ 8.3/10), trong khi tài liệu yêu cầu thang 1-5.
- QA kiểm tra lại chức năng Đánh giá tư vấn viên (UC 47) bằng tài khoản Cán bộ nghiệp vụ Trung ương, mở hồ sơ tư vấn viên TVV-BTP-TW-0002 (trạng thái Đang hoạt động, đã có đánh giá): hệ thống hiển thị đúng thang 1-5, không tái hiện lỗi.
- Cụ thể trên web hiện tại: đầu thẻ hiển thị "4.0/5" kèm đúng 5 ngôi sao; ba tiêu chí Chuyên môn / Thái độ / Đúng hạn đều hiển thị "4.0/5"; bảng danh sách đánh giá cũng chấm trên 5 sao.
- → Đối tác kiểm tra lại.
— Cập nhật (đã kiểm tra lại trên cả 2 môi trường dev và UAT):
- Môi trường dev: điểm đánh giá tư vấn viên hiển thị đúng thang 1–5 (kèm 5 sao), đúng thiết kế.
- Môi trường UAT: vẫn hiển thị thang 1–10 (ví dụ 8.3/10, kèm 10 sao) đúng như đối tác phản ánh.
- Nguyên nhân: backend môi trường UAT tính điểm tổng hợp theo thang 1–10, chưa đồng bộ với backend dev (đã đúng thang 1–5).
</t>
    </r>
    <r>
      <rPr>
        <rFont val="Arial"/>
        <b/>
        <color rgb="FFCC0000"/>
      </rPr>
      <t>→ Đề nghị dev đồng bộ kiểu tra lại bản build trên môi trường UAT theo môi trường dev, sau đó kiểm tra lại.</t>
    </r>
  </si>
  <si>
    <t>DGTVV_03</t>
  </si>
  <si>
    <t>Kiểm tra hiển thị Danh sách đánh giá</t>
  </si>
  <si>
    <t>1. Chọn menu "Mạng lướt tư vấn viên" -&gt; "Tư vấn viên/Chuyên gia"
2. Tìm kiếm và Nhấn xem chi tiết ứng viên
3. Kiểm tra hiển thị Danh sách đánh giá</t>
  </si>
  <si>
    <t>- Lỗi hiển thị trường thông tin "Vụ việc"
- Thiếu trường thông tin "Điểm tổng"
- Tài liệu yêu cầu điểm đánh giá thang 1-5 nhưng hệ thống hiện tại đang hiển thị điểm đánh giá thang 1-10</t>
  </si>
  <si>
    <r>
      <rPr>
        <rFont val="Times New Roman"/>
        <color rgb="FF1155CC"/>
        <sz val="13.0"/>
        <u/>
      </rPr>
      <t>DGTVV_03.jpg</t>
    </r>
  </si>
  <si>
    <t>❌ Ý "thiếu cột Điểm tổng" — BA chốt: KHÔNG phải lỗi, phần mềm đúng SRS.
- Theo SCR-IV-03 (srs-fr-04:1570), danh sách đánh giá gồm đúng 7 cột: Người đánh giá, Vụ việc, Ngày, 3 điểm thành phần, Nhận xét — không có cột "Điểm tổng". Hệ thống đáp ứng đúng SRS. (Điểm tổng vẫn được tính và lưu sẵn ở :706, :726, và có hiện trên form gửi đánh giá.)
- Muốn thêm cột Điểm tổng → là yêu cầu cải tiến (dữ liệu đã có sẵn), trao đổi BA.
⚠️ GIỮ status dev done: ý khác của case (cột "Vụ việc" hiển thị sai) là lỗi thật, vẫn đang chờ Dev.</t>
  </si>
  <si>
    <t>DGTVV_05</t>
  </si>
  <si>
    <t>Kiểm tra hiển thị thông báo lỗi khi bỏ trống trường bắt buộc</t>
  </si>
  <si>
    <t xml:space="preserve">1. Chọn menu "Mạng lướt tư vấn viên" -&gt; "Tư vấn viên/Chuyên gia"
2. Tìm kiếm và Nhấn xem chi tiết ứng viên
3. Nhấn vào nút "Đánh giá" </t>
  </si>
  <si>
    <t>Không hiển thị thông báo lỗi khi bỏ trống Vụ việc liên kết</t>
  </si>
  <si>
    <r>
      <rPr>
        <rFont val="Times New Roman"/>
        <color rgb="FF1155CC"/>
        <sz val="13.0"/>
        <u/>
      </rPr>
      <t>DGTVV_05.jpg</t>
    </r>
  </si>
  <si>
    <t>❌ BA chốt: KHÔNG phải lỗi — phần mềm đúng SRS.
- "Vụ việc liên kết" là trường TÙY CHỌN theo SRS (srs-fr-04:702, :1573), vì đánh giá có thể là đánh giá định kỳ không gắn với vụ việc nào. Hệ thống đáp ứng đúng SRS.
- Phần mềm đã đạt Expected "có báo lỗi": gửi form trống thì chặn và báo lỗi đúng 3 trường bắt buộc (3 điểm thành phần); "Vụ việc liên kết" không có dấu sao nên không báo lỗi là đúng.
- Lưu ý: dropdown này hiện đang rỗng với mọi TVV → nếu ép bắt buộc thì chức năng gửi đánh giá sẽ chết hoàn toàn. Đề nghị cập nhật lại Kết quả thực tế của test case.</t>
  </si>
  <si>
    <t>QLLSHTCTVV_01</t>
  </si>
  <si>
    <t>Quản lý lịch sử hỗ trợ của tư vấn viên</t>
  </si>
  <si>
    <t>Ghi nhận và theo dõi lịch sử tham gia hỗ trợ vụ việc của từng Tư vấn viên.</t>
  </si>
  <si>
    <t>1. Chọn menu "Mạng lướt tư vấn viên" -&gt; "Tư vấn viên/Chuyên gia"
2. Tìm kiếm và Nhấn xem chi tiết ứng viên
3. Chọn tab "Lịch sử hỗ trợ"</t>
  </si>
  <si>
    <t>Hệ thống không hiển thị lịch sử mặc dù tồn tại dữ liệu</t>
  </si>
  <si>
    <t xml:space="preserve"> QLLSHTCTVV_01.webm</t>
  </si>
  <si>
    <t>- Chức năng "Lịch sử hỗ trợ" đã hiển thị được danh sách vụ việc TVV tham gia (trước đây luôn trống) — phần chính đã khắc phục.
- Tuy nhiên cột "Ngày hoàn thành" của vụ việc CHƯA hoàn thành đang hiển thị chữ "Invalid Date" thay vì để trống ("—").
- Đề nghị sửa: khi vụ việc chưa có ngày hoàn thành thì để trống, không hiển thị "Invalid Date".
- FR-IV-10 (UC48) · SCR-IV-03 cột "Ngày hoàn thành" (srs-fr-04 dòng 1567).</t>
  </si>
  <si>
    <t>CNTTTVV_06</t>
  </si>
  <si>
    <t xml:space="preserve">Kiểm tra hiển thị thông báo lỗi khi sửa hồ sơ Không phải chủ hồ sơ </t>
  </si>
  <si>
    <t xml:space="preserve">1. Đăng nhập tài khoản 
2. Hồ sơ Không phải chủ hồ sơ </t>
  </si>
  <si>
    <t xml:space="preserve">1. Chọn menu "Mạng lướt tư vấn viên" -&gt; "Tư vấn viên/Chuyên gia"
2. Tìm kiếm và Nhấn sửa thông tin ứng viên
</t>
  </si>
  <si>
    <t>Báo "Bạn không có quyền cập nhật hồ sơ này".</t>
  </si>
  <si>
    <t>- Thông báo hiển thị bị duplicate và không giống với thiết kế</t>
  </si>
  <si>
    <r>
      <rPr>
        <rFont val="Times New Roman"/>
        <color rgb="FF1155CC"/>
        <sz val="13.0"/>
        <u/>
      </rPr>
      <t>CNTTTVV_06.jpg</t>
    </r>
  </si>
  <si>
    <t>✅ Bug ĐÚNG – chuyển dev. (Bug ID: BUG-CNTTTVV_06)
- Web sai: khi cán bộ sửa hồ sơ tư vấn viên KHÔNG thuộc đơn vị mình rồi bấm Lưu, hệ thống có chặn thao tác (đúng) nhưng thông báo lỗi hiển thị 2 LẦN TRÙNG LẶP, cùng nội dung "Đơn vị của bạn khác đơn vị của tư vấn viên" (đã kiểm đếm: 2 thông báo giống hệt nhau).
- Ngoài ra nội dung thông báo chưa nêu rõ người dùng không có quyền cập nhật hồ sơ.
- Expected theo SRS: SCR-IV-02 §Tham chiếu nội bộ (srs-fr-04 dòng 1519) quy định màn Sửa hồ sơ TVV áp dụng quy tắc phân quyền theo đơn vị (BR-AUTH-08) và dùng thông báo lỗi ERR-CN-02; FR-IV-11 (UC49) §Error Handling E2 (dòng 854) và FR-IV-04 §Error Handling E1 (dòng 420) quy định thông báo phải nêu rõ "không có quyền cập nhật hồ sơ tư vấn viên này (khác đơn vị)". Mỗi lần thao tác chỉ hiển thị thông báo một lần.
- Verify: tài khoản Cán bộ nghiệp vụ Trung ương (đơn vị Bộ Tư pháp - TW), sửa hồ sơ tư vấn viên TVV-STP-AG-0001 thuộc đơn vị địa phương (khác đơn vị) — đúng điều kiện đối tác.</t>
  </si>
  <si>
    <t>CNTTTVV_07</t>
  </si>
  <si>
    <t>Hủy khi Có thay đổi chưa lưu</t>
  </si>
  <si>
    <t>1. Chọn menu "Mạng lướt tư vấn viên" -&gt; "Tư vấn viên/Chuyên gia"
2. Tìm kiếm và Nhấn sửa thông tin ứng viên
3. Nhập dữ liệu hợp lệ và nhấn Hủy</t>
  </si>
  <si>
    <t>Hệ thống hiển thị hộp xác nhận "Bạn có chắc chắn hủy các thay đổi?". Xác nhận → bỏ thay đổi, quay về chế độ chỉ xem; chọn "Ở lại" → giữ nguyên chế độ nhập liệu.</t>
  </si>
  <si>
    <t>Khi chọn "Ở lại" hệ thống không giữ nguyên thông tin đã nhập trước đó</t>
  </si>
  <si>
    <r>
      <rPr>
        <rFont val="Times New Roman"/>
        <color rgb="FF1155CC"/>
        <sz val="13.0"/>
        <u/>
      </rPr>
      <t>CNTTTVV_07.webm</t>
    </r>
  </si>
  <si>
    <t>✅ Bug ĐÚNG – chuyển dev. (Bug ID: BUG-CNTTTVV_07)
- Web sai: ở màn Chỉnh sửa hồ sơ tư vấn viên, khi có thay đổi chưa lưu mà bấm "Hủy", dữ liệu đang nhập bị đưa về giá trị cũ NGAY khi hộp thoại xác nhận vừa hiện — tức là trước khi người dùng kịp chọn. Do đó chọn "Ở lại" cũng không giữ lại được thông tin vừa nhập, đúng như phản ánh.
- Số liệu kiểm chứng: sửa Số điện thoại 0912280028 → 0909111222 và Địa chỉ "28 QA Test, Ha Noi" → "99 Pho Moi, Ha Noi"; ngay lúc hộp thoại hiện (chưa bấm gì) hai trường đã quay về 0912280028 và "28 QA Test, Ha Noi"; sau khi bấm "Ở lại" vẫn là giá trị cũ.
- Expected theo SRS: SCR-IV-02 cell 7 (srs-fr-04 dòng 1512) quy định "Hủy: nếu có thay đổi chưa lưu → hộp thoại xác nhận"; quy ước cùng loại ở SCR-IV-03 cell 20a (dòng 1562) nêu rõ chỉ bỏ thay đổi KHI người dùng đồng ý. Vì vậy khi hộp thoại đang mở và khi người dùng chọn ở lại màn nhập liệu, dữ liệu đang nhập phải được giữ nguyên.
- Verify: tài khoản Cán bộ nghiệp vụ Trung ương, hồ sơ tư vấn viên TVV-BTP-TW-0002 (Đang hoạt động) — đúng điều kiện đối tác.
- Ghi chú: cùng nguyên nhân với 2 lỗi đã gửi trước đó ở màn Thêm mới tư vấn viên và màn Đăng ký tham gia mạng lưới; đề nghị dev xử lý chung.</t>
  </si>
  <si>
    <t>CNTTHDCTVV_02</t>
  </si>
  <si>
    <t xml:space="preserve">Vô hiệu hóa nhưng tư vấn viên đang có {N} vụ việc và {M} hỏi đáp chưa hoàn thành </t>
  </si>
  <si>
    <t>1. Đăng nhập tài khoản 
2. Tư vấn viên đang có vụ việc/hỏi đáp</t>
  </si>
  <si>
    <t>1. Chọn menu "Mạng lướt tư vấn viên" -&gt; "Tư vấn viên/Chuyên gia"
2. Tìm kiếm và Nhấn xem thông tin ứng viên
3. Bấm nút "Cập nhật trạng thái"
4. Nhập lý do hợp lệ và nhấn xác nhận</t>
  </si>
  <si>
    <t>Hệ thống từ chối và hiển thị thông báo "Tư vấn viên đang có {N} vụ việc và {M} hỏi đáp chưa hoàn thành, không thể vô hiệu hóa".</t>
  </si>
  <si>
    <t>Hệ thống hiển thị thông báo "Có lỗi xảy ra"</t>
  </si>
  <si>
    <r>
      <rPr>
        <rFont val="Times New Roman"/>
        <color rgb="FF1155CC"/>
        <sz val="13.0"/>
        <u/>
      </rPr>
      <t>CNTTHDCTVV_02.webm</t>
    </r>
  </si>
  <si>
    <t>✅ Bug ĐÚNG – chuyển dev. (Bug ID: BUG-CNTTHDCTVV_02)
- Web sai: khi vô hiệu hóa tư vấn viên đang còn vụ việc chưa hoàn thành, hệ thống có từ chối đúng (trạng thái giữ nguyên) nhưng giao diện chỉ hiện thông báo chung chung "Có lỗi xảy ra", không cho cán bộ biết lý do bị chặn.
- Điểm mấu chốt: hệ thống ở phía máy chủ ĐÃ trả về đúng thông báo nghiệp vụ "Tư vấn viên đang có 1 vụ việc và 0 hỏi đáp chưa hoàn thành, không thể vô hiệu hóa" — nhưng giao diện không hiển thị thông báo này. Đây là lỗi ở phần hiển thị của giao diện, phần nghiệp vụ chặn vô hiệu hóa vẫn chạy đúng.
- Expected theo SRS: FR-IV-12 (UC50) §Error Handling E2 - ERR-TT-02 (srs-fr-04 dòng 914) và §Acceptance Criteria (dòng 925): khi tư vấn viên còn vụ việc đang xử lý thì phải từ chối và hiển thị thông báo "Tư vấn viên đang có {N} vụ việc và {M} hỏi đáp chưa hoàn thành, không thể vô hiệu hóa"; §Processing bước 2 (dòng 892) quy định điều kiện kiểm tra.
- Verify: tài khoản Cán bộ nghiệp vụ Trung ương, tư vấn viên TVV-BTP-TW-0002 (Đang hoạt động) đang có 1 vụ việc chưa hoàn thành (VV-BTP-TW-20260712-001), chọn Vô hiệu hóa + nhập lý do hợp lệ — đúng điều kiện đối tác.</t>
  </si>
  <si>
    <t>QLTNVV_02</t>
  </si>
  <si>
    <t xml:space="preserve">1. Đăng nhập tài khoản 
</t>
  </si>
  <si>
    <t>1. Chọn menu "Vụ việc HTPL"
2. Kiểm tra hiển thị bảng danh sách</t>
  </si>
  <si>
    <t>- Hệ thống hiển thị các trường thông tin giống với thiết kế
- Dữ liệu hiển thị đúng định dạng và trường thông tin
- Dữ liệu hiển thị không bị tràn/đè lên nhau, đồng nhất ngôn ngữ hiển thị
- Mặc định: hệ thống sắp xếp theo ngày cập nhật mới nhất trước, 20 bản ghi mỗi trang.</t>
  </si>
  <si>
    <t xml:space="preserve">- Tên cột "Thời hạn xử lý" không đúng với thiết kế
</t>
  </si>
  <si>
    <r>
      <rPr>
        <rFont val="Times New Roman"/>
        <color rgb="FF1155CC"/>
        <sz val="12.0"/>
        <u/>
      </rPr>
      <t>QLTNVV_02.jpg</t>
    </r>
  </si>
  <si>
    <t>- Một số tên cột thông tin viết tắt(hạn chế viết tắt)
- Đề nghị chỉnh sửa hiển thị đối với các cảnh báo quá hạn(hiện tại cảnh báo quá hạn nhấp nháy và màu chữ gần như chìm vào nền, gây khó nhìn)</t>
  </si>
  <si>
    <t>BA chốt 16/07/2026 cho 2 đề nghị thêm của case:
- Ý 1 — tên cột viết tắt: ✅ BA DUYỆT viết đầy đủ, bỏ viết tắt. "Mã VV" → "Mã vụ việc", "Tên DN" → "Tên doanh nghiệp", "Lĩnh vực PL" → "Lĩnh vực pháp luật"… BA sửa SRS một lần cho cả 5 màn SCR-V.I-01…05 (srs-fr-05:1630-1632), làm CÙNG LÚC với đổi nhãn "Deadline SLA" ở KTHSYCHTPL_04 → Dev FE.
- Ý 2 — badge quá hạn chữ chìm nền: 🐞 LÀ LỖI, chuyển Dev. Vi phạm quy ước UI-05 về tương phản WCAG (srs-v3.5.md:572). Yêu cầu: badge quá hạn đạt tương phản tối thiểu WCAG AA 4.5:1; bổ sung quy ước chung "không dùng hiệu ứng nhấp nháy cho nhãn cảnh báo".
⚠️ GIỮ status dev done: ý chính của case (2 cột thời hạn sai nhãn) là lỗi thật — đã log BUG-QLTNVV_02, vẫn đang chờ Dev. Thứ tự làm: sửa nhãn cột màn hình trước, rồi mới đồng bộ Excel (QLTNVV_06).</t>
  </si>
  <si>
    <t>QLTNVV_06</t>
  </si>
  <si>
    <t>Xuất Excel Có dữ liệu</t>
  </si>
  <si>
    <t>1. Đăng nhập tài khoản 
2. Tồn tại bản ghi phù hợp với tiêu chí tìm kiếm</t>
  </si>
  <si>
    <t>1. Chọn menu "Vụ việc HTPL"
2. Tìm kiếm từ khóa có kết quả
3. Bấm nút "Nhấn excel"</t>
  </si>
  <si>
    <t>- Hệ thống xuất danh sách hồ sơ theo điều kiện lọc hiện tại ra file Excel, bao gồm toàn bộ cột đang hiển thị.</t>
  </si>
  <si>
    <t xml:space="preserve">- Tên cột "Thời hạn xử lý" không đúng với thiết kế
- Thiếu cột thông tin Cảnh báo thời hạn
</t>
  </si>
  <si>
    <r>
      <rPr>
        <rFont val="Times New Roman"/>
        <color rgb="FF1155CC"/>
        <sz val="12.0"/>
        <u/>
      </rPr>
      <t>QLTNVV_06.webm</t>
    </r>
  </si>
  <si>
    <t>🐞 BA chốt 12/07/2026: LÀ LỖI — chuyển Dev. (Giữ nguyên kết luận, bổ sung phần SRS.)
- Nguyên tắc: màn hình hiện cột nào thì Excel có ĐÚNG cột đó với ĐÚNG tên đó. Tập cột đúng là 9 cột dữ liệu của SCR-V.I-01 (srs-fr-05:1630-1638) → BỎ 2 cột thừa "Tiêu đề" và "Ưu tiên". Cột chọn (checkbox) và cột "Hành động" không xuất.
- Kèm SRS: bổ sung một mục quy định cột xuất Excel vào FR-V.I-01 (theo mẫu module TVV, srs-fr-04:243).
- Thứ tự làm: sửa nhãn cột trên màn hình trước (BUG-QLTNVV_02 + QLTNVV_02 ý 1), rồi mới đồng bộ Excel — nếu không, 2 màn sẽ lệch nhau.
- Verify lại: xuất Excel từ danh sách vụ việc → đúng 9 cột, tên cột khớp màn hình, không còn "Tiêu đề"/"Ưu tiên".</t>
  </si>
  <si>
    <t>QLTNVV_08</t>
  </si>
  <si>
    <t>1. Chọn menu "Vụ việc HTPL"
2. Tìm kiếm từ khóa có kết quả
3.  Bấm vào tiêu đề cột cần sắp xếp</t>
  </si>
  <si>
    <t>- Hệ thống sắp xếp danh sách theo cột đó, luân phiên tăng dần / giảm dần qua mỗi lần bấm.</t>
  </si>
  <si>
    <t>Không thực hiện sắp xếp khi nhấn vào tên cột</t>
  </si>
  <si>
    <r>
      <rPr>
        <rFont val="Times New Roman"/>
        <color rgb="FF1155CC"/>
        <sz val="12.0"/>
        <u/>
      </rPr>
      <t>QLTNVV_08.webm</t>
    </r>
  </si>
  <si>
    <t>🔴 Reopen – fix chưa đủ.
- Danh sách Vụ việc HTPL đã có sắp xếp ở một số cột: Mã VV, Trạng thái, Ngày tiếp nhận, Deadline SLA.
- Tuy nhiên vẫn còn nhiều cột không có sắp xếp: Tên DN, Lĩnh vực PL, Kênh tiếp nhận, Người xử lý / Tổ chức, Cảnh báo SLA. Bấm tiêu đề các cột này không đổi thứ tự danh sách.
- Theo SRS FR-V.I-01 (UC51) §Quy tắc tương tác: danh sách phải hỗ trợ sort theo từng cột.
- Verify: cbnv_tw, màn Vụ việc HTPL &gt; Danh sách. Bug ID: BUG-QLTNVV_08.</t>
  </si>
  <si>
    <t>NHSYC_02</t>
  </si>
  <si>
    <t>Kiểm tra hiển thị các trường thông tin trong form nhập thủ công</t>
  </si>
  <si>
    <t>1. Chọn menu "Vụ việc HTPL"
2. Bấm nút "Nhập thủ công"</t>
  </si>
  <si>
    <t xml:space="preserve">- Hệ thống hiển thị các trường thông tin và placeholder giống với thiết kế
- Dữ liệu hiển thị đúng định dạng và trường thông tin
- Dữ liệu hiển thị không bị tràn/đè lên nhau, đồng nhất ngôn ngữ hiển thị
</t>
  </si>
  <si>
    <t>- Nhóm 1 — Thông tin Doanh nghiệp hiển thị trường thông tin không giống với thiết kế
- Nhóm 2- Nội dung yêu cầu:
+"Loại hình hỗ trợ" theo thiết kế có 4 giá trị nhưng hệ thống hiển thị 6 giá trị
+"Lĩnh vực pháp lý"  theo thiết kế có 8 giá trị nhưng hệ thống hiển thị 7 giá trị, thiếu giá trị "Khác"
+Nội dung vụ việc/vướng mắc đang là 2 trường thông tin riêng, theo thiết kế là 1 trường thông tin
+Thiếu trường thông tin "Thời điểm phát sinh"
- Nhóm 3 — Tài liệu Đính kèm thiếu trường thông tin "Hướng dẫn hồ sơ cần nộp"
- Nhóm 4 — Thông tin Tiếp nhận: thiếu trường thông tin "Ngày tiếp nhận", "Ghi chú tiếp nhận" và "Kênh tiếp nhận" giá trị không đúng với thiết kế</t>
  </si>
  <si>
    <r>
      <rPr>
        <rFont val="Times New Roman"/>
        <color rgb="FF1155CC"/>
        <sz val="13.0"/>
        <u/>
      </rPr>
      <t>NHSYC_02.webm</t>
    </r>
  </si>
  <si>
    <t>BA chốt 16/07/2026 cho 8 ý phụ của case — KHÔNG ý nào là lỗi Dev:
- Ý 1 (nhóm Thông tin DN — 13 trường hay hộp thoại 2 trường): SRS tự mâu thuẫn. Phần mềm làm ĐÚNG quyết định BA 30/05/2026 (hộp thoại tạo DN, 2 trường bắt buộc: mã số thuế + tên DN; 15 trường còn lại tùy chọn — srs-fr-05:312, :1668). → BA DỌN SRS: xóa 13 dòng nhập thẳng :1666-1678.
- Ý 2 (Kênh tiếp nhận — 3 hay 5 giá trị): SRS tự mâu thuẫn (:319 ghi 3, :1690 ghi 5). Phần mềm làm 3 → ĐÚNG. → BA DỌN SRS: giữ 3, sửa :1690. Lý do: "Dịch vụ công" và "Hệ thống khác" là kênh tự động, cán bộ không thể nhập tay rồi khai hồ sơ đến từ Dịch vụ công.
- Ý 3 (Loại hình hỗ trợ) &amp; Ý 4 (Lĩnh vực pháp lý): KHÔNG phải lỗi — là DANH MỤC CẤU HÌNH ĐƯỢC (FK → DANH_MUC, :315/:1683, :316/:1682), giá trị hiển thị do cấu hình chứ không cứng trong code. Đơn vị vận hành tự cấu hình qua chức năng quản trị danh mục. BA sẽ ban hành danh mục chuẩn để nạp (và chốt Lĩnh vực pháp lý có giá trị "Khác" hay không).
- Ý 5 (gộp "Nội dung yêu cầu" + "Vướng mắc"): KHÔNG gộp — là 2 trường riêng, ý nghĩa khác nhau (:317-318, :1681, :1684). Phần mềm đúng.
- Ý 6 (thêm "Thời điểm phát sinh"): SRS chưa có → nếu có nhu cầu thật thì nêu rõ mục đích sử dụng, đưa vào yêu cầu cải tiến. Lưu ý không dùng để tính thời hạn — thời hạn tính từ ngày tiếp nhận (:338).
- Ý 7 (thêm "Hướng dẫn hồ sơ cần nộp"): yêu cầu chưa rõ (không nêu nội dung / tĩnh hay động / ai nhập) → cần làm rõ trước.
- Ý 8 (thêm ô "Ghi chú tiếp nhận" ở nhóm 4): KHÔNG thêm — form đã có ô "Ghi chú" dùng chung ở nhóm 2 (:1685), thêm nữa là trùng lặp. Phần mềm đúng.
⚠️ GIỮ status dev done: ý chính của case (thiếu trường "Ngày tiếp nhận") là lỗi thật — đã log BUG-NHSYC_02, vẫn đang chờ Dev.</t>
  </si>
  <si>
    <t>NHSYC_05</t>
  </si>
  <si>
    <t>Kiểm tra giới hạn ký tự nhập các trường thông tin</t>
  </si>
  <si>
    <t>1. Chọn menu "Vụ việc HTPL"
2. Bấm nút "Nhập thủ công"
3. Kiểm tra giới hạn ký tự nhập</t>
  </si>
  <si>
    <t>Hệ thống giới hạn số lượng ký tự nhập các trường thông tin theo thiết kế hoặc hiển thị cảnh báo:
- Nội dung vụ việc tối đa 10.000 ký tự</t>
  </si>
  <si>
    <t>Nội dung vụ việc hệ thống cho phép tối đa 50.000 ký tự</t>
  </si>
  <si>
    <r>
      <rPr>
        <rFont val="Times New Roman"/>
        <color rgb="FF1155CC"/>
        <sz val="13.0"/>
        <u/>
      </rPr>
      <t>NHSYC_05.jpg</t>
    </r>
  </si>
  <si>
    <t>✅ Bug ĐÚNG – chuyển dev.
- Web sai: trường "Nội dung yêu cầu" trên form Nhập thủ công đang khai trần 50.000 ký tự (bộ đếm hiển thị "0 / 50000", thuộc tính maxlength = 50000). Nhập thử 10.050 ký tự — hệ thống vẫn nhận, bộ đếm hiện "10050 / 50000" và KHÔNG hiển thị bất kỳ thông báo lỗi nào.
- Theo SRS FR-V.I-04 (UC54) §Inputs #6 (srs-fr-05-vu-viec.md dòng 317): noi_dung_yeu_cau "max 10.000 ký tự"; SCR-V.I-02 §Thành phần màn hình dòng 1681 cũng ghi "Bắt buộc. Tối đa 10.000 ký tự" ⇒ hệ thống phải giới hạn 10.000 ký tự, hoặc hiển thị cảnh báo khi vượt.
- Verify: tài khoản cbnv_tw (CB Nghiệp vụ - Trung ương), màn Vụ việc HTPL &gt; Nhập thủ công (/vu-viec/tao-moi), ngày 12/07/2026.
- Bug ID: BUG-NHSYC_05.</t>
  </si>
  <si>
    <t>NHSYC_06</t>
  </si>
  <si>
    <t>Tệp đính kèm vi phạm quy định</t>
  </si>
  <si>
    <t>1. Chọn menu "Vụ việc HTPL"
2. Bấm nút "Nhập thủ công"
3. Tệp đính kèm vi phạm quy định
4. Nhấn Lưu &amp;Gửi duyệt</t>
  </si>
  <si>
    <t>Hệ thống dừng gửi và hiển thị thông báo "Tệp vượt quá dung lượng/số lượng cho phép hoặc sai định dạng".</t>
  </si>
  <si>
    <t xml:space="preserve">Chú thích hiển thị trên prototype: "PDF, DOC, DOCX, XLS, XLSX — Tối đa 20MB/file". </t>
  </si>
  <si>
    <r>
      <rPr>
        <rFont val="Times New Roman"/>
        <color rgb="FF1155CC"/>
        <sz val="13.0"/>
        <u/>
      </rPr>
      <t>NHSYC_06.jpg</t>
    </r>
  </si>
  <si>
    <t>Theo SRS quy định bổ sung: tổng dung lượng tối đa 100 MB, tối đa 10 tệp</t>
  </si>
  <si>
    <t>BA chốt 16/07/2026 cho ý "danh sách định dạng tệp" — DỌN SRS + 1 việc cho Dev:
- Không chấm được Dev theo SRS cũ vì SRS ghi 3 danh sách KHÁC NHAU ở 3 chỗ: :320 = PDF/DOC/DOCX/JPG/PNG; :1687 = doc/docx/xls/xlsx/pdf; :180 = PDF/DOC/DOCX/XLS/XLSX. Phần mềm lấy hợp của cả 3 rồi thêm .gif (không có ở dòng SRS nào).
- BA chốt MỘT danh sách: PDF · DOC · DOCX · XLS · XLSX (tài liệu) và JPG · PNG (ảnh chụp giấy tờ). BỎ .gif — ảnh động không phải tài liệu pháp lý. BA đồng bộ cả 3 dòng SRS (:180, :320, :1687) → Dev bỏ .gif.
- Kèm: trần TỔNG 100MB hiện không hiện trên màn hình → phải hiển thị, vì người dùng không thể tuân theo giới hạn họ không được biết.
⚠️ GIỮ status dev done: ý chính của case (vượt 10 tệp và vượt 100MB không báo lỗi) là lỗi thật — đã log BUG-NHSYC_06, vẫn đang chờ Dev.</t>
  </si>
  <si>
    <t>NHSYC_07</t>
  </si>
  <si>
    <t>Kiểm tra chức năng Lưu nháp</t>
  </si>
  <si>
    <t>1. Chọn menu "Vụ việc HTPL"
2. Bấm nút "Nhập thủ công"
3. Nhập thông tin và nhấn Lưu nháp</t>
  </si>
  <si>
    <t>- Sinh mã hồ sơ theo quy tắc VV-{mã tỉnh}-{YYYYMMDD}-{số thứ tự}.
- Lưu hồ sơ ở trạng thái "Mới tạo" để doanh nghiệp tiếp tục chỉnh sửa sau.
- Hệ thống hiển thị thông báo "Đã lưu nháp hồ sơ" và giữ nguyên màn hình để người dùng tiếp tục nhập.</t>
  </si>
  <si>
    <t>- Hệ thống hiển thị kiểm tra bắt buộc nhập khi nhấn Lưu nháp
- Hệ thống không giữ nguyên màn hình để người dùng tiếp tục nhập sau khi Lưu nháp thành công.</t>
  </si>
  <si>
    <r>
      <rPr>
        <rFont val="Times New Roman"/>
        <color rgb="FF1155CC"/>
        <sz val="13.0"/>
        <u/>
      </rPr>
      <t>NHSYC_07.webm</t>
    </r>
  </si>
  <si>
    <t>❌ BA chốt: KHÔNG phải lỗi ở cả 2 ý — phần mềm đúng SRS.
- Ý 1 (Lưu nháp có bắt nhập đủ trường không): giữ nguyên hành vi hiện tại. SRS không quy định lưu nháp phải nới lỏng kiểm tra → phần mềm vẫn kiểm tra các trường bắt buộc là chấp nhận được. Muốn nới lỏng để lưu nháp chỉ cần vài trường định danh → là yêu cầu cải tiến, trao đổi BA.
- Ý 2 (lưu xong ở lại form hay chuyển trang): phần mềm chuyển sang trang chi tiết — ĐÚNG SRS (srs-fr-05:342). Kỳ vọng "ở lại form" là trái đặc tả.
- 2/3 ý Expected còn lại đã đạt: sinh mã đúng quy tắc, lưu trạng thái "Mới tạo". Đề nghị cập nhật lại Kết quả mong đợi của test case.</t>
  </si>
  <si>
    <t>NHSYC_08</t>
  </si>
  <si>
    <t>Hủy khi đã nhập dữ liệu</t>
  </si>
  <si>
    <t>1. Chọn menu "Vụ việc HTPL"
2. Bấm nút "Nhập thủ công"
3. Nhập thông tin và nhấn Hủy</t>
  </si>
  <si>
    <t>Hệ thống hiển thị xác nhận "Bạn có chắc chắn muốn hủy? Dữ liệu đã nhập sẽ không được lưu". Nếu người dùng đồng ý, hệ thống chuyển trang; nếu không, giữ nguyên màn hình.</t>
  </si>
  <si>
    <t>Hệ thống không hiển thị xác nhận</t>
  </si>
  <si>
    <r>
      <rPr>
        <rFont val="Times New Roman"/>
        <color rgb="FF1155CC"/>
        <sz val="13.0"/>
        <u/>
      </rPr>
      <t>NHSYC_08.webm</t>
    </r>
  </si>
  <si>
    <t>✅ BA duyệt 16/07/2026 — chuyển Dev FE.
- Bổ sung hộp thoại xác nhận khi rời form còn dữ liệu chưa lưu. Hiện bấm "Hủy" là về danh sách ngay, không hỏi gì, dữ liệu form 4 nhóm mất luôn.
- Căn cứ: SRS im lặng ở module Vụ việc (:1695), nhưng hai module cùng sản phẩm đang hành xử KHÁC NHAU ở cùng một thao tác — module Tư vấn viên ĐÃ CÓ hộp thoại xác nhận ("Ở lại"), module Vụ việc thì chưa.
- BA chuẩn hóa thành QUY ƯỚC CHUNG trong SRS (cạnh UI-04), áp mọi module.
- Verify lại: nhập dở form → bấm Hủy → hiện hộp thoại xác nhận, chọn ở lại thì giữ nguyên dữ liệu.</t>
  </si>
  <si>
    <t>KTHSYCHTPL_02</t>
  </si>
  <si>
    <t>Kiểm tra hiển thị vùng tiêu đề và thanh tiến trình</t>
  </si>
  <si>
    <t>1. Đăng nhập tài khoản 
2. Hồ sơ vụ việc đang ở trạng thái "Đã tiếp nhận" hoặc "Đang kiểm tra".</t>
  </si>
  <si>
    <t xml:space="preserve">1. Chọn menu "Vụ việc HTPL"
2. Tìm kiếm và nhấn Xem chi tiết
</t>
  </si>
  <si>
    <t xml:space="preserve">-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
</t>
  </si>
  <si>
    <t>- Các bước đã hoàn thành không có dấu tích
- Mức cảnh báo quá hạn không giống với thiết kế</t>
  </si>
  <si>
    <r>
      <rPr>
        <rFont val="Times New Roman"/>
        <color rgb="FF1155CC"/>
        <sz val="13.0"/>
        <u/>
      </rPr>
      <t>KTHSYCHTPL_02.webm</t>
    </r>
  </si>
  <si>
    <t>- Đề nghị chỉnh sửa hiển thị đối với các cảnh báo quá hạn(hiện tại cảnh báo quá hạn nhấp nháy và màu chữ gần như chìm vào nền, rất khó nhìn)</t>
  </si>
  <si>
    <t>✅ Bug ĐÚNG – chuyển dev. Cả 2 ý đối tác nêu đều là lỗi thật.
- Ý 1 – Các bước đã hoàn thành không có dấu tích: ở màn Chi tiết vụ việc, thanh tiến trình chỉ vẽ bước đã hoàn thành bằng chấm tròn, không có dấu ✓. Theo SRS FR-V.I-07 (UC57) §SCR-V.I-03 – Thanh tiến trình (srs-fr-05-vu-viec.md dòng 1718): "Bước hiện tại nổi bật, hoàn thành có dấu ✓". Đã verify đúng vai trò/trạng thái đối tác: CB_NV_TW, vụ việc VV-BTP-TW-20260712-003 ở trạng thái "Đã tiếp nhận". Bug ID: BUG-KTHSYCHTPL_02.
- Ý 2 – Mức cảnh báo quá hạn không giống thiết kế: đã tái hiện được. Ở mức "Quá hạn nghiêm trọng" (đã dùng quá 200% thời hạn), thẻ cảnh báo tự nhấp nháy liên tục không dừng; đo thực tế độ đậm của thẻ dao động 1.0 → 0.20 → 1.0 mỗi giây, tại đáy nhịp thẻ chỉ còn khoảng 20% độ đậm nên chữ trắng gần như chìm hẳn vào nền trang, rất khó đọc – đúng như đối tác mô tả. Theo SRS FR-V.I-07 (UC57) §SCR-V.I-01 – Mức cảnh báo thời hạn (srs-fr-05-vu-viec.md dòng 1494-1501) và BR-SLA-02 (dòng 2416): 4 mức cảnh báo chỉ được phân biệt bằng MÀU (Xanh lá / Vàng / Đỏ / Đen), không quy định hiệu ứng nhấp nháy hay làm mờ. Mức "Quá hạn" (nền đỏ) đang hiển thị đúng thiết kế, chỉ mức "Quá hạn nghiêm trọng" bị lỗi. Bug ID: BUG-KTHSYCHTPL_02b.
- Ghi nhận thêm cho dev: ngưỡng của các mức cảnh báo đang bị cố định cứng trong giao diện (50% / 100% / 200%) thay vì đọc từ màn Cấu hình hệ thống, nên quản trị viên đổi "Ngưỡng cảnh báo 1/2" hay "Hệ số quá hạn" thì giao diện không đổi theo – trái SRS dòng 1646.
- Cách verify ý 2: hệ thống hiện không có đường nào tạo được vụ việc quá hạn (hạn xử lý luôn do máy chủ tự tính từ ngày tiếp nhận; không màn hình/API nào cho nhập hoặc lùi ngày). Vì vậy giữ nguyên vụ việc thật và hạn thật do máy chủ sinh (VV-STP-AG-20260712-001/-002, tiếp nhận 12/07/2026, hạn 31/07/2026), chỉ tua đồng hồ máy trạm tới sau hạn – đúng như người dùng thật mở màn hình vào ngày đó. Đã chụp ảnh cả 2 pha của hiệu ứng nhấp nháy.</t>
  </si>
  <si>
    <t>KTHSYCHTPL_03</t>
  </si>
  <si>
    <t xml:space="preserve">Kiểm tra hiển thị Nhóm 1 — Thông tin Doanh nghiệp </t>
  </si>
  <si>
    <t xml:space="preserve">- Hệ thống hiển thị các trường thông tin giống với thiết kế, chỉ đọc
- Dữ liệu hiển thị đúng định dạng và trường thông tin, dữ liệu là giá trị hiện tại
- Dữ liệu hiển thị không bị tràn/đè lên nhau, đồng nhất ngôn ngữ hiển thị
</t>
  </si>
  <si>
    <t>- Hệ thống không hiển thị thông tin Doanh nghiệp mặc dù tồn tại dữ liệu phù hợp
- Hiển thị thiếu các trường thông tin: Tỉnh/Thành, Loại doanh nghiệp, Quy mô doanh nghiệp, Người đại diện, Số điện thoại</t>
  </si>
  <si>
    <r>
      <rPr>
        <rFont val="Times New Roman"/>
        <color rgb="FF1155CC"/>
        <sz val="13.0"/>
        <u/>
      </rPr>
      <t>KTHSYCHTPL_03.webm</t>
    </r>
  </si>
  <si>
    <t>✅ Bug ĐÚNG – chuyển dev. Cả 2 ý đều tái hiện.
- Ý 1 – không hiển thị dữ liệu: nhóm "Thông tin Doanh nghiệp" in "—" ở cả Tên doanh nghiệp, Mã số thuế, Địa chỉ, Email, dù doanh nghiệp liên kết đã có đủ dữ liệu (đã tự nhập và lưu lại: tên, mã số thuế, địa chỉ, người đại diện, điện thoại, email; danh sách vụ việc vẫn hiện đúng tên doanh nghiệp).
- Ý 2 – thiếu trường: nhóm chỉ có 4 trường theo SRS (Tên DN, Mã số thuế, Địa chỉ, Email), thiếu 5 trường Tỉnh/Thành, Loại doanh nghiệp, Quy mô doanh nghiệp, Người đại diện, Số điện thoại; thiếu liên kết sang màn chi tiết doanh nghiệp; đồng thời thừa 1 trường không có trong SRS là "Người tiếp nhận".
- Theo SRS: FR-V.I-07 (UC57) §SCR-V.I-03 – Thành phần row 4 "Accordion 1 — Thông tin DN" (srs-fr-05-vu-viec.md dòng 1719): phải hiển thị đủ ten_doanh_nghiep, ma_so_thue, dia_chi, tinh_thanh, loai_dn, quy_mo, nguoi_dai_dien, email, SDT + link sang chi tiết DN. Điều kiện hiển thị: Luôn.
- Đã verify đúng vai trò và trạng thái của đối tác: tài khoản Cán bộ Nghiệp vụ Trung ương (CB_NV_TW), vụ việc VV-BTP-TW-20260712-003 ở trạng thái "Đang kiểm tra".
- Bug ID: BUG-KTHSYCHTPL_03.</t>
  </si>
  <si>
    <t>KTHSYCHTPL_04</t>
  </si>
  <si>
    <t>Kiểm tra hiển thị Nhóm 2 — Nội dung Yêu cầu</t>
  </si>
  <si>
    <t>Tên trường thông tin "Thời hạn xử lý" đang là ngôn ngữ tiếng Anh</t>
  </si>
  <si>
    <r>
      <rPr>
        <rFont val="Times New Roman"/>
        <color rgb="FF1155CC"/>
        <sz val="13.0"/>
        <u/>
      </rPr>
      <t>KTHSYCHTPL_04.jpg</t>
    </r>
  </si>
  <si>
    <t>🐞 BA chốt 16/07/2026: LÀ LỖI — BA sửa SRS rồi chuyển Dev.
- Nhãn "Deadline" vi phạm quy ước UI-06 "tiếng Việt là ngôn ngữ duy nhất", không ngoại lệ (srs-v3.5.md:573). Đây là nhãn tiếng Anh duy nhất trong nhóm (6 nhãn còn lại đều tiếng Việt). Đổi thành "Thời hạn xử lý".
- ĐỒNG THỜI sửa SRS srs-fr-05:1637-1638 ("Deadline SLA" → "Thời hạn xử lý", "Cảnh báo SLA" → "Cảnh báo thời hạn") để áp thống nhất cả màn danh sách lẫn màn chi tiết — nếu không, BUG-QLTNVV_02 sẽ kéo Dev về hướng ngược lại làm 2 màn lệch nhau.
- Verdict đổi từ "BA confirm" sang Open.
- Verify lại: màn chi tiết vụ việc hiện "Thời hạn xử lý"; màn danh sách dùng cùng nhãn.</t>
  </si>
  <si>
    <t>Kiểm tra nút chức năng Hoàn tất kiểm tra khi chọn kết luận Đạt</t>
  </si>
  <si>
    <t>1. Đăng nhập tài khoản 
2. Hồ sơ vụ việc đang ở trạng thái "Đang kiểm tra", đã đánh dấu đủ 6 hạng mục trong danh sách kiểm tra.</t>
  </si>
  <si>
    <t>1. Chọn menu "Vụ việc HTPL"
2. Tìm kiếm và nhấn Xem chi tiết
3. Bấm nút "Hoàn tất kiểm tra", chọn kết luận Đạt</t>
  </si>
  <si>
    <t>- Hệ thống chuyển trạng thái hồ sơ: "Đang kiểm tra" → "Đã phân công" 
- Ghi người kiểm tra và thời điểm kiểm tra</t>
  </si>
  <si>
    <t>Màn hình không hiển thị nút chức năng "Hoàn tất kiểm tra" mà hiển thị nút chức năng Kiểm tra lại</t>
  </si>
  <si>
    <r>
      <rPr>
        <rFont val="Times New Roman"/>
        <color rgb="FF1155CC"/>
        <sz val="13.0"/>
        <u/>
      </rPr>
      <t>KTHSYCHTPL_11.jpg</t>
    </r>
  </si>
  <si>
    <t>❌ Ý "kết luận Đạt có chuyển ngay Đã phân công không" — BA chốt 16/07/2026: phần mềm ĐÚNG, dọn SRS.
- Giữ luồng phần mềm: kết luận Đạt + phải CHỌN NGƯỜI XỬ LÝ thì mới sang "Đã phân công". Đúng nghiệp vụ — không thể "Đã phân công" khi chưa có ai được phân công.
- SRS tự mâu thuẫn: bảng nút ghi "Đạt → Đã phân công" ngay (srs-fr-05:1736); bảng chuyển trạng thái ghi "Đạt + phải chọn người xử lý" mới chuyển (:2280). Phần mềm theo :2280. → BA DỌN SRS: sửa dòng 1736 cho khớp :2280.
- Gợi ý kèm: đổi nhãn nút thành [Kiểm tra lại] cho rõ nghĩa "sửa lại kết quả kiểm tra".
⚠️ GIỮ status dev done: ý chính của case (không ghi người/ngày kiểm tra) là lỗi thật — đã log BUG-KTHSYCHTPL_11, đang Reopen, vẫn chờ Dev.</t>
  </si>
  <si>
    <t>KTHSYCHTPL_15</t>
  </si>
  <si>
    <t>Cán bộ nghiệp vụ không thuộc cùng đơn vị với hồ sơ</t>
  </si>
  <si>
    <t>1. Đăng nhập tài khoản 
2. Hồ sơ vụ việc đang ở trạng thái "Đang kiểm tra"</t>
  </si>
  <si>
    <t>1. Chọn menu "Vụ việc HTPL"
2. Tìm kiếm và nhấn Xem chi tiết
3. Bấm nút "Hoàn tất kiểm tra", chọn kết luận Không đạt</t>
  </si>
  <si>
    <t>Hệ thống hiển thị thông báo "Bạn không có quyền kiểm tra vụ việc của đơn vị khác".</t>
  </si>
  <si>
    <t>Hệ thống hiển thị thông báo "Đơn vị của người phê duyệt khác đơn vị của bản ghi"</t>
  </si>
  <si>
    <r>
      <rPr>
        <rFont val="Times New Roman"/>
        <color rgb="FF1155CC"/>
        <sz val="13.0"/>
        <u/>
      </rPr>
      <t>KTHSYCHTPL_15.jpg</t>
    </r>
  </si>
  <si>
    <t>✅ Bug ĐÚNG – chuyển dev (phần nội dung thông báo).
- Phần hệ thống làm ĐÚNG: có chặn thật — vụ việc giữ nguyên trạng thái "Đã tiếp nhận", cán bộ khác đơn vị không kiểm tra được. Đúng FR-V.I-06 (UC56) §Processing bước 1 (srs-fr-05-vu-viec.md dòng 533: kiểm tra quyền + phân quyền theo đơn vị, BR-AUTH-01).
- Phần SAI: nội dung thông báo. Web hiện thông báo "Đơn vị của người phê duyệt khác đơn vị của bản ghi" — (1) gọi người đang thao tác là "người phê duyệt" trong khi thao tác là KIỂM TRA HỒ SƠ do Cán bộ Nghiệp vụ thực hiện, không có bước phê duyệt nào; (2) dùng từ kỹ thuật "bản ghi"; (3) không cho biết người dùng không có quyền gì; (4) thông báo hiển thị LẶP 2 LẦN cho 1 lần thao tác.
- Theo SRS: FR-V.I-06 (UC56) §SCR-V.I-03 – Thông báo người dùng chung (srs-fr-05-vu-viec.md dòng 1577): khi không có quyền, hệ thống phải hiển thị thông báo theo mẫu "Bạn không có quyền thực hiện thao tác này". Các chức năng khác cùng module đều theo mẫu nêu rõ hành động bị chặn, ví dụ dòng 773: "Bạn không có quyền phân công VV của đơn vị khác". Kỳ vọng của đối tác khớp với mẫu này.
- Đã verify đúng vai trò và tình huống của đối tác: tự tạo vụ việc VV-STP-AG-20260712-002 bằng tài khoản Cán bộ Nghiệp vụ Địa phương (An Giang), rồi đăng nhập Cán bộ Nghiệp vụ Trung ương (CB_NV_TW) thao tác lên vụ việc đó — đúng tình huống cán bộ khác đơn vị với hồ sơ.
- Bug ID: BUG-KTHSYCHTPL_15.</t>
  </si>
  <si>
    <t>KTHSYCHTPL_16</t>
  </si>
  <si>
    <t xml:space="preserve">Kiểm tra hiển thị Nhóm 5 — Phân công Người hỗ trợ </t>
  </si>
  <si>
    <t xml:space="preserve">1. Chọn menu "Vụ việc HTPL"
2. Tìm kiếm và nhấn Xem chi tiết
</t>
  </si>
  <si>
    <t xml:space="preserve">Chỉ hiển thị khi hồ sơ đã qua trạng thái "Đã phân công" </t>
  </si>
  <si>
    <t>Hệ thống hiển thị Nhóm 5 ở các bản ghi không phải trạng thái "Đã phân công"</t>
  </si>
  <si>
    <r>
      <rPr>
        <rFont val="Times New Roman"/>
        <color rgb="FF1155CC"/>
        <sz val="13.0"/>
        <u/>
      </rPr>
      <t>KTHSYCHTPL_16.jpg</t>
    </r>
  </si>
  <si>
    <t>✅ Bug ĐÚNG – chuyển dev.
- Web hiện tại: vụ việc VV-STP-AG-20260712-002 đang ở trạng thái "Đã tiếp nhận" (chưa phân công, chưa xử lý, chưa duyệt, chưa đánh giá) nhưng nhóm "Phân công Người hỗ trợ / Tư vấn viên" VẪN hiển thị trên màn Chi tiết vụ việc — hiển thị bảng Lĩnh vực / Đơn vị quản lý / NHT-TVV phụ trách (giá trị trống) và bảng Tư vấn viên rỗng.
- Theo SRS: FR-V.I-07 (UC57) §SCR-V.I-03 – Thành phần màn hình row 8 (Accordion 5 — Phân công xử lý) (srs-fr-05-vu-viec.md dòng 1723), cột "Điều kiện hiển thị": chỉ hiển thị khi vụ việc đã qua trạng thái "Đã phân công".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BUG-KTHSYCHTPL_16.</t>
  </si>
  <si>
    <t>KTHSYCHTPL_17</t>
  </si>
  <si>
    <t xml:space="preserve">Kiểm tra hiển thị Nhóm 6 — Kết quả Hỗ trợ </t>
  </si>
  <si>
    <t xml:space="preserve">Chỉ hiển thị khi hồ sơ đã qua trạng thái "Đang xử lý" </t>
  </si>
  <si>
    <t>Hệ thống hiển thị Nhóm 6 ở các bản ghi không phải trạng thái "Đang xử lý"</t>
  </si>
  <si>
    <r>
      <rPr>
        <rFont val="Times New Roman"/>
        <color rgb="FF1155CC"/>
        <sz val="13.0"/>
        <u/>
      </rPr>
      <t>KTHSYCHTPL_17.jpg</t>
    </r>
  </si>
  <si>
    <t>✅ Bug ĐÚNG – chuyển dev.
- Web hiện tại: vụ việc VV-STP-AG-20260712-002 đang ở trạng thái "Đã tiếp nhận" (chưa phân công, chưa xử lý, chưa duyệt, chưa đánh giá) nhưng nhóm "Kết quả hỗ trợ" VẪN hiển thị trên màn Chi tiết vụ việc — hiển thị với nội dung "Chưa có kết quả hỗ trợ".
- Theo SRS: FR-V.I-07 (UC57) §SCR-V.I-03 – Thành phần màn hình row 9 (Accordion 6 — Kết quả Hỗ trợ) (srs-fr-05-vu-viec.md dòng 1724), cột "Điều kiện hiển thị": chỉ hiển thị khi vụ việc đã qua trạng thái "Đang xử lý".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BUG-KTHSYCHTPL_17.</t>
  </si>
  <si>
    <t>KTHSYCHTPL_18</t>
  </si>
  <si>
    <t xml:space="preserve">Kiểm tra hiển thị Nhóm 7 — Phê duyệt </t>
  </si>
  <si>
    <t xml:space="preserve">Chỉ hiển thị khi hồ sơ đã qua trạng thái "Chờ phê duyệt" </t>
  </si>
  <si>
    <t>Hệ thống hiển thị Nhóm 7 ở các bản ghi không phải trạng thái "Chờ phê duyệt"</t>
  </si>
  <si>
    <r>
      <rPr>
        <rFont val="Times New Roman"/>
        <color rgb="FF1155CC"/>
        <sz val="13.0"/>
        <u/>
      </rPr>
      <t>KTHSYCHTPL_18.jpg</t>
    </r>
  </si>
  <si>
    <t>✅ Bug ĐÚNG – chuyển dev.
- Web hiện tại: vụ việc VV-STP-AG-20260712-002 đang ở trạng thái "Đã tiếp nhận" (chưa phân công, chưa xử lý, chưa duyệt, chưa đánh giá) nhưng nhóm "Phê duyệt" VẪN hiển thị trên màn Chi tiết vụ việc — hiển thị với nội dung "Chưa có thông tin".
- Theo SRS: FR-V.I-07 (UC57) §SCR-V.I-03 – Thành phần màn hình row 10 (Accordion 7 — Phê duyệt) (srs-fr-05-vu-viec.md dòng 1725), cột "Điều kiện hiển thị": chỉ hiển thị khi vụ việc đã qua trạng thái "Chờ phê duyệt".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BUG-KTHSYCHTPL_18.</t>
  </si>
  <si>
    <t>KTHSYCHTPL_19</t>
  </si>
  <si>
    <t xml:space="preserve">Kiểm tra hiển thị Nhóm 8 — Đánh giá </t>
  </si>
  <si>
    <t xml:space="preserve">Chỉ hiển thị khi hồ sơ đã qua trạng thái "Hoàn thành" hoặc "Đã đánh giá" </t>
  </si>
  <si>
    <t>Hệ thống hiển thị Nhóm 8 ở các bản ghi không phải trạng thái "Hoàn thành" hoặc đã đánh giá</t>
  </si>
  <si>
    <r>
      <rPr>
        <rFont val="Times New Roman"/>
        <color rgb="FF1155CC"/>
        <sz val="13.0"/>
        <u/>
      </rPr>
      <t>KTHSYCHTPL_19.jpg</t>
    </r>
  </si>
  <si>
    <t>✅ Bug ĐÚNG – chuyển dev.
- Web hiện tại: vụ việc VV-STP-AG-20260712-002 đang ở trạng thái "Đã tiếp nhận" (chưa phân công, chưa xử lý, chưa duyệt, chưa đánh giá) nhưng nhóm "Đánh giá" VẪN hiển thị trên màn Chi tiết vụ việc — hiển thị với nội dung "Chưa có thông tin".
- Theo SRS: FR-V.I-07 (UC57) §SCR-V.I-03 – Thành phần màn hình row 11 (Accordion 8 — Đánh giá) (srs-fr-05-vu-viec.md dòng 1726), cột "Điều kiện hiển thị": chỉ hiển thị khi vụ việc ở trạng thái "Hoàn thành" hoặc "Đã đánh giá".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BUG-KTHSYCHTPL_19.</t>
  </si>
  <si>
    <t>QLHSVV_02</t>
  </si>
  <si>
    <t>Kiểm tra hiển thị nút chức năng chỉnh sửa</t>
  </si>
  <si>
    <t xml:space="preserve">1. Chọn menu "Vụ việc HTPL"
2. Kiểm tra hiển thị nút chức năng chỉnh sửa
</t>
  </si>
  <si>
    <t>- Các trạng thái cho phép chỉnh sửa nội dung: Mới tạo, Chờ tiếp nhận, Đã tiếp nhận, Đang kiểm tra, Yêu cầu bổ sung, Đang xử lý. 
- Các trạng thái Đã phân công, Chờ phê duyệt, Đã duyệt, Hoàn thành, Đã đánh giá, Từ chối — không cho phép chỉnh sửa nội dung (chỉ xem).</t>
  </si>
  <si>
    <t>- Các trạng thái: Đang xử lý, Đang kiểm tra không hiển thị nút chức năng cho phép sửa</t>
  </si>
  <si>
    <r>
      <rPr>
        <rFont val="Times New Roman"/>
        <color rgb="FF1155CC"/>
        <sz val="13.0"/>
        <u/>
      </rPr>
      <t>QLHSVV_01.jpg</t>
    </r>
  </si>
  <si>
    <t>✅ Bug ĐÚNG – chuyển dev.
- Web sai: trên danh sách "Vụ việc HTPL", vụ việc ở trạng thái "Đang kiểm tra" và "Đang xử lý" chỉ có nút Xem, KHÔNG có nút Sửa.
- Theo SRS FR-V.I-07 (UC57) §Processing bước 2 (srs-fr-05-vu-viec.md dòng 593): hệ thống chỉ CẤM chỉnh sửa khi vụ việc ở "Hoàn thành" và "Đã đánh giá"; các trạng thái còn lại (gồm "Đang kiểm tra", "Đang xử lý") PHẢI cho phép chỉnh sửa. SCR-V.I-01 thành phần #21 (dòng 1631) cũng quy định cột "Hành động" luôn có Xem / Sửa / Xóa.
- Verify: tài khoản CB Nghiệp vụ - Địa phương (CB_NV_DP), đơn vị Sở Tư pháp An Giang, ngày 12/07/2026. Đã tạo đủ dữ liệu 3 trạng thái để đối chiếu trên cùng màn hình: VV-STP-AG-20260712-003 (Đang xử lý) và VV-STP-AG-20260712-001 (Đang kiểm tra) đều KHÔNG có nút Sửa; VV-STP-AG-20260712-002 (Đã tiếp nhận) có nút Sửa.
- Bug ID: BUG-QLHSVV_02</t>
  </si>
  <si>
    <t>QLHSVV_03</t>
  </si>
  <si>
    <t>Kiểm tra form chỉnh sửa</t>
  </si>
  <si>
    <t>1. Đăng nhập tài khoản 
2. Tồn tại bản ghi được phép chỉnh sửa</t>
  </si>
  <si>
    <t xml:space="preserve">1. Chọn menu "Vụ việc HTPL"
2. Tìm kiếm và nhấn nút Chỉnh sửa tại dòng bản ghi
</t>
  </si>
  <si>
    <t>Mở Nhóm 2 "Nội dung yêu cầu" và chỉnh sửa trực tiếp các trường: Tiêu đề, Nội dung vụ việc / Vướng mắc, Lĩnh vực pháp lý, Loại hình hỗ trợ, Ghi chú.</t>
  </si>
  <si>
    <t>Hệ thống không cho phép chỉnh sửa Lĩnh vực, Loại hình và Ghi chú</t>
  </si>
  <si>
    <r>
      <rPr>
        <rFont val="Times New Roman"/>
        <color rgb="FF1155CC"/>
        <sz val="13.0"/>
        <u/>
      </rPr>
      <t>QLHSVV_03.jpg</t>
    </r>
  </si>
  <si>
    <t>✅ Bug ĐÚNG – chuyển dev.
- Web sai: biểu mẫu chỉnh sửa vụ việc (Nhóm 2 "Nội dung yêu cầu") chỉ cho nhập 3 trường Tiêu đề, Nội dung yêu cầu, Vướng mắc. Lĩnh vực và Loại hình bị khóa (in ra chữ tĩnh, không phải danh sách chọn); trường Ghi chú KHÔNG có trong biểu mẫu.
- Theo SRS FR-V.I-07 (UC57) §Inputs (srs-fr-05-vu-viec.md dòng 586): "ghi_chu" là trường nhập hợp lệ của chức năng chỉnh sửa vụ việc → phải cho sửa. Theo SCR-V.I-01 thành phần #21 (dòng 1631), nút Sửa phải mở biểu mẫu MH-05.2; tại MH-05.2 (SCR-V.I-02, dòng 1673-1676) thì Lĩnh vực pháp luật và Loại hình hỗ trợ là danh sách chọn bắt buộc, Ghi chú là ô nhập → cả 3 trường đều phải sửa được.
- Verify: tài khoản CB Nghiệp vụ - Trung ương (CB_NV_TW) — đúng vai trò đối tác dùng, ngày 12/07/2026, vụ việc VV-BTP-TW-20260712-006 ở trạng thái "Đã tiếp nhận" (trạng thái cho phép sửa), đã có sẵn Lĩnh vực + Loại hình.
- Bug ID: BUG-QLHSVV_03</t>
  </si>
  <si>
    <t>QLHSVV_05</t>
  </si>
  <si>
    <t>Thêm tài liệu</t>
  </si>
  <si>
    <t>1. Chọn menu "Vụ việc HTPL"
2. Tìm kiếm và nhấn nút Chỉnh sửa tại dòng bản ghi
3. Tệp hợp lệ</t>
  </si>
  <si>
    <t>Hệ thống thêm tệp vào danh sách và hiển thị thông báo "Đã tải lên {số tệp} tệp".</t>
  </si>
  <si>
    <t>Không có nút chức năng thêm tệp</t>
  </si>
  <si>
    <t>QLHSVV_05.jpg</t>
  </si>
  <si>
    <t>✅ Bug ĐÚNG – chuyển dev.
- Web sai: nhóm "Tài liệu đính kèm" trên màn chi tiết vụ việc chỉ có bảng danh sách + trạng thái rỗng "Chưa có tài liệu", KHÔNG có nút thêm tài liệu và không có vùng chọn/kéo thả tệp. Đã kiểm tra cả chế độ sửa (?mode=edit) lẫn chế độ xem — đều không có.
- Theo SRS SCR-V.I-03 §Thành phần màn hình #6 — Accordion 3 "Tài liệu Đính kèm" (srs-fr-05-vu-viec.md dòng 1721): nhóm này phải có nút [+ Thêm tài liệu], hiển thị khi vụ việc ở trạng thái cho phép sửa. FR-V.I-07 (UC57) §Inputs dòng 585 cũng quy định trường "file_bo_sung" (upload tài liệu bổ sung), §Processing bước 4 (dòng 595) "Lưu tài liệu bổ sung" và §Acceptance Criteria (dòng 625) "khi upload tài liệu bổ sung thì validate + lưu + ghi nhật ký".
- Verify: tài khoản CB Nghiệp vụ - Trung ương (CB_NV_TW) — đúng vai trò đối tác dùng, ngày 12/07/2026, vụ việc VV-BTP-TW-20260712-006 ở trạng thái "Đã tiếp nhận" (trạng thái cho phép sửa).
- Do chưa có nút thêm tệp nên chưa kiểm tra được thông báo "Đã tải lên {số tệp} tệp" trong Kết quả mong đợi — cần dev bổ sung chức năng trước.
- Bug ID: BUG-QLHSVV_05</t>
  </si>
  <si>
    <t>TKHSYCHTPL_02</t>
  </si>
  <si>
    <t>1. Chọn menu "Vụ việc HTPL"
2. Kiểm tra các trường thông tin tìm kiếm</t>
  </si>
  <si>
    <t>- Hệ thống hiển thị các trường thông tin giống với thiết kế
- Trạng thái mặc định cho phép chọn/nhập
- Textbox rỗng, Danh sách chọn mặc định là Tất cả</t>
  </si>
  <si>
    <t>Không hiển thị trường thông tin tìm kiếm theo "Đơn vị" đối với người dùng cấp Trung ương</t>
  </si>
  <si>
    <r>
      <rPr>
        <rFont val="Times New Roman"/>
        <color rgb="FF1155CC"/>
        <sz val="13.0"/>
        <u/>
      </rPr>
      <t>TKHSYCHTPL_02.jpg</t>
    </r>
  </si>
  <si>
    <t>✅ BA duyệt 16/07/2026 — chuyển Dev.
- Bổ sung bộ lọc "Đơn vị" vào màn danh sách vụ việc, CHỈ HIỆN với cấp Trung ương. Lý do: cho quyền xem toàn quốc mà không cho công cụ lọc là thiết kế chưa trọn; CB Bộ ngành / Địa phương đã bị giới hạn 1 đơn vị nên với họ trường lọc này vô nghĩa.
- Hiện thanh tìm kiếm có 6 trường (từ khóa, Lĩnh vực PL, Kênh tiếp nhận, Mức SLA, Trạng thái, Từ–Đến ngày) — đúng SRS (srs-fr-05:1622-1628, :645-652) nên trước đây không tính là lỗi; nay BA quyết bổ sung.
- Owner: BA bổ sung don_vi_id vào SCR-V.I-01 (:1622-1628) và FR-V.I-08 §Đầu vào (:645-652) → Dev FE + BE.
- Verify lại: đăng nhập cấp TW → có bộ lọc Đơn vị, lọc ra đúng vụ việc theo đơn vị; đăng nhập Bộ ngành/Địa phương → không thấy bộ lọc này.</t>
  </si>
  <si>
    <t>TKHSYCHTPL_04</t>
  </si>
  <si>
    <t>Tìm kiếm khoảng thời gian hợp lệ</t>
  </si>
  <si>
    <t>1. Chọn menu "Vụ việc HTPL"
2. Tìm kiếm khoảng thời gian hợp lệ</t>
  </si>
  <si>
    <t>Có kết quả, hệ thống hiển thị danh sách kết quả tìm kiếm, phân trang 20 bản ghi mỗi trang.</t>
  </si>
  <si>
    <t>Hệ thống hiển thị các bản ghi không đúng với tiêu chí tìm kiếm</t>
  </si>
  <si>
    <r>
      <rPr>
        <rFont val="Times New Roman"/>
        <color rgb="FF1155CC"/>
        <sz val="13.0"/>
        <u/>
      </rPr>
      <t>TKHSYCHTPL_04.jpg</t>
    </r>
  </si>
  <si>
    <t>❌ Không phải bug.
- Đối tác báo: tìm kiếm theo khoảng thời gian nhưng hệ thống hiển thị các bản ghi không đúng tiêu chí tìm kiếm.
- Đã verify đúng điều kiện (tài khoản Cán bộ Nghiệp vụ Trung ương, cùng chức năng Tìm kiếm hồ sơ vụ việc - UC58, dữ liệu có sẵn cả vụ việc trong khoảng lẫn ngoài khoảng lọc): lỗi KHÔNG tái hiện. Chạy 3 khoảng thời gian khác nhau, cả bằng cách điền 2 ô ngày rồi bấm Tìm kiếm lẫn mở thẳng đường dẫn có sẵn tham số:
   + Không lọc: 17 vụ việc.
   + Lọc 01/02/2026 - 31/03/2026: còn đúng 4 vụ việc (DDD-VV-003 ngày 01/02/2026; EEE-VH-011 ngày 01/02/2026; EEE-VH-012 ngày 01/03/2026; EEE-VH-013 ngày 01/03/2026). 13 vụ việc ngoài khoảng đều bị loại đúng.
   + Lọc gọn 1 ngày 01/03/2026: còn đúng 2 vụ việc, đều có Ngày tiếp nhận 01/03/2026.
- Lưu ý để đối tác đối chiếu: bộ lọc khoảng thời gian áp dụng cho cột "Ngày tiếp nhận", không áp dụng cho cột "Deadline thời hạn". Trong ảnh đối tác gửi, các dòng hiển thị đều có Ngày tiếp nhận nằm đúng trong khoảng đã lọc (08/05 - 14/05, khoảng lọc 08/05 - 18/05); ô được bôi đen 08/06/2026 là giá trị của cột "Deadline thời hạn" nên nằm ngoài khoảng lọc là đúng.
→ Đối tác kiểm tra lại. Nếu vẫn thấy bản ghi sai, vui lòng gửi mã vụ việc cụ thể kèm Ngày tiếp nhận của nó để kiểm tra lại.</t>
  </si>
  <si>
    <t>TKHSYCHTPL_06</t>
  </si>
  <si>
    <t>1. Đăng nhập tài khoản 
2. Không tồn tại bản ghi phù hợp với tiêu chí tìm kiếm</t>
  </si>
  <si>
    <t>1. Chọn menu "Vụ việc HTPL"
2. Tìm kiếm không có kết quả</t>
  </si>
  <si>
    <t>Không có kết quả, các trường dữ liệu để trống và hiển thị thông báo "Không tìm thấy hồ sơ phù hợp".</t>
  </si>
  <si>
    <t>Hệ thống hiển thị thông báo "Trống".</t>
  </si>
  <si>
    <r>
      <rPr>
        <rFont val="Times New Roman"/>
        <color rgb="FF1155CC"/>
        <sz val="13.0"/>
        <u/>
      </rPr>
      <t>TKHSYCHTPL_06.jpg</t>
    </r>
  </si>
  <si>
    <t>✅ Bug ĐÚNG – chuyển dev.
- Web sai: khi tìm kiếm không ra kết quả, vùng danh sách chỉ hiển thị biểu tượng rỗng kèm chữ "Trống". Người dùng dễ hiểu nhầm là hệ thống chưa có dữ liệu, thay vì hiểu là không có hồ sơ khớp tiêu chí tìm kiếm.
- Theo SRS FR-V.I-08 (UC58) §Error Handling dòng E1 (srs-fr-05-vu-viec.md dòng 685): khi "Không có kết quả" (mã INF-VV-TK-01), hệ thống phải hiển thị thông báo "Không tìm thấy hồ sơ phù hợp" (mức INFO). Cùng thông điệp này cũng được quy định ở dòng 144 (INF-VV-01) → đây là chuẩn thống nhất của module Vụ việc.
- Verify: tài khoản CB Nghiệp vụ - Trung ương (CB_NV_TW) — đúng vai trò đối tác dùng, ngày 12/07/2026. Chạy 2 truy vấn đều ra 0 kết quả (từ khóa không tồn tại; và tổ hợp giống đối tác: từ khóa 001 + Kênh Dịch vụ công + Mức SLA Bình thường) — cả 2 lần đều chỉ hiện chữ "Trống", không có câu "Không tìm thấy hồ sơ phù hợp". Hệ thống vẫn có 17 vụ việc khi không lọc, nên đây đúng là ngữ cảnh "tìm kiếm không khớp".
- Bug ID: BUG-TKHSYCHTPL_06</t>
  </si>
  <si>
    <t>LCNHTCVV_02</t>
  </si>
  <si>
    <t xml:space="preserve">Kiểm tra hiển thị Cửa sổ "Phân công xử lý vụ việc" </t>
  </si>
  <si>
    <t>1. Đăng nhập tài khoản 
2. Hồ sơ vụ việc đang ở trạng thái "Đang kiểm tra" (sau khi kết luận kiểm tra đạt)</t>
  </si>
  <si>
    <t>1. Chọn menu "Vụ việc HTPL"
2. Tìm kiếm và nhấn Xem chi tiết
3. Bấm nút "Phân công"</t>
  </si>
  <si>
    <t>- Cửa sổ gồm 2 thẻ tương ứng 2 đối tượng phân công và các trường thông tin phân công.
-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t>
  </si>
  <si>
    <t>Bảng gợi ý (thẻ "Cá nhân") không giống với thiết kế</t>
  </si>
  <si>
    <r>
      <rPr>
        <rFont val="Times New Roman"/>
        <color rgb="FF1155CC"/>
        <sz val="13.0"/>
        <u/>
      </rPr>
      <t>LCNHTCVV_02.jpg</t>
    </r>
  </si>
  <si>
    <t>✅ Bug ĐÚNG – chuyển dev.
- Web sai: trong cửa sổ "Phân công tư vấn viên", thẻ "Cá nhân", vùng gợi ý người xử lý chỉ là một danh sách xổ xuống, mỗi dòng là một chuỗi chữ gộp dạng "[TVV] Họ tên (Mã) — 0 VV đang xử lý — ĐG: 4.2". Không có bảng theo cột và THIẾU 3 thông tin: Lĩnh vực chuyên môn, Đơn vị quản lý, Điểm ưu tiên.
- Theo SRS FR-V.I-09 (UC59) §Outputs (srs-fr-05-vu-viec.md dòng 750-758), danh sách gợi ý phải có: Họ tên (dòng 752), Lĩnh vực chuyên môn (dòng 754), Đơn vị quản lý (dòng 755), Số vụ việc đang xử lý (dòng 756), Điểm đánh giá trung bình (dòng 757), Điểm ưu tiên (dòng 758). Web hiện chỉ có Họ tên, Số vụ việc đang xử lý và Điểm đánh giá (chỉ hiện khi có điểm).
- Hệ quả nghiệp vụ: theo §Processing - Gợi ý người xử lý, BR-CALC-07 (dòng 735-741), danh sách phải sắp xếp theo điểm ưu tiên (NĐ55 Điều 4) rồi tới khối lượng công việc và điểm đánh giá. Do không hiển thị Điểm ưu tiên và Lĩnh vực chuyên môn, cán bộ không có căn cứ để biết vì sao người này được gợi ý trước người kia, cũng không biết người được gợi ý có đúng lĩnh vực của vụ việc hay không.
- Verify: tài khoản CB Nghiệp vụ - Trung ương (CB_NV_TW) — đúng vai trò đối tác dùng, ngày 12/07/2026, vụ việc VV-BTP-TW-20260712-003 ở trạng thái "Đang kiểm tra" (đã kết luận kiểm tra Đạt), pool gợi ý có sẵn 2 tư vấn viên.
- Bug ID: BUG-LCNHTCVV_02</t>
  </si>
  <si>
    <t>LCNHTCVV_05</t>
  </si>
  <si>
    <t>Kiểm tra giới hạn số ký tự tối đa của các trường thông tin</t>
  </si>
  <si>
    <t xml:space="preserve">1. Chọn menu "Vụ việc HTPL"
2. Tìm kiếm và nhấn Xem chi tiết
3. Bấm nút "Phân công"
</t>
  </si>
  <si>
    <t>Ghi chú phân công Tối đa 1.000 ký tự</t>
  </si>
  <si>
    <t>Hệ thống giới hạn 500 ký tự</t>
  </si>
  <si>
    <r>
      <rPr>
        <rFont val="Times New Roman"/>
        <color rgb="FF1155CC"/>
        <sz val="13.0"/>
        <u/>
      </rPr>
      <t>LCNHTCVV_05.jpg</t>
    </r>
  </si>
  <si>
    <t>✅ Bug ĐÚNG – chuyển dev.
- Web sai: ô "Ghi chú" trong cửa sổ Phân công bị chặn cứng ở 500 ký tự (thuộc tính giới hạn của ô đang đặt là 500). Đã thử nhập thật: dán 700 ký tự thì ô chỉ nhận 500 và cắt phần còn lại; gõ thêm 400 ký tự nữa vẫn đứng nguyên ở 500. Lỗi xảy ra ở CẢ hai thẻ "Cá nhân" và "Tổ chức tư vấn".
- Theo SRS FR-V.I-09 (UC59) §Inputs dòng 5 (srs-fr-05-vu-viec.md dòng 720): trường ghi_chu_phan_cong có ràng buộc "max 1000 ký tự, lưu vào PHAN_CONG_VU_VIEC.ghi_chu" → phải cho nhập tối đa 1.000 ký tự. Kỳ vọng của đối tác trùng khớp SRS.
- Ghi nhận thêm (cùng bug): ô Ghi chú không có bộ đếm ký tự, nên khi nội dung bị cắt ở 500 người dùng không nhận được cảnh báo nào — đúng hiện tượng chữ bị cắt cụt giữa chừng trong ảnh đối tác gửi.
- Verify: tài khoản CB Nghiệp vụ - Trung ương (CB_NV_TW) — đúng vai trò đối tác dùng, ngày 12/07/2026, vụ việc VV-BTP-TW-20260712-003 ở trạng thái "Đang kiểm tra" (đã kết luận kiểm tra Đạt).
- Bug ID: BUG-LCNHTCVV_05</t>
  </si>
  <si>
    <t>LCNHTCVV_07</t>
  </si>
  <si>
    <t>Hồ sơ không thuộc đơn vị người dùng</t>
  </si>
  <si>
    <t>1. Đăng nhập tài khoản 
2. Hồ sơ không thuộc đơn vị người dùng</t>
  </si>
  <si>
    <t>Hệ thống hiển thị thông báo "Bạn không có quyền phân công vụ việc của đơn vị khác".</t>
  </si>
  <si>
    <t>- Hệ thống hiển thị thông báo không đúng với thiết kế
- Thông báo bị duplicate</t>
  </si>
  <si>
    <r>
      <rPr>
        <rFont val="Times New Roman"/>
        <color rgb="FF1155CC"/>
        <sz val="13.0"/>
        <u/>
      </rPr>
      <t>LCNHTCVV_07.jpg</t>
    </r>
  </si>
  <si>
    <t>✅ Bug ĐÚNG – chuyển dev. (Đúng cả 2 ý đối tác nêu)
- Ý 1 - Nội dung thông báo sai: khi cán bộ phân công vụ việc KHÔNG thuộc đơn vị mình, web hiển thị "Đơn vị của người phê duyệt khác đơn vị của bản ghi". Thao tác đang làm là PHÂN CÔNG do Cán bộ Nghiệp vụ thực hiện, không phải phê duyệt → thông báo nói về "người phê duyệt" là sai vai trò, cán bộ đọc không hiểu mình sai ở đâu.
- Theo SRS FR-V.I-09 (UC59) §Error Handling dòng E4 (srs-fr-05-vu-viec.md dòng 773): khi vụ việc không thuộc đơn vị người dùng, hệ thống phải từ chối và hiển thị thông báo "Bạn không có quyền phân công VV của đơn vị khác".
- Ý 2 - Thông báo bị lặp: chỉ bấm Xác nhận 1 lần nhưng hiện ra 2 thông báo lỗi giống hệt nhau xếp chồng, trong khi máy chủ chỉ trả về 1 phản hồi.
- Phần CHẶN thao tác là ĐÚNG: trạng thái vụ việc không thay đổi (vẫn "Đang kiểm tra"). Lỗi chỉ nằm ở nội dung thông báo và việc hiển thị lặp.
- Verify: tài khoản CB Nghiệp vụ - Trung ương (CB_NV_TW) — đúng vai trò đối tác dùng, ngày 12/07/2026. Vụ việc VV-STP-AG-20260712-001 thuộc Sở Tư pháp An Giang (khác đơn vị người đăng nhập), trạng thái "Đang kiểm tra", đã chọn người được phân công rồi mới bấm Xác nhận.
- Cùng nguyên nhân gốc với BUG-KTHSYCHTPL_15 (thông báo chặn theo đơn vị cũng sai vai trò + lặp 2 lần) → đề nghị fix chung 1 lần.
- Bug ID: BUG-LCNHTCVV_07</t>
  </si>
  <si>
    <t>LCNHTCVV_08</t>
  </si>
  <si>
    <t>Phân công thành công</t>
  </si>
  <si>
    <t>- Hệ thống hiển thị thông báo "Đã phân công cho {họ tên}" và đóng cửa sổ phân công.
- Tạo bản ghi phân công với trạng thái "Chờ xác nhận", lưu loại đối tượng (cá nhân / tổ chức) và ghi chú phân công.
+ Chuyển trạng thái hồ sơ: "Đang kiểm tra" hoặc "Đã tiếp nhận" → "Đã phân công".
+ Ghi người được phân công và thời điểm phân công.</t>
  </si>
  <si>
    <t>Hệ thống hiển thị đồng thời 2 thông báo
- Đã phân công
- Lỗi ERR-STATE-VI-10-01</t>
  </si>
  <si>
    <r>
      <rPr>
        <rFont val="Times New Roman"/>
        <color rgb="FF1155CC"/>
        <sz val="13.0"/>
        <u/>
      </rPr>
      <t>LCNHTCVV_08.webm</t>
    </r>
  </si>
  <si>
    <t>Open — tái hiện đúng (vai trò CB_NV_TW, VV ở trạng thái "Đang kiểm tra", đã chọn người được phân công rồi bấm Xác nhận).
• 1 lần bấm [Xác nhận] → hiện ĐỒNG THỜI 2 thông báo: xanh "Đã phân công" + đỏ "ERR-STATE-VI-10-01: Vụ việc không ở trạng thái cho phép phân công".
• Thực tế phân công ĐÃ THÀNH CÔNG (trạng thái VV chuyển sang "Đã phân công") ⇒ thông báo lỗi đỏ mâu thuẫn với kết quả thật, cán bộ không biết đã phân công được hay chưa.
• Nguyên nhân: sau khi phân công thành công, màn hình tự tải lại danh sách gợi ý người xử lý; lệnh này bị máy chủ từ chối (VV không còn ở trạng thái được gợi ý) và lỗi đó bị bắn thẳng ra thông báo cho người dùng.
• SRS: FR-V.I-09 (UC59) — SCR-V.I-03 dòng 1768 quy định phân công thành công chỉ hiện 1 thông báo "Đã phân công vụ việc cho {tên người được phân công}. Hệ thống đã gửi thông báo."; câu "Vụ việc không ở trạng thái cho phép phân công" (dòng 770, E1) chỉ dành cho trường hợp phân công BỊ CHẶN.
• Mã "ERR-STATE-VI-10-01" không có trong SRS v3.5.</t>
  </si>
  <si>
    <t>QLKH_01</t>
  </si>
  <si>
    <t>Xóa khóa học ở trạng thái "Dự thảo" do chính cán bộ vừa tạo</t>
  </si>
  <si>
    <t>1. Đăng nhập tài khoản Cán bộ nghiệp vụ
2. Có khóa học ở trạng thái "Dự thảo", chưa có học viên đăng ký, do chính tài khoản này tạo</t>
  </si>
  <si>
    <t>Khóa học KH-20260716-006 "QA RV5 - Bang chung double toast" (Dự thảo, 0 học viên)</t>
  </si>
  <si>
    <t>1. Chọn menu "Đào tạo, tập huấn" -&gt; "Khóa học"
2. Trên dòng khóa học Dự thảo, nhấn biểu tượng thùng rác (Xóa)
3. Hộp thoại "Xóa khóa học? Hành động này không thể hoàn tác." hiện ra
4. Nhấn [Xóa] để xác nhận</t>
  </si>
  <si>
    <t>Hệ thống xóa khóa học và hiển thị thông báo thành công; khóa học biến mất khỏi danh sách (quy ước UI-04, srs-v3.5.md:571 — thao tác hợp lệ phải thực hiện được).</t>
  </si>
  <si>
    <t>Xóa LUÔN THẤT BẠI. Hệ thống hiển thị "Lỗi hệ thống, vui lòng thử lại sau" và khóa học vẫn còn nguyên trong danh sách. Tái hiện 2/2 lần trên 2 khóa khác nhau, đều là khóa Dự thảo chưa có học viên.
Phía máy chủ: DELETE /api/v1/khoa-hocs/{id} trả HTTP 500, mã lỗi ERR-SYS-00-00-01, requestId c5e68372-512c-4f17-89d7-810e892bd0aa (đề nghị Dev tra log theo requestId này).
Lưu ý: ERR-SYS-00-00-01 là mã lỗi hệ thống chung (ngoại lệ chưa bắt), KHÔNG phải lỗi nghiệp vụ có kiểm soát. Nếu quy tắc là không cho xóa khóa ở trạng thái nào đó thì hệ thống phải báo đúng lý do nghiệp vụ, chứ không phải lỗi hệ thống.
Tác động: chức năng xóa khóa học coi như không dùng được; dữ liệu khóa học rác không dọn được.
(Lỗi do QA phát hiện thêm trong lúc verify lô 16 case dev-fix ngày 16/07, không thuộc case nào của đối tác nên mở dòng mới.)</t>
  </si>
  <si>
    <t>rv5-BUG-KH-XOA-500-loi-he-thong.png</t>
  </si>
  <si>
    <t>Verify 17/07/2026 (lần đầu, sau khi dev báo fix): ĐÃ FIX THẬT → Pass.
Xóa khóa học nay chạy đúng: bấm biểu tượng thùng rác trên khóa "Dự thảo" do chính cán bộ vừa tạo → hiện hộp thoại "Xóa khóa học? Hành động này không thể hoàn tác." → bấm [Xóa] → hệ thống báo "Xóa khóa học thành công", danh sách giảm từ 17 xuống 16 kết quả, bản ghi biến mất khỏi danh sách. Máy chủ trả về thành công thay vì lỗi hệ thống "Loi he thong, vui long thu lai sau" (ERR-SYS-00-00-01) như trước.
Kiểm diện rộng: đã xóa liên tiếp 9 khóa học khác nhau, THÀNH CÔNG 9/9 lần, không lần nào thất bại. Danh sách 17 → 8 kết quả.
Lợi ích phụ: trong 9 khóa xóa được có đúng 5 khóa rác mà vòng verify trước KHÔNG xóa nổi vì chính lỗi này. Trước đây phải nhờ Dev/DBA xóa giúp — nay QA đã tự dọn sạch, không cần Dev/DBA can thiệp nữa.
Căn cứ: quy ước UI-04 (srs-v3.5.md dòng 571) — thao tác hợp lệ phải cho kết quả đúng, xóa được thì báo thành công và bản ghi biến mất.
GHI NHẬN THÊM (không thuộc case này): thao tác xóa hiện 3 khung thông báo "Xóa khóa học thành công" giống hệt nhau, dù chỉ gọi máy chủ 1 lần và chỉ 1 bản ghi bị xóa. Đây là lỗi thông báo lặp cùng gốc với dòng QLKH_02 (trước chỉ ghi nhận ở thao tác Tạo, nay lan sang thao tác Xóa) — đã bổ sung vào QLKH_02, không mở dòng riêng.
Bug ID: BUG-KH-XOA-500 (Closed). Tài khoản verify: cbnv_tw (CB_NV_TW).</t>
  </si>
  <si>
    <t>QLKH_02</t>
  </si>
  <si>
    <t>Tạo khóa học mới thành công — kiểm tra thông báo hiển thị</t>
  </si>
  <si>
    <t>1. Đăng nhập tài khoản Cán bộ nghiệp vụ
2. Có sẵn Chương trình đào tạo đã duyệt và Giảng viên đang hoạt động để chọn</t>
  </si>
  <si>
    <t>Tên khóa học: "QA RV5 - Anh double toast"; Chương trình: CTDT-SEED-0001; Giảng viên: GV-BTP-TW-0003; Thời gian: 01/12/2026 - 20/12/2026</t>
  </si>
  <si>
    <t>1. Chọn menu "Đào tạo, tập huấn" -&gt; "Khóa học"
2. Nhấn [Thêm mới]
3. Điền đủ các trường bắt buộc
4. Nhấn nút [Thêm mới] ĐÚNG MỘT LẦN
5. Quan sát thông báo ở phía trên màn hình</t>
  </si>
  <si>
    <t>Một thao tác thành công thì hiển thị MỘT thông báo "Tạo khóa học thành công" (quy ước UI-04, srs-v3.5.md:571).</t>
  </si>
  <si>
    <t>Hệ thống hiển thị HAI khung thông báo "Tạo khóa học thành công" giống hệt nhau, xếp chồng lên nhau cùng lúc. Tái hiện 3/3 lần.
Đo cụ thể: chỉ gửi máy chủ 1 lần (POST /api/v1/khoa-hocs -&gt; 201); 2 khung thông báo cách nhau 2-2.5 mili-giây (cùng một nhịp xử lý, không phải gửi lại); chỉ 1 bản ghi được tạo (danh sách 12 -&gt; 13).
=&gt; Chỉ là lỗi hiển thị, KHÔNG tạo trùng dữ liệu.
Phạm vi: đã đo 4 thao tác, chỉ thao tác Tạo khóa học bị lặp. Trình duyệt kết quả khóa học / Lưu điểm danh / Xóa khóa học đều chỉ hiện 1 thông báo. Không phải lỗi toàn hệ thống.
Khoanh vùng giúp Dev: chuỗi "Tạo khóa học thành công" chỉ tồn tại đúng 1 lần trong toàn bộ mã giao diện (đã tìm trên toàn bộ 191 chunk), nằm trong hook tạo khóa học; máy chủ KHÔNG trả về câu thông báo nào (phản hồi chỉ có success/data/meta); trang chỉ có 1 gốc React và 1 hệ thống thông báo. =&gt; Nhiều khả năng hàm xử lý thành công của luồng tạo khóa học đang chạy 2 lần. Không chỉ được đích danh dòng mã vì bản triển khai không kèm source map.
(Lỗi do QA phát hiện thêm trong lúc verify lô 16 case dev-fix ngày 16/07, không thuộc case nào của đối tác nên mở dòng mới.)</t>
  </si>
  <si>
    <t>rv5-BUG-FE-TOAST-LAP-2-thong-bao.png</t>
  </si>
  <si>
    <t>Đã kiểm tra lại ngày 17/07/2026: lỗi ĐÃ ĐƯỢC SỬA. Mỗi thao tác thành công chỉ hiện đúng 1 thông báo.
Kết quả đo trên bản dev mới nhất (3 phép đo độc lập):
- Tạo khóa học lần 1 (ngay sau khi tải lại trang): gọi máy chủ 1 lần, hiện 1 thông báo.
- Tạo khóa học lần 2 (không tải lại trang): gọi máy chủ 1 lần, hiện 1 thông báo.
- Xóa khóa học: gọi máy chủ 1 lần, hiện 1 thông báo.
Danh sách tăng đúng 1 bản ghi mỗi lần tạo, không có bản ghi trùng.
ĐÍNH CHÍNH TỪ PHÍA KIỂM THỬ: trong ngày 17/07 ô này từng bị ghi nhầm là "Reopen" kèm mô tả "lỗi vẫn còn, từ lần tạo thứ 2 trở đi vẫn hiện 2 thông báo, và lan sang cả thao tác Xóa (3 thông báo)". Kết luận đó SAI và đã được thu hồi ngay trong ngày. Nguyên nhân nằm ở công cụ đo của phía kiểm thử, không phải ở phần mềm: công cụ đếm thông báo bị cài chồng nhiều lần trong cùng một phiên trang mà không gỡ bản cũ, nên MỘT thông báo thật bị đếm thành nhiều. Số lần "lặp" mà công cụ báo thực chất bằng đúng số lần công cụ được cài, và trở về 1 mỗi khi tải lại trang — đó là đặc tính của công cụ đo, không phải hành vi của phần mềm. Công cụ đo đã được sửa và bổ sung bước tự kiểm bắt buộc trước mỗi lần đo.
Ghi nhận "thao tác Xóa hiện 3 thông báo" cũng thuộc kết luận sai nói trên, đã gỡ. Đo lại bằng công cụ đã sửa: xóa khóa học chỉ hiện 1 thông báo, không lặp.
Xin lỗi Dev vì thông tin sai lệch này. Lỗi ghi nhận ở vòng trước (bấm Thêm mới một lần hiện 2 thông báo giống hệt nhau) là có thật trên bản cũ và đã có ảnh chụp màn hình, nhưng bản dev hiện tại đã xử lý đúng. Case đóng.</t>
  </si>
  <si>
    <t>QLKH_03</t>
  </si>
  <si>
    <t>Mở tab Điểm danh của một buổi học CHƯA điểm danh — kiểm tra trạng thái hiển thị ban đầu</t>
  </si>
  <si>
    <t>1. Đăng nhập tài khoản cán bộ nghiệp vụ (cbnv_tw).
2. Khóa học có từ 2 buổi học trở lên, trong đó có ít nhất 1 buổi CHƯA được điểm danh lần nào.</t>
  </si>
  <si>
    <t>Khóa học KH-SEED-0001 "Khóa học pháp luật doanh nghiệp seed" — có 2 buổi cùng ngày 20/02/2026 (buổi SÁNG 08:00-11:00 đã điểm danh "Có mặt"; buổi CHIỀU 14:00-17:00 CHƯA điểm danh lần nào). Học viên: "QA Import Reverify12 OK".</t>
  </si>
  <si>
    <t>1. Chọn menu "Đào tạo, tập huấn" -&gt; "Khóa học"
2. Nhấn xem chi tiết khóa học KH-SEED-0001
3. Chọn tab "Điểm danh"
4. Ở ô chọn buổi học, chọn buổi CHIỀU (14:00-17:00) — là buổi CHƯA từng điểm danh
5. Quan sát cột "Trạng thái" của học viên</t>
  </si>
  <si>
    <t>Buổi học chưa điểm danh lần nào thì cột Trạng thái phải để TRỐNG (chưa chọn gì), để cán bộ biết là chưa điểm danh và tự chọn. Không được tự tick sẵn một trạng thái nào.</t>
  </si>
  <si>
    <t>Hệ thống TỰ TICK SẴN "Vắng không phép" cho học viên, dù buổi này chưa hề được điểm danh lần nào. Kiểm tra dữ liệu đã lưu thì buổi CHIỀU không có bản ghi điểm danh nào (trạng thái rỗng), nhưng màn hình lại hiển thị như thể học viên đã bị đánh vắng không phép. Đã tải lại trang hoàn toàn rồi chọn thẳng buổi CHIỀU (không đụng buổi SÁNG) — vẫn tick sẵn "Vắng không phép", nên không phải do dính trạng thái từ buổi xem trước đó.</t>
  </si>
  <si>
    <t>rv7-BUG-DD-VANG-MA-buoi-chua-diem-danh.png</t>
  </si>
  <si>
    <t>Verify 17/07/2026 (lần đầu, sau khi dev báo fix): ĐÃ FIX THẬT → Pass.
Buổi chưa điểm danh nay hiển thị đúng: mở đúng khóa KH-SEED-0001, chọn buổi CHIỀU 20/02/2026 (14:00-17:00) — buổi chưa từng điểm danh — thì cột Trạng thái của học viên "QA Import Reverify12 OK" để TRỐNG hoàn toàn, cả 3 ô "Có mặt" / "Vắng có phép" / "Vắng không phép" đều không được chọn. Trước đây ô "Vắng không phép" bị tô xanh đậm.
Đối chứng buổi SÁNG (đã điểm danh "Có mặt") vẫn hiển thị đúng "Có mặt" → màn hình đọc đúng dữ liệu đã lưu, rỗng ở buổi CHIỀU là do fix đúng chứ không phải màn hình hỏng. Đã kiểm bằng phiên đăng nhập sạch, vào thẳng buổi CHIỀU (không mở buổi SÁNG trước). Ghi nhận thêm: khóa "Đã kết thúc" nay mất hẳn nút "Lưu điểm danh"/"Import Excel", chỉ còn "Xuất Excel", các ô chọn đều khóa — khớp luôn với fix của KTDGKQHT_03.
QA TỰ ĐÍNH CHÍNH 2 điểm SAI trong ghi nhận trước của chính QA:
1. "Sai tỷ lệ chuyên cần → sai kết quả Đạt/Không đạt (BR-KQ-02)" — SAI. BR-KQ-02 tính tỷ lệ chuyên cần = (Có mặt + Vắng có phép) / TỔNG SỐ BUỔI. Mẫu số là tổng số buổi, nên buổi "chưa điểm danh" và buổi "vắng không phép" cho ra cùng một tỷ lệ. Lỗi này KHÔNG ảnh hưởng chuyên cần. Tác hại thật chỉ là ghi sai sự thật vào hồ sơ học viên.
2. "Khóa DDD-KH-011 bản ghi seed hỏng" — SAI. Dữ liệu KHÔNG hỏng: đăng nhập đúng đơn vị sở hữu khóa thì đọc lịch học bình thường và thêm buổi học thành công. Nguyên nhân thật: khóa thuộc đơn vị khác, cán bộ không có quyền, nhưng hệ thống báo "Khóa học không tồn tại" thay vì báo không có quyền → khiến cả QA lẫn Dev chẩn đoán nhầm. Đề nghị tách thành mục riêng (Minor), không thuộc QLKH_03.
Phần CHƯA kiểm được: nhánh khóa "Đang diễn ra" (bấm Lưu khi chưa chọn ai) chưa kiểm được độc lập — thêm học viên vào khóa đang diễn ra bị từ chối "Chỉ có thể đăng ký khóa học đã duyệt". Ý này hiện chỉ có xác nhận từ Dev. Lưu ý bug gốc được log trên chính khóa "Đã kết thúc", nên QLKH_03 đã được verify đúng 1:1 tiền đề gốc; nhánh "Đang diễn ra" là hệ quả phụ, không thuộc TC này.</t>
  </si>
  <si>
    <t>Phê duyệt hồ sơ tư vấn viên</t>
  </si>
  <si>
    <t>Cán  bộ  phê  duyệt 
 TW,BN,ĐP</t>
  </si>
  <si>
    <t>CB Phê duyệt xem xét và phê duyệt hồ sơ đã thẩm định để công nhận Tư vấn viên.</t>
  </si>
  <si>
    <t>Tuần 3</t>
  </si>
  <si>
    <t>XNTGHTVV_03</t>
  </si>
  <si>
    <t>Từ chối thành công</t>
  </si>
  <si>
    <t>1. Đăng nhập tài khoản 
2. Hồ sơ ở trạng thái "Đã phân công"</t>
  </si>
  <si>
    <t>1. Chọn menu "Vụ việc HTPL"
2. Tìm kiếm và nhấn Xem chi tiết
3. Bấm nút "Từ chối", nhập lý do hợp lệ và nhấn Xác nhận</t>
  </si>
  <si>
    <t xml:space="preserve">- Hệ thống hiển thị thông báo "Đã từ chối tham gia vụ việc" và chuyển về màn hình danh sách.
- Cập nhật bản ghi phân công: trạng thái "Từ chối", thời điểm từ chối, lý do từ chối.
+ Chuyển trạng thái hồ sơ: "Đã phân công" → "Đã tiếp nhận" 
+ Gửi thông báo cho cán bộ nghiệp vụ phụ trách kèm lý do từ chối.
+ Lưu vết thao tác theo quy định.
</t>
  </si>
  <si>
    <t>Hệ thống chuyển hướng đến màn hình thông báo lỗi 403 "Vụ việc không được phân công cho bạn" mặc dù vụ việc được phân công cho tư vấn viên, sau đó hệ thống cập nhật trạng thái của bản ghi là "Chờ phê duyệt"</t>
  </si>
  <si>
    <r>
      <rPr>
        <rFont val="Times New Roman"/>
        <color rgb="FF1155CC"/>
        <sz val="12.0"/>
        <u/>
      </rPr>
      <t>XNTGHTVV_03.webm</t>
    </r>
  </si>
  <si>
    <t>XNTGHTVV_04</t>
  </si>
  <si>
    <t>Xác nhận thành công</t>
  </si>
  <si>
    <t>1. Chọn menu "Vụ việc HTPL"
2. Tìm kiếm và nhấn Xem chi tiết
3. Bấm nút "Chấp nhận tham gia" và nhấn Xác nhận thành công</t>
  </si>
  <si>
    <t xml:space="preserve">- Hệ thống hiển thị thông báo "Bạn đã xác nhận tham gia vụ việc" và mở Nhóm 6 "Kết quả hỗ trợ" để người hỗ trợ bắt đầu cập nhật kết quả
- Chuyển trạng thái hồ sơ: "Đã phân công" → "Đang xử lý".
+ Cập nhật bản ghi phân công: trạng thái "Đã xác nhận", thời điểm xác nhận.
+ Gửi thông báo cho cán bộ nghiệp vụ phụ trách.
+ Lưu vết thao tác theo quy định.
</t>
  </si>
  <si>
    <t>Cán bộ nghiệp vụ phụ trách không nhận được thông báo</t>
  </si>
  <si>
    <r>
      <rPr>
        <rFont val="Times New Roman"/>
        <color rgb="FF1155CC"/>
        <sz val="12.0"/>
        <u/>
      </rPr>
      <t>XNTGHTVV_04.webm</t>
    </r>
  </si>
  <si>
    <t>TPDHSVV_02</t>
  </si>
  <si>
    <t>Kiểm tra hồ sơ chưa có kết quả hỗ trợ của người hỗ trợ</t>
  </si>
  <si>
    <t>1. Đăng nhập tài khoản 
2. Hồ sơ vụ việc đang ở trạng thái "Đang xử lý".
3. Hồ sơ chưa có kết quả hỗ trợ của người hỗ trợ</t>
  </si>
  <si>
    <t>1. Chọn menu "Vụ việc HTPL"
2. Tìm kiếm và nhấn Xem chi tiết
3. Bấm nút "Trình phê duyệt"</t>
  </si>
  <si>
    <t>Hệ thống hiển thị thông báo "Chưa có kết quả hỗ trợ từ người hỗ trợ, không thể trình phê duyệt".</t>
  </si>
  <si>
    <t>Thông báo bị duplicate</t>
  </si>
  <si>
    <r>
      <rPr>
        <rFont val="Times New Roman"/>
        <color rgb="FF1155CC"/>
        <sz val="12.0"/>
        <u/>
      </rPr>
      <t>TPDHSVV_02.jpg</t>
    </r>
  </si>
  <si>
    <t>TPDHSVV_04</t>
  </si>
  <si>
    <t>Trình phê duyệt thành công</t>
  </si>
  <si>
    <t xml:space="preserve">1. Đăng nhập tài khoản 
2. Hồ sơ vụ việc đang ở trạng thái "Đang xử lý".
3. Người hỗ trợ đã cập nhật kết quả hỗ trợ </t>
  </si>
  <si>
    <t>- Chuyển trạng thái hồ sơ: "Đang xử lý" → "Chờ phê duyệt" 
+ Ghi thời điểm trình phê duyệt.
+ Gửi thông báo cho Cán bộ phê duyệt cùng đơn vị 
+ Lưu vết thao tác theo quy định.
- Hệ thống hiển thị thông báo "Đã trình phê duyệt. Hồ sơ chuyển sang trạng thái Chờ phê duyệt" và làm mới màn hình chi tiết.</t>
  </si>
  <si>
    <t>- Cán bộ phê duyệt cùng đơn vị không nhận được thông báo</t>
  </si>
  <si>
    <t xml:space="preserve"> TPDHSVV_04.webm</t>
  </si>
  <si>
    <t>TBKQTNHS_01</t>
  </si>
  <si>
    <t>Thông báo kết quả tiếp nhận hồ sơ</t>
  </si>
  <si>
    <t>Cán  bộ  nghiệp 
 TW,BN,ĐP</t>
  </si>
  <si>
    <t>Cung cấp chức năng gửi thông báo kết quả kiểm tra hồ sơ (Đạt/Không đạt) cho DNNVV.</t>
  </si>
  <si>
    <t>1. Đăng nhập tài khoản 
2. Hồ sơ vụ việc đã qua bước kiểm tra
3. Doanh nghiệp của hồ sơ có ít nhất một kênh nhận thông báo hợp lệ</t>
  </si>
  <si>
    <t>1. Chọn menu "Vụ việc HTPL"
2. Tìm kiếm và nhấn Xem chi tiết
3. Bấm nút "Gửi thông báo kết quả"</t>
  </si>
  <si>
    <t>Màn hình không hiển thị/cung cấp chức năng</t>
  </si>
  <si>
    <t xml:space="preserve"> TBKQTNHS_01.webm</t>
  </si>
  <si>
    <t>PDHSVV_02</t>
  </si>
  <si>
    <t>1. Đăng nhập tài khoản Cán bộ phê duyệt cùng đơn vị với đơn vị tạo hồ sơ.
2. Hồ sơ vụ việc đang ở trạng thái "Chờ phê duyệt".</t>
  </si>
  <si>
    <t xml:space="preserve">1. Chọn menu "Vụ việc HTPL"
2. Tìm kiếm và nhấn Xem chi tiết
3. Bấm nút "Phê duyệt" </t>
  </si>
  <si>
    <t xml:space="preserve">- Hệ thống hiển thị thông báo "Đã phê duyệt hồ sơ" và làm mới màn hình chi tiết.
+ Chuyển trạng thái hồ sơ: "Chờ phê duyệt" → "Đã duyệt".
+ Ghi người phê duyệt và thời điểm phê duyệt.
+ Gửi thông báo cho cán bộ nghiệp vụ phụ trách hồ sơ 
+ Lưu vết thao tác theo quy định.
</t>
  </si>
  <si>
    <t>- Hệ thống không gửi thông báo cho cán bộ nghiệp vụ phụ trách hồ sơ
- Lỗi hiển thị thông tin Người duyệt trong nhóm "Phê duyệt"</t>
  </si>
  <si>
    <t>PDHSVV_02.jpg
 PDHSVV_02.webm</t>
  </si>
  <si>
    <t>PDHSVV_03</t>
  </si>
  <si>
    <t>Cán bộ phê duyệt không cùng đơn vị với đơn vị hồ sơ</t>
  </si>
  <si>
    <t>1. Đăng nhập tài khoản Cán bộ phê duyệt không cùng đơn vị với đơn vị tạo hồ sơ.
2. Hồ sơ vụ việc đang ở trạng thái "Chờ phê duyệt".</t>
  </si>
  <si>
    <t>- Hệ thống hiển thị thông báo "Bạn không có quyền phê duyệt vụ việc này (khác đơn vị)".</t>
  </si>
  <si>
    <t>Thông báo bị duplicate và thông báo không đúng với thiết kế</t>
  </si>
  <si>
    <r>
      <rPr>
        <rFont val="Times New Roman"/>
        <color rgb="FF1155CC"/>
        <sz val="12.0"/>
        <u/>
      </rPr>
      <t>PDHSVV_03.jpg</t>
    </r>
  </si>
  <si>
    <t>PDHSVV_04</t>
  </si>
  <si>
    <t>Từ chối</t>
  </si>
  <si>
    <t xml:space="preserve">1. Chọn menu "Vụ việc HTPL"
2. Tìm kiếm và nhấn Xem chi tiết
3. Bấm nút "Từ chối " </t>
  </si>
  <si>
    <t xml:space="preserve">- Hệ thống mở cửa sổ "Từ chối hồ sơ" yêu cầu nhập lý do.
- Tối thiểu 10 ký tự, tối đa 2.000 ký tự. </t>
  </si>
  <si>
    <t>Hệ thống cho phép tối đa 1.000 ký tự</t>
  </si>
  <si>
    <r>
      <rPr>
        <rFont val="Times New Roman"/>
        <color rgb="FF1155CC"/>
        <sz val="12.0"/>
        <u/>
      </rPr>
      <t>PDHSVV_04.jpg</t>
    </r>
  </si>
  <si>
    <t>PDHSVV_05</t>
  </si>
  <si>
    <t xml:space="preserve">1. Chọn menu "Vụ việc HTPL"
2. Tìm kiếm và nhấn Xem chi tiết
3. Bấm nút "Từ chối " 
4. Nhập thông tin hợp lệ và nhấn Xác nhận
</t>
  </si>
  <si>
    <t xml:space="preserve">- Hệ thống hiển thị thông báo "Đã từ chối hồ sơ. Hồ sơ chuyển về trạng thái Đang xử lý" và làm mới màn hình chi tiết.
+ Chuyển trạng thái hồ sơ: "Chờ phê duyệt" → "Đang xử lý" để người hỗ trợ chỉnh sửa lại kết quả theo ý kiến phê duyệt.
+ Gửi thông báo cho cán bộ nghiệp vụ và người hỗ trợ phụ trách hồ sơ kèm lý do từ chối.
+ Lưu vết thao tác theo quy định.
</t>
  </si>
  <si>
    <t>- Hệ thống không gửi thông báo
- Chi tiết bản ghi không hiển thị lý do từ chối</t>
  </si>
  <si>
    <t>PDHSVV_05.jpg
 PDHSVV_05.webm</t>
  </si>
  <si>
    <t>CNKQHT_03</t>
  </si>
  <si>
    <t>Kiểm tra hiển thị các trường thông tin Nhóm 6 – Kết quả hỗ trợ</t>
  </si>
  <si>
    <t>1. Đăng nhập tài khoản
2. Hồ sơ vụ việc đang ở trạng thái "Đang xử lý".</t>
  </si>
  <si>
    <t>Các trường thông tin không giống với thiết kế: thiếu Tệp kết quả hỗ trợ, thừa trường thông tin Kết luận, nội dung chỉ cho phép tối đa 5000 ký tự (SRS yêu cầu cho phép tối đa 10.000 ký tự)</t>
  </si>
  <si>
    <r>
      <rPr>
        <rFont val="Times New Roman"/>
        <color rgb="FF1155CC"/>
        <sz val="12.0"/>
        <u/>
      </rPr>
      <t>CNKQHT_03.jpg</t>
    </r>
  </si>
  <si>
    <t>CNKQHT_06</t>
  </si>
  <si>
    <t>Hồ sơ đã được người khác cập nhật trong lúc đang sửa</t>
  </si>
  <si>
    <t>1. Đăng nhập tài khoản
2. Hồ sơ đã được người khác cập nhật trong lúc đang sửa</t>
  </si>
  <si>
    <t>1. Chọn menu "Vụ việc HTPL"
2. Tìm kiếm và nhấn Xem chi tiết
3. Nhập nội dung và tải tệp, sau đó bấm nút "Cập nhật kết quả"</t>
  </si>
  <si>
    <t>Hệ thống hiển thị thông báo "Vụ việc đã được {người dùng} cập nhật lúc {thời điểm}, vui lòng tải lại".</t>
  </si>
  <si>
    <t>Hệ thống không hiển thị thông báo mà cập nhật thành công</t>
  </si>
  <si>
    <t xml:space="preserve"> CNKQHT_06.webm</t>
  </si>
  <si>
    <t>CNKQVV_02</t>
  </si>
  <si>
    <t>Kiểm tra hiển thị các trường thông tin Nhóm 6 – Kết luận cuối</t>
  </si>
  <si>
    <t>1. Đăng nhập tài khoản
2. Hồ sơ vụ việc đang ở trạng thái "Đã duyệt" và đã có kết quả hỗ trợ của người hỗ trợ (Nhóm 6).</t>
  </si>
  <si>
    <t>1. Chọn menu "Vụ việc HTPL"
2. Tìm kiếm và nhấn Xem chi tiết
3. Mở Nhóm 6 – Kết luận cuối</t>
  </si>
  <si>
    <t>Tên nút chức năng và các trường thông tin không giống với thiết kế</t>
  </si>
  <si>
    <r>
      <rPr>
        <rFont val="Times New Roman"/>
        <color rgb="FF1155CC"/>
        <sz val="12.0"/>
        <u/>
      </rPr>
      <t>CNKQVV_02.jpg</t>
    </r>
  </si>
  <si>
    <t>CNKQVV_05</t>
  </si>
  <si>
    <t>Hồ sơ đã được người khác cập nhật trong lúc đang thao tác</t>
  </si>
  <si>
    <t>1. Đăng nhập tài khoản
2. Hồ sơ đã được người khác cập nhật trong lúc đang thao tác</t>
  </si>
  <si>
    <t>1. Chọn menu "Vụ việc HTPL"
2. Tìm kiếm và nhấn Xem chi tiết
3. Mở Nhóm 6 – Kết luận cuối
4. Bấm nút "Cập nhật kết quả cuối và hoàn thành"</t>
  </si>
  <si>
    <t>Hệ thống hiển thị thông báo không đúng thiết kế, thông báo hiển thị bị duplicate</t>
  </si>
  <si>
    <r>
      <rPr>
        <rFont val="Times New Roman"/>
        <color rgb="FF1155CC"/>
        <sz val="12.0"/>
        <u/>
      </rPr>
      <t>CNKQVV_05.webm</t>
    </r>
  </si>
  <si>
    <t>DGKQHTVV_01</t>
  </si>
  <si>
    <t>Đánh giá kết quả hỗ trợ vụ việc</t>
  </si>
  <si>
    <t>Cán  bộ  nghiệp  vụ 
 TW,BN,ĐP/Doanh nghiệp</t>
  </si>
  <si>
    <t>Cung cấp chức năng để CB Nghiệp vụ hoặc DNNVV đánh giá chất lượng của quá trình hỗ trợ và kết quả vụ việc.</t>
  </si>
  <si>
    <t>1. Đăng nhập tài khoản
2. Hồ sơ vụ việc ở trạng thái "Hoàn thành" hoặc "Đã đánh giá".</t>
  </si>
  <si>
    <t>1. Chọn menu "Vụ việc HTPL"
2. Tìm kiếm và nhấn Xem chi tiết
3. Mở Nhóm 8 – Đánh giá</t>
  </si>
  <si>
    <t>Hệ thống không hiển thị nút chức năng mặc dù bản ghi ở trạng thái phù hợp</t>
  </si>
  <si>
    <t>DGKQHTVV_01.jpg</t>
  </si>
  <si>
    <t>QLHSDNHTCP_03</t>
  </si>
  <si>
    <t>Kiểm tra Cột dữ liệu trong bảng kết quả</t>
  </si>
  <si>
    <t>1. Chọn menu "Chi trả chi phí"</t>
  </si>
  <si>
    <t>Cột thông tin Mức cảnh báo thời hạn không giống với thiết kế</t>
  </si>
  <si>
    <r>
      <rPr>
        <rFont val="Times New Roman"/>
        <color rgb="FF1155CC"/>
        <sz val="12.0"/>
        <u/>
      </rPr>
      <t>QLHSDNHTCP_03.jpg</t>
    </r>
  </si>
  <si>
    <t>QLHSDNHTCP_04</t>
  </si>
  <si>
    <t>Chọn thẻ phân loại trạng thái</t>
  </si>
  <si>
    <t>1. Chọn menu "Chi trả chi phí"
2. Chọn 1 trong 5 thẻ: Tất cả / Chờ xử lý / Đang đánh giá / Chờ phê duyệt / Đã xử lý.</t>
  </si>
  <si>
    <t>- Hệ thống lọc danh sách theo nhóm trạng thái của thẻ được chọn
- Mỗi thẻ hiển thị số đếm số lượng hồ sơ thuộc nhóm và cập nhật tức thời.</t>
  </si>
  <si>
    <t xml:space="preserve">Mỗi thẻ KHÔNG hiển thị số đếm số lượng hồ sơ thuộc nhóm </t>
  </si>
  <si>
    <r>
      <rPr>
        <rFont val="Times New Roman"/>
        <color rgb="FF1155CC"/>
        <sz val="12.0"/>
        <u/>
      </rPr>
      <t>QLHSDNHTCP_04.jpg</t>
    </r>
  </si>
  <si>
    <t>QLHSDNHTCP_09</t>
  </si>
  <si>
    <t>Kiểm tra hiển thị thanh tiến trình và tiêu đề trang</t>
  </si>
  <si>
    <t>1. Chọn menu "Chi trả chi phí"
2. Nhấn vào liên kết tại bản ghi</t>
  </si>
  <si>
    <t xml:space="preserve">- Thanh tiến trình — 6 bước: Tiếp nhận → Kiểm tra → Đánh giá → Thẩm định → Phê duyệt → Thanh toán.
- Tiêu đề trang: "Chi tiết hồ sơ #{mã hồ sơ}".
</t>
  </si>
  <si>
    <t>Tiêu đề trang không giống với thiết kế</t>
  </si>
  <si>
    <r>
      <rPr>
        <rFont val="Times New Roman"/>
        <color rgb="FF1155CC"/>
        <sz val="12.0"/>
        <u/>
      </rPr>
      <t>QLHSDNHTCP_09.jpg</t>
    </r>
  </si>
  <si>
    <t>QLHSDNHTCP_10</t>
  </si>
  <si>
    <t>Nhóm 0 — Thanh thông tin tổng quan hồ sơ</t>
  </si>
  <si>
    <t>Mức cảnh báo thời hạn không giống với thiết kế</t>
  </si>
  <si>
    <r>
      <rPr>
        <rFont val="Times New Roman"/>
        <color rgb="FF1155CC"/>
        <sz val="12.0"/>
        <u/>
      </rPr>
      <t>QLHSDNHTCP_10.jpg</t>
    </r>
  </si>
  <si>
    <t>QLHSDNHTCP_11</t>
  </si>
  <si>
    <t>Nhóm 1 — Thông tin doanh nghiệp (chỉ đọc, lấy từ Cổng Dịch vụ công)</t>
  </si>
  <si>
    <t>Hiển thị thiếu trường thông tin so với tài liệu mô tả</t>
  </si>
  <si>
    <r>
      <rPr>
        <rFont val="Times New Roman"/>
        <color rgb="FF1155CC"/>
        <sz val="12.0"/>
        <u/>
      </rPr>
      <t>QLHSDNHTCP_11.jpg</t>
    </r>
  </si>
  <si>
    <t>QLHSDNHTCP_12</t>
  </si>
  <si>
    <t>Nhóm 2 — Thông tin tư vấn (chỉ đọc, lấy từ Cổng Dịch vụ công)</t>
  </si>
  <si>
    <t>Hiển thị thiếu trường thông tin so với tài liệu mô tả và các không hiển thị các thông tin hiện có trên màn hình</t>
  </si>
  <si>
    <r>
      <rPr>
        <rFont val="Times New Roman"/>
        <color rgb="FF1155CC"/>
        <sz val="12.0"/>
        <u/>
      </rPr>
      <t>QLHSDNHTCP_12.jpg</t>
    </r>
  </si>
  <si>
    <t>QLHSDNHTCP_13</t>
  </si>
  <si>
    <t>Nhóm 8 — Thông tin phê duyệt và Lịch sử xử lý</t>
  </si>
  <si>
    <t>Màn hình không có trường Thông tin phê duyệt</t>
  </si>
  <si>
    <r>
      <rPr>
        <rFont val="Times New Roman"/>
        <color rgb="FF1155CC"/>
        <sz val="12.0"/>
        <u/>
      </rPr>
      <t>QLHSDNHTCP_13.jpg</t>
    </r>
  </si>
  <si>
    <t>QLHSDNHTCP_19</t>
  </si>
  <si>
    <t>1. Chọn menu "Chi trả chi phí"
2. Bấm vào tiêu đề cột cần sắp xếp</t>
  </si>
  <si>
    <t>Hệ thống sắp xếp danh sách theo cột đó, luân phiên tăng dần / giảm dần qua mỗi lần bấm.</t>
  </si>
  <si>
    <r>
      <rPr>
        <rFont val="Times New Roman"/>
        <color rgb="FF1155CC"/>
        <sz val="12.0"/>
        <u/>
      </rPr>
      <t>QLHSDNHTCP_19.jpg</t>
    </r>
  </si>
  <si>
    <t>QLDNDHTPL_02</t>
  </si>
  <si>
    <t>Cột dữ liệu trong bảng kết quả</t>
  </si>
  <si>
    <t xml:space="preserve">1. Chọn menu "Doanh nghiệp"
</t>
  </si>
  <si>
    <t>- Hệ thống hiển thị các trường thông tin giống với thiết kế
- Dữ liệu hiển thị đúng định dạng và trường thông tin
- Dữ liệu hiển thị không bị tràn/đè lên nhau, đồng nhất ngôn ngữ hiển thị
- Mặc định: hệ thống sắp xếp theo ngày cập nhật mới nhất trước.</t>
  </si>
  <si>
    <t>Màn hình Không có ô chọn</t>
  </si>
  <si>
    <r>
      <rPr>
        <rFont val="Times New Roman"/>
        <color rgb="FF1155CC"/>
        <sz val="12.0"/>
        <u/>
      </rPr>
      <t>QLDNDHTPL_02.jpg</t>
    </r>
  </si>
  <si>
    <t>QLDNDHTPL_04</t>
  </si>
  <si>
    <t>Kiểm tra Cấu trúc màn hình</t>
  </si>
  <si>
    <t>1. Chọn menu "Doanh nghiệp"
2. Bấm nút Thêm mới</t>
  </si>
  <si>
    <t>Form bố cục 2 cột (màn hình rộng) hoặc 1 cột (màn hình hẹp), gồm 3 nhóm trường — Nhóm A (Định danh cơ bản, bắt buộc), Nhóm B (Địa lý và phân loại, tùy chọn), Nhóm C (Thông tin bổ sung, tùy chọn).</t>
  </si>
  <si>
    <t>Bố cục không giống với thiết kế</t>
  </si>
  <si>
    <r>
      <rPr>
        <rFont val="Times New Roman"/>
        <color rgb="FF1155CC"/>
        <sz val="12.0"/>
        <u/>
      </rPr>
      <t>QLDNDHTPL_04.jpg</t>
    </r>
  </si>
  <si>
    <t>QLDNDHTPL_05</t>
  </si>
  <si>
    <t>Kiểm tra hiển thị Nhóm A — Định danh cơ bản (bắt buộc)</t>
  </si>
  <si>
    <t>Trường thông tin hiển thị không đúng theo thiết kế</t>
  </si>
  <si>
    <r>
      <rPr>
        <rFont val="Times New Roman"/>
        <color rgb="FF1155CC"/>
        <sz val="12.0"/>
        <u/>
      </rPr>
      <t>QLDNDHTPL_05.jpg</t>
    </r>
  </si>
  <si>
    <t>QLDNDHTPL_06</t>
  </si>
  <si>
    <t>Kiểm tra hiển thị Nhóm B — Địa lý và phân loại (tùy chọn, có gợi ý mặc định)</t>
  </si>
  <si>
    <r>
      <rPr>
        <rFont val="Times New Roman"/>
        <color rgb="FF1155CC"/>
        <sz val="12.0"/>
        <u/>
      </rPr>
      <t>QLDNDHTPL_06.jpg</t>
    </r>
  </si>
  <si>
    <t>QLDNDHTPL_07</t>
  </si>
  <si>
    <t>Kiểm tra hiển thị Nhóm C — Thông tin bổ sung (tùy chọn)</t>
  </si>
  <si>
    <t>Màn hình Không có nhóm C</t>
  </si>
  <si>
    <r>
      <rPr>
        <rFont val="Times New Roman"/>
        <color rgb="FF1155CC"/>
        <sz val="12.0"/>
        <u/>
      </rPr>
      <t>QLDNDHTPL_07.jpg</t>
    </r>
  </si>
  <si>
    <t>QLDNDHTPL_10</t>
  </si>
  <si>
    <t xml:space="preserve">Kiểm tra trùng mã số thuế </t>
  </si>
  <si>
    <t>1. Đăng nhập tài khoản 
2. Mã số thuế đã tồn tại</t>
  </si>
  <si>
    <t>1. Chọn menu "Doanh nghiệp"
2. Bấm nút Thêm mới
3. Mã số thuế đã tồn tại và nhấn Lưu</t>
  </si>
  <si>
    <t>Hiển thị hộp thoại chặn "Doanh nghiệp có mã số thuế '{mã số thuế}' đã tồn tại trong hệ thống: {tên doanh nghiệp hiện có}. Bạn muốn mở chi tiết doanh nghiệp hiện có?" với 2 nút "Mở chi tiết" (chuyển sang màn hình chi tiết của doanh nghiệp hiện có) và "Hủy" (đóng hộp thoại, ô mã số thuế tô đỏ, ở lại form).</t>
  </si>
  <si>
    <t>- Thông báo hiển thị không giống với thiết kế
- Khi nhấn nút Hủy, ô mã số thuế không tô đỏ</t>
  </si>
  <si>
    <r>
      <rPr>
        <rFont val="Times New Roman"/>
        <color rgb="FF1155CC"/>
        <sz val="12.0"/>
        <u/>
      </rPr>
      <t>QLDNDHTPL_10.jpg</t>
    </r>
  </si>
  <si>
    <t>QLDNDHTPL_13</t>
  </si>
  <si>
    <t>Thêm mới Nếu trường Tỉnh/Thành phố chưa nhập</t>
  </si>
  <si>
    <t>1. Chọn menu "Doanh nghiệp"
2. Bấm nút Thêm mới
3. Dữ liệu hợp lệ và nhấn Lưu</t>
  </si>
  <si>
    <t>Hệ thống đặt mặc định theo đơn vị của cán bộ đăng nhập.</t>
  </si>
  <si>
    <t>Hệ thống không đặt mặc định theo đơn vị của cán bộ đăng nhập</t>
  </si>
  <si>
    <r>
      <rPr>
        <rFont val="Times New Roman"/>
        <color rgb="FF1155CC"/>
        <sz val="12.0"/>
        <u/>
      </rPr>
      <t>QLDNDHTPL_14.webm</t>
    </r>
  </si>
  <si>
    <t>QLDNDHTPL_14</t>
  </si>
  <si>
    <t>"Hủy" khi có thay đổi chưa lưu</t>
  </si>
  <si>
    <t>1. Chọn menu "Doanh nghiệp"
2. Bấm nút Thêm mới
3. Dữ liệu hợp lệ và nhấn Hủy</t>
  </si>
  <si>
    <t>Hệ thống yêu cầu xác nhận trước khi quay về màn hình Danh sách Doanh nghiệp.</t>
  </si>
  <si>
    <t>Hệ thống không yêu cầu xác nhận</t>
  </si>
  <si>
    <r>
      <rPr>
        <rFont val="Times New Roman"/>
        <color rgb="FF1155CC"/>
        <sz val="12.0"/>
        <u/>
      </rPr>
      <t>QLDNDHTPL_13.webm</t>
    </r>
  </si>
  <si>
    <t>QLDNDHTPL_17</t>
  </si>
  <si>
    <t>1. Chọn menu "Doanh nghiệp"
2. Bấm vào tiêu đề cột cần sắp xếp</t>
  </si>
  <si>
    <t xml:space="preserve">- Hệ thống sắp xếp danh sách theo cột đó, luân phiên tăng dần / giảm dần qua mỗi lần bấm.
</t>
  </si>
  <si>
    <r>
      <rPr>
        <rFont val="Times New Roman"/>
        <color rgb="FF1155CC"/>
        <sz val="12.0"/>
        <u/>
      </rPr>
      <t>QLDNDHTPL_17.jpg</t>
    </r>
  </si>
  <si>
    <t>QLDNDHTPL_21</t>
  </si>
  <si>
    <t>Xem</t>
  </si>
  <si>
    <t>1. Đăng nhập tài khoản 
2. Tồn tại doanh nghiệp</t>
  </si>
  <si>
    <t>1. Chọn menu "Doanh nghiệp"
2. Bấm nút Xem</t>
  </si>
  <si>
    <t>- Hệ thống mở màn hình Chi tiết doanh nghiệp tương ứng
- Không được phép sửa</t>
  </si>
  <si>
    <t>Hệ thống cho phép chỉnh sửa ở màn hình xem chi tiết</t>
  </si>
  <si>
    <r>
      <rPr>
        <rFont val="Times New Roman"/>
        <color rgb="FF1155CC"/>
        <sz val="12.0"/>
        <u/>
      </rPr>
      <t>QLDNDHTPL_21.jpg</t>
    </r>
  </si>
  <si>
    <t>QLDNDHTPL_23</t>
  </si>
  <si>
    <t>Kiểm tra hiển thị Nhóm 1 — Thông tin doanh nghiệp (thẻ "Thông tin cơ bản")</t>
  </si>
  <si>
    <t>1. Chọn menu "Doanh nghiệp"
2. Bấm nút Xem
3. Chọn nhóm 1</t>
  </si>
  <si>
    <t xml:space="preserve">- Hệ thống hiển thị các trường thông tin giống với thiết kế
- Dữ liệu hiển thị đúng định dạng và trường thông tin
- Dữ liệu hiển thị không bị tràn/đè lên nhau, đồng nhất ngôn ngữ hiển thị
</t>
  </si>
  <si>
    <t>Hệ thống hiển thị các trường thông tin Nhóm 1 không giống với thiết kế</t>
  </si>
  <si>
    <r>
      <rPr>
        <rFont val="Times New Roman"/>
        <color rgb="FF1155CC"/>
        <sz val="12.0"/>
        <u/>
      </rPr>
      <t>QLDNDHTPL_23.webm</t>
    </r>
  </si>
  <si>
    <t>QLDNDHTPL_24</t>
  </si>
  <si>
    <t>Kiểm tra hiển thị Nhóm 2 — Người đại diện</t>
  </si>
  <si>
    <t>1. Chọn menu "Doanh nghiệp"
2. Bấm nút Xem
3. Chọn nhóm 2</t>
  </si>
  <si>
    <t>Hệ thống hiển thị các trường thông tin Nhóm 2 không giống với thiết kế</t>
  </si>
  <si>
    <r>
      <rPr>
        <rFont val="Times New Roman"/>
        <color rgb="FF1155CC"/>
        <sz val="12.0"/>
        <u/>
      </rPr>
      <t>QLDNDHTPL_24.webm</t>
    </r>
  </si>
  <si>
    <t>QLDNDHTPL_25</t>
  </si>
  <si>
    <t>Kiểm tra hiển thị Nhóm 3 — Tiêu chí ưu tiên theo Nghị định 55/2019/NĐ-CP Điều 4</t>
  </si>
  <si>
    <t>1. Chọn menu "Doanh nghiệp"
2. Bấm nút Xem
3. Chọn nhóm 3</t>
  </si>
  <si>
    <t>Hệ thống hiển thị các trường thông tin theo tài liệu yêu cầu phải hiển thị ở Nhóm 1: Số lao động, Doanh thu (VNĐ), Tổng nguồn vốn (VNĐ)</t>
  </si>
  <si>
    <r>
      <rPr>
        <rFont val="Times New Roman"/>
        <color rgb="FF1155CC"/>
        <sz val="12.0"/>
        <u/>
      </rPr>
      <t>QLDNDHTPL_25.jpg</t>
    </r>
  </si>
  <si>
    <t>QLDNDHTPL_26</t>
  </si>
  <si>
    <t>Kiểm tra hiển thị Nhóm 4 — Thông tin khác</t>
  </si>
  <si>
    <t>1. Chọn menu "Doanh nghiệp"
2. Bấm nút Xem
3. Chọn nhóm 4</t>
  </si>
  <si>
    <t>Hệ thống hiển thị các trường thông tin Nhóm 4 không giống với thiết kế</t>
  </si>
  <si>
    <r>
      <rPr>
        <rFont val="Times New Roman"/>
        <color rgb="FF1155CC"/>
        <sz val="12.0"/>
        <u/>
      </rPr>
      <t>QLDNDHTPL_26.jpg</t>
    </r>
  </si>
  <si>
    <t>QLDNDHTPL_27</t>
  </si>
  <si>
    <t>Kiểm tra hiển thị Nhóm 5 — Chỉ số tổng hợp (chỉ hiển thị ở chế độ xem chi tiết)</t>
  </si>
  <si>
    <t>1. Chọn menu "Doanh nghiệp"
2. Bấm nút Xem
3. Chọn nhóm 5</t>
  </si>
  <si>
    <t>Màn hình chi tiết không hiển thị Nhóm 5</t>
  </si>
  <si>
    <r>
      <rPr>
        <rFont val="Times New Roman"/>
        <color rgb="FF1155CC"/>
        <sz val="12.0"/>
        <u/>
      </rPr>
      <t>QLDNDHTPL_27.jpg</t>
    </r>
  </si>
  <si>
    <t>QLDNDHTPL_28</t>
  </si>
  <si>
    <t>Kiểm tra hiển thị Nhóm 6 — Danh sách vụ việc liên kết (thẻ "Lịch sử hỗ trợ")</t>
  </si>
  <si>
    <t>1. Chọn menu "Doanh nghiệp"
2. Bấm nút Xem
3. Chọn nhóm 6</t>
  </si>
  <si>
    <t xml:space="preserve">- Hệ thống hiển thị thiếu các cột thông tin: Lĩnh vực, Tư vấn viên
</t>
  </si>
  <si>
    <r>
      <rPr>
        <rFont val="Times New Roman"/>
        <color rgb="FF1155CC"/>
        <sz val="12.0"/>
        <u/>
      </rPr>
      <t>QLDNDHTPL_28.jpg</t>
    </r>
  </si>
  <si>
    <t>QLDNDHTPL_31</t>
  </si>
  <si>
    <t>Kiểm tra nút chức năng Sửa tại màn hình xem chi tiết</t>
  </si>
  <si>
    <t>1. Chọn menu "Doanh nghiệp"
2. Bấm nút Xem
3. Bấm nút "Sửa"</t>
  </si>
  <si>
    <t>Hệ thống chuyển giao diện sang chế độ chỉnh sửa: các trường thông tin thành ô nhập liệu, hiện thị hai nút "Lưu" và "Hủy".</t>
  </si>
  <si>
    <t>Hệ thống không hiển thị nút chức năng Sửa mà hiển thị 2 nút Hủy-Lưu</t>
  </si>
  <si>
    <r>
      <rPr>
        <rFont val="Times New Roman"/>
        <color rgb="FF1155CC"/>
        <sz val="12.0"/>
        <u/>
      </rPr>
      <t>QLDNDHTPL_31.jpg</t>
    </r>
  </si>
  <si>
    <t>TKDNHTPL_02</t>
  </si>
  <si>
    <t>Kiểm tra Điều kiện tìm kiếm / bộ lọc</t>
  </si>
  <si>
    <t>- Placeholder trường thông tin "Lĩnh vực kinh doanh" hệ thống đang hiển thị là "Ngành nghề"
- Không đặt giá trị mặc định của các danh sách chọn Quy mô, Tỉnh/Thành phố, Lĩnh vực kinh doanh  là tất cả
- Lĩnh vực kinh doanh chỉ được chọn 1 giá trị
- Không hiển thị trường thông tin Đơn vị đối với người dùng cấp Trung ương
- Hệ thống hiển thị 1 trường thông tin tìm kiếm không có ý nghĩa</t>
  </si>
  <si>
    <r>
      <rPr>
        <rFont val="Times New Roman"/>
        <color rgb="FF1155CC"/>
        <sz val="12.0"/>
        <u/>
      </rPr>
      <t>TKDNHTPL_02.jpg</t>
    </r>
  </si>
  <si>
    <t>TKDNHTPL_03</t>
  </si>
  <si>
    <t>1. Chọn menu "Doanh nghiệp"
2. Nhập/chọn tiêu chí tìm kiếm</t>
  </si>
  <si>
    <t>Hệ thống để trống vùng kết quả và hiển thị thông báo "Không tìm thấy doanh nghiệp phù hợp".</t>
  </si>
  <si>
    <t>Hệ thống hiển thị "Trống"</t>
  </si>
  <si>
    <r>
      <rPr>
        <rFont val="Times New Roman"/>
        <color rgb="FF1155CC"/>
        <sz val="12.0"/>
        <u/>
      </rPr>
      <t>TKDNHTPL_03.jpg</t>
    </r>
  </si>
  <si>
    <t>LKHDG_02</t>
  </si>
  <si>
    <t>Kiểm tra hiển thị các trường thông tin trong danh sách</t>
  </si>
  <si>
    <t xml:space="preserve">1. Chọn menu "Đánh giá hiệu quả"
</t>
  </si>
  <si>
    <t>- Hệ thống hiển thị các trường thông tin giống với thiết kế
- Dữ liệu hiển thị đúng định dạng và trường thông tin
- Dữ liệu hiển thị không bị tràn/đè lên nhau, đồng nhất ngôn ngữ hiển thị
- Mặc định 20 bản ghi/trang</t>
  </si>
  <si>
    <t>Tên đợt là thông tin quan trong nhưng cắt bớt quá nhiều dẫn đến khó quan sát</t>
  </si>
  <si>
    <r>
      <rPr>
        <rFont val="Times New Roman"/>
        <color rgb="FF1155CC"/>
        <sz val="12.0"/>
        <u/>
      </rPr>
      <t>LKHDG_02.jpg</t>
    </r>
  </si>
  <si>
    <t>LKHDG_03</t>
  </si>
  <si>
    <t>- Giá trị tần suất là Tròn năm, không phải Trọn năm
- Không đặt giá trị mặc định của các danh sách chọn là Tất cả
- Thiếu trường thông tin tìm kiếm theo Trạng thái</t>
  </si>
  <si>
    <r>
      <rPr>
        <rFont val="Times New Roman"/>
        <color rgb="FF1155CC"/>
        <sz val="12.0"/>
        <u/>
      </rPr>
      <t>LKHDG_03.jpg</t>
    </r>
  </si>
  <si>
    <t>LKHDG_04</t>
  </si>
  <si>
    <t>Tìm kiếm có kết quả</t>
  </si>
  <si>
    <t>1. Đăng nhập tài khoản 
2. Tồn tại tiêu chí tìm kiếm</t>
  </si>
  <si>
    <t>1. Chọn menu "Đánh giá hiệu quả"
2. Nhập tiêu chí có kết quả</t>
  </si>
  <si>
    <t>Hệ thống hiển thị danh sách đợt đánh giá phù hợp.</t>
  </si>
  <si>
    <t>Hệ thống hiển thị thông điệp "Không tìm thấy đợt đánh giá phù hợp" mặc dù tồn tại dữ liệu phù hợp với tiêu chí tìm kiếm</t>
  </si>
  <si>
    <r>
      <rPr>
        <rFont val="Times New Roman"/>
        <color rgb="FF1155CC"/>
        <sz val="12.0"/>
        <u/>
      </rPr>
      <t>LKHDG_04.webm</t>
    </r>
  </si>
  <si>
    <t>LKHDG_07</t>
  </si>
  <si>
    <t>1. Chọn menu "Đánh giá hiệu quả"
2. Bấm nút Thêm mới</t>
  </si>
  <si>
    <t xml:space="preserve">- Hệ thống mở màn hình "Chi tiết đợt đánh giá" ở chế độ lập mới:
+ Hiển thị biểu mẫu gồm các trường: Tên đợt, Mục tiêu, Tần suất, Từ ngày, Đến ngày, Đối tượng, Ghi chú, Cơ quan được đánh giá.
+ Các trường "Tên đợt", "Mục tiêu", "Tần suất", "Từ ngày", "Đến ngày", "Đối tượng", "Cơ quan được đánh giá" là bắt buộc.
</t>
  </si>
  <si>
    <t>Trường thông tin Mục tiêu không được đánh dấu bắt buộc</t>
  </si>
  <si>
    <r>
      <rPr>
        <rFont val="Times New Roman"/>
        <color rgb="FF1155CC"/>
        <sz val="12.0"/>
        <u/>
      </rPr>
      <t>LKHDG_07.jpg</t>
    </r>
  </si>
  <si>
    <t>LKHDG_08</t>
  </si>
  <si>
    <t>Thiếu trường bắt buộc</t>
  </si>
  <si>
    <t>1. Chọn menu "Đánh giá hiệu quả"
2. Bấm nút Thêm mới
3. Bấm nút "Lưu nháp" hoặc "Lưu &amp; Chuyển tiêu chí"</t>
  </si>
  <si>
    <t>Hệ thống hiển thị thông điệp "Vui lòng nhập đầy đủ thông tin bắt buộc".</t>
  </si>
  <si>
    <t>Trường thông tin Mục tiêu không hiển thị thông báo bắt buộc</t>
  </si>
  <si>
    <r>
      <rPr>
        <rFont val="Times New Roman"/>
        <color rgb="FF1155CC"/>
        <sz val="12.0"/>
        <u/>
      </rPr>
      <t>LKHDG_08.jpg</t>
    </r>
  </si>
  <si>
    <t>LKHDG_10</t>
  </si>
  <si>
    <t>Lưu nháp thành công</t>
  </si>
  <si>
    <t xml:space="preserve">1. Chọn menu "Đánh giá hiệu quả"
2. Bấm nút Thêm mới
3. Nhập thông tin hợp lệ
4. Bấm nút "Lưu nháp" </t>
  </si>
  <si>
    <t xml:space="preserve">- Hệ thống hiển thị thông điệp "Đã lưu đợt đánh giá" và giữ người dùng ở màn hình chi tiết đợt.
+ Tự sinh mã đợt theo định dạng "DG-{năm-tháng-ngày}-{số thứ tự}".
+ Lưu bản ghi đợt đánh giá ở trạng thái "Lập kế hoạch".
</t>
  </si>
  <si>
    <t>Không giữ/chuyển đến màn hinh chi tiết đợt</t>
  </si>
  <si>
    <r>
      <rPr>
        <rFont val="Times New Roman"/>
        <color rgb="FF1155CC"/>
        <sz val="12.0"/>
        <u/>
      </rPr>
      <t>LKHDG_10.webm</t>
    </r>
  </si>
  <si>
    <t>LKHDG_12</t>
  </si>
  <si>
    <t>Xuất Excel</t>
  </si>
  <si>
    <t>1. Chọn menu "Đánh giá hiệu quả"
2. Nhập tiêu chí có kết quả
3. Bấm nút Xuất Excel</t>
  </si>
  <si>
    <t>Hệ thống xuất danh sách đợt đánh giá hiện tại (sau khi áp dụng bộ lọc và phân quyền) ra tệp định dạng XLSX để người dùng tải xuống.</t>
  </si>
  <si>
    <t xml:space="preserve">- Hệ thống xuất danh sách không đúng với tiêu chí lọc
- File excel xuất ra thiếu cột thông tin "Số vụ việc", "Người tạo", "Ngày tạo"
- Thông tin các cột: Tần suất, Đối tượng, Trạng thái hiển thị không dấu
</t>
  </si>
  <si>
    <r>
      <rPr>
        <rFont val="Times New Roman"/>
        <color rgb="FF1155CC"/>
        <sz val="12.0"/>
        <u/>
      </rPr>
      <t>LKHDG_12.webm</t>
    </r>
  </si>
  <si>
    <t>LKHDG_16</t>
  </si>
  <si>
    <t>"Sửa"</t>
  </si>
  <si>
    <t>1. Chọn menu "Đánh giá hiệu quả"
2. Bấm "Sửa"</t>
  </si>
  <si>
    <t xml:space="preserve">- Chỉ hiển thị khi đợt đang ở trạng thái "Lập kế hoạch" hoặc "Phân công", và Cán bộ nghiệp vụ thuộc đơn vị sở hữu đợt.
- Hệ thống mở màn hình chi tiết đợt đánh giá ở chế độ chỉnh sửa.
</t>
  </si>
  <si>
    <r>
      <rPr>
        <rFont val="Times New Roman"/>
        <color theme="1"/>
        <sz val="12.0"/>
      </rPr>
      <t>- Các trường thông tin không được chỉnh sửa
- Breadcrum hiển thị đường dẫn là Trang chủ/Đánh giá hiệu quả/Kế hoạch đánh giá/</t>
    </r>
    <r>
      <rPr>
        <rFont val="Times New Roman"/>
        <color rgb="FFFF0000"/>
        <sz val="12.0"/>
      </rPr>
      <t>Chi tiết</t>
    </r>
  </si>
  <si>
    <r>
      <rPr>
        <rFont val="Times New Roman"/>
        <color rgb="FF1155CC"/>
        <sz val="12.0"/>
        <u/>
      </rPr>
      <t>LKHDG_16.jpg</t>
    </r>
  </si>
  <si>
    <t>LKHDG_19</t>
  </si>
  <si>
    <t>Kiểm tra hiển thị các trường thông tin trong Chi tiết đợt đánh giá (tab Kế hoạch)</t>
  </si>
  <si>
    <t>1. Chọn menu "Đánh giá hiệu quả"
2. Bấm vào mã đợt trên bảng danh sách</t>
  </si>
  <si>
    <t xml:space="preserve">Không hiển thị trường thông tin Cơ quan được đánh giá </t>
  </si>
  <si>
    <r>
      <rPr>
        <rFont val="Times New Roman"/>
        <color rgb="FF1155CC"/>
        <sz val="12.0"/>
        <u/>
      </rPr>
      <t>LKHDG_19.jpg</t>
    </r>
  </si>
  <si>
    <t>LKHDG_20</t>
  </si>
  <si>
    <t>Kiểm tra nút chức năng "Hủy"</t>
  </si>
  <si>
    <t>1. Chọn menu "Đánh giá hiệu quả"
2. Bấm vào mã đợt trên bảng danh sách
3. Bấm nút "Hủy" khi đang lập mới hoặc chỉnh sửa đợt</t>
  </si>
  <si>
    <t>Hệ thống hiển thị cửa sổ xác nhận hủy bỏ thay đổi. Sau khi xác nhận, hệ thống đóng biểu mẫu và quay về màn hình danh sách đợt đánh giá.</t>
  </si>
  <si>
    <t>- Hệ thống không hiển thị cửa sổ xác nhận
- Màn hình chỉnh sửa không có nút chức năng</t>
  </si>
  <si>
    <r>
      <rPr>
        <rFont val="Times New Roman"/>
        <color rgb="FF1155CC"/>
        <sz val="12.0"/>
        <u/>
      </rPr>
      <t>LKHDG_20.webm</t>
    </r>
  </si>
  <si>
    <t>LKHDG_21</t>
  </si>
  <si>
    <t xml:space="preserve">Kiểm tra chức năng "Lưu nháp" </t>
  </si>
  <si>
    <t>1. Chọn menu "Đánh giá hiệu quả"
2. Kiểm tra chức năng "Lưu nháp"</t>
  </si>
  <si>
    <t>Chỉ hiển thị khi đang lập mới đợt hoặc chỉnh sửa đợt ở trạng thái "Lập kế hoạch".</t>
  </si>
  <si>
    <t>Màn hình chỉnh sửa không có nút chức năng</t>
  </si>
  <si>
    <r>
      <rPr>
        <rFont val="Times New Roman"/>
        <color rgb="FF1155CC"/>
        <sz val="12.0"/>
        <u/>
      </rPr>
      <t>LKHDG_21.jpg</t>
    </r>
  </si>
  <si>
    <t>LKHDG_22</t>
  </si>
  <si>
    <t>Kiểm tra chức năng "Lưu &amp; Chuyển tiêu chí"</t>
  </si>
  <si>
    <t>1. Chọn menu "Đánh giá hiệu quả"
2. Kiểm tra chức năng "Lưu &amp; Chuyển tiêu chí"</t>
  </si>
  <si>
    <r>
      <rPr>
        <rFont val="Times New Roman"/>
        <color rgb="FF1155CC"/>
        <sz val="12.0"/>
        <u/>
      </rPr>
      <t>LKHDG_22.jpg</t>
    </r>
  </si>
  <si>
    <t>TLCTCDG_07</t>
  </si>
  <si>
    <t>Kiểm tra nút chức năng "Sửa tiêu chí"</t>
  </si>
  <si>
    <t xml:space="preserve">1. Đăng nhập tài khoản 
2. Đợt đánh giá đang ở trạng thái "Lập kế hoạch". </t>
  </si>
  <si>
    <t>1. Chọn menu "Đánh giá hiệu quả"
2. Mở Chi tiết đợt đánh giá (tab Tiêu chí)
3. Bấm nút "Sửa tiêu chí"</t>
  </si>
  <si>
    <t>- Hệ thống chuyển dòng đó sang chế độ chỉnh sửa để NSD cập nhật thông tin.
- Thành công: Dòng tiêu chí chuyển sang chế độ chỉnh sửa.</t>
  </si>
  <si>
    <t>Không có nút chức năng chỉnh sửa</t>
  </si>
  <si>
    <r>
      <rPr>
        <rFont val="Times New Roman"/>
        <color rgb="FF1155CC"/>
        <sz val="12.0"/>
        <u/>
      </rPr>
      <t>TLCTCDG_07.jpg</t>
    </r>
  </si>
  <si>
    <t>TLCTCDG_08</t>
  </si>
  <si>
    <t>Kiểm tra nút chức năng "Xóa tiêu chí"</t>
  </si>
  <si>
    <t>1. Chọn menu "Đánh giá hiệu quả"
2. Mở Chi tiết đợt đánh giá (tab Tiêu chí)
3. Bấm nút "Xóa tiêu chí"</t>
  </si>
  <si>
    <t>- Hệ thống hiển thị cửa sổ xác nhận. Sau khi xác nhận, hệ thống xóa tiêu chí khỏi bảng và cập nhật lại tổng trọng số.</t>
  </si>
  <si>
    <t>Không hiển thị cửa sổ xác nhận</t>
  </si>
  <si>
    <r>
      <rPr>
        <rFont val="Times New Roman"/>
        <color rgb="FF1155CC"/>
        <sz val="12.0"/>
        <u/>
      </rPr>
      <t>TLCTCDG_08.webm</t>
    </r>
  </si>
  <si>
    <t>TLCTCDG_09</t>
  </si>
  <si>
    <t>Lưu khi thiếu trường bắt buộc</t>
  </si>
  <si>
    <t>1. Chọn menu "Đánh giá hiệu quả"
2. Mở Chi tiết đợt đánh giá (tab Tiêu chí)
3. Bấm nút "Lưu"</t>
  </si>
  <si>
    <r>
      <rPr>
        <rFont val="Times New Roman"/>
        <color rgb="FF1155CC"/>
        <sz val="12.0"/>
        <u/>
      </rPr>
      <t>TLCTCDG_09.webm</t>
    </r>
  </si>
  <si>
    <t>TLCTCDG_11</t>
  </si>
  <si>
    <t>Kiểm tra lưu thành công, tổng trọng số khác 100%</t>
  </si>
  <si>
    <t>1. Chọn menu "Đánh giá hiệu quả"
2. Mở Chi tiết đợt đánh giá (tab Tiêu chí)
3. Nhập thông tin hợp lệ và nhấn "Lưu"</t>
  </si>
  <si>
    <t>- Hệ thống hiển thị thông điệp "Tổng trọng số hiện tại: {X}%. Cần đảm bảo = 100% trước khi trình phê duyệt".</t>
  </si>
  <si>
    <r>
      <rPr>
        <rFont val="Times New Roman"/>
        <color rgb="FF1155CC"/>
        <sz val="12.0"/>
        <u/>
      </rPr>
      <t>TLCTCDG_11.jpg</t>
    </r>
  </si>
  <si>
    <t>TLCTCDG_12</t>
  </si>
  <si>
    <t>"Lưu &amp; Quay lại Kế hoạch"</t>
  </si>
  <si>
    <t>1. Chọn menu "Đánh giá hiệu quả"
2. Mở Chi tiết đợt đánh giá (tab Tiêu chí)
3. Nhập thông tin hợp lệ và nhấn "Lưu &amp; Quay lại Kế hoạch"</t>
  </si>
  <si>
    <t>- Hệ thống thực hiện lưu giống nút "Lưu" và quay về tab "Kế hoạch" của đợt đánh giá.</t>
  </si>
  <si>
    <t>Không có nút chức năng</t>
  </si>
  <si>
    <r>
      <rPr>
        <rFont val="Times New Roman"/>
        <color rgb="FF1155CC"/>
        <sz val="12.0"/>
        <u/>
      </rPr>
      <t>TLCTCDG_12.jpg</t>
    </r>
  </si>
  <si>
    <t>PCNTHDG_06</t>
  </si>
  <si>
    <t xml:space="preserve">1. Đăng nhập tài khoản 
2. Đợt đánh giá ở trạng thái "Lập kế hoạch" hoặc "Phân công" 
3. Bộ tiêu chí đã được thiết lập với tổng trọng số bằng 100%.
</t>
  </si>
  <si>
    <t>1. Chọn menu "Đánh giá hiệu quả"
2. Mở Chi tiết đợt đánh giá (tab Phân công)
3. Bấm nút "Hủy"</t>
  </si>
  <si>
    <t>- Hệ thống hiển thị cửa sổ xác nhận hủy bỏ thay đổi chưa lưu, sau đó hoàn tác.</t>
  </si>
  <si>
    <t>Hệ thống không hiển thị cửa sổ xác nhận</t>
  </si>
  <si>
    <r>
      <rPr>
        <rFont val="Times New Roman"/>
        <color rgb="FF1155CC"/>
        <sz val="12.0"/>
        <u/>
      </rPr>
      <t>PCNTHDG_06.webm</t>
    </r>
  </si>
  <si>
    <t>PCNTHDG_10</t>
  </si>
  <si>
    <t>Trình phê duyệt trùng người</t>
  </si>
  <si>
    <t>1. Chọn menu "Đánh giá hiệu quả"
2. Mở Chi tiết đợt đánh giá (tab Phân công)
3. Trùng người và Bấm nút "Trình phê duyệt"</t>
  </si>
  <si>
    <t>Hệ thống hiển thị thông điệp "Người đánh giá đã được phân công".</t>
  </si>
  <si>
    <r>
      <rPr>
        <rFont val="Times New Roman"/>
        <color rgb="FF1155CC"/>
        <sz val="12.0"/>
        <u/>
      </rPr>
      <t>PCNTHDG_10.webm</t>
    </r>
  </si>
  <si>
    <t>PCNTHDG_11</t>
  </si>
  <si>
    <t>1. Chọn menu "Đánh giá hiệu quả"
2. Mở Chi tiết đợt đánh giá (tab Phân công)
3. Nhập thông tin hợp lệ và Bấm nút "Trình phê duyệt"</t>
  </si>
  <si>
    <t xml:space="preserve">- Hệ thống hiển thị thông điệp "Đã trình phê duyệt phân công".
- Chuyển trạng thái đợt đánh giá sang "Chờ duyệt phân công".
- Gửi thông báo cho Cán bộ phê duyệt cùng đơn vị.
</t>
  </si>
  <si>
    <t>Hệ thống không gửi thông báo cho cán bộ phê duyệt cùng đơn vị</t>
  </si>
  <si>
    <r>
      <rPr>
        <rFont val="Times New Roman"/>
        <color rgb="FF1155CC"/>
        <sz val="12.0"/>
        <u/>
      </rPr>
      <t>PCNTHDG_11.jpg</t>
    </r>
  </si>
  <si>
    <t>PDPCDG_01</t>
  </si>
  <si>
    <t>Phê duyệt phân công đánh giá</t>
  </si>
  <si>
    <t>Lãnh đạo CQQLNN phê duyệt danh sách người thực hiện đánh giá.</t>
  </si>
  <si>
    <t xml:space="preserve">1. Đăng nhập tài khoản 
2. Đợt đánh giá ở trạng thái "Chờ duyệt phân công".
</t>
  </si>
  <si>
    <t>1. Chọn menu "Đánh giá hiệu quả"
2. Mở Chi tiết đợt đánh giá (tab Phân công — chế độ phê duyệt)
3. Bấm nút "Phê duyệt phân công" và xác nhận</t>
  </si>
  <si>
    <t xml:space="preserve">- Hệ thống hiển thị thông điệp "Đã phê duyệt phân công".
- Chuyển trạng thái đợt đánh giá từ "Chờ duyệt phân công" sang "Thực hiện".
+ Ghi người duyệt, thời gian.
+ Gửi thông báo cho Cán bộ nghiệp vụ.
</t>
  </si>
  <si>
    <r>
      <rPr>
        <rFont val="Times New Roman"/>
        <color rgb="FF1155CC"/>
        <sz val="12.0"/>
        <u/>
      </rPr>
      <t>PDPCDG_01.webm</t>
    </r>
  </si>
  <si>
    <t>PDPCDG_05</t>
  </si>
  <si>
    <t>1. Chọn menu "Đánh giá hiệu quả"
2. Mở Chi tiết đợt đánh giá (tab Phân công — chế độ phê duyệt)
3. Bấm nút "Từ chối phân công"
4. Nhập lý do hợp lệ và Xác nhận</t>
  </si>
  <si>
    <t>- Hệ thống hiển thị thông điệp "Đã từ chối phân công".
-  Lưu lý do từ chối.
- Chuyển trạng thái đợt đánh giá từ "Chờ duyệt phân công" sang "Phân công".
- Ghi người từ chối, thời gian.
- Gửi thông báo kèm lý do cho Cán bộ nghiệp vụ.
- Lưu vết thao tác theo quy định</t>
  </si>
  <si>
    <t>Hệ thống không gửi thông báo kèm lý do cho cán bộ phê duyệt</t>
  </si>
  <si>
    <r>
      <rPr>
        <rFont val="Times New Roman"/>
        <color rgb="FF1155CC"/>
        <sz val="12.0"/>
        <u/>
      </rPr>
      <t>PDPCDG_05.webm</t>
    </r>
  </si>
  <si>
    <t>CVVDG_01</t>
  </si>
  <si>
    <t>Chọn vụ việc đánh giá</t>
  </si>
  <si>
    <t>Lựa chọn các vụ việc cụ thể để tiến hành kiểm tra, đánh giá chất lượng.</t>
  </si>
  <si>
    <t xml:space="preserve">1. Đăng nhập tài khoản 
2. Đợt đánh giá ở trạng thái "Thực hiện".
3. Có ít nhất một vụ việc ở trạng thái "Hoàn thành" trong khoảng ngày của kỳ đánh giá và thuộc phạm vi đơn vị.
</t>
  </si>
  <si>
    <t>1. Chọn menu "Đánh giá hiệu quả"
2. Mở Chi tiết đợt đánh giá (tab Thực hiện — chế độ chọn vụ việc)
3. Tích chọn ở đầu dòng và nhấn "Lưu danh sách vụ việc"</t>
  </si>
  <si>
    <t xml:space="preserve">- Hệ thống hiển thị thông điệp "Đã lưu {N} vụ việc vào đợt đánh giá".
- Lưu danh sách vụ việc được chọn vào đợt đánh giá.
+ Giữ trạng thái đợt đánh giá ở "Thực hiện".
+ Lưu vết thao tác theo quy định.
</t>
  </si>
  <si>
    <t>Hệ thống hiển thị thông báo không giống với thiết kế</t>
  </si>
  <si>
    <r>
      <rPr>
        <rFont val="Times New Roman"/>
        <color rgb="FF1155CC"/>
        <sz val="12.0"/>
        <u/>
      </rPr>
      <t>CVVDG_01.jpg</t>
    </r>
  </si>
  <si>
    <t>CVVDG_02</t>
  </si>
  <si>
    <t>Kiểm tra hiển thị các trường thông tin trong Chi tiết đợt đánh giá (tab Thực hiện — chế độ chọn vụ việc)</t>
  </si>
  <si>
    <t>1. Chọn menu "Đánh giá hiệu quả"
2. Mở Chi tiết đợt đánh giá (tab Thực hiện — chế độ chọn vụ việc)</t>
  </si>
  <si>
    <t xml:space="preserve">Hệ thống hiển thị thiếu các cột thông tin: Tên doanh nghiệp, Ngày hoàn thành, Cảnh báo trùng đợt
 </t>
  </si>
  <si>
    <r>
      <rPr>
        <rFont val="Times New Roman"/>
        <color rgb="FF1155CC"/>
        <sz val="12.0"/>
        <u/>
      </rPr>
      <t>CVVDG_02.jpg</t>
    </r>
  </si>
  <si>
    <t>CVVDG_03</t>
  </si>
  <si>
    <t>Tích chọn vụ việc đã thuộc đợt đánh giá khác</t>
  </si>
  <si>
    <t>1. Đăng nhập tài khoản 
2. Đợt đánh giá ở trạng thái "Thực hiện".
3. Vụ việc đã thuộc đợt đánh giá khác</t>
  </si>
  <si>
    <t>1. Chọn menu "Đánh giá hiệu quả"
2. Mở Chi tiết đợt đánh giá (tab Thực hiện — chế độ chọn vụ việc)
3. Tích chọn ở đầu dòng và nhấn xác nhận</t>
  </si>
  <si>
    <t>Hệ thống hiển thị cảnh báo "Vụ việc này đã thuộc đợt {mã đợt}. Bạn có muốn đánh giá lại?"; NSD xác nhận, hệ thống vẫn cho phép chọn.</t>
  </si>
  <si>
    <t>Hệ thống không hiển thị cảnh báo</t>
  </si>
  <si>
    <r>
      <rPr>
        <rFont val="Times New Roman"/>
        <color rgb="FF1155CC"/>
        <sz val="12.0"/>
        <u/>
      </rPr>
      <t>CVVDG_03.webm</t>
    </r>
  </si>
  <si>
    <t>CVVDG_04</t>
  </si>
  <si>
    <t>Không có vụ việc trong kỳ</t>
  </si>
  <si>
    <t xml:space="preserve">1. Đăng nhập tài khoản 
2. Đợt đánh giá ở trạng thái "Thực hiện".
3. Không có vụ việc ở trạng thái "Hoàn thành" trong khoảng ngày của kỳ đánh giá và thuộc phạm vi đơn vị.
</t>
  </si>
  <si>
    <t>Hệ thống hiển thị cảnh báo "Không có vụ việc nào hoàn thành trong kỳ đánh giá này".</t>
  </si>
  <si>
    <t>Hệ thống hiển thị "Không có vụ việc nào phù hợp"</t>
  </si>
  <si>
    <r>
      <rPr>
        <rFont val="Times New Roman"/>
        <color rgb="FF1155CC"/>
        <sz val="12.0"/>
        <u/>
      </rPr>
      <t>CVVDG_04.jpg</t>
    </r>
  </si>
  <si>
    <t>THDG_02</t>
  </si>
  <si>
    <t>Kiểm tra hiển thị các trường thông tin trong Chi tiết đợt đánh giá (tab Thực hiện — chế độ chấm điểm)</t>
  </si>
  <si>
    <t xml:space="preserve">1. Đăng nhập tài khoản có trong danh sách phân công đánh giá của đợt
2. Đợt đánh giá ở trạng thái "Thực hiện".
3. Danh sách vụ việc đánh giá đã được lưu
</t>
  </si>
  <si>
    <t>1. Chọn menu "Đánh giá hiệu quả"
2. Mở Chi tiết đợt đánh giá (tab Thực hiện — chế độ chấm điểm)</t>
  </si>
  <si>
    <t>- Thiếu các trường thông tin: Nhận xét từng tiêu chí
-  Trường thông tin Nhận xét tổng thể hệ thống hiển thị là Ghi chú</t>
  </si>
  <si>
    <r>
      <rPr>
        <rFont val="Times New Roman"/>
        <color rgb="FF1155CC"/>
        <sz val="12.0"/>
        <u/>
      </rPr>
      <t>THDG_02.jpg</t>
    </r>
  </si>
  <si>
    <t>THDG_03</t>
  </si>
  <si>
    <t>Lưu kết quả khi điểm vượt</t>
  </si>
  <si>
    <t>1. Chọn menu "Đánh giá hiệu quả"
2. Mở Chi tiết đợt đánh giá (tab Thực hiện — chế độ chấm điểm)
3. Nhập điểm vượt và nhấn Lưu kết quả</t>
  </si>
  <si>
    <t>Hệ thống báo "Điểm phải từ 0 đến {điểm tối đa}".</t>
  </si>
  <si>
    <t>Hệ thống không hiển thị thông báo mà tự động chuyển về giá trị điểm hợp lệ</t>
  </si>
  <si>
    <r>
      <rPr>
        <rFont val="Times New Roman"/>
        <color rgb="FF1155CC"/>
        <sz val="12.0"/>
        <u/>
      </rPr>
      <t>THDG_03.webm</t>
    </r>
  </si>
  <si>
    <t>THDG_04</t>
  </si>
  <si>
    <t>Tự động tính lại điểm tổng hợp và xếp loại</t>
  </si>
  <si>
    <t>1. Chọn menu "Đánh giá hiệu quả"
2. Mở Chi tiết đợt đánh giá (tab Thực hiện — chế độ chấm điểm)
3. Nhập điểm hợp lệ</t>
  </si>
  <si>
    <t xml:space="preserve">- Điểm tổng hợp: tổng của (điểm tiêu chí × trọng số tiêu chí / 100). Hiển thị 2 chữ số thập phân.
- Xếp loại hiển thị theo điểm tổng: ≥ 90% điểm tối đa → "Xuất sắc"; ≥ 70% → "Tốt"; ≥ 50% → "Đạt"; &lt; 50% → "Chưa đạt".
</t>
  </si>
  <si>
    <t>Điểm tổng hợp hiển thị 1 chữ số thập phân</t>
  </si>
  <si>
    <r>
      <rPr>
        <rFont val="Times New Roman"/>
        <color rgb="FF1155CC"/>
        <sz val="12.0"/>
        <u/>
      </rPr>
      <t>THDG_04.jpg</t>
    </r>
  </si>
  <si>
    <t>THDG_05</t>
  </si>
  <si>
    <t>Lưu kết quả thành công</t>
  </si>
  <si>
    <t>1. Chọn menu "Đánh giá hiệu quả"
2. Mở Chi tiết đợt đánh giá (tab Thực hiện — chế độ chấm điểm)
3. Nhập điểm hợp lệ và nhấn Lưu kết quả</t>
  </si>
  <si>
    <t xml:space="preserve">- Hệ thống hiển thị thông điệp "Đã lưu kết quả chấm điểm".
- Lưu kết quả đánh giá cho các vụ việc đã chấm (hỗ trợ lưu nháp khi chấm một phần).
- Lưu vết thao tác theo quy định.
</t>
  </si>
  <si>
    <t>Hệ thống hiển thị thông báo lỗi "Vụ việc 'aad90004-0000-4000-8000-000000000002' không có kết quả đánh giá trong kế hoạch này"</t>
  </si>
  <si>
    <r>
      <rPr>
        <rFont val="Times New Roman"/>
        <color rgb="FF1155CC"/>
        <sz val="12.0"/>
        <u/>
      </rPr>
      <t>THDG_05.jpg</t>
    </r>
  </si>
  <si>
    <t>LBCDG_02</t>
  </si>
  <si>
    <t>Kiểm tra hiển thị các trường thông tin trong Chi tiết đợt đánh giá (tab Báo cáo)</t>
  </si>
  <si>
    <t xml:space="preserve">1. Đăng nhập tài khoản 
2. Đợt đánh giá ở trạng thái "Báo cáo".
3. Tất cả vụ việc trong đợt đã được chấm điểm đầy đủ.
</t>
  </si>
  <si>
    <t>1. Chọn menu "Đánh giá hiệu quả"
2. Mở Chi tiết đợt đánh giá (tab Báo cáo)</t>
  </si>
  <si>
    <t>Hệ thống hiển thị các trường thông tin không giống với thiết kế</t>
  </si>
  <si>
    <r>
      <rPr>
        <rFont val="Times New Roman"/>
        <color rgb="FF1155CC"/>
        <sz val="12.0"/>
        <u/>
      </rPr>
      <t>LBCDG_01.jpg</t>
    </r>
  </si>
  <si>
    <t>LBCDG_04</t>
  </si>
  <si>
    <t>Kiểm tra nút chức năng "Xuất Excel"</t>
  </si>
  <si>
    <t>1. Chọn menu "Đánh giá hiệu quả"
2. Mở Chi tiết đợt đánh giá (tab Báo cáo)
3. Nhấn Xuất excel</t>
  </si>
  <si>
    <t xml:space="preserve">- Tên nút chức năng đúng với thiểt kế
- Khi nhấn nút chức năng: Hệ thống xuất báo cáo đánh giá ra tệp XLSX theo mẫu Thông tư số 17/2025/TT-BTP và cho phép người dùng tải xuống.
</t>
  </si>
  <si>
    <t>Tên nút chức năng không giống với thiết kế</t>
  </si>
  <si>
    <r>
      <rPr>
        <rFont val="Times New Roman"/>
        <color rgb="FF1155CC"/>
        <sz val="12.0"/>
        <u/>
      </rPr>
      <t>LBCDG_05.jpg</t>
    </r>
  </si>
  <si>
    <t>LBCDG_05</t>
  </si>
  <si>
    <t>"Xuất Word" thành công</t>
  </si>
  <si>
    <t>1. Chọn menu "Đánh giá hiệu quả"
2. Mở Chi tiết đợt đánh giá (tab Báo cáo)
3. Nhấn Xuất Word</t>
  </si>
  <si>
    <t>- Hệ thống xuất báo cáo đánh giá ra tệp DOCX theo mẫu Thông tư số 17/2025/TT-BTP và cho phép người dùng tải xuống.</t>
  </si>
  <si>
    <t>Không có nút chức năng Xuất Word</t>
  </si>
  <si>
    <r>
      <rPr>
        <rFont val="Times New Roman"/>
        <color rgb="FF1155CC"/>
        <sz val="12.0"/>
        <u/>
      </rPr>
      <t>LBCDG_04.jpg</t>
    </r>
  </si>
  <si>
    <t>TPDBC_02</t>
  </si>
  <si>
    <t>Kiểm tra hiển thị nút chức năng Trình phê duyệt</t>
  </si>
  <si>
    <t>1. Chọn menu "Đánh giá hiệu quả"
2. Mở Chi tiết đợt đánh giá (tab Báo cáo)
3. Nhấn "Trình phê duyệt báo cáo"</t>
  </si>
  <si>
    <t>Chỉ hiển thị khi đợt đang ở trạng thái "Báo cáo" và báo cáo đã được lưu.</t>
  </si>
  <si>
    <t>Báo cáo không ở đúng trạng thái và báo cáo chưa được lưu nhưng vẫn hiển thị nút chức năng, cho phép trình phê duyệt thành công</t>
  </si>
  <si>
    <r>
      <rPr>
        <rFont val="Times New Roman"/>
        <color rgb="FF1155CC"/>
        <sz val="12.0"/>
        <u/>
      </rPr>
      <t>TPDBC_02.webm</t>
    </r>
  </si>
  <si>
    <t>TPDBC_03</t>
  </si>
  <si>
    <t>Đợt không ở trạng thái "Báo cáo"</t>
  </si>
  <si>
    <t>1. Đăng nhập tài khoản 
2. Đợt không ở trạng thái "Báo cáo"</t>
  </si>
  <si>
    <t>- Hệ thống báo "Đợt không ở trạng thái đã lập báo cáo".</t>
  </si>
  <si>
    <t>Khi đợt ở các trạng thái: Lập kế hoạch, Phân công, Chờ duyệt PC, Thực hiện =&gt; Hệ thống hiển thị "Chưa hoàn thành đánh giá"</t>
  </si>
  <si>
    <r>
      <rPr>
        <rFont val="Times New Roman"/>
        <color rgb="FF1155CC"/>
        <sz val="12.0"/>
        <u/>
      </rPr>
      <t>TPDBC_03.jpg</t>
    </r>
  </si>
  <si>
    <t>PDBCDG_01</t>
  </si>
  <si>
    <t>Phê duyệt báo cáo đánh giá</t>
  </si>
  <si>
    <t>Lãnh đạo CQQLNN xem xét và phê duyệt báo cáo đánh giá.</t>
  </si>
  <si>
    <t>1. Đăng nhập tài khoản 
2. Đợt đánh giá ở trạng thái "Chờ phê duyệt".</t>
  </si>
  <si>
    <t>1. Chọn menu "Đánh giá hiệu quả"
2. Mở Chi tiết đợt đánh giá (tab Báo cáo)
3. Nhấn Phê duyệt báo cáo</t>
  </si>
  <si>
    <r>
      <rPr>
        <rFont val="Times New Roman"/>
        <color theme="1"/>
        <sz val="12.0"/>
      </rPr>
      <t xml:space="preserve">- Hiển thị cửa sổ xác nhận.
+ Sau khi xác nhận, chuyển trạng thái đợt đánh giá từ "Chờ phê duyệt" sang "Hoàn thành".
+ Ghi người duyệt, thời gian.
+ Hiển thị màn hình kết quả phê duyệt (trạng thái, người duyệt, thời gian).
</t>
    </r>
    <r>
      <rPr>
        <rFont val="Times New Roman"/>
        <color rgb="FFEA4335"/>
        <sz val="12.0"/>
      </rPr>
      <t>+ Gửi thông báo kết quả cho Cán bộ nghiệp vụ.</t>
    </r>
    <r>
      <rPr>
        <rFont val="Times New Roman"/>
        <color theme="1"/>
        <sz val="12.0"/>
      </rPr>
      <t xml:space="preserve">
+ Lưu vết thao tác theo quy định.
-</t>
    </r>
    <r>
      <rPr>
        <rFont val="Times New Roman"/>
        <color rgb="FFFF0000"/>
        <sz val="12.0"/>
      </rPr>
      <t xml:space="preserve"> Hệ thống hiển thị thông điệp "Đã phê duyệt báo cáo. Đợt đánh giá hoàn thành".</t>
    </r>
    <r>
      <rPr>
        <rFont val="Times New Roman"/>
        <color theme="1"/>
        <sz val="12.0"/>
      </rPr>
      <t xml:space="preserve">
</t>
    </r>
  </si>
  <si>
    <t>- Hệ thống không gửi thông báo cho CBNV
- Thông báo thành công hiển thị thiếu "Đợt đánh giá hoàn thành"</t>
  </si>
  <si>
    <r>
      <rPr>
        <rFont val="Times New Roman"/>
        <color rgb="FF1155CC"/>
        <sz val="12.0"/>
        <u/>
      </rPr>
      <t>PDBCDG_01.webm</t>
    </r>
  </si>
  <si>
    <t>PDBCDG_04</t>
  </si>
  <si>
    <t>Từ chối báo cáo thành công</t>
  </si>
  <si>
    <t>1. Chọn menu "Đánh giá hiệu quả"
2. Mở Chi tiết đợt đánh giá (tab Báo cáo)
3. Nhấn Từ chối báo cáo
4. Nhập lý do hợp lệ và nhấn Lưu</t>
  </si>
  <si>
    <t xml:space="preserve">- Hệ thống hiển thị thông điệp "Đã từ chối báo cáo".
- Lưu lý do từ chối.
+ Chuyển trạng thái đợt đánh giá từ "Chờ phê duyệt" sang "Báo cáo".
+ Ghi người từ chối, thời gian.
+ Hiển thị màn hình kết quả (trạng thái mới, lý do).
+ Gửi thông báo kèm lý do cho Cán bộ nghiệp vụ.
+ Lưu vết thao tác theo quy định.
</t>
  </si>
  <si>
    <t>Hệ thống không gửi thông báo cho CBNV</t>
  </si>
  <si>
    <r>
      <rPr>
        <rFont val="Times New Roman"/>
        <color rgb="FF1155CC"/>
        <sz val="12.0"/>
        <u/>
      </rPr>
      <t>PDBCDG_04.webm</t>
    </r>
  </si>
  <si>
    <t>QLTMBMHD_07</t>
  </si>
  <si>
    <t>Thêm mới trùng tên</t>
  </si>
  <si>
    <t>1. Đăng nhập tài khoản 
2. Tên đã tồn tại</t>
  </si>
  <si>
    <t>1. Chọn menu "Biểu mẫu" -&gt; "Thư mục biểu mẫu"
2. Bấm "+ Thêm thư mục"
3. Nhập trùng tên và Nhấn Lưu</t>
  </si>
  <si>
    <t>Hệ thống hiển thị thông điệp "Thư mục '{tên}' đã tồn tại trong đơn vị".</t>
  </si>
  <si>
    <r>
      <rPr>
        <rFont val="Times New Roman"/>
        <color rgb="FF1155CC"/>
        <sz val="12.0"/>
        <u/>
      </rPr>
      <t>QLTMBMHD_07.jpg</t>
    </r>
  </si>
  <si>
    <t>QLTMBMHD_08</t>
  </si>
  <si>
    <t>Thêm mới tên quá dài</t>
  </si>
  <si>
    <t>1. Chọn menu "Biểu mẫu" -&gt; "Thư mục biểu mẫu"
2. Bấm "+ Thêm thư mục"
3. Nhập tên quá dài và Nhấn Lưu</t>
  </si>
  <si>
    <t>Hệ thống hiển thị thông điệp "Tên thư mục tối đa 500 ký tự".</t>
  </si>
  <si>
    <t>Hệ thống chặn nhập quá 500 ký tự nhưng không hiển thị thông báo</t>
  </si>
  <si>
    <r>
      <rPr>
        <rFont val="Times New Roman"/>
        <color rgb="FF1155CC"/>
        <sz val="12.0"/>
        <u/>
      </rPr>
      <t>QLTMBMHD_08.jpg</t>
    </r>
  </si>
  <si>
    <t>QLTMBMHD_10</t>
  </si>
  <si>
    <t>Kiểm tra hiển thị nút chức năng Sửa" thư mục</t>
  </si>
  <si>
    <t xml:space="preserve">1. Chọn menu "Biểu mẫu" -&gt; "Thư mục biểu mẫu"
</t>
  </si>
  <si>
    <t>Chỉ hiển thị khi thư mục đang ở trạng thái "Nháp" hoặc "Ẩn", và Cán bộ nghiệp vụ thuộc đơn vị sở hữu thư mục.</t>
  </si>
  <si>
    <t>Hiển thị nút chức năng đối với thư mục ở trạng thái Công khai</t>
  </si>
  <si>
    <r>
      <rPr>
        <rFont val="Times New Roman"/>
        <color rgb="FF1155CC"/>
        <sz val="12.0"/>
        <u/>
      </rPr>
      <t>QLTMBMHD_10.jpg</t>
    </r>
  </si>
  <si>
    <t>QLTMBMHD_13</t>
  </si>
  <si>
    <t>Kiểm tra hiển thị nút chức năng Xóa thư mục</t>
  </si>
  <si>
    <t>Chỉ hiển thị khi thư mục đang ở trạng thái "Nháp" hoặc "Ẩn", không chứa biểu mẫu chưa xóa, và Cán bộ nghiệp vụ thuộc đơn vị sở hữu thư mục.</t>
  </si>
  <si>
    <r>
      <rPr>
        <rFont val="Times New Roman"/>
        <color rgb="FF1155CC"/>
        <sz val="12.0"/>
        <u/>
      </rPr>
      <t>QLTMBMHD_13.jpg</t>
    </r>
  </si>
  <si>
    <t>QLTMBMHD_17</t>
  </si>
  <si>
    <t>Kiểm tra hiển thị nút chức năng Xóa hàng loạt</t>
  </si>
  <si>
    <t>Chỉ hiển thị khi đã chọn ít nhất một thư mục bằng ô chọn ở đầu dòng; chỉ có hiệu lực trên các thư mục đang ở trạng thái "Nháp" hoặc "Ẩn" và đã rỗng (không chứa biểu mẫu chưa xóa)</t>
  </si>
  <si>
    <t xml:space="preserve">Hệ thống cho phép tích chọn các thư mục ở trạng thái Công khai và các thư mục chứa biểu mẫu </t>
  </si>
  <si>
    <t xml:space="preserve"> QLTMBMHD_17.webm</t>
  </si>
  <si>
    <t>QLTMBMHD_19</t>
  </si>
  <si>
    <t>Xóa hàng loạt thành công</t>
  </si>
  <si>
    <t>1. Chọn menu "Biểu mẫu" -&gt; "Thư mục biểu mẫu"
2. Chọn ít nhất một thư mục bằng ô chọn ở đầu dòng
3. Nhấn Xóa hàng loạt và Xác nhận</t>
  </si>
  <si>
    <t>- Hệ thống hiển thị thông điệp "Đã xóa {N} thư mục".</t>
  </si>
  <si>
    <t>- Thông báo không giống với thiết kế và bị duplicate
- Sau khi xóa thành công hệ thống vẫn hiển thị dòng thông báo đã tích chọn và các nút chức năng</t>
  </si>
  <si>
    <r>
      <rPr>
        <rFont val="Times New Roman"/>
        <color rgb="FF1155CC"/>
        <sz val="12.0"/>
        <u/>
      </rPr>
      <t>QLTMBMHD_19.jpg</t>
    </r>
  </si>
  <si>
    <t>QLTMBMHD_20</t>
  </si>
  <si>
    <t>Xóa hàng loạt một phần thành công</t>
  </si>
  <si>
    <t>1. Đăng nhập tài khoản 
2. Thư mục còn biểu mẫu</t>
  </si>
  <si>
    <t>Hệ thống hiển thị thông điệp "Đã xóa {X} thư mục. {Y} thư mục không đủ điều kiện xóa (còn biểu mẫu bên trong)".</t>
  </si>
  <si>
    <t>- Thông báo không giống với thiết kế
- Sau khi xóa thành công hệ thống vẫn hiển thị dòng thông báo đã tích chọn và các nút chức năng</t>
  </si>
  <si>
    <r>
      <rPr>
        <rFont val="Times New Roman"/>
        <color rgb="FF1155CC"/>
        <sz val="12.0"/>
        <u/>
      </rPr>
      <t>QLTMBMHD_20.jpg</t>
    </r>
  </si>
  <si>
    <t>QLTMBMHD_23</t>
  </si>
  <si>
    <t>1. Chọn menu "Biểu mẫu" -&gt; "Thư mục biểu mẫu"
2. Áp dụng bộ lọc và nhấn Xuất Excel</t>
  </si>
  <si>
    <t>Hệ thống xuất danh sách thư mục hiện tại ra tệp định dạng XLSX để người dùng tải xuống.</t>
  </si>
  <si>
    <t>File excel thiếu cột thông tin Lĩnh vực</t>
  </si>
  <si>
    <r>
      <rPr>
        <rFont val="Times New Roman"/>
        <color rgb="FF1155CC"/>
        <sz val="12.0"/>
        <u/>
      </rPr>
      <t>QLTMBMHD_23.jpg</t>
    </r>
  </si>
  <si>
    <t>TKTMBMHD_02</t>
  </si>
  <si>
    <t>Kiểm tra hiển thị danh sách kết quả</t>
  </si>
  <si>
    <t>1. Chọn menu "Biểu mẫu" -&gt; "Thư mục biểu mẫu"
2. Tìm kiếm thư mục theo tên, lĩnh vực.</t>
  </si>
  <si>
    <t>Hiển thị danh sách kết quả, phân trang mặc định 20 mục mỗi trang, sắp xếp theo ngày tạo giảm dần.</t>
  </si>
  <si>
    <t>Hệ thống để mặc định 100 mục/trang</t>
  </si>
  <si>
    <r>
      <rPr>
        <rFont val="Times New Roman"/>
        <color rgb="FF1155CC"/>
        <sz val="12.0"/>
        <u/>
      </rPr>
      <t>TKTMBMHD_02.jpg</t>
    </r>
  </si>
  <si>
    <t>TKTMBMHD_04</t>
  </si>
  <si>
    <t>1. Chọn menu "Biểu mẫu" -&gt; "Thư mục biểu mẫu"</t>
  </si>
  <si>
    <t>- Hệ thống hiển thị các trường thông tin giống với thiết kế
- Dữ liệu hiển thị đúng định dạng và trường thông tin
- Dữ liệu hiển thị không bị tràn/đè lên nhau, đồng nhất ngôn ngữ hiển thị
- Giá trị mặc định của các trường thông tin có kiểu dữ liệu Danh sách chọn là Tất cả</t>
  </si>
  <si>
    <t>- Giá trị mặc định của các trường thông tin có kiểu dữ liệu Danh sách chọn là rỗng</t>
  </si>
  <si>
    <r>
      <rPr>
        <rFont val="Times New Roman"/>
        <color rgb="FF1155CC"/>
        <sz val="12.0"/>
        <u/>
      </rPr>
      <t>TKTMBMHD_04.jpg</t>
    </r>
  </si>
  <si>
    <t>TKTMBMHD_06</t>
  </si>
  <si>
    <t>1. Chọn menu "Biểu mẫu" -&gt; "Thư mục biểu mẫu"
2. Nhập/chọn tiêu chí tìm kiếm</t>
  </si>
  <si>
    <t>Hệ thống hiển thị thông điệp "Không tìm thấy thư mục phù hợp".</t>
  </si>
  <si>
    <r>
      <rPr>
        <rFont val="Times New Roman"/>
        <color rgb="FF1155CC"/>
        <sz val="12.0"/>
        <u/>
      </rPr>
      <t>TKTMBMHD_06.jpg</t>
    </r>
  </si>
  <si>
    <t>TKTMBMHD_07</t>
  </si>
  <si>
    <t>1. Chọn menu "Biểu mẫu" -&gt; "Thư mục biểu mẫu"
2. Nhập/chọn tiêu chí tìm kiếm
3. Bấm nút Xóa bộ lọc</t>
  </si>
  <si>
    <t xml:space="preserve">- Xóa toàn bộ giá trị đã nhập tại các điều kiện tìm kiếm và bộ lọc (Tìm kiếm, Lọc lĩnh vực, Lọc trạng thái, Khoảng ngày tạo).
+ Đưa tab phân loại về "Tất cả".
+ Hiển thị lại danh sách mặc định (toàn bộ thư mục trong phạm vi phân quyền, sắp xếp theo ngày tạo giảm dần).
</t>
  </si>
  <si>
    <t>Không đưa về tab "Tất cả"</t>
  </si>
  <si>
    <r>
      <rPr>
        <rFont val="Times New Roman"/>
        <color rgb="FF1155CC"/>
        <sz val="12.0"/>
        <u/>
      </rPr>
      <t>TKTMBMHD_07.webm</t>
    </r>
  </si>
  <si>
    <t>CKTMBMHDLCTT_02</t>
  </si>
  <si>
    <t>Kiểm tra hiển thị nút chức năng công khai</t>
  </si>
  <si>
    <t>- Chỉ hiển thị khi thư mục đang ở trạng thái "Nháp" hoặc "Ẩn", có tối thiểu một biểu mẫu bên trong, và Cán bộ nghiệp vụ thuộc đơn vị sở hữu thư mục.</t>
  </si>
  <si>
    <t>Nút chức năng hiển thị ở cả các thư mục không có biểu mẫu nào bên trong</t>
  </si>
  <si>
    <r>
      <rPr>
        <rFont val="Times New Roman"/>
        <color rgb="FF1155CC"/>
        <sz val="12.0"/>
        <u/>
      </rPr>
      <t>CKTMBMHDLCTT_02.jpg</t>
    </r>
  </si>
  <si>
    <t>CKTMBMHDLCTT_07</t>
  </si>
  <si>
    <t>Công khai hàng loạt thành công</t>
  </si>
  <si>
    <t>1. Chọn menu "Biểu mẫu" -&gt; "Thư mục biểu mẫu"
2. Chọn ít nhất 1 thư mục hợp lệ
3. Bấm nút "Công khai hàng loạt" và Xác nhận</t>
  </si>
  <si>
    <t>Hệ thống hiển thị thông điệp "Đã công khai {N} thư mục".</t>
  </si>
  <si>
    <t>- Sau khi công khai thành công hệ thống vẫn hiển thị dòng thông báo đã tích chọn và các nút chức năng</t>
  </si>
  <si>
    <r>
      <rPr>
        <rFont val="Times New Roman"/>
        <color rgb="FF1155CC"/>
        <sz val="12.0"/>
        <u/>
      </rPr>
      <t>CKTMBMHDLCTT_07.jpg</t>
    </r>
  </si>
  <si>
    <t>CKTMBMHDLCTT_08</t>
  </si>
  <si>
    <t>Công khai hàng loạt một phần thành công</t>
  </si>
  <si>
    <t>1. Chọn menu "Biểu mẫu" -&gt; "Thư mục biểu mẫu"
2. Chọn thư mục hợp lệ và không hợp lệ
3. Bấm nút "Công khai hàng loạt" và Xác nhận</t>
  </si>
  <si>
    <t>Hệ thống hiển thị thông điệp "Đã công khai {X} thư mục. {Y} thư mục không đủ điều kiện (trống hoặc đã công khai)".</t>
  </si>
  <si>
    <t>Hệ thống hiển thị thông báo "Công khai 0/2 thư mục, 2 thất bại."</t>
  </si>
  <si>
    <r>
      <rPr>
        <rFont val="Times New Roman"/>
        <color rgb="FF1155CC"/>
        <sz val="12.0"/>
        <u/>
      </rPr>
      <t>CKTMBMHDLCTT_08.webm</t>
    </r>
  </si>
  <si>
    <t>CKTMBMHDLCTT_10</t>
  </si>
  <si>
    <t>Ẩn hàng loạt thành công</t>
  </si>
  <si>
    <t>1. Chọn menu "Biểu mẫu" -&gt; "Thư mục biểu mẫu"
2. Chọn ít nhất 1 thư mục hợp lệ
3. Bấm nút "Ẩn hàng loạt" và Xác nhận</t>
  </si>
  <si>
    <t>Hệ thống hiển thị thông điệp "Đã ẩn {N} thư mục".</t>
  </si>
  <si>
    <t>- Sau khi ẩn thành công hệ thống vẫn hiển thị dòng thông báo đã tích chọn và các nút chức năng</t>
  </si>
  <si>
    <r>
      <rPr>
        <rFont val="Times New Roman"/>
        <color rgb="FF1155CC"/>
        <sz val="12.0"/>
        <u/>
      </rPr>
      <t>CKTMBMHDLCTT_10.jpg</t>
    </r>
  </si>
  <si>
    <t>CKTMBMHDLCTT_11</t>
  </si>
  <si>
    <t>Ẩn hàng loạt một phần thành công</t>
  </si>
  <si>
    <t>1. Chọn menu "Biểu mẫu" -&gt; "Thư mục biểu mẫu"
2. Chọn thư mục hợp lệ và không hợp lệ
3. Bấm nút "Ẩn hàng loạt" và Xác nhận</t>
  </si>
  <si>
    <t xml:space="preserve"> Hệ thống hiển thị thông điệp "Đã ẩn {X} thư mục. {Y} thư mục không đủ điều kiện (không ở trạng thái công khai)".</t>
  </si>
  <si>
    <t>Thông báo không giống với thiết kế</t>
  </si>
  <si>
    <r>
      <rPr>
        <rFont val="Times New Roman"/>
        <color rgb="FF1155CC"/>
        <sz val="12.0"/>
        <u/>
      </rPr>
      <t>CKTMBMHDLCTT_11.jpg</t>
    </r>
  </si>
  <si>
    <t>QLBMHD_02</t>
  </si>
  <si>
    <t xml:space="preserve">Kiểm tra hiển thị các trường thông tin </t>
  </si>
  <si>
    <t xml:space="preserve">1. Chọn menu "Biểu mẫu" -&gt; "Danh sách biểu mẫu"
</t>
  </si>
  <si>
    <t>Thiếu Ô chọn biểu mẫu và các cột thông tin: Cơ quan ban hành, Định dạng</t>
  </si>
  <si>
    <r>
      <rPr>
        <rFont val="Times New Roman"/>
        <color rgb="FF1155CC"/>
        <sz val="12.0"/>
        <u/>
      </rPr>
      <t>QLBMHD_02.jpg</t>
    </r>
  </si>
  <si>
    <t>QLBMHD_03</t>
  </si>
  <si>
    <t>Kiểm tra nút chức năng "+ Thêm mới"</t>
  </si>
  <si>
    <t>1. Chọn menu "Biểu mẫu" -&gt; "Danh sách biểu mẫu"
2. Nhấn "+ Thêm mới"</t>
  </si>
  <si>
    <t>Hệ thống mở biểu mẫu tạo biểu mẫu với các trường: Thư mục, Tên biểu mẫu, Loại hình, Lĩnh vực, Mô tả, Tệp đính kèm, Thứ tự hiển thị, công tắc "Công khai trên Cổng PLQG" (khi bật hiển thị thêm Ảnh đại diện công khai, Mô tả công khai, Tệp đính kèm công khai), Cơ quan ban hành (chỉ đọc, tự gán theo đơn vị của người đăng nhập).</t>
  </si>
  <si>
    <t>- Khi bật công tắc Công khai, form thêm mới thiếu trường thông tin Cơ quan ban hành
- Tệp đính kèm công khai cho phép tệp định dạng không đúng với thiết kế(Thiết kế cho phép PDF, DOC, DOCX, XLS, XLSX - Hệ thống hiện tại cho phép cả tệp định dạng .jpg, .png, .gif)</t>
  </si>
  <si>
    <r>
      <rPr>
        <rFont val="Times New Roman"/>
        <color rgb="FF1155CC"/>
        <sz val="12.0"/>
        <u/>
      </rPr>
      <t>QLBMHD_03.jpg</t>
    </r>
  </si>
  <si>
    <t>QLBMHD_06</t>
  </si>
  <si>
    <t>Kiểm tra kích thước tệp không vượt 20 MB.</t>
  </si>
  <si>
    <t>Hệ thống hiển thị thông điệp "Tệp vượt quá giới hạn 20 MB. Kích thước hiện tại: {size} MB".</t>
  </si>
  <si>
    <t>Thông báo hiển thị không giống với thiết kế</t>
  </si>
  <si>
    <r>
      <rPr>
        <rFont val="Times New Roman"/>
        <color rgb="FF1155CC"/>
        <sz val="12.0"/>
        <u/>
      </rPr>
      <t>QLBMHD_06.jpg</t>
    </r>
  </si>
  <si>
    <t>QLBMHD_07</t>
  </si>
  <si>
    <t>Tệp hỏng</t>
  </si>
  <si>
    <t>Hệ thống hiển thị thông điệp "Tệp không hợp lệ hoặc bị hỏng".</t>
  </si>
  <si>
    <r>
      <rPr>
        <rFont val="Times New Roman"/>
        <color rgb="FF1155CC"/>
        <sz val="12.0"/>
        <u/>
      </rPr>
      <t>QLBMHD_07.jpg</t>
    </r>
  </si>
  <si>
    <t>QLBMHD_08</t>
  </si>
  <si>
    <t>Có mã độc</t>
  </si>
  <si>
    <t>Hệ thống hiển thị thông điệp "Tệp chứa mã độc, không thể lưu trữ".</t>
  </si>
  <si>
    <r>
      <rPr>
        <rFont val="Times New Roman"/>
        <color rgb="FF1155CC"/>
        <sz val="12.0"/>
        <u/>
      </rPr>
      <t>QLBMHD_08.jpg</t>
    </r>
  </si>
  <si>
    <t>QLBMHD_09</t>
  </si>
  <si>
    <t>Tải tệp bị gián đoạn</t>
  </si>
  <si>
    <t>Hệ thống hiển thị thông điệp "Tải tệp bị gián đoạn, vui lòng thử lại" và dọn tệp chưa hoàn tất khỏi kho lưu trữ.</t>
  </si>
  <si>
    <r>
      <rPr>
        <rFont val="Times New Roman"/>
        <color rgb="FF1155CC"/>
        <sz val="12.0"/>
        <u/>
      </rPr>
      <t>QLBMHD_09.webm</t>
    </r>
  </si>
  <si>
    <t>QLBMHD_10</t>
  </si>
  <si>
    <t>Thêm mới biểu mẫu công khai</t>
  </si>
  <si>
    <t>- Hệ thống hiển thị thông điệp "Đã thêm biểu mẫu" và trả về danh sách.
- Tạo bản ghi biểu mẫu, gán trạng thái "Nháp"; Cơ quan ban hành tự gán theo đơn vị của người đăng nhập.
- Kiểm tra điều kiện công khai, lưu ảnh đại diện công khai, mô tả công khai và tệp đính kèm công khai, ghi nhận thời gian đăng tải; nếu tắt công tắc thì không đặt thời gian đăng tải.</t>
  </si>
  <si>
    <t>Hệ thống hiển thị thông báo lỗi "Upload file thất bại. Vui lòng thử lại." mặc dù tải lên file hợp lệ</t>
  </si>
  <si>
    <r>
      <rPr>
        <rFont val="Times New Roman"/>
        <color rgb="FF1155CC"/>
        <sz val="12.0"/>
        <u/>
      </rPr>
      <t>QLBMHD_10.jpg</t>
    </r>
  </si>
  <si>
    <t>QLBMHD_11</t>
  </si>
  <si>
    <t>Thêm mới khi thư mục đã ở trạng thái "Công khai"</t>
  </si>
  <si>
    <t>1. Đăng nhập tài khoản 
2. Thư mục đã ở trạng thái "Công khai"</t>
  </si>
  <si>
    <t>Biểu mẫu mới được đánh dấu công khai theo thư mục</t>
  </si>
  <si>
    <t>Hệ thống hiển thị thông báo lỗi "Biểu mẫu chỉ chấp nhận file .doc, .docx, .xls, .xlsx" mặc dù tải lên file hợp lệ</t>
  </si>
  <si>
    <r>
      <rPr>
        <rFont val="Times New Roman"/>
        <color rgb="FF1155CC"/>
        <sz val="12.0"/>
        <u/>
      </rPr>
      <t>QLBMHD_11.webm</t>
    </r>
  </si>
  <si>
    <t>QLBMHD_12</t>
  </si>
  <si>
    <t>Kiểm tra hiển thị nút chức năng Sửa biểu mẫu</t>
  </si>
  <si>
    <t>Chỉ hiển thị khi biểu mẫu ở trạng thái "Nháp" hoặc "Ẩn", và Cán bộ nghiệp vụ thuộc đơn vị sở hữu biểu mẫu.</t>
  </si>
  <si>
    <t>Nút chức năng hiển thị ở cả các biểu mẫu có trạng thái Công khai</t>
  </si>
  <si>
    <r>
      <rPr>
        <rFont val="Times New Roman"/>
        <color rgb="FF1155CC"/>
        <sz val="12.0"/>
        <u/>
      </rPr>
      <t>QLBMHD_12.jpg</t>
    </r>
  </si>
  <si>
    <t>QLBMHD_13</t>
  </si>
  <si>
    <t>Kiểm tra nút chức năng "Sửa</t>
  </si>
  <si>
    <t>1. Chọn menu "Biểu mẫu" -&gt; "Danh sách biểu mẫu"
2. Nhấn "Sửa"</t>
  </si>
  <si>
    <t>Hệ thống mở biểu mẫu chỉnh sửa với dữ liệu hiện tại, cho phép thay tệp đính kèm.</t>
  </si>
  <si>
    <t>Hệ thống không hiển thị file đính kèm mặc dù tồn tại file</t>
  </si>
  <si>
    <r>
      <rPr>
        <rFont val="Times New Roman"/>
        <color rgb="FF1155CC"/>
        <sz val="12.0"/>
        <u/>
      </rPr>
      <t>QLBMHD_13.webm</t>
    </r>
  </si>
  <si>
    <t>QLBMHD_14</t>
  </si>
  <si>
    <t>Sửa thành công</t>
  </si>
  <si>
    <t>Hệ thống hiển thị thông điệp "Đã cập nhật biểu mẫu".</t>
  </si>
  <si>
    <t>- Hệ thống hiển thị thông báo "Biểu mẫu chỉ chấp nhận file .doc, .docx, .xls, .xlsx" mặc dù upload file ảnh đại diện hợp lệ</t>
  </si>
  <si>
    <r>
      <rPr>
        <rFont val="Times New Roman"/>
        <color rgb="FF1155CC"/>
        <sz val="12.0"/>
        <u/>
      </rPr>
      <t>QLBMHD_14.webm</t>
    </r>
  </si>
  <si>
    <t>QLBMHD_15</t>
  </si>
  <si>
    <t>Kiểm tra nút chức năng "Xem"</t>
  </si>
  <si>
    <t>1. Chọn menu "Biểu mẫu" -&gt; "Danh sách biểu mẫu"
2. Nhấn "Xem"</t>
  </si>
  <si>
    <t>Màn hình không có nủt chức năng</t>
  </si>
  <si>
    <r>
      <rPr>
        <rFont val="Times New Roman"/>
        <color rgb="FF1155CC"/>
        <sz val="12.0"/>
        <u/>
      </rPr>
      <t>QLBMHD_15.jpg</t>
    </r>
  </si>
  <si>
    <t>QLBMHD_16</t>
  </si>
  <si>
    <t>Kiểm tra nút chức năng Tải về trong màn hình chi tiết biểu mẫu</t>
  </si>
  <si>
    <t>1. Chọn menu "Biểu mẫu" -&gt; "Danh sách biểu mẫu"
2. Nhấn "Xem"
3. Nhấn tải về</t>
  </si>
  <si>
    <t xml:space="preserve">- Truyền tệp gốc về máy người dùng, giữ nguyên tên tệp gốc.
</t>
  </si>
  <si>
    <t>Tên tệp gốc không được giữ nguyên</t>
  </si>
  <si>
    <r>
      <rPr>
        <rFont val="Times New Roman"/>
        <color rgb="FF1155CC"/>
        <sz val="12.0"/>
        <u/>
      </rPr>
      <t>QLBMHD_16.webm</t>
    </r>
  </si>
  <si>
    <t>QLBMHD_17</t>
  </si>
  <si>
    <t>Kiểm tra nút chức năng "Xem trước"</t>
  </si>
  <si>
    <t>1. Chọn menu "Biểu mẫu" -&gt; "Danh sách biểu mẫu"
2. Nhấn "Xem trước"</t>
  </si>
  <si>
    <t>- Hệ thống mở cửa sổ xem trước nội dung biểu mẫu.</t>
  </si>
  <si>
    <t>Hệ thống mở hộp thoại tải file về máy</t>
  </si>
  <si>
    <r>
      <rPr>
        <rFont val="Times New Roman"/>
        <color rgb="FF1155CC"/>
        <sz val="12.0"/>
        <u/>
      </rPr>
      <t>QLBMHD_17.webm</t>
    </r>
  </si>
  <si>
    <t>QLBMHD_18</t>
  </si>
  <si>
    <t>Xem trước tệp DOC hoặc DOCX</t>
  </si>
  <si>
    <t>Chuyển đổi thành tệp PDF để hiển thị xem trước trực tuyến.</t>
  </si>
  <si>
    <r>
      <rPr>
        <rFont val="Times New Roman"/>
        <color rgb="FF1155CC"/>
        <sz val="12.0"/>
        <u/>
      </rPr>
      <t>QLBMHD_18.webm</t>
    </r>
  </si>
  <si>
    <t>QLBMHD_19</t>
  </si>
  <si>
    <t>Xem trước tệp XLS hoặc XLSX</t>
  </si>
  <si>
    <t>Hiển thị nội dung dạng bảng ở chế độ chỉ đọc.</t>
  </si>
  <si>
    <r>
      <rPr>
        <rFont val="Times New Roman"/>
        <color rgb="FF1155CC"/>
        <sz val="12.0"/>
        <u/>
      </rPr>
      <t>QLBMHD_19.webm</t>
    </r>
  </si>
  <si>
    <t>TKBMHD_03</t>
  </si>
  <si>
    <t>- Các trường thông tin có kiểu dữ liệu Danh sách chọn giá trị mặc định không phải là Tất cả
- Trường thông tin Định dạng thừa giá trị "PDF"</t>
  </si>
  <si>
    <r>
      <rPr>
        <rFont val="Times New Roman"/>
        <color rgb="FF1155CC"/>
        <sz val="12.0"/>
        <u/>
      </rPr>
      <t>TKBMHD_03.jpg</t>
    </r>
  </si>
  <si>
    <t>TKBMHD_04</t>
  </si>
  <si>
    <t>1. Chọn menu "Biểu mẫu" -&gt; "Danh sách biểu mẫu"
2. Nhập/chọn tiêu chí tìm kiếm</t>
  </si>
  <si>
    <t>Hệ thống hiển thị thông điệp "Không tìm thấy biểu mẫu phù hợp".</t>
  </si>
  <si>
    <r>
      <rPr>
        <rFont val="Times New Roman"/>
        <color rgb="FF1155CC"/>
        <sz val="12.0"/>
        <u/>
      </rPr>
      <t>TKBMHD_04.jpg</t>
    </r>
  </si>
  <si>
    <t>CKBMHDLCTT_01</t>
  </si>
  <si>
    <t>Công khai biểu mẫu, hợp đồng lên cổng thông tin</t>
  </si>
  <si>
    <t>Đăng tải các biểu mẫu/hợp đồng đã được phê duyệt lên Cổng.</t>
  </si>
  <si>
    <t>1. Đăng nhập tài khoản 
2. Tồn tại biểu mẫu ở trạng thái Chưa công khai/Nháp/Ẩn</t>
  </si>
  <si>
    <t>1. Chọn menu "Biểu mẫu" -&gt; "Danh sách biểu mẫu"
2. Chọn biểu mẫu và nhấn Sửa 
3. Bật công tắc công khai 
4. Nhập dữ liệu hợp lệ và Nhấn Lưu</t>
  </si>
  <si>
    <t>Hệ thống hiển thị thông báo lỗi "Biểu mẫu chỉ chấp nhận file .doc, .docx, .xls, .xlsx" ở trường thông tin Ảnh đại diện</t>
  </si>
  <si>
    <t xml:space="preserve"> CKBMHDLCTT_01.webm</t>
  </si>
  <si>
    <t>IBMHD_02</t>
  </si>
  <si>
    <t>Màn hình không có "Tệp Excel mô tả dữ liệu"  và nút "Tải mẫu Excel" để tải về mẫu mặc định.</t>
  </si>
  <si>
    <r>
      <rPr>
        <rFont val="Times New Roman"/>
        <color rgb="FF1155CC"/>
        <sz val="12.0"/>
        <u/>
      </rPr>
      <t>IBMHD_02.jpg</t>
    </r>
  </si>
  <si>
    <t>IBMHD_03</t>
  </si>
  <si>
    <t>Kiểm tra chức năng "Tải mẫu Excel"</t>
  </si>
  <si>
    <t>1. Chọn menu "Biểu mẫu" -&gt; "Danh sách biểu mẫu"
2. Bấm nút "Tải mẫu Excel"</t>
  </si>
  <si>
    <t>Hệ thống cho tải về tệp XLSX mẫu chứa định dạng cột (Tên biểu mẫu, Loại hình, Lĩnh vực, Mô tả) để NSD điền thông tin kèm các tệp biểu mẫu cần nhập.</t>
  </si>
  <si>
    <t>Màn hình không có nút chức năng</t>
  </si>
  <si>
    <r>
      <rPr>
        <rFont val="Times New Roman"/>
        <color rgb="FF1155CC"/>
        <sz val="12.0"/>
        <u/>
      </rPr>
      <t>IBMHD_03.jpg</t>
    </r>
  </si>
  <si>
    <t>IBMHD_04</t>
  </si>
  <si>
    <t>Kiểm tra chức năng "Chọn tệp"</t>
  </si>
  <si>
    <t xml:space="preserve">1. Chọn menu "Biểu mẫu" -&gt; "Danh sách biểu mẫu"
2. Kéo thả hoặc chọn tệp trên ô tải tệp
</t>
  </si>
  <si>
    <t>Hệ thống kiểm tra sơ bộ từng tệp về định dạng, kích thước và điền vào bảng kiểm tra kèm trạng thái "Hợp lệ" hoặc "Lỗi"(kèm lý do)</t>
  </si>
  <si>
    <t>Thông tin file lỗi không có trong bảng kiểm tra</t>
  </si>
  <si>
    <r>
      <rPr>
        <rFont val="Times New Roman"/>
        <color rgb="FF1155CC"/>
        <sz val="12.0"/>
        <u/>
      </rPr>
      <t>IBMHD_04.webm</t>
    </r>
  </si>
  <si>
    <t>IBMHD_07</t>
  </si>
  <si>
    <t>Một số lỗi</t>
  </si>
  <si>
    <t>1. Chọn menu "Biểu mẫu" -&gt; "Danh sách biểu mẫu"
2. Kéo thả hoặc chọn tệp trên ô tải tệp
3. Bấm nút "Xác nhận nhập {X} tệp hợp lệ"</t>
  </si>
  <si>
    <t>Hệ thống hiển thị thông điệp "Nhập thành công {X} tệp. {Y} tệp lỗi: xem chi tiết" kèm bảng chi tiết lý do từng tệp lỗi.</t>
  </si>
  <si>
    <t>Hệ thống không hiển thị "{Y} tệp lỗi: xem chi tiết" kèm bảng chi tiết lý do từng tệp lỗi.</t>
  </si>
  <si>
    <r>
      <rPr>
        <rFont val="Times New Roman"/>
        <color rgb="FF1155CC"/>
        <sz val="12.0"/>
        <u/>
      </rPr>
      <t>IBMHD_08.jpg</t>
    </r>
  </si>
  <si>
    <t>IBMHD_10</t>
  </si>
  <si>
    <t>Vượt tổng dung lượng</t>
  </si>
  <si>
    <t>Hệ thống hiển thị thông điệp "Tổng dung lượng tối đa 500 MB".</t>
  </si>
  <si>
    <r>
      <rPr>
        <rFont val="Times New Roman"/>
        <color rgb="FF1155CC"/>
        <sz val="12.0"/>
        <u/>
      </rPr>
      <t>IBMHD_10.webm</t>
    </r>
  </si>
  <si>
    <t>IBMHD_11</t>
  </si>
  <si>
    <t>"Hủy"</t>
  </si>
  <si>
    <t>1. Chọn menu "Biểu mẫu" -&gt; "Danh sách biểu mẫu"
2. Kéo thả hoặc chọn tệp trên ô tải tệp
3. Bấm nút "Hủy"</t>
  </si>
  <si>
    <t>Hệ thống hiển thị cửa sổ xác nhận hủy bỏ. Sau khi NSD xác nhận, hệ thống đóng biểu mẫu nhập hàng loạt và quay về màn hình quản lý biểu mẫu, không lưu bất kỳ tệp nào vừa chọn.</t>
  </si>
  <si>
    <r>
      <rPr>
        <rFont val="Times New Roman"/>
        <color rgb="FF1155CC"/>
        <sz val="12.0"/>
        <u/>
      </rPr>
      <t>IBMHD_11.webm</t>
    </r>
  </si>
  <si>
    <t>QLDMLVPL_02</t>
  </si>
  <si>
    <t>Kiểm tra hiển thị Danh sách loại danh mục (cột tab bên trái)</t>
  </si>
  <si>
    <t xml:space="preserve">1. Chọn menu "Quản trị hệ thống"
</t>
  </si>
  <si>
    <t>Cho phép NSD chọn 1 trong 15 loại danh mục để xem/chỉnh sửa nội dung tương ứng. Tab đang chọn được tô màu nổi bật, bao gồm 15 loại theo thiết kế</t>
  </si>
  <si>
    <t>Danh sách hiển thị 15 loại danh mục</t>
  </si>
  <si>
    <r>
      <rPr>
        <rFont val="Times New Roman"/>
        <color rgb="FF1155CC"/>
        <sz val="12.0"/>
        <u/>
      </rPr>
      <t>QLDMLVPL_02.jpg</t>
    </r>
  </si>
  <si>
    <t>QLDMLVPL_09</t>
  </si>
  <si>
    <t>Kiểm tra các trường thông tin trên màn hình/popup thêm mới</t>
  </si>
  <si>
    <t>1. Chọn menu "Quản trị hệ thống"
2. Bấm vào tên loại danh mục ở cột bên trái
3. Nhấn "Thêm mới"</t>
  </si>
  <si>
    <t>Màn hình/popup thêm mới có trường thông tin "Danh mục cha" nhưng tài liệu SRS không có</t>
  </si>
  <si>
    <r>
      <rPr>
        <rFont val="Times New Roman"/>
        <color rgb="FF1155CC"/>
        <sz val="12.0"/>
        <u/>
      </rPr>
      <t>QLDMLVPL_09.jpg</t>
    </r>
  </si>
  <si>
    <t>QLDMLVPL_14</t>
  </si>
  <si>
    <t>Hủy thêm mới khi đang nhập</t>
  </si>
  <si>
    <t>1. Chọn menu "Quản trị hệ thống"
2. Bấm vào tên loại danh mục ở cột bên trái
3. Nhấn "Thêm mới"
4. Nhập dữ liệu hợp lệ và Nhấn Hủy</t>
  </si>
  <si>
    <t>Hệ thống hiển thị thông báo xác nhận "Bạn có muốn bỏ các thay đổi chưa lưu?" trước khi đóng.</t>
  </si>
  <si>
    <t>Hệ thống không hiển thị thông báo xác nhận</t>
  </si>
  <si>
    <r>
      <rPr>
        <rFont val="Times New Roman"/>
        <color rgb="FF1155CC"/>
        <sz val="12.0"/>
        <u/>
      </rPr>
      <t>QLDMLVPL_14.webm</t>
    </r>
  </si>
  <si>
    <t>QLDMLVPL_16</t>
  </si>
  <si>
    <t>Kiểm tra các trường thông tin trên màn hình/popup sửa</t>
  </si>
  <si>
    <t>1. Chọn menu "Quản trị hệ thống"
2. Bấm vào tên loại danh mục ở cột bên trái
3. Nhấn "Sửa"</t>
  </si>
  <si>
    <t>- Hệ thống hiển thị các trường thông tin giống với thiết kế. dữ liệu hiện tại
- Dữ liệu hiển thị đúng định dạng và trường thông tin
- Dữ liệu hiển thị không bị tràn/đè lên nhau, đồng nhất ngôn ngữ hiển thị</t>
  </si>
  <si>
    <t>Màn hình/popup sửa có trường thông tin "Danh mục cha" nhưng tài liệu SRS không có</t>
  </si>
  <si>
    <r>
      <rPr>
        <rFont val="Times New Roman"/>
        <color rgb="FF1155CC"/>
        <sz val="12.0"/>
        <u/>
      </rPr>
      <t>QLDMLVPL_16.jpg</t>
    </r>
  </si>
  <si>
    <t>QLDMLVPL_19</t>
  </si>
  <si>
    <t>Xóa Mục danh mục đang được tham chiếu</t>
  </si>
  <si>
    <t>1. Đăng nhập tài khoản 
2. Mục danh mục đang được tham chiếu</t>
  </si>
  <si>
    <t>1. Chọn menu "Quản trị hệ thống"
2. Bấm vào tên loại danh mục ở cột bên trái
3. Nhấn Xóa</t>
  </si>
  <si>
    <t>Hệ thống không xóa và hiển thị thông báo "Không thể xóa. Mục danh mục đang được sử dụng bởi {số lượng} bản ghi {loại bản ghi}".</t>
  </si>
  <si>
    <r>
      <rPr>
        <rFont val="Times New Roman"/>
        <color rgb="FF1155CC"/>
        <sz val="12.0"/>
        <u/>
      </rPr>
      <t>QLDMLVPL_19.jpg</t>
    </r>
  </si>
  <si>
    <t>QLDMLVPL_21</t>
  </si>
  <si>
    <t>1. Chọn menu "Quản trị hệ thống"
2. Bấm vào tên loại danh mục ở cột bên trái
3. Bấm vào tiêu đề cột cần sắp xếp</t>
  </si>
  <si>
    <t xml:space="preserve">- Hệ thống sắp xếp danh sách theo cột đó, luân phiên tăng dần / giảm dần qua mỗi lần bấm.
- Mặc định: hệ thống sắp xếp theo cột "Thứ tự" tăng dần, kế đến theo "Tên" tăng dần.
</t>
  </si>
  <si>
    <r>
      <rPr>
        <rFont val="Times New Roman"/>
        <color rgb="FF1155CC"/>
        <sz val="12.0"/>
        <u/>
      </rPr>
      <t>QLDMLVPL_21.webm</t>
    </r>
  </si>
  <si>
    <t>QLDMLHHT_06</t>
  </si>
  <si>
    <r>
      <rPr>
        <rFont val="Times New Roman"/>
        <color rgb="FF1155CC"/>
        <sz val="12.0"/>
        <u/>
      </rPr>
      <t>QLDMLHHT_06.jpg</t>
    </r>
  </si>
  <si>
    <t>QLDMLHHT_11</t>
  </si>
  <si>
    <r>
      <rPr>
        <rFont val="Times New Roman"/>
        <color rgb="FF1155CC"/>
        <sz val="12.0"/>
        <u/>
      </rPr>
      <t>QLDMLHHT_11.webm</t>
    </r>
  </si>
  <si>
    <t>QLDMLHHT_13</t>
  </si>
  <si>
    <r>
      <rPr>
        <rFont val="Times New Roman"/>
        <color rgb="FF1155CC"/>
        <sz val="12.0"/>
        <u/>
      </rPr>
      <t>QLDMLHHT_13.jpg</t>
    </r>
  </si>
  <si>
    <t>QLDMLHHT_16</t>
  </si>
  <si>
    <r>
      <rPr>
        <rFont val="Times New Roman"/>
        <color rgb="FF1155CC"/>
        <sz val="12.0"/>
        <u/>
      </rPr>
      <t>QLDMLHHT_16.webm</t>
    </r>
  </si>
  <si>
    <t>QLDMLHHT_18</t>
  </si>
  <si>
    <r>
      <rPr>
        <rFont val="Times New Roman"/>
        <color rgb="FF1155CC"/>
        <sz val="12.0"/>
        <u/>
      </rPr>
      <t>QLDMLHHT_18.webm</t>
    </r>
  </si>
  <si>
    <t>QLDMCTHT_06</t>
  </si>
  <si>
    <t>- Màn hình/popup thêm mới có trường thông tin "Danh mục cha" nhưng tài liệu SRS không có
- Định dạng ngày không giống với thiết kế(hệ thống hiển thị định dạng yyyy-mm-dd, tài liệu SRS yêu cầu định dạng dd/mm/yyyy</t>
  </si>
  <si>
    <r>
      <rPr>
        <rFont val="Times New Roman"/>
        <color rgb="FF1155CC"/>
        <sz val="12.0"/>
        <u/>
      </rPr>
      <t>QLDMCTHT_06.jpg</t>
    </r>
  </si>
  <si>
    <t>QLDMCTHT_11</t>
  </si>
  <si>
    <r>
      <rPr>
        <rFont val="Times New Roman"/>
        <color rgb="FF1155CC"/>
        <sz val="12.0"/>
        <u/>
      </rPr>
      <t>QLDMCTHT_11.webm</t>
    </r>
  </si>
  <si>
    <t>QLDMCTHT_13</t>
  </si>
  <si>
    <t>- Màn hình/popup sửa có trường thông tin "Danh mục cha" nhưng tài liệu SRS không có
- Định dạng ngày không giống với thiết kế(hệ thống hiển thị định dạng yyyy-mm-dd, tài liệu SRS yêu cầu định dạng dd/mm/yyyy</t>
  </si>
  <si>
    <r>
      <rPr>
        <rFont val="Times New Roman"/>
        <color rgb="FF1155CC"/>
        <sz val="12.0"/>
        <u/>
      </rPr>
      <t>QLDMCTHT_13.jpg</t>
    </r>
  </si>
  <si>
    <t>QLDMTTVV_06</t>
  </si>
  <si>
    <t>- Màn hình/popup thêm mới có trường thông tin "Danh mục cha" nhưng tài liệu SRS không có
- Thứ tự không bắt buộc nhưng màn hình/popup thêm mới đánh dấu là bắt buộc</t>
  </si>
  <si>
    <r>
      <rPr>
        <rFont val="Times New Roman"/>
        <color rgb="FF1155CC"/>
        <sz val="12.0"/>
        <u/>
      </rPr>
      <t>QLDMTTVV_06.jpg</t>
    </r>
  </si>
  <si>
    <t>QLDMTTVV_11</t>
  </si>
  <si>
    <r>
      <rPr>
        <rFont val="Times New Roman"/>
        <color rgb="FF1155CC"/>
        <sz val="12.0"/>
        <u/>
      </rPr>
      <t>QLDMTTVV_11.webm</t>
    </r>
  </si>
  <si>
    <t>QLDMTTVV_13</t>
  </si>
  <si>
    <t>- Màn hình/popup sửa có trường thông tin "Danh mục cha" nhưng tài liệu SRS không có</t>
  </si>
  <si>
    <r>
      <rPr>
        <rFont val="Times New Roman"/>
        <color rgb="FF1155CC"/>
        <sz val="12.0"/>
        <u/>
      </rPr>
      <t>QLDMTTVV_13.jpg</t>
    </r>
  </si>
  <si>
    <t>QLDMCQDVQL_05</t>
  </si>
  <si>
    <t>1. Đăng nhập tài khoản 
2. Không tồn tại dữ liệu phù hợp với tiêu chí tìm kiếm</t>
  </si>
  <si>
    <t>1. Chọn menu "Quản trị hệ thống"
2. Bấm vào tên loại danh mục ở cột bên trái
3. Nhập từ khóa không có kết quả</t>
  </si>
  <si>
    <t>Hệ thống để trống vùng kết quả và hiển thị thông báo "Không tìm thấy mục danh mục phù hợp".</t>
  </si>
  <si>
    <t>Hệ thống không hiển thị thông báo</t>
  </si>
  <si>
    <r>
      <rPr>
        <rFont val="Times New Roman"/>
        <color rgb="FF1155CC"/>
        <sz val="12.0"/>
        <u/>
      </rPr>
      <t>QLDMCQDVQL_05.jpg</t>
    </r>
  </si>
  <si>
    <t>QLDMCQDVQL_12</t>
  </si>
  <si>
    <t>Hệ thống không hiển thị thông báo xác nhận trước khi đóng.</t>
  </si>
  <si>
    <r>
      <rPr>
        <rFont val="Times New Roman"/>
        <color rgb="FF1155CC"/>
        <sz val="12.0"/>
        <u/>
      </rPr>
      <t>QLDMCQDVQL_12.webm</t>
    </r>
  </si>
  <si>
    <t>QLDMTCTV_01</t>
  </si>
  <si>
    <t>Quản lý danh mục Tổ chức tư vấn</t>
  </si>
  <si>
    <t>Quan trị hệ thống</t>
  </si>
  <si>
    <t>Quản lý danh sách các Tổ chức tư vấn tham gia mạng lưới.</t>
  </si>
  <si>
    <t>1. Chọn menu "Quản trị hệ thống"
2. Chọn loại danh mục "Tổ chức tư vấn"</t>
  </si>
  <si>
    <t>Màn hình chức năng không có danh mục "Tổ chức tư vấn"</t>
  </si>
  <si>
    <t>QLDMTCTV_01.jpg</t>
  </si>
  <si>
    <t>QLDMLDN_06</t>
  </si>
  <si>
    <t>- Màn hình/popup thêm mới có trường thông tin "Danh mục cha" nhưng tài liệu SRS không có
- Tiêu chí doanh thu SRS mô tả không bắt buộc nhưng hệ thống đánh dấu bắt buộc</t>
  </si>
  <si>
    <r>
      <rPr>
        <rFont val="Times New Roman"/>
        <color rgb="FF1155CC"/>
        <sz val="12.0"/>
        <u/>
      </rPr>
      <t>QLDMLDN_06.jpg</t>
    </r>
  </si>
  <si>
    <t>QLDMLDN_11</t>
  </si>
  <si>
    <r>
      <rPr>
        <rFont val="Times New Roman"/>
        <color rgb="FF1155CC"/>
        <sz val="12.0"/>
        <u/>
      </rPr>
      <t>QLDMLDN_11.webm</t>
    </r>
  </si>
  <si>
    <t>QLDMLDN_13</t>
  </si>
  <si>
    <t>- Màn hình/popup sửa có trường thông tin "Danh mục cha" nhưng tài liệu SRS không có
- Tiêu chí doanh thu SRS mô tả không bắt buộc nhưng hệ thống đánh dấu bắt buộc</t>
  </si>
  <si>
    <r>
      <rPr>
        <rFont val="Times New Roman"/>
        <color rgb="FF1155CC"/>
        <sz val="12.0"/>
        <u/>
      </rPr>
      <t>QLDMLDN_13.jpg</t>
    </r>
  </si>
  <si>
    <t>QLDMLDN_16</t>
  </si>
  <si>
    <r>
      <rPr>
        <rFont val="Times New Roman"/>
        <color rgb="FF1155CC"/>
        <sz val="12.0"/>
        <u/>
      </rPr>
      <t>QLDMLDN_16.jpg</t>
    </r>
  </si>
  <si>
    <t>QLDMHSDNHT_06</t>
  </si>
  <si>
    <t xml:space="preserve">- Màn hình/popup thêm mới có trường thông tin "Danh mục cha" nhưng tài liệu SRS không có
</t>
  </si>
  <si>
    <r>
      <rPr>
        <rFont val="Times New Roman"/>
        <color rgb="FF1155CC"/>
        <sz val="12.0"/>
        <u/>
      </rPr>
      <t>QLDMHSDNHT_06.jpg</t>
    </r>
  </si>
  <si>
    <t>QLDMHSDNHT_11</t>
  </si>
  <si>
    <r>
      <rPr>
        <rFont val="Times New Roman"/>
        <color rgb="FF1155CC"/>
        <sz val="12.0"/>
        <u/>
      </rPr>
      <t>QLDMHSDNHT_11.webm</t>
    </r>
  </si>
  <si>
    <t>QLDMHSDNHT_13</t>
  </si>
  <si>
    <t xml:space="preserve">- Màn hình/popup sửa có trường thông tin "Danh mục cha" nhưng tài liệu SRS không có
</t>
  </si>
  <si>
    <r>
      <rPr>
        <rFont val="Times New Roman"/>
        <color rgb="FF1155CC"/>
        <sz val="12.0"/>
        <u/>
      </rPr>
      <t>QLDMHSDNHT_13.jpg</t>
    </r>
  </si>
  <si>
    <t>QLDMHSDNTT_06</t>
  </si>
  <si>
    <t>- Màn hình/popup thêm mới có trường thông tin "Danh mục cha" nhưng tài liệu SRS không có
- Thành phần hồ sơ SRS mô tả không bắt buộc nhưng hệ thống đánh dấu bắt buộc nhập ít nhất 1 thành phần</t>
  </si>
  <si>
    <r>
      <rPr>
        <rFont val="Times New Roman"/>
        <color rgb="FF1155CC"/>
        <sz val="12.0"/>
        <u/>
      </rPr>
      <t>QLDMHSDNTT_06.jpg</t>
    </r>
  </si>
  <si>
    <t>QLDMHSDNTT_11</t>
  </si>
  <si>
    <r>
      <rPr>
        <rFont val="Times New Roman"/>
        <color rgb="FF1155CC"/>
        <sz val="12.0"/>
        <u/>
      </rPr>
      <t>QLDMHSDNTT_11.webm</t>
    </r>
  </si>
  <si>
    <t>QLDMHSDNTT_13</t>
  </si>
  <si>
    <t>- Màn hình/popup sửa có trường thông tin ""Danh mục cha"" nhưng tài liệu SRS không có
- Thành phần hồ sơ SRS mô tả không bắt buộc nhưng hệ thống đánh dấu bắt buộc nhập ít nhất 1 thành phần</t>
  </si>
  <si>
    <r>
      <rPr>
        <rFont val="Times New Roman"/>
        <color rgb="FF1155CC"/>
        <sz val="12.0"/>
        <u/>
      </rPr>
      <t>QLDMHSDNTT_13.jpg</t>
    </r>
  </si>
  <si>
    <t>QLCHTHXLHS_02</t>
  </si>
  <si>
    <t>Kiểm tra hiển thị Thanh thẻ (tab) ở đầu trang</t>
  </si>
  <si>
    <t>1. Chọn menu "Quản trị hệ thống"=&gt; "Cấu hình hệ thống"</t>
  </si>
  <si>
    <t>- SRS yêu cầu 4 thẻ hiển thị: "Thời hạn xử lý / SLA", "Phân công mặc định", "Mẫu phản hồi", "Quy trình hỗ trợ" nhưng hiện tại hệ thống hiển thị 3 thẻ: "Thời hạn xử lý / SLA", "Mẫu phản hồi", "Quản lý ngày lễ"</t>
  </si>
  <si>
    <r>
      <rPr>
        <rFont val="Times New Roman"/>
        <color rgb="FF1155CC"/>
        <sz val="12.0"/>
        <u/>
      </rPr>
      <t>QLCHTHXLHS_02.jpg</t>
    </r>
  </si>
  <si>
    <t>QLCHTHXLHS_03</t>
  </si>
  <si>
    <t>Kiểm tra hiển thị Bảng cấu hình SLA (thẻ "Thời hạn xử lý / SLA")</t>
  </si>
  <si>
    <t xml:space="preserve">- Bảng thông tin hiển thị không giống với tài liệu SRS mô tả
+ Tài liệu yêu cầu Loại yêu cầu là tên loại(1 cột) nhưng prototype đang tách riêng thành 2 cột, chỉ có 4 giá trị nhưng hệ thống đang hiển thị 6 giá trị
+ SRS có 2 cột riêng biệt là Cảnh báo mức 1 và mức 2 nhưng hệ thống hiển thị gộp chung là Vùng cảnh báo
+ Thiếu cột thông tin Quá hạn (%), Số ngày bổ sung tối đa, Khung cảnh báo giải thích mức SLA, Cảnh báo về ảnh hưởng khi lưu
+ SRS không có Hệ số quá hạn nhưng prototype có trường thông tin này
 </t>
  </si>
  <si>
    <r>
      <rPr>
        <rFont val="Times New Roman"/>
        <color rgb="FF1155CC"/>
        <sz val="12.0"/>
        <u/>
      </rPr>
      <t>QLCHTHXLHS_03.webm</t>
    </r>
  </si>
  <si>
    <t>QLCHTHXLHS_05</t>
  </si>
  <si>
    <t>Bật/tắt gửi thư điện tử</t>
  </si>
  <si>
    <t>1. Chọn menu "Quản trị hệ thống"=&gt; "Cấu hình hệ thống"
2. Bấm công tắc "Gửi thư điện tử cảnh báo" trên dòng</t>
  </si>
  <si>
    <t>Hệ thống bật hoặc tắt chế độ gửi thư cảnh báo cho loại yêu cầu tương ứng. Trạng thái mới chỉ được ghi nhận vào cơ sở dữ liệu sau khi NSD bấm "Lưu cấu hình".</t>
  </si>
  <si>
    <t>Hệ thống không cho phép bật/tắt trên dòng</t>
  </si>
  <si>
    <r>
      <rPr>
        <rFont val="Times New Roman"/>
        <color rgb="FF1155CC"/>
        <sz val="12.0"/>
        <u/>
      </rPr>
      <t>QLCHTHXLHS_05.webm</t>
    </r>
  </si>
  <si>
    <t>QLCHTHXLHS_06</t>
  </si>
  <si>
    <t>Bật/tắt gửi thông báo trong hệ thống</t>
  </si>
  <si>
    <t>1. Chọn menu "Quản trị hệ thống"=&gt; "Cấu hình hệ thống"
2. Bấm công tắc "Gửi thông báo trong hệ thống" trên dòng</t>
  </si>
  <si>
    <t>Hệ thống bật hoặc tắt chế độ gửi thông báo trong ứng dụng cho loại yêu cầu tương ứng. Trạng thái mới chỉ được ghi nhận vào cơ sở dữ liệu sau khi NSD bấm "Lưu cấu hình".</t>
  </si>
  <si>
    <r>
      <rPr>
        <rFont val="Times New Roman"/>
        <color rgb="FF1155CC"/>
        <sz val="12.0"/>
        <u/>
      </rPr>
      <t>QLCHTHXLHS_06.webm</t>
    </r>
  </si>
  <si>
    <t>QLCHTHXLHS_07</t>
  </si>
  <si>
    <t>Kiểm tra màn hình/popup chỉnh sửa khi nhấn vàp biểu tượng chỉnh sửa tại dòng</t>
  </si>
  <si>
    <t>1. Chọn menu "Quản trị hệ thống"=&gt; "Cấu hình hệ thống"
2. Nhấn vàp biểu tượng chỉnh sửa tại dòng</t>
  </si>
  <si>
    <t>- Hệ thống hiển thị các trường thông tin giống với thiết kế, hệ thống tự động nhập giá trị hiện tại
- Dữ liệu hiển thị đúng định dạng và trường thông tin
- Dữ liệu hiển thị không bị tràn/đè lên nhau, đồng nhất ngôn ngữ hiển thị</t>
  </si>
  <si>
    <t>- Thiếu trường thông tin "Số ngày bổ sung tối đa"
- SRS không có Hệ số quá hạn nhưng prototype có trường thông tin này</t>
  </si>
  <si>
    <r>
      <rPr>
        <rFont val="Times New Roman"/>
        <color rgb="FF1155CC"/>
        <sz val="12.0"/>
        <u/>
      </rPr>
      <t>QLCHTHXLHS_07.jpg</t>
    </r>
  </si>
  <si>
    <t>QLDMTCDGHQ_06</t>
  </si>
  <si>
    <t>- Màn hình/popup có trường thông tin ""Danh mục cha"" nhưng tài liệu SRS không có</t>
  </si>
  <si>
    <r>
      <rPr>
        <rFont val="Times New Roman"/>
        <color rgb="FF1155CC"/>
        <sz val="12.0"/>
        <u/>
      </rPr>
      <t>QLDMTCDGHQ_06.jpg</t>
    </r>
  </si>
  <si>
    <t>QLDMTCDGHQ_12</t>
  </si>
  <si>
    <r>
      <rPr>
        <rFont val="Times New Roman"/>
        <color rgb="FF1155CC"/>
        <sz val="12.0"/>
        <u/>
      </rPr>
      <t>QLDMTCDGHQ_12.jpg</t>
    </r>
  </si>
  <si>
    <t>QLDMTCDGHQ_17</t>
  </si>
  <si>
    <t>1. Đăng nhập tài khoản 
2. Tổng số mục danh mục trong tab đang chọn lớn hơn 20</t>
  </si>
  <si>
    <t xml:space="preserve">1. Chọn menu "Quản trị hệ thống"
2. Bấm vào tên loại danh mục ở cột bên trái
3. Bấm số trang hoặc nút "‹" / "›" </t>
  </si>
  <si>
    <t xml:space="preserve">- Chuyển sang trang trước / sau.
- Hệ thống hiển thị thông tin "Hiển thị {từ}-{đến} / {tổng} kết quả".
</t>
  </si>
  <si>
    <t>Lỗi phân trang</t>
  </si>
  <si>
    <r>
      <rPr>
        <rFont val="Times New Roman"/>
        <color rgb="FF1155CC"/>
        <sz val="12.0"/>
        <u/>
      </rPr>
      <t>QLDMTCDGHQ_17.webm</t>
    </r>
  </si>
  <si>
    <t>QLDMTCDGHTCP_06</t>
  </si>
  <si>
    <t>- Tên trường thông tin "Tỷ lệ phần trăm", "Mức chi phí tối đa" không giống với thiết kế
- Màn hình/popup có trường thông tin ""Danh mục cha"" nhưng tài liệu SRS không có</t>
  </si>
  <si>
    <r>
      <rPr>
        <rFont val="Times New Roman"/>
        <color rgb="FF1155CC"/>
        <sz val="12.0"/>
        <u/>
      </rPr>
      <t>QLDMTCDGHTCP_06.jpg</t>
    </r>
  </si>
  <si>
    <t>QLDMTCDGHTCP_12</t>
  </si>
  <si>
    <r>
      <rPr>
        <rFont val="Times New Roman"/>
        <color rgb="FF1155CC"/>
        <sz val="12.0"/>
        <u/>
      </rPr>
      <t>QLDMTCDGHTCP_12.jpg</t>
    </r>
  </si>
  <si>
    <t>QLDMLTK_06</t>
  </si>
  <si>
    <r>
      <rPr>
        <rFont val="Times New Roman"/>
        <color rgb="FF1155CC"/>
        <sz val="12.0"/>
        <u/>
      </rPr>
      <t>QLDMLTK_06.jpg</t>
    </r>
  </si>
  <si>
    <t>QLDMLTK_12</t>
  </si>
  <si>
    <r>
      <rPr>
        <rFont val="Times New Roman"/>
        <color rgb="FF1155CC"/>
        <sz val="12.0"/>
        <u/>
      </rPr>
      <t>QLDMLTK_11.jpg</t>
    </r>
  </si>
  <si>
    <t>QLVT_14</t>
  </si>
  <si>
    <t>1. Chọn menu "Quản trị hệ thống" =&gt; "Vai trò"
2. Bấm vào tiêu đề cột cần sắp xếp</t>
  </si>
  <si>
    <t xml:space="preserve">- Hệ thống sắp xếp danh sách theo cột đó, luân phiên tăng dần / giảm dần qua mỗi lần bấm.
- Mặc định: hệ thống sắp xếp theo "Tên vai trò" tăng dần.
</t>
  </si>
  <si>
    <t>Không thực hiện được sắp xếp theo cột thông tin</t>
  </si>
  <si>
    <r>
      <rPr>
        <rFont val="Times New Roman"/>
        <color rgb="FF1155CC"/>
        <sz val="12.0"/>
        <u/>
      </rPr>
      <t>QLVT_14.jpg</t>
    </r>
  </si>
  <si>
    <t>QLTKND_02</t>
  </si>
  <si>
    <t xml:space="preserve">1. Chọn menu "Quản trị hệ thống" =&gt; "Tài khoản &amp; Phân quyền"
</t>
  </si>
  <si>
    <t>- Trường thông tin đơn vị dữ liệu không hiển thị theo Danh sách chọn dạng cây
- Các trường có kiểu dữ liệu Danh sách chọn có giá trị mặc định là rỗng(SRS yêu cầu giá trị mặc định là Tất cả)
- Trạng thái có 5 giá trị(SRS yêu cầu trạng thái có 4 giá trị)</t>
  </si>
  <si>
    <r>
      <rPr>
        <rFont val="Times New Roman"/>
        <color rgb="FF1155CC"/>
        <sz val="12.0"/>
        <u/>
      </rPr>
      <t>QLTKND_02.jpg</t>
    </r>
  </si>
  <si>
    <t>QLTKND_03</t>
  </si>
  <si>
    <t>Kiểm tra Thẻ trạng thái (tab nhanh)</t>
  </si>
  <si>
    <t>5 thẻ tab hiển thị số lượng tài khoản theo trạng thái: "Tất cả", "Đang hoạt động", "Chờ kích hoạt", "Tạm khóa", "Vô hiệu hóa". Thẻ "Chờ kích hoạt" dùng màu nhấn (vàng) để thu hút chú ý của Quản trị hệ thống về các tài khoản chưa được người dùng kích hoạt.</t>
  </si>
  <si>
    <t>Màn hình hiển thị 6 thẻ tab. Thẻ "Chờ kích hoạt" không có màu nhấn</t>
  </si>
  <si>
    <r>
      <rPr>
        <rFont val="Times New Roman"/>
        <color rgb="FF1155CC"/>
        <sz val="12.0"/>
        <u/>
      </rPr>
      <t>QLTKND_03.jpg</t>
    </r>
  </si>
  <si>
    <t>QLTKND_06</t>
  </si>
  <si>
    <t>1. Chọn menu "Quản trị hệ thống" =&gt; "Tài khoản &amp; phân quyền"
2. Nhập từ khóa không có kết quả</t>
  </si>
  <si>
    <t>Không có kết quả, hệ thống để trống vùng kết quả và hiển thị thông báo "Không tìm thấy tài khoản phù hợp".</t>
  </si>
  <si>
    <t>Hệ thống hiển thị thông báo "Trống"</t>
  </si>
  <si>
    <r>
      <rPr>
        <rFont val="Times New Roman"/>
        <color rgb="FF1155CC"/>
        <sz val="12.0"/>
        <u/>
      </rPr>
      <t>QLTKND_06.jpg</t>
    </r>
  </si>
  <si>
    <t>QLTKND_15</t>
  </si>
  <si>
    <t>Kiểm tra trùng tên đăng nhập</t>
  </si>
  <si>
    <t>1. Đăng nhập tài khoản 
2. Tên đăng nhập đã tồn tại</t>
  </si>
  <si>
    <t>1. Chọn menu "Quản trị hệ thống" =&gt; "Tài khoản &amp; phân quyền"
2. Nhấn "Thêm mới"
3. Nhập trùng tên đăng nhập và Nhấn Lưu</t>
  </si>
  <si>
    <t>Hệ thống hiển thị thông báo "Tên đăng nhập '{giá trị}' đã tồn tại"</t>
  </si>
  <si>
    <r>
      <rPr>
        <rFont val="Times New Roman"/>
        <color rgb="FF1155CC"/>
        <sz val="12.0"/>
        <u/>
      </rPr>
      <t>QLTKND_15.jpg</t>
    </r>
  </si>
  <si>
    <t>QLTKND_17</t>
  </si>
  <si>
    <t>Kiểm tra trùng thư điện tử</t>
  </si>
  <si>
    <t>1. Đăng nhập tài khoản 
2. Thư điện tử đã tồn tại</t>
  </si>
  <si>
    <t>1. Chọn menu "Quản trị hệ thống" =&gt; "Tài khoản &amp; phân quyền"
2. Nhấn "Thêm mới"
3. Nhập trùng tthư điện tử và Nhấn Lưu</t>
  </si>
  <si>
    <t>Hệ thống hiển thị thông báo "Thư điện tử '{giá trị}' đã được sử dụng".</t>
  </si>
  <si>
    <r>
      <rPr>
        <rFont val="Times New Roman"/>
        <color rgb="FF1155CC"/>
        <sz val="12.0"/>
        <u/>
      </rPr>
      <t>QLTKND_17.jpg</t>
    </r>
  </si>
  <si>
    <t>QLTKND_25</t>
  </si>
  <si>
    <t>1. Chọn menu "Quản trị hệ thống" =&gt; "Tài khoản &amp; phân quyền"
2. Bấm vào tiêu đề cột cần sắp xếp</t>
  </si>
  <si>
    <t xml:space="preserve">- Hệ thống sắp xếp danh sách theo cột đó, luân phiên tăng dần / giảm dần qua mỗi lần bấm.
- Mặc định: hệ thống sắp xếp theo cột "Lần đăng nhập cuối" giảm dần.
</t>
  </si>
  <si>
    <t>Không thực hiện được sắp xếp theo cột</t>
  </si>
  <si>
    <r>
      <rPr>
        <rFont val="Times New Roman"/>
        <color rgb="FF1155CC"/>
        <sz val="12.0"/>
        <u/>
      </rPr>
      <t>QLTKND_25.jpg</t>
    </r>
  </si>
  <si>
    <t>QLTKND_27</t>
  </si>
  <si>
    <t>Gửi liên kết đặt lại mật khẩu</t>
  </si>
  <si>
    <t>1. Chọn menu "Quản trị hệ thống" =&gt; "Tài khoản &amp; phân quyền"
2. Bấm nút "Đặt lại mật khẩu" trên dòng</t>
  </si>
  <si>
    <t xml:space="preserve">- Chỉ hiển thị khi tài khoản ở trạng thái "Đang hoạt động" hoặc "Tạm khóa".
- Hệ thống sinh liên kết đặt lại mật khẩu (hiệu lực 30 phút) và gửi thư điện tử đến địa chỉ đã khai báo của tài khoản để chính người dùng tự đặt mật khẩu mới 
- Hệ thống hiển thị thông báo "Đã gửi liên kết đặt lại mật khẩu đến thư điện tử của người dùng".
</t>
  </si>
  <si>
    <t>Màn hình không hiển thị nút chức năng</t>
  </si>
  <si>
    <r>
      <rPr>
        <rFont val="Times New Roman"/>
        <color rgb="FF1155CC"/>
        <sz val="12.0"/>
        <u/>
      </rPr>
      <t>QLTKND_27.jpg</t>
    </r>
  </si>
  <si>
    <t>QLPQTCDL_06</t>
  </si>
  <si>
    <t>Chọn/Bỏ chọn đơn vị</t>
  </si>
  <si>
    <t>1. Chọn menu "Quản trị hệ thống" =&gt; "Vai trò"
2. Bấm vào ô chọn của một nút trên cây đơn vị</t>
  </si>
  <si>
    <t xml:space="preserve">- Hệ thống bật/tắt ô chọn đó và đồng bộ thông tin sang danh sách nhãn đã chọn.
- Khi bật ô chọn ở nút cha, hệ thống tự động bật toàn bộ ô chọn các nút con trực thuộc.
- Khi tắt ô chọn ở nút cha, hệ thống tự động tắt toàn bộ ô chọn các nút con trực thuộc.
</t>
  </si>
  <si>
    <t>Khi bật ô chọn ở nút cha hệ thống không tự động bật toàn bộ các nút con</t>
  </si>
  <si>
    <r>
      <rPr>
        <rFont val="Times New Roman"/>
        <color rgb="FF1155CC"/>
        <sz val="12.0"/>
        <u/>
      </rPr>
      <t>QLPQTCDL_06.webm</t>
    </r>
  </si>
  <si>
    <t>QLPQCN_02</t>
  </si>
  <si>
    <t>Kiểm tra Bộ chọn vai trò</t>
  </si>
  <si>
    <t>1. Chọn menu "Quản trị hệ thống" =&gt; "Vai trò"
2. Nhấn vào số quyền trên dòng tương ứng</t>
  </si>
  <si>
    <t>Lấy từ danh mục Vai trò. Khi chọn vai trò, hệ thống tải toàn bộ quyền hiện có của vai trò vào ma trận ô chọn bên dưới.</t>
  </si>
  <si>
    <t>Màn hình không hiển thị Bộ chọn vai trò</t>
  </si>
  <si>
    <r>
      <rPr>
        <rFont val="Times New Roman"/>
        <color rgb="FF1155CC"/>
        <sz val="12.0"/>
        <u/>
      </rPr>
      <t>QLPQCN_02.webm</t>
    </r>
  </si>
  <si>
    <t>QLPQCN_03</t>
  </si>
  <si>
    <t>Kiểm tra Ma trận Phân quyền</t>
  </si>
  <si>
    <t>Ma trận phân quyền không hiển thị theo Cây chức năng(Danh sách cây)</t>
  </si>
  <si>
    <r>
      <rPr>
        <rFont val="Times New Roman"/>
        <color rgb="FF1155CC"/>
        <sz val="12.0"/>
        <u/>
      </rPr>
      <t>QLPQCN_03.webm</t>
    </r>
  </si>
  <si>
    <t>QLLHTNHS_06</t>
  </si>
  <si>
    <r>
      <rPr>
        <rFont val="Times New Roman"/>
        <color rgb="FF1155CC"/>
        <sz val="12.0"/>
        <u/>
      </rPr>
      <t>QLLHTNHS_06.jpg</t>
    </r>
  </si>
  <si>
    <t>QLLHTNHS_12</t>
  </si>
  <si>
    <r>
      <rPr>
        <rFont val="Times New Roman"/>
        <color rgb="FF1155CC"/>
        <sz val="12.0"/>
        <u/>
      </rPr>
      <t>QLLHTNHS_12.jpg</t>
    </r>
  </si>
  <si>
    <t>QLDMKTNHS_06</t>
  </si>
  <si>
    <r>
      <rPr>
        <rFont val="Times New Roman"/>
        <color rgb="FF1155CC"/>
        <sz val="12.0"/>
        <u/>
      </rPr>
      <t>QLDMKTNHS_06.jpg</t>
    </r>
  </si>
  <si>
    <t>QLDMKTNHS_12</t>
  </si>
  <si>
    <r>
      <rPr>
        <rFont val="Times New Roman"/>
        <color rgb="FF1155CC"/>
        <sz val="12.0"/>
        <u/>
      </rPr>
      <t>QLDMKTNHS_12.jpg</t>
    </r>
  </si>
  <si>
    <t>QLDN_07</t>
  </si>
  <si>
    <t>Mã sai hoặc hết hiệu lực</t>
  </si>
  <si>
    <t>1. Người dùng có tài khoản hợp lệ trên hệ thống
2. Truy cập hệ thống</t>
  </si>
  <si>
    <t>1. Nhập thông tin hợp lệ và nhấn Đăng nhập
2. Nhập Mã sai hoặc hết hiệu lực,</t>
  </si>
  <si>
    <t>Hiển thị thông báo "Mã xác thực không đúng hoặc đã hết hạn" và cho phép nhập lại.</t>
  </si>
  <si>
    <t>- Hệ thống hiển thị thông báo không giống với thiết kế
- Hệ thống không tự động xóa mã đã nhập để người dùng nhập lại</t>
  </si>
  <si>
    <r>
      <rPr>
        <rFont val="Times New Roman"/>
        <color rgb="FF1155CC"/>
        <sz val="12.0"/>
        <u/>
      </rPr>
      <t>QLDN_07.jpg</t>
    </r>
  </si>
  <si>
    <t>QLDN_10</t>
  </si>
  <si>
    <t>Tài khoản "Vô hiệu hóa"</t>
  </si>
  <si>
    <t>1. Tài khoản "Vô hiệu hóa"
2. Truy cập hệ thống</t>
  </si>
  <si>
    <t>1. Nhập thông tin hợp lệ tài khoản vô hiệu hóa và nhấn Đăng nhập</t>
  </si>
  <si>
    <t>Hệ thống hiển thị thông báo "Tài khoản đã bị vô hiệu hóa".</t>
  </si>
  <si>
    <t>Hệ thống hiển thị thông báo với ngôn ngữ không đồng nhất với ngôn ngữ hiện tại của hệ thống "Account disabled".</t>
  </si>
  <si>
    <r>
      <rPr>
        <rFont val="Times New Roman"/>
        <color rgb="FF1155CC"/>
        <sz val="12.0"/>
        <u/>
      </rPr>
      <t>QLDN_10.webm</t>
    </r>
  </si>
  <si>
    <t>QLDN_12</t>
  </si>
  <si>
    <t>Tài khoản "Tạm khóa" do quản trị viên cật nhật trạng thái Tạm khóa</t>
  </si>
  <si>
    <t>1. Truy cập hệ thống
2. Tài khoản "Tạm khóa"</t>
  </si>
  <si>
    <t>1. Nhập thông tin hợp lệ và nhấn Đăng nhập</t>
  </si>
  <si>
    <t>Hệ thống hiển thị thông báo "Tài khoản đã bị tạm khóa. Vui lòng liên hệ Quản trị hệ thống".</t>
  </si>
  <si>
    <r>
      <rPr>
        <rFont val="Times New Roman"/>
        <color rgb="FF1155CC"/>
        <sz val="12.0"/>
        <u/>
      </rPr>
      <t>QLDN_12.webm</t>
    </r>
  </si>
  <si>
    <t>QLDX_01</t>
  </si>
  <si>
    <t>Quản lý đăng xuất</t>
  </si>
  <si>
    <t>Cán bộ nghiệp vụ TW,BN,ĐP/Cán bộ phê duyệt TW,BN,ĐP/Doanh nghiệp/Người hỗ trợ/Quản 
 trị hệ thống</t>
  </si>
  <si>
    <t>Quản lý quy trình kết thúc phiên làm việc của người dùng.</t>
  </si>
  <si>
    <t>1. Đăng nhập hệ thống thành công</t>
  </si>
  <si>
    <t>1. Nhấn "Đăng xuất" trong menu thả xuống của ảnh đại diện
2. Bấm "Đồng ý"</t>
  </si>
  <si>
    <t xml:space="preserve">- Hệ thống chuyển về trang đăng nhập kèm thông báo "Đăng xuất thành công".
</t>
  </si>
  <si>
    <r>
      <rPr>
        <rFont val="Times New Roman"/>
        <color rgb="FF1155CC"/>
        <sz val="12.0"/>
        <u/>
      </rPr>
      <t>QLDX_01.webm</t>
    </r>
  </si>
  <si>
    <t>QLDX_02</t>
  </si>
  <si>
    <t>Kiểm tra Hộp thoại xác nhận đăng xuất</t>
  </si>
  <si>
    <t xml:space="preserve">1. Nhấn "Đăng xuất" trong menu thả xuống của ảnh đại diện
</t>
  </si>
  <si>
    <t xml:space="preserve">- Thông báo xác nhận Nội dung: "Bạn có chắc muốn đăng xuất khỏi hệ thống?".
- Nút "Đồng ý", Nút "Hủy"
</t>
  </si>
  <si>
    <t>Hệ thống không hiển thị hộp thoại xác nhận</t>
  </si>
  <si>
    <r>
      <rPr>
        <rFont val="Times New Roman"/>
        <color rgb="FF1155CC"/>
        <sz val="12.0"/>
        <u/>
      </rPr>
      <t>QLDX_02.webm</t>
    </r>
  </si>
  <si>
    <t>QLDX_03</t>
  </si>
  <si>
    <t>Tự động đăng xuất khi hết phiên</t>
  </si>
  <si>
    <t>1. Không thao tác suốt 25 phút kể từ lần thao tác cuối</t>
  </si>
  <si>
    <t>- Hệ thống hiển thị hộp thoại cảnh báo sắp hết phiên với hai lựa chọn "Gia hạn phiên" hoặc "Đăng xuất".</t>
  </si>
  <si>
    <t>Hệ thống không hiển thị hộp thoại cảnh báo mặc dù đã không thao tác suốt 30 phút kể từ lần thao tác cuối</t>
  </si>
  <si>
    <r>
      <rPr>
        <rFont val="Times New Roman"/>
        <color rgb="FF1155CC"/>
        <sz val="12.0"/>
        <u/>
      </rPr>
      <t>QLDX_03.webm</t>
    </r>
  </si>
  <si>
    <t>QLDKTK_02</t>
  </si>
  <si>
    <t>Kiểm tra Thông tin doanh nghiệp</t>
  </si>
  <si>
    <t>1. Truy cập hệ thống</t>
  </si>
  <si>
    <t>1. Chọn "Đăng ký tài khoản doanh nghiệp"</t>
  </si>
  <si>
    <t>- Thiếu trường thông tin "Tệp đính kèm"
- Tên trường thông tin "Doanh thu (VNĐ)" không giống với thiết kế(Theo tài liệu SRS tên trường là "Doanh thu năm")</t>
  </si>
  <si>
    <r>
      <rPr>
        <rFont val="Times New Roman"/>
        <color rgb="FF1155CC"/>
        <sz val="12.0"/>
        <u/>
      </rPr>
      <t>QLDKTK_02.webm</t>
    </r>
  </si>
  <si>
    <t>- Màn hình hiện tại Thông tin doanh nghiệp hiển thị sau Thông tin tài khoản, góp ý hiển thị Thông tin doanh nghiệp trước, Thông tin tài khoản sau</t>
  </si>
  <si>
    <t>QLDKTK_03</t>
  </si>
  <si>
    <t>Kiểm tra Thông tin tài khoản</t>
  </si>
  <si>
    <t>- Thiếu trường thông tin "Tên đăng nhập"
- Màn hình có trường thông tin "Họ và tên người đăng ký", "Số điện thoại" nhưng SRS không yêu cầu 2 trường này</t>
  </si>
  <si>
    <r>
      <rPr>
        <rFont val="Times New Roman"/>
        <color rgb="FF1155CC"/>
        <sz val="12.0"/>
        <u/>
      </rPr>
      <t>QLDKTK_03.webm</t>
    </r>
  </si>
  <si>
    <t>QLDKTK_04</t>
  </si>
  <si>
    <t>Mã số thuế đã tồn tại trong hệ thống</t>
  </si>
  <si>
    <t>1. Truy cập hệ thống
2. Mã số thuế đã tồn tại trong hệ thống</t>
  </si>
  <si>
    <t>1. Chọn "Đăng ký tài khoản doanh nghiệp"
2. Nhập Mã số thuế đã tồn tại trong hệ thống và nhấn Đăng ký</t>
  </si>
  <si>
    <t>Hệ thống hiển thị thông báo "Mã số thuế này đã có trong hệ thống. Vui lòng dùng chức năng [Quên mật khẩu] với chính mã số thuế của bạn để khôi phục hoặc nhận lại quyền truy cập tài khoản" kèm nút "Quên mật khẩu"</t>
  </si>
  <si>
    <t>Hệ thống hiển thị thông báo thiếu nội dung "Vui lòng dùng chức năng [Quên mật khẩu] với chính mã số thuế của bạn để khôi phục hoặc nhận lại quyền truy cập tài khoản" kèm nút "Quên mật khẩu"</t>
  </si>
  <si>
    <r>
      <rPr>
        <rFont val="Times New Roman"/>
        <color rgb="FF1155CC"/>
        <sz val="12.0"/>
        <u/>
      </rPr>
      <t>QLDKTK_04.jpg</t>
    </r>
  </si>
  <si>
    <t>QLDKTK_08</t>
  </si>
  <si>
    <t>Kiểm tra các trường bắt buộc</t>
  </si>
  <si>
    <t xml:space="preserve">1. Chọn "Đăng ký tài khoản doanh nghiệp"
</t>
  </si>
  <si>
    <t>- Đánh dấu các trường bắt buộc
- Nếu bỏ trống hiển thị thông báo tương ứng với từng trường</t>
  </si>
  <si>
    <t>Trường thông tin "Số điện thoại" không được đánh dấu bắt buộc</t>
  </si>
  <si>
    <r>
      <rPr>
        <rFont val="Times New Roman"/>
        <color rgb="FF1155CC"/>
        <sz val="12.0"/>
        <u/>
      </rPr>
      <t>QLDKTK_08.jpg</t>
    </r>
  </si>
  <si>
    <t>QLDKTK_09</t>
  </si>
  <si>
    <t>Kích hoạt và đặt mật khẩu lần đầu</t>
  </si>
  <si>
    <t>1. Mở thư và bấm liên kết kích hoạt</t>
  </si>
  <si>
    <t>Hệ thống mở biểu mẫu đặt mật khẩu lần đầu</t>
  </si>
  <si>
    <t>Hệ thống không gửi liên kết đến thư điện tử</t>
  </si>
  <si>
    <r>
      <rPr>
        <rFont val="Times New Roman"/>
        <color rgb="FF1155CC"/>
        <sz val="12.0"/>
        <u/>
      </rPr>
      <t>QLDKTK_09.webm</t>
    </r>
  </si>
  <si>
    <t>SLHDVM_03</t>
  </si>
  <si>
    <t>Kiểm tra hiển thị Biểu đồ và bảng kết quả</t>
  </si>
  <si>
    <t>1. Đăng nhập hệ thống thành công
2. Có dữ liệu thống kê</t>
  </si>
  <si>
    <t>1. Chọn menu "Báo cáo thống kê"
2. Nhập tiêu chí/điều kiện hợp lệ
3. Nhấn Xem báo cáo</t>
  </si>
  <si>
    <t>Bảng kết quả không giống với thiết kế</t>
  </si>
  <si>
    <r>
      <rPr>
        <rFont val="Times New Roman"/>
        <color rgb="FF1155CC"/>
        <sz val="12.0"/>
        <u/>
      </rPr>
      <t>SLHDVM_03.webm</t>
    </r>
  </si>
  <si>
    <t>SLHDVM_06</t>
  </si>
  <si>
    <t>Kiểm tra chức năng Xuất excel</t>
  </si>
  <si>
    <t>1. Chọn menu "Báo cáo thống kê"
2. Nhập tiêu chí/điều kiện
3. Nhấn Xem báo cáo
4. Nhấn Xuất excel</t>
  </si>
  <si>
    <t>Hệ thống xuất toàn bộ và tự động tải tệp về máy người dùng.</t>
  </si>
  <si>
    <t>Hệ thống hiển thị thông báo "Không thể tạo file xuất. Vui lòng thử lại.".</t>
  </si>
  <si>
    <r>
      <rPr>
        <rFont val="Times New Roman"/>
        <color rgb="FF1155CC"/>
        <sz val="12.0"/>
        <u/>
      </rPr>
      <t>SLHDVM_06.webm</t>
    </r>
  </si>
  <si>
    <t>SLHDVM_07</t>
  </si>
  <si>
    <t>Kiểm tra chức năng Xuất PDF</t>
  </si>
  <si>
    <t>1. Chọn menu "Báo cáo thống kê"
2. Nhập tiêu chí/điều kiện
3. Nhấn Xem báo cáo
4. Nhấn Xuất PDF</t>
  </si>
  <si>
    <t>Hệ thống tạo tệp PDF theo đúng mẫu biểu Thông tư số 17/2025/TT-BTP — khổ A4, phông chữ Times New Roman cỡ 13, đầu trang có quốc hiệu và tên cơ quan, cuối trang có ngày ký và chức danh người ký.
- Đặt tên tệp theo định dạng BaoCaoHoiDap_{YYYYMMDD_HHmm}.pdf. Tệp hỗ trợ ký số điện tử khi có yêu cầu.</t>
  </si>
  <si>
    <r>
      <rPr>
        <rFont val="Times New Roman"/>
        <color rgb="FF1155CC"/>
        <sz val="12.0"/>
        <u/>
      </rPr>
      <t>SLHDVM_07.webm</t>
    </r>
  </si>
  <si>
    <t>SLHDVM_08</t>
  </si>
  <si>
    <t>Kiểm tra chức năng In báo cáo</t>
  </si>
  <si>
    <t>1. Chọn menu "Báo cáo thống kê"
2. Nhập tiêu chí/điều kiện
3. Nhấn Xem báo cáo
4. Nhấn In báo cáo</t>
  </si>
  <si>
    <t xml:space="preserve">Hệ thống dựng bản xem trước định dạng theo Thông tư số 17/2025/TT-BTP (khổ A4, Times New Roman cỡ 13) và mở hộp thoại in của trình duyệt.
</t>
  </si>
  <si>
    <r>
      <rPr>
        <rFont val="Times New Roman"/>
        <color rgb="FF1155CC"/>
        <sz val="12.0"/>
        <u/>
      </rPr>
      <t>SLHDVM_08.jpg</t>
    </r>
  </si>
  <si>
    <t>SLHDVM_09</t>
  </si>
  <si>
    <t>Kiểm tra chức năng Xóa bộ lọc</t>
  </si>
  <si>
    <t>1. Chọn menu "Báo cáo thống kê"
2. Nhập tiêu chí/điều kiện
3. Nhấn Xem báo cáo
4. Nhấn Xóa bộ lọc</t>
  </si>
  <si>
    <t>Hệ thống xóa toàn bộ giá trị đã nhập trong các trường lọc và đặt lại về giá trị mặc định (Kỳ = Tháng, Từ ngày = ngày đầu tháng hiện tại, Đến ngày = ngày hiện tại, Đơn vị = đơn vị đăng nhập, các trường khác = "Tất cả"); khu vực kết quả không tự tải lại cho đến khi NSD bấm "Xem báo cáo".</t>
  </si>
  <si>
    <r>
      <rPr>
        <rFont val="Times New Roman"/>
        <color rgb="FF1155CC"/>
        <sz val="12.0"/>
        <u/>
      </rPr>
      <t>SLHDVM_09.jpg</t>
    </r>
  </si>
  <si>
    <t>VVDTN_04</t>
  </si>
  <si>
    <t>- Không hiển thị biểu đồ tròn theo lĩnh vực
- Bảng tổng hợp thiếu các cột: Theo kênh, Theo lĩnh vực</t>
  </si>
  <si>
    <r>
      <rPr>
        <rFont val="Times New Roman"/>
        <color rgb="FF1155CC"/>
        <sz val="12.0"/>
        <u/>
      </rPr>
      <t>VVDTN_04.webm</t>
    </r>
  </si>
  <si>
    <t>VVDTN_06</t>
  </si>
  <si>
    <r>
      <rPr>
        <rFont val="Times New Roman"/>
        <color rgb="FF1155CC"/>
        <sz val="12.0"/>
        <u/>
      </rPr>
      <t>VVDTN_06.jpg</t>
    </r>
  </si>
  <si>
    <t>VVDTN_07</t>
  </si>
  <si>
    <r>
      <rPr>
        <rFont val="Times New Roman"/>
        <color rgb="FF1155CC"/>
        <sz val="12.0"/>
        <u/>
      </rPr>
      <t>VVDTN_07.jpg</t>
    </r>
  </si>
  <si>
    <t>VVDTN_08</t>
  </si>
  <si>
    <r>
      <rPr>
        <rFont val="Times New Roman"/>
        <color rgb="FF1155CC"/>
        <sz val="12.0"/>
        <u/>
      </rPr>
      <t>VVDTN_08.jpg</t>
    </r>
  </si>
  <si>
    <t>VVDTN_09</t>
  </si>
  <si>
    <r>
      <rPr>
        <rFont val="Times New Roman"/>
        <color rgb="FF1155CC"/>
        <sz val="12.0"/>
        <u/>
      </rPr>
      <t>VVDTN_09.jpg</t>
    </r>
  </si>
  <si>
    <t>Báo cáo thống kê vụ việc đang hỗ trợ</t>
  </si>
  <si>
    <t>Thống kê số lượng vụ việc đang được xử lý theo đơn vị, chuyên gia.</t>
  </si>
  <si>
    <t>Có dữ liệu, hệ thống hiển thị khu vực kết quả gồm các chỉ số tổng hợp, biểu đồ và bảng tổng hợp theo đơn vị.</t>
  </si>
  <si>
    <t>- Đơn vị có dữ liệu thống kê nhưng khi chọn người hỗ trợ hệ thống thông báo  "Không có dữ liệu báo cáo cho kỳ và đơn vị đã chọn".</t>
  </si>
  <si>
    <r>
      <rPr>
        <rFont val="Times New Roman"/>
        <color rgb="FF1155CC"/>
        <sz val="12.0"/>
        <u/>
      </rPr>
      <t>VVDHT_01.webm</t>
    </r>
  </si>
  <si>
    <t>Kiểm tra hiển thị Chỉ số tổng hợp nhanh</t>
  </si>
  <si>
    <t>- Màn hình hiển thị thiếu các chỉ số: Sắp hết hạn, Quá hạn, Quá hạn nghiêm trọng</t>
  </si>
  <si>
    <r>
      <rPr>
        <rFont val="Times New Roman"/>
        <color rgb="FF1155CC"/>
        <sz val="12.0"/>
        <u/>
      </rPr>
      <t>VVDHT_03.webm</t>
    </r>
  </si>
  <si>
    <t>- Màn hình hiển thị thiếu biểu đồ cột theo người hỗ trợ
- Bảng tổng hợp không giống với thiết kế</t>
  </si>
  <si>
    <r>
      <rPr>
        <rFont val="Times New Roman"/>
        <color rgb="FF1155CC"/>
        <sz val="12.0"/>
        <u/>
      </rPr>
      <t>VVDHT_04.webm</t>
    </r>
  </si>
  <si>
    <t>VVDHT_06</t>
  </si>
  <si>
    <r>
      <rPr>
        <rFont val="Times New Roman"/>
        <color rgb="FF1155CC"/>
        <sz val="12.0"/>
        <u/>
      </rPr>
      <t>VVDHT_06.jpg</t>
    </r>
  </si>
  <si>
    <t>VVDHT_07</t>
  </si>
  <si>
    <r>
      <rPr>
        <rFont val="Times New Roman"/>
        <color rgb="FF1155CC"/>
        <sz val="12.0"/>
        <u/>
      </rPr>
      <t>VVDHT_07.jpg</t>
    </r>
  </si>
  <si>
    <t>VVDHT_08</t>
  </si>
  <si>
    <r>
      <rPr>
        <rFont val="Times New Roman"/>
        <color rgb="FF1155CC"/>
        <sz val="12.0"/>
        <u/>
      </rPr>
      <t>VVDHT_08.jpg</t>
    </r>
  </si>
  <si>
    <t>VVDHT_09</t>
  </si>
  <si>
    <r>
      <rPr>
        <rFont val="Times New Roman"/>
        <color rgb="FF1155CC"/>
        <sz val="12.0"/>
        <u/>
      </rPr>
      <t>VVDHT_09.jpg</t>
    </r>
  </si>
  <si>
    <t>- Màn hình hiển thị thiếu các chỉ số: Thành công, Không thành công, Tỷ lệ thành công</t>
  </si>
  <si>
    <r>
      <rPr>
        <rFont val="Times New Roman"/>
        <color rgb="FF1155CC"/>
        <sz val="12.0"/>
        <u/>
      </rPr>
      <t>VVDHTHT_03.jpg</t>
    </r>
  </si>
  <si>
    <t>VVDHTHT_04</t>
  </si>
  <si>
    <t>- Màn hình hiển thị thiếu cột theo mức thời hạn
- SRS yêu cầu hiển thị biểu đồ tròn theo kết quả, hệ thống đang hiển thị biểu đồ tròn theo lĩnh vực
- Bảng kết quả đang hiển thị các cột thông tin Lĩnh vực PL, Số lượng. Tài liệu SRS yêu cầu các cột thông tin: Đơn vị, Tổng hoàn thành, Tỷ lệ thành công</t>
  </si>
  <si>
    <r>
      <rPr>
        <rFont val="Times New Roman"/>
        <color rgb="FF1155CC"/>
        <sz val="12.0"/>
        <u/>
      </rPr>
      <t>VVDHTHT_04.jpg</t>
    </r>
  </si>
  <si>
    <t>VVDHTHT_06</t>
  </si>
  <si>
    <r>
      <rPr>
        <rFont val="Times New Roman"/>
        <color rgb="FF1155CC"/>
        <sz val="12.0"/>
        <u/>
      </rPr>
      <t>VVDHTHT_06.jpg</t>
    </r>
  </si>
  <si>
    <t>VVDHTHT_07</t>
  </si>
  <si>
    <r>
      <rPr>
        <rFont val="Times New Roman"/>
        <color rgb="FF1155CC"/>
        <sz val="12.0"/>
        <u/>
      </rPr>
      <t>VVDHTHT_07.jpg</t>
    </r>
  </si>
  <si>
    <t>VVDHTHT_08</t>
  </si>
  <si>
    <r>
      <rPr>
        <rFont val="Times New Roman"/>
        <color rgb="FF1155CC"/>
        <sz val="12.0"/>
        <u/>
      </rPr>
      <t>VVDHTHT_08.jpg</t>
    </r>
  </si>
  <si>
    <t>VVDHTHT_09</t>
  </si>
  <si>
    <r>
      <rPr>
        <rFont val="Times New Roman"/>
        <color rgb="FF1155CC"/>
        <sz val="12.0"/>
        <u/>
      </rPr>
      <t>VVDHTHT_09.jpg</t>
    </r>
  </si>
  <si>
    <t>VVTTG_01</t>
  </si>
  <si>
    <t>Báo cáo thống kê vụ việc theo thời gian</t>
  </si>
  <si>
    <t>Thống kê diễn biến số lượng vụ việc theo các mốc thời gian (ngày, tuần, tháng, quý).</t>
  </si>
  <si>
    <t>Số liệu thống kê không chính xác</t>
  </si>
  <si>
    <r>
      <rPr>
        <rFont val="Times New Roman"/>
        <color rgb="FF1155CC"/>
        <sz val="12.0"/>
        <u/>
      </rPr>
      <t>VVTTG_01.webm</t>
    </r>
  </si>
  <si>
    <t>VVTTG_02</t>
  </si>
  <si>
    <t>Không có chỉ số tổng hợp riêng</t>
  </si>
  <si>
    <t>Hệ thống hiển thị chỉ số tổng hợp</t>
  </si>
  <si>
    <r>
      <rPr>
        <rFont val="Times New Roman"/>
        <color rgb="FF1155CC"/>
        <sz val="12.0"/>
        <u/>
      </rPr>
      <t>VVTTG_02.jpg</t>
    </r>
  </si>
  <si>
    <t>VVTTG_03</t>
  </si>
  <si>
    <t>- Biểu đồ đường thể hiện xu hướng tiếp nhận và hoàn thành
- Cột bảng tổng hợp chính: Kỳ thời gian, Số tiếp nhận, Số hoàn thành</t>
  </si>
  <si>
    <t>- Biểu đồ không thể hiện xu hướng
- Màn hình không hiển thị bảng tổng hợp</t>
  </si>
  <si>
    <r>
      <rPr>
        <rFont val="Times New Roman"/>
        <color rgb="FF1155CC"/>
        <sz val="12.0"/>
        <u/>
      </rPr>
      <t>VVTTG_03.jpg</t>
    </r>
  </si>
  <si>
    <t>VVTTG_05</t>
  </si>
  <si>
    <r>
      <rPr>
        <rFont val="Times New Roman"/>
        <color rgb="FF1155CC"/>
        <sz val="12.0"/>
        <u/>
      </rPr>
      <t>VVTTG_05.jpg</t>
    </r>
  </si>
  <si>
    <t>VVTTG_06</t>
  </si>
  <si>
    <r>
      <rPr>
        <rFont val="Times New Roman"/>
        <color rgb="FF1155CC"/>
        <sz val="12.0"/>
        <u/>
      </rPr>
      <t>VVTTG_06.jpg</t>
    </r>
  </si>
  <si>
    <t>VVTTG_07</t>
  </si>
  <si>
    <r>
      <rPr>
        <rFont val="Times New Roman"/>
        <color rgb="FF1155CC"/>
        <sz val="12.0"/>
        <u/>
      </rPr>
      <t>VVTTG_07.jpg</t>
    </r>
  </si>
  <si>
    <t>VVTTG_08</t>
  </si>
  <si>
    <r>
      <rPr>
        <rFont val="Times New Roman"/>
        <color rgb="FF1155CC"/>
        <sz val="12.0"/>
        <u/>
      </rPr>
      <t>VVTTG_08.jpg</t>
    </r>
  </si>
  <si>
    <t>CLDTBDDDR_03</t>
  </si>
  <si>
    <t>Kiểm tra hiển thị Chỉ số tổng hợp</t>
  </si>
  <si>
    <t>- Màn hình hiển thị thiếu các chỉ số: Số trực tuyến, Số trực tiếp</t>
  </si>
  <si>
    <r>
      <rPr>
        <rFont val="Times New Roman"/>
        <color rgb="FF1155CC"/>
        <sz val="12.0"/>
        <u/>
      </rPr>
      <t>CLDTBDDDR_03.jpg</t>
    </r>
  </si>
  <si>
    <t>CLDTBDDDR_04</t>
  </si>
  <si>
    <t>Kiểm tra hiển thị cột kết quả</t>
  </si>
  <si>
    <t>- Biêu đồ cột SRS yêu cầu hiển thị theo hình thức, hệ thống đang hiển thị theo Đơn vị
- Thiếu biểu đồ đường xu hướng theo kỳ
- Bảng tổng hợp SRS yêu cầu: Đơn vị, Số khóa, Số học viên, Theo hình thức. Hệ thống đang hiển thị: Đơn vị, Trực tuyến, Trực tiếp, Tổng số</t>
  </si>
  <si>
    <r>
      <rPr>
        <rFont val="Times New Roman"/>
        <color rgb="FF1155CC"/>
        <sz val="12.0"/>
        <u/>
      </rPr>
      <t>CLDTBDDDR_04.jpg</t>
    </r>
  </si>
  <si>
    <t>CLDTBDDDR_06</t>
  </si>
  <si>
    <t>Hệ thống xuất toàn bộ và tự động tải tệp về máy người dùng. Tên tệp xuất: BaoCaoDaoTao_{YYYYMMDD_HHmm}.xlsx hoặc BaoCaoDaoTao_{YYYYMMDD_HHmm}.pdf.</t>
  </si>
  <si>
    <r>
      <rPr>
        <rFont val="Times New Roman"/>
        <color rgb="FF1155CC"/>
        <sz val="12.0"/>
        <u/>
      </rPr>
      <t>CLDTBDDDR_06.jpg</t>
    </r>
  </si>
  <si>
    <t>CLDTBDDDR_07</t>
  </si>
  <si>
    <t>Hệ thống tạo tệp PDF theo đúng mẫu biểu Thông tư số 17/2025/TT-BTP — khổ A4, phông chữ Times New Roman cỡ 13, đầu trang có quốc hiệu và tên cơ quan, cuối trang có ngày ký và chức danh người ký.
- Tên tệp xuất: BaoCaoDaoTao_{YYYYMMDD_HHmm}.xlsx hoặc BaoCaoDaoTao_{YYYYMMDD_HHmm}.pdf.</t>
  </si>
  <si>
    <r>
      <rPr>
        <rFont val="Times New Roman"/>
        <color rgb="FF1155CC"/>
        <sz val="12.0"/>
        <u/>
      </rPr>
      <t>CLDTBDDDR_07.jpg</t>
    </r>
  </si>
  <si>
    <t>CLDTBDDDR_08</t>
  </si>
  <si>
    <r>
      <rPr>
        <rFont val="Times New Roman"/>
        <color rgb="FF1155CC"/>
        <sz val="12.0"/>
        <u/>
      </rPr>
      <t>CLDTBDDDR_08.jpg</t>
    </r>
  </si>
  <si>
    <t>CLDTBDDDR_09</t>
  </si>
  <si>
    <r>
      <rPr>
        <rFont val="Times New Roman"/>
        <color rgb="FF1155CC"/>
        <sz val="12.0"/>
        <u/>
      </rPr>
      <t>CLDTBDDDR_09.jpg</t>
    </r>
  </si>
  <si>
    <t>LDTBDDDR_04</t>
  </si>
  <si>
    <t>Kiểm tra hiển thị Biểu đồ và bảng tổng hợp</t>
  </si>
  <si>
    <t>SRS yêu cầu biểu đồ cột theo hình thức, hệ thống đang hiển thị biểu đồ cột theo Đơn vị</t>
  </si>
  <si>
    <r>
      <rPr>
        <rFont val="Times New Roman"/>
        <color rgb="FF1155CC"/>
        <sz val="12.0"/>
        <u/>
      </rPr>
      <t>CLDTBDDDR_04.jpg</t>
    </r>
  </si>
  <si>
    <t>LDTBDDDR_06</t>
  </si>
  <si>
    <r>
      <rPr>
        <rFont val="Times New Roman"/>
        <color rgb="FF1155CC"/>
        <sz val="12.0"/>
        <u/>
      </rPr>
      <t>CLDTBDDDR_06.jpg</t>
    </r>
  </si>
  <si>
    <t>LDTBDDDR_07</t>
  </si>
  <si>
    <r>
      <rPr>
        <rFont val="Times New Roman"/>
        <color rgb="FF1155CC"/>
        <sz val="12.0"/>
        <u/>
      </rPr>
      <t>CLDTBDDDR_07.jpg</t>
    </r>
  </si>
  <si>
    <t>CGTVPL_04</t>
  </si>
  <si>
    <t>- SRS yêu cầu Biểu đồ tròn theo loại, hệ thống hiển thị biểu đồ tròn theo Đơn vị
- Biểu đồ cột không hiển thị số lượng chuyên gia, chỉ hiển thị số lượng TVV mặc dù tồn tại dữ liệu</t>
  </si>
  <si>
    <r>
      <rPr>
        <rFont val="Times New Roman"/>
        <color rgb="FF1155CC"/>
        <sz val="12.0"/>
        <u/>
      </rPr>
      <t>CGTVPL_04.jpg</t>
    </r>
  </si>
  <si>
    <t>CGTVPL_06</t>
  </si>
  <si>
    <t>Hệ thống xuất toàn bộ và tự động tải tệp về máy người dùng. Tên tệp xuất: BaoCaoDanhGia_{YYYYMMDD_HHmm}.xlsx / .pdf</t>
  </si>
  <si>
    <r>
      <rPr>
        <rFont val="Times New Roman"/>
        <color rgb="FF1155CC"/>
        <sz val="12.0"/>
        <u/>
      </rPr>
      <t>CGTVPL_06.jpg</t>
    </r>
  </si>
  <si>
    <t>CGTVPL_07</t>
  </si>
  <si>
    <t xml:space="preserve">Hệ thống tạo tệp PDF theo đúng mẫu biểu Thông tư số 17/2025/TT-BTP — khổ A4, phông chữ Times New Roman cỡ 13, đầu trang có quốc hiệu và tên cơ quan, cuối trang có ngày ký và chức danh người ký.
- Tên tệp xuất: BaoCaoChuyenGia_{YYYYMMDD_HHmm}.xlsx / .pdf </t>
  </si>
  <si>
    <r>
      <rPr>
        <rFont val="Times New Roman"/>
        <color rgb="FF1155CC"/>
        <sz val="12.0"/>
        <u/>
      </rPr>
      <t>CGTVPL_07.jpg</t>
    </r>
  </si>
  <si>
    <t>DGHQHTPL_03</t>
  </si>
  <si>
    <t>SRS yêu cầu: Điểm trung bình, Tổng số vụ việc đã đánh giá. Hệ thống hiển thị thiếu thẻ chỉ số Tổng số vụ việc đã đánh giá</t>
  </si>
  <si>
    <r>
      <rPr>
        <rFont val="Times New Roman"/>
        <color rgb="FF1155CC"/>
        <sz val="12.0"/>
        <u/>
      </rPr>
      <t>DGHQHTPL_03.jpg</t>
    </r>
  </si>
  <si>
    <t>DGHQHTPL_06</t>
  </si>
  <si>
    <r>
      <rPr>
        <rFont val="Times New Roman"/>
        <color rgb="FF1155CC"/>
        <sz val="12.0"/>
        <u/>
      </rPr>
      <t>DGHQHTPL_06.jpg</t>
    </r>
  </si>
  <si>
    <t>DGHQHTPL_07</t>
  </si>
  <si>
    <r>
      <rPr>
        <rFont val="Times New Roman"/>
        <color rgb="FF1155CC"/>
        <sz val="12.0"/>
        <u/>
      </rPr>
      <t>DGHQHTPL_07.jpg</t>
    </r>
  </si>
  <si>
    <t>CLDTBDPL_03</t>
  </si>
  <si>
    <t>Hệ thống hiển thị thiếu thẻ Tổng số học viên</t>
  </si>
  <si>
    <r>
      <rPr>
        <rFont val="Times New Roman"/>
        <color rgb="FF1155CC"/>
        <sz val="12.0"/>
        <u/>
      </rPr>
      <t>CLDTBDPL_03.jpg</t>
    </r>
  </si>
  <si>
    <t>CLDTBDPL_04</t>
  </si>
  <si>
    <t>Hệ thống hiển thị biểu đồ theo Đơn vị - SRS yêu cầu: Biểu đồ cột theo khóa, biểu đồ đường điểm trung bình theo kỳ</t>
  </si>
  <si>
    <r>
      <rPr>
        <rFont val="Times New Roman"/>
        <color rgb="FF1155CC"/>
        <sz val="12.0"/>
        <u/>
      </rPr>
      <t>CLDTBDPL_04.jpg</t>
    </r>
  </si>
  <si>
    <t>CLDTBDPL_06</t>
  </si>
  <si>
    <t xml:space="preserve">Hệ thống xuất toàn bộ và tự động tải tệp về máy người dùng. Tên tệp xuất: BaoCaoDaoTao_{YYYYMMDD_HHmm}.xlsx </t>
  </si>
  <si>
    <r>
      <rPr>
        <rFont val="Times New Roman"/>
        <color rgb="FF1155CC"/>
        <sz val="12.0"/>
        <u/>
      </rPr>
      <t>CLDTBDPL_06.jpg</t>
    </r>
  </si>
  <si>
    <t>CLDTBDPL_07</t>
  </si>
  <si>
    <t>Hệ thống tạo tệp PDF theo đúng mẫu biểu Thông tư số 17/2025/TT-BTP — khổ A4, phông chữ Times New Roman cỡ 13, đầu trang có quốc hiệu và tên cơ quan, cuối trang có ngày ký và chức danh người ký.
- Tên tệp xuất: BaoCaoDaoTao_{YYYYMMDD_HHmm}.pdf.</t>
  </si>
  <si>
    <r>
      <rPr>
        <rFont val="Times New Roman"/>
        <color rgb="FF1155CC"/>
        <sz val="12.0"/>
        <u/>
      </rPr>
      <t>CLDTBDPL_07.jpg</t>
    </r>
  </si>
  <si>
    <t>VVTDVQL_06</t>
  </si>
  <si>
    <t xml:space="preserve">Hệ thống xuất toàn bộ và tự động tải tệp về máy người dùng. Tên tệp xuất: : BaoCaoVuViec_{YYYYMMDD_HHmm}.xlsx </t>
  </si>
  <si>
    <r>
      <rPr>
        <rFont val="Times New Roman"/>
        <color rgb="FF1155CC"/>
        <sz val="12.0"/>
        <u/>
      </rPr>
      <t>VVTDVQL_06.jpg</t>
    </r>
  </si>
  <si>
    <t>VVTDVQL_07</t>
  </si>
  <si>
    <t>Hệ thống tạo tệp PDF theo đúng mẫu biểu Thông tư số 17/2025/TT-BTP — khổ A4, phông chữ Times New Roman cỡ 13, đầu trang có quốc hiệu và tên cơ quan, cuối trang có ngày ký và chức danh người ký.
- Tên tệp xuất: BaoCaoVuViec_{YYYYMMDD_HHmm}.pdf</t>
  </si>
  <si>
    <r>
      <rPr>
        <rFont val="Times New Roman"/>
        <color rgb="FF1155CC"/>
        <sz val="12.0"/>
        <u/>
      </rPr>
      <t>VVTDVQL_07.jpg</t>
    </r>
  </si>
  <si>
    <t>VVTLV_01</t>
  </si>
  <si>
    <t>Báo cáo thông kê vụ việc theo lĩnh vực</t>
  </si>
  <si>
    <t>Thống kê số lượng vụ việc theo từng lĩnh vực pháp lý (Lao động, Thuế, Đất đai...).</t>
  </si>
  <si>
    <t>Số liệu biểu đồ và bảng tổng hợp không trùng khớp nhau</t>
  </si>
  <si>
    <r>
      <rPr>
        <rFont val="Times New Roman"/>
        <color rgb="FF1155CC"/>
        <sz val="12.0"/>
        <u/>
      </rPr>
      <t>VVTLV_01.jpg</t>
    </r>
  </si>
  <si>
    <t>VVTLV_03</t>
  </si>
  <si>
    <t>- Biểu đồ cột nhóm theo lĩnh vực và đơn vị
- Bảng tổng hợp: Lĩnh vực pháp lý, Tổng vụ việc, Theo đơn vị</t>
  </si>
  <si>
    <t>- Hệ thống hiển thị biểu đồ cột đơn theo lĩnh vực
- Bảng tổng hợp thiếu cột Theo đơn vị</t>
  </si>
  <si>
    <r>
      <rPr>
        <rFont val="Times New Roman"/>
        <color rgb="FF1155CC"/>
        <sz val="12.0"/>
        <u/>
      </rPr>
      <t>VVTLV_03.jpg</t>
    </r>
  </si>
  <si>
    <t>VVTLV_05</t>
  </si>
  <si>
    <r>
      <rPr>
        <rFont val="Times New Roman"/>
        <color rgb="FF1155CC"/>
        <sz val="12.0"/>
        <u/>
      </rPr>
      <t>VVTLV_05.jpg</t>
    </r>
  </si>
  <si>
    <t>VVTLV_06</t>
  </si>
  <si>
    <r>
      <rPr>
        <rFont val="Times New Roman"/>
        <color rgb="FF1155CC"/>
        <sz val="12.0"/>
        <u/>
      </rPr>
      <t>VVTLV_06.jpg</t>
    </r>
  </si>
  <si>
    <t>VVTLHDN_03</t>
  </si>
  <si>
    <t>- Biểu đồ cột nhóm theo loại hình
- Bảng tổng hợp: Loại hình doanh nghiệp, Tổng vụ việc, Theo đơn vị</t>
  </si>
  <si>
    <t>- Bảng tổng hợp không giống với thiết kế</t>
  </si>
  <si>
    <r>
      <rPr>
        <rFont val="Times New Roman"/>
        <color rgb="FF1155CC"/>
        <sz val="12.0"/>
        <u/>
      </rPr>
      <t>VVTLHDN_03.jpg</t>
    </r>
  </si>
  <si>
    <t>VVTLHDN_05</t>
  </si>
  <si>
    <r>
      <rPr>
        <rFont val="Times New Roman"/>
        <color rgb="FF1155CC"/>
        <sz val="12.0"/>
        <u/>
      </rPr>
      <t>VVTLHDN_05.jpg</t>
    </r>
  </si>
  <si>
    <t>VVTLHDN_06</t>
  </si>
  <si>
    <r>
      <rPr>
        <rFont val="Times New Roman"/>
        <color rgb="FF1155CC"/>
        <sz val="12.0"/>
        <u/>
      </rPr>
      <t>VVTLHDN_06.jpg</t>
    </r>
  </si>
  <si>
    <t>VVTTGCT_05</t>
  </si>
  <si>
    <r>
      <rPr>
        <rFont val="Times New Roman"/>
        <color rgb="FF1155CC"/>
        <sz val="12.0"/>
        <u/>
      </rPr>
      <t>VVTTGCT_05.jpg</t>
    </r>
  </si>
  <si>
    <t>VVTTGCT_06</t>
  </si>
  <si>
    <r>
      <rPr>
        <rFont val="Times New Roman"/>
        <color rgb="FF1155CC"/>
        <sz val="12.0"/>
        <u/>
      </rPr>
      <t>VVTTGCT_06.jpg</t>
    </r>
  </si>
  <si>
    <t>CPHTCT_06</t>
  </si>
  <si>
    <t xml:space="preserve">Hệ thống xuất toàn bộ và tự động tải tệp về máy người dùng. Tên tệp xuất: : BaoCaoChiPhi_{YYYYMMDD_HHmm}.xlsx </t>
  </si>
  <si>
    <r>
      <rPr>
        <rFont val="Times New Roman"/>
        <color rgb="FF1155CC"/>
        <sz val="12.0"/>
        <u/>
      </rPr>
      <t>CPHTCT_06.jpg</t>
    </r>
  </si>
  <si>
    <t>CPHTCT_07</t>
  </si>
  <si>
    <t>Hệ thống tạo tệp PDF theo đúng mẫu biểu Thông tư số 17/2025/TT-BTP — khổ A4, phông chữ Times New Roman cỡ 13, đầu trang có quốc hiệu và tên cơ quan, cuối trang có ngày ký và chức danh người ký.
- Tên tệp xuất: BaoCaoChiPhi_{YYYYMMDD_HHmm}.pdf</t>
  </si>
  <si>
    <r>
      <rPr>
        <rFont val="Times New Roman"/>
        <color rgb="FF1155CC"/>
        <sz val="12.0"/>
        <u/>
      </rPr>
      <t>CPHTCT_07.jpg</t>
    </r>
  </si>
  <si>
    <t>CPCTHTTDVQL_03</t>
  </si>
  <si>
    <r>
      <rPr>
        <rFont val="Times New Roman"/>
        <color rgb="FF1155CC"/>
        <sz val="12.0"/>
        <u/>
      </rPr>
      <t>CPCTHTTDVQL_03.jpg</t>
    </r>
  </si>
  <si>
    <t>CPCTHTTDVQL_06</t>
  </si>
  <si>
    <r>
      <rPr>
        <rFont val="Times New Roman"/>
        <color rgb="FF1155CC"/>
        <sz val="12.0"/>
        <u/>
      </rPr>
      <t>CPCTHTTDVQL_06.jpg</t>
    </r>
  </si>
  <si>
    <t>CPCTHTTDVQL_07</t>
  </si>
  <si>
    <r>
      <rPr>
        <rFont val="Times New Roman"/>
        <color rgb="FF1155CC"/>
        <sz val="12.0"/>
        <u/>
      </rPr>
      <t>CPCTHTTDVQL_07.jpg</t>
    </r>
  </si>
  <si>
    <t>CPCTHTTLHDN_03</t>
  </si>
  <si>
    <r>
      <rPr>
        <rFont val="Times New Roman"/>
        <color rgb="FF1155CC"/>
        <sz val="12.0"/>
        <u/>
      </rPr>
      <t>CPCTHTTLHDN_03.jpg</t>
    </r>
  </si>
  <si>
    <t>CPCTHTTLHDN_04</t>
  </si>
  <si>
    <t>- Biểu đồ cột nhóm theo loại hình và mức hỗ trợ
- Bảng tổng hợp: Loại hình, Mức hỗ trợ, Số hồ sơ, Tổng chi phí, Trần chi phí, Chênh lệch</t>
  </si>
  <si>
    <t>- Biểu đồ cột theo nhiều nhóm mà tài liệu không yêu cầu: Chênh lệch, Số hồ sơ, Trần / hồ sơ, Trần chi phí, Tổng chi phí
- Số liệu ở trục tung của biểu đồ hiển thị toàn bộ giá trị 0</t>
  </si>
  <si>
    <r>
      <rPr>
        <rFont val="Times New Roman"/>
        <color rgb="FF1155CC"/>
        <sz val="12.0"/>
        <u/>
      </rPr>
      <t>CPCTHTTLHDN_04.jpg</t>
    </r>
  </si>
  <si>
    <t>CPCTHTTLHDN_06</t>
  </si>
  <si>
    <r>
      <rPr>
        <rFont val="Times New Roman"/>
        <color rgb="FF1155CC"/>
        <sz val="12.0"/>
        <u/>
      </rPr>
      <t>CPCTHTTLHDN_06.jpg</t>
    </r>
  </si>
  <si>
    <t>CPCTHTTLHDN_07</t>
  </si>
  <si>
    <r>
      <rPr>
        <rFont val="Times New Roman"/>
        <color rgb="FF1155CC"/>
        <sz val="12.0"/>
        <u/>
      </rPr>
      <t>CPCTHTTLHDN_07.jpg</t>
    </r>
  </si>
  <si>
    <t>CPCTHTTTG_03</t>
  </si>
  <si>
    <t>- Biểu đồ đường thể hiện xu hướng chi phí
- Bảng tổng hợp: Kỳ thời gian, Tổng chi phí, Số hồ sơ</t>
  </si>
  <si>
    <t>- Số liệu ở trục tung của biểu đồ hiển thị toàn bộ giá trị 0</t>
  </si>
  <si>
    <r>
      <rPr>
        <rFont val="Times New Roman"/>
        <color rgb="FF1155CC"/>
        <sz val="12.0"/>
        <u/>
      </rPr>
      <t>CPCTHTTTG_03.jpg</t>
    </r>
  </si>
  <si>
    <t>CPCTHTTTG_05</t>
  </si>
  <si>
    <r>
      <rPr>
        <rFont val="Times New Roman"/>
        <color rgb="FF1155CC"/>
        <sz val="12.0"/>
        <u/>
      </rPr>
      <t>CPCTHTTTG_05.jpg</t>
    </r>
  </si>
  <si>
    <t>CPCTHTTTG_06</t>
  </si>
  <si>
    <r>
      <rPr>
        <rFont val="Times New Roman"/>
        <color rgb="FF1155CC"/>
        <sz val="12.0"/>
        <u/>
      </rPr>
      <t>CPCTHTTTG_06.jpg</t>
    </r>
  </si>
  <si>
    <t>SLCTHT_03</t>
  </si>
  <si>
    <t>Tổng chương trình, Đang thực hiện, Hoàn thành</t>
  </si>
  <si>
    <t>Hệ thống hiển thị thiếu các chỉ số: Đang thực hiện, Hoàn thành</t>
  </si>
  <si>
    <r>
      <rPr>
        <rFont val="Times New Roman"/>
        <color rgb="FF1155CC"/>
        <sz val="12.0"/>
        <u/>
      </rPr>
      <t>SLCTHT_03.jpg</t>
    </r>
  </si>
  <si>
    <t>SLCTHT_04</t>
  </si>
  <si>
    <t>- Biểu đồ cột theo đơn vị, biểu đồ đường theo kỳ
- Bảng tổng hợp: Đơn vị, Số chương trình, Đang thực hiện, Hoàn thành</t>
  </si>
  <si>
    <t>- Biểu đồ hệ thống hiển thị theo trạng thái
- Bảng tổng hợp không giống với thiết kế</t>
  </si>
  <si>
    <r>
      <rPr>
        <rFont val="Times New Roman"/>
        <color rgb="FF1155CC"/>
        <sz val="12.0"/>
        <u/>
      </rPr>
      <t>SLCTHT_04.jpg</t>
    </r>
  </si>
  <si>
    <t>SLCTHT_06</t>
  </si>
  <si>
    <t xml:space="preserve">Hệ thống xuất toàn bộ và tự động tải tệp về máy người dùng. Tên tệp xuất: : BaoCaoChuongTrinh_{YYYYMMDD_HHmm}.xlsx </t>
  </si>
  <si>
    <r>
      <rPr>
        <rFont val="Times New Roman"/>
        <color rgb="FF1155CC"/>
        <sz val="12.0"/>
        <u/>
      </rPr>
      <t>SLCTHT_06.jpg</t>
    </r>
  </si>
  <si>
    <t>SLCTHT_07</t>
  </si>
  <si>
    <t>Hệ thống tạo tệp PDF theo đúng mẫu biểu Thông tư số 17/2025/TT-BTP — khổ A4, phông chữ Times New Roman cỡ 13, đầu trang có quốc hiệu và tên cơ quan, cuối trang có ngày ký và chức danh người ký.
- Tên tệp xuất: BaoCaoChuongTrinh_{YYYYMMDD_HHmm}.pdf.</t>
  </si>
  <si>
    <r>
      <rPr>
        <rFont val="Times New Roman"/>
        <color rgb="FF1155CC"/>
        <sz val="12.0"/>
        <u/>
      </rPr>
      <t>SLCTHT_07.jpg</t>
    </r>
  </si>
  <si>
    <t>CTTDVQL_02</t>
  </si>
  <si>
    <t>Hệ thống hiển thị chỉ số</t>
  </si>
  <si>
    <r>
      <rPr>
        <rFont val="Times New Roman"/>
        <color rgb="FF1155CC"/>
        <sz val="12.0"/>
        <u/>
      </rPr>
      <t>CTTDVQL_02.jpg</t>
    </r>
  </si>
  <si>
    <t>CTTDVQL_03</t>
  </si>
  <si>
    <t>- Biểu đồ cột bảng chéo theo đơn vị
- Bảng tổng hợp: Đơn vị, Cấp đơn vị, Số chương trình, Tổng ngân sách</t>
  </si>
  <si>
    <t>Bảng tổng hợp thiếu trường thông tin Cấp đơn vị</t>
  </si>
  <si>
    <r>
      <rPr>
        <rFont val="Times New Roman"/>
        <color rgb="FF1155CC"/>
        <sz val="12.0"/>
        <u/>
      </rPr>
      <t>CTTDVQL_03.jpg</t>
    </r>
  </si>
  <si>
    <t>CTTDVQL_04</t>
  </si>
  <si>
    <r>
      <rPr>
        <rFont val="Times New Roman"/>
        <color rgb="FF1155CC"/>
        <sz val="12.0"/>
        <u/>
      </rPr>
      <t>CTTDVQL_04.jpg</t>
    </r>
  </si>
  <si>
    <t>CTTDVQL_05</t>
  </si>
  <si>
    <r>
      <rPr>
        <rFont val="Times New Roman"/>
        <color rgb="FF1155CC"/>
        <sz val="12.0"/>
        <u/>
      </rPr>
      <t>CTTDVQL_05.jpg</t>
    </r>
  </si>
  <si>
    <t>CTTLV_01</t>
  </si>
  <si>
    <t>Báo cáo thống kê chương trình theo lĩnh vực</t>
  </si>
  <si>
    <t>Thống kê số lượng chương trình hỗ trợ theo lĩnh vực pháp lý.</t>
  </si>
  <si>
    <t>Dữ liệu hiển thị "Không xác định"</t>
  </si>
  <si>
    <r>
      <rPr>
        <rFont val="Times New Roman"/>
        <color rgb="FF1155CC"/>
        <sz val="12.0"/>
        <u/>
      </rPr>
      <t>CTTLV_01.jpg</t>
    </r>
  </si>
  <si>
    <t>CTTLV_03</t>
  </si>
  <si>
    <r>
      <rPr>
        <rFont val="Times New Roman"/>
        <color rgb="FF1155CC"/>
        <sz val="12.0"/>
        <u/>
      </rPr>
      <t>CTTLV_03.jpg</t>
    </r>
  </si>
  <si>
    <t>CTTLV_04</t>
  </si>
  <si>
    <t>- Biểu đồ cột theo lĩnh vực
- Bảng tổng hợp: Lĩnh vực, Số chương trình, Số doanh nghiệp tham gia</t>
  </si>
  <si>
    <r>
      <rPr>
        <rFont val="Times New Roman"/>
        <color rgb="FF1155CC"/>
        <sz val="12.0"/>
        <u/>
      </rPr>
      <t>CTTLV_04.jpg</t>
    </r>
  </si>
  <si>
    <t>CTTLV_05</t>
  </si>
  <si>
    <r>
      <rPr>
        <rFont val="Times New Roman"/>
        <color rgb="FF1155CC"/>
        <sz val="12.0"/>
        <u/>
      </rPr>
      <t>CTTLV_05.jpg</t>
    </r>
  </si>
  <si>
    <t>CTTLV_06</t>
  </si>
  <si>
    <r>
      <rPr>
        <rFont val="Times New Roman"/>
        <color rgb="FF1155CC"/>
        <sz val="12.0"/>
        <u/>
      </rPr>
      <t>CTTLV_06.jpg</t>
    </r>
  </si>
  <si>
    <t>CTTTG_04</t>
  </si>
  <si>
    <r>
      <rPr>
        <rFont val="Times New Roman"/>
        <color rgb="FF1155CC"/>
        <sz val="12.0"/>
        <u/>
      </rPr>
      <t>CTTTG_04.jpg</t>
    </r>
  </si>
  <si>
    <t>CTTTG_05</t>
  </si>
  <si>
    <r>
      <rPr>
        <rFont val="Times New Roman"/>
        <color rgb="FF1155CC"/>
        <sz val="12.0"/>
        <u/>
      </rPr>
      <t>CTTTG_05.jpg</t>
    </r>
  </si>
  <si>
    <t>QLNDTVVCG_03</t>
  </si>
  <si>
    <t xml:space="preserve">1. Đăng nhập hệ thống thành công
</t>
  </si>
  <si>
    <t>1. Chọn menu "Tư vấn" =&gt; "Tư vấn chuyên sâu"</t>
  </si>
  <si>
    <t>- Các cột thông tin: Ô chọn hàng loạt, Mã, Tên doanh nghiệp, Chuyên gia, Lĩnh vực pháp lý, Tiêu đề, Trạng thái, Ngày tư vấn, Ngày tạo, Hành động
- 4 nút hành động trên mỗi dòng: "Xem", "Sửa", "Phân công", "Hủy"
- Định dạng ngày dd/mm/yyyy
- Mỗi trạng thái có màu tương ứng để phân biệt.
- Mã Định dạng TVCS-{YYYYMMDD}-{số thứ tự}; bấm vào mã để mở màn hình chi tiết nội dung tư vấn.</t>
  </si>
  <si>
    <t>- Thiếu cột thông tin "Tiêu đề"
- Màn hình hiển thị cột thông tin "Mô tả" nhưng SRS không yêu cầu hiển thị</t>
  </si>
  <si>
    <r>
      <rPr>
        <rFont val="Times New Roman"/>
        <color rgb="FF1155CC"/>
        <sz val="12.0"/>
        <u/>
      </rPr>
      <t>QLNDTVVCG_03.jpg</t>
    </r>
  </si>
  <si>
    <t>QLNDTVVCG_04</t>
  </si>
  <si>
    <t>1. Chọn menu "Tư vấn" =&gt; "Tư vấn chuyên sâu"
2. Chọn 1 trong 3 thẻ: Chờ xử lý / Đang tư vấn / Hoàn thành.</t>
  </si>
  <si>
    <t xml:space="preserve">- Hệ thống lọc danh sách theo nhóm trạng thái của thẻ được chọn:
+ Thẻ "Chờ xử lý" gom 2 trạng thái: Tiếp nhận, Đã phân công.
+ Thẻ "Đang tư vấn" gom 3 trạng thái: Đang tư vấn, Hoàn thành tư vấn, Chờ phê duyệt.
+ Thẻ "Hoàn thành" gom 2 trạng thái: Đã duyệt, Đã hủy.
- Mỗi thẻ hiển thị số đếm số lượng yêu cầu thuộc nhóm và cập nhật tức thời.
</t>
  </si>
  <si>
    <t>- Tên thẻ "Chờ xử lý" hệ thống hiển thị là "Mới tiếp nhận"
- Mỗi thẻ không hiển thị số đếm số lượng</t>
  </si>
  <si>
    <r>
      <rPr>
        <rFont val="Times New Roman"/>
        <color rgb="FF1155CC"/>
        <sz val="12.0"/>
        <u/>
      </rPr>
      <t>QLNDTVVCG_04.jpg</t>
    </r>
  </si>
  <si>
    <t>QLNDTVVCG_06</t>
  </si>
  <si>
    <t>Nhóm 1 — Thông tin cơ bản</t>
  </si>
  <si>
    <t>1. Chọn menu "Tư vấn" =&gt; "Tư vấn chuyên sâu"
2. Bấm nút "+ Thêm yêu cầu tư vấn</t>
  </si>
  <si>
    <t xml:space="preserve">- Các trường thông tin: Mã nội dung Doanh nghiệp, Chuyên gia / Tư vấn viên, Lĩnh vực pháp lý, Ngày tư vấn, Cơ quan tiếp nhận, Ghi chú
- Mã Định dạng TVCS-{YYYYMMDD}-{số thứ tự}; do hệ thống sinh sau khi tạo mới
- Ngày tư vấn định dạng dd/mm/yyyy, mặc định Ngày hệ thống hiện tại
- Cơ quan tiếp nhận: Sở Tư pháp tỉnh/thành phố nơi doanh nghiệp đăng ký
</t>
  </si>
  <si>
    <t>- Ngày tư vấn không có giá trị mặc định
- Không hiển thị trường thông tin Cơ quan tiếp nhận</t>
  </si>
  <si>
    <r>
      <rPr>
        <rFont val="Times New Roman"/>
        <color rgb="FF1155CC"/>
        <sz val="12.0"/>
        <u/>
      </rPr>
      <t>QLNDTVVCG_06.jpg</t>
    </r>
  </si>
  <si>
    <t>QLNDTVVCG_07</t>
  </si>
  <si>
    <t>Kiểm tra thông tin hiển thị sau khi chọn Doanh nghiệp, Chuyên gia / Tư vấn viên</t>
  </si>
  <si>
    <t>1. Chọn menu "Tư vấn" =&gt; "Tư vấn chuyên sâu"
2. Bấm nút "+ Thêm yêu cầu tư vấn
3. Chọn Doanh nghiệp, Chuyên gia / Tư vấn viên</t>
  </si>
  <si>
    <t>- Doanh nghiệp: hệ thống hiển thị đồng thời: mã số thuế, địa chỉ, người đại diện của doanh nghiệp đã chọn (chỉ đọc). Nếu doanh nghiệp chưa có trong hệ thống, có thể bấm nút phụ để mở nhanh màn hình Thêm mới doanh nghiệp 
- CG/TVV: hệ thống hiển thị: chuyên môn, số điện thoại, thư điện tử của chuyên gia (chỉ đọc).</t>
  </si>
  <si>
    <t>- Hệ thống không hiển thị thông tin Doanh nghiệp và Chuyên viên sau khi đã chọn theo tài liệu mô tả</t>
  </si>
  <si>
    <r>
      <rPr>
        <rFont val="Times New Roman"/>
        <color rgb="FF1155CC"/>
        <sz val="12.0"/>
        <u/>
      </rPr>
      <t>QLNDTVVCG_07.jpg</t>
    </r>
  </si>
  <si>
    <t>QLNDTVVCG_08</t>
  </si>
  <si>
    <t>Nhóm 2 — Nội dung tư vấn</t>
  </si>
  <si>
    <t xml:space="preserve">- Nội dung tư vấn chi tiết: Trình soạn thảo văn bản với các chức năng định dạng cơ bản (đậm, nghiêng, gạch đầu dòng, chèn bảng, chèn liên kết). Tối đa 50 KB.
- Tiêu đề: Tối đa 255 ký tự. Bắt buộc; dùng để hiển thị trong bảng danh sách. </t>
  </si>
  <si>
    <t>- Nội dung tư vấn không phải trình soạn thảo văn bản
- Màn hình không hiển thị trường thông tin "Tiêu đề" 
- Màn hình có trường thông tin "Mô tả", "Vụ việc liên kết" nhưng SRS không yêu cầu trường thông tin này</t>
  </si>
  <si>
    <r>
      <rPr>
        <rFont val="Times New Roman"/>
        <color rgb="FF1155CC"/>
        <sz val="12.0"/>
        <u/>
      </rPr>
      <t>QLNDTVVCG_08.jpg</t>
    </r>
  </si>
  <si>
    <t>QLNDTVVCG_11</t>
  </si>
  <si>
    <t>Kiểm tra hiển thị chức năng Chỉnh sửa</t>
  </si>
  <si>
    <t>1. Chọn menu "Tư vấn" =&gt; "Tư vấn chuyên sâu"
2. Kiểm tra hiển thị chức năng Chỉnh sửa</t>
  </si>
  <si>
    <t xml:space="preserve">Chỉ hiển thị đối với yêu cầu đang ở trạng thái "Tiếp nhận" / "Đang tư vấn" </t>
  </si>
  <si>
    <t>- 1 số bản ghi ở trạng thái "Tiếp nhận" nhưng không được chỉnh sửa, 1 số bản ghi lại được chỉnh sửa
- Bản ghi ở trạng thái "Đang tư vấn" không hiển thị nút Chỉnh sửa</t>
  </si>
  <si>
    <r>
      <rPr>
        <rFont val="Times New Roman"/>
        <color rgb="FF1155CC"/>
        <sz val="12.0"/>
        <u/>
      </rPr>
      <t>QLNDTVVCG_11.jpg</t>
    </r>
  </si>
  <si>
    <t>QLNDTVVCG_15</t>
  </si>
  <si>
    <t>Cấu trúc màn hình</t>
  </si>
  <si>
    <t>1. Chọn menu "Tư vấn" =&gt; "Tư vấn chuyên sâu"
2. Nhấn "Xem chi tiết" tại bản ghi</t>
  </si>
  <si>
    <t>Thanh tiến trình + 5 nhóm thu gọn: Thanh tiến trình vòng đời yêu cầu tư vấn → Thông tin cơ bản → Nội dung tư vấn → Tư liệu pháp lý liên kết → Đánh giá chất lượng → Nhật ký thao tác.</t>
  </si>
  <si>
    <t>- SRS yêu cầu 5 nhóm nhưng hiện tại màn hình hiển thị 7 nhóm
- Tên nhóm "Tư liệu pháp lý liên kết" hệ thống hiển thị là "Tư liệu pháp luật"
- Tên nhóm "Nhật ký thao tác" hệ thống hiển thị là "Nhật ký"</t>
  </si>
  <si>
    <r>
      <rPr>
        <rFont val="Times New Roman"/>
        <color rgb="FF1155CC"/>
        <sz val="12.0"/>
        <u/>
      </rPr>
      <t>QLNDTVVCG_15.jpg</t>
    </r>
  </si>
  <si>
    <t>QLNDTVVCG_17</t>
  </si>
  <si>
    <t>Nhóm 1 — Thông tin cơ bản
Nhóm 2 — Nội dung tư vấn</t>
  </si>
  <si>
    <t>Hiển thị các trường thông tin giống với màn hình Thêm mới, không được phép chỉnh sửa</t>
  </si>
  <si>
    <t>- Nhóm 1 — Thông tin cơ bản: Thiếu trường Cơ quan tiếp nhận 
- Nhóm 2 — Nội dung tư vấn: Thiếu trường Tiêu đề, hệ thống hiển thị trường  "Tóm tắt" nhưng SRS không có trường thông tin này</t>
  </si>
  <si>
    <r>
      <rPr>
        <rFont val="Times New Roman"/>
        <color rgb="FF1155CC"/>
        <sz val="12.0"/>
        <u/>
      </rPr>
      <t>QLNDTVVCG_17.jpg</t>
    </r>
  </si>
  <si>
    <t>QLNDTVVCG_20</t>
  </si>
  <si>
    <t>Nhóm 5 — Nhật ký thao tác</t>
  </si>
  <si>
    <t>Danh sách các thao tác đã diễn ra trên yêu cầu, sắp xếp theo thời gian. Mỗi dòng ghi nhận: thời điểm (dd/mm/yyyy HH:mm), tên người thao tác, hành động thực hiện, trạng thái chuyển đổi (nếu có). Bao gồm cả các thao tác phê duyệt, từ chối, phân công, hủy, hoàn thành.</t>
  </si>
  <si>
    <t>Hệ thống không hiển thị dữ liệu nhóm 5- Nhật ký thao tác mặc dù bản ghi đã hoàn thành tất cả các trạng thái</t>
  </si>
  <si>
    <r>
      <rPr>
        <rFont val="Times New Roman"/>
        <color rgb="FF1155CC"/>
        <sz val="12.0"/>
        <u/>
      </rPr>
      <t>QLNDTVVCG_20.webm</t>
    </r>
  </si>
  <si>
    <t>QLNDTVVCG_22</t>
  </si>
  <si>
    <t>Kiểm tra màn hình chức năng Phân công chuyên gia</t>
  </si>
  <si>
    <t>1. Chọn menu "Tư vấn" =&gt; "Tư vấn chuyên sâu"
2. Bấm nút "Phân công chuyên gia"</t>
  </si>
  <si>
    <t xml:space="preserve">- Hệ thống mở cửa sổ lớp phủ "Phân công chuyên gia" gồm:
+ Khu vực "Gợi ý" liệt kê 5 chuyên gia phù hợp nhất — tiêu chí ưu tiên: chuyên môn khớp lĩnh vực pháp lý, điểm đánh giá trung bình cao, khối lượng công việc đang nhận thấp.
+ Ô tìm kiếm chuyên gia theo tên hoặc chuyên môn.
+ Ô nhập ghi chú kèm theo khi phân công (không bắt buộc).
+ Chú thích "Chuyên gia sẽ được gửi thông báo và có 2 ngày làm việc để xác nhận tham gia".
</t>
  </si>
  <si>
    <t>Không hiển thị thông tin "Chuyên môn" của TVV/CG mặc dù tồn tại dữ liệu, chú thích hiển thị thiếu thông tin "Chuyên gia sẽ được gửi thông báo"</t>
  </si>
  <si>
    <r>
      <rPr>
        <rFont val="Times New Roman"/>
        <color rgb="FF1155CC"/>
        <sz val="12.0"/>
        <u/>
      </rPr>
      <t>QLNDTVVCG_22.jpg</t>
    </r>
  </si>
  <si>
    <t>QLNDTVVCG_23</t>
  </si>
  <si>
    <t>1. Chọn menu "Tư vấn" =&gt; "Tư vấn chuyên sâu"
2. Bấm nút "Phân công chuyên gia"
3. Chọn 1 chuyên gia và bấm "Phân công"</t>
  </si>
  <si>
    <t xml:space="preserve">- Hệ thống đóng cửa sổ và cập nhật hiển thị trạng thái mới.
+ Chuyển trạng thái yêu cầu: Tiếp nhận → Đã phân công.
+ Gửi thông báo trong hệ thống và qua thư điện tử tới chuyên gia được chọn.
+ Gửi thông báo tới doanh nghiệp: "Yêu cầu tư vấn của bạn đã được phân công cho {tên chuyên gia}".
+ Lưu vết thao tác theo quy định.
</t>
  </si>
  <si>
    <t>Hệ thống hiển thị thông báo "Phân công thất bại"</t>
  </si>
  <si>
    <r>
      <rPr>
        <rFont val="Times New Roman"/>
        <color rgb="FF1155CC"/>
        <sz val="12.0"/>
        <u/>
      </rPr>
      <t>QLNDTVVCG_23.webm</t>
    </r>
  </si>
  <si>
    <t>QLNDTVVCG_27</t>
  </si>
  <si>
    <t>Kiểm tra nút chức năng Hoàn thành tư vấn</t>
  </si>
  <si>
    <t xml:space="preserve">1. Đăng nhập Chuyên gia được phân công cho yêu cầu </t>
  </si>
  <si>
    <t>1. Chọn menu "Tư vấn" =&gt; "Tư vấn chuyên sâu"
2. Bấm nút "Hoàn thành tư vấn"</t>
  </si>
  <si>
    <t xml:space="preserve">- Điều kiện hiển thị: yêu cầu ở trạng thái "Đang tư vấn".
- NSD bấm nút "Hoàn thành tư vấn", hệ thống hiển thị thông báo "Đã nộp tư vấn, đang chờ phê duyệt":
+ Chuyển trạng thái yêu cầu: Đang tư vấn → Hoàn thành tư vấn, ghi nhận thời điểm hoàn thành.
+ Tự động chuyển tiếp yêu cầu sang trạng thái "Chờ phê duyệt" và gửi thông báo tới cán bộ phê duyệt cùng đơn vị.
+ Lưu vết thao tác theo quy định.
</t>
  </si>
  <si>
    <t>Hệ thống không gửi thông báo tới cán bộ phê duyệt cùng đơn vị</t>
  </si>
  <si>
    <t xml:space="preserve"> QLNDTVVCG_27.webm</t>
  </si>
  <si>
    <t>QLNDTVVCG_36</t>
  </si>
  <si>
    <t>Xác nhận hủy Với trạng thái "Đang tư vấn"</t>
  </si>
  <si>
    <t>1. Đăng nhập hệ thống thành công
2. Với trạng thái "Đang tư vấn"</t>
  </si>
  <si>
    <t>1. Chọn menu "Tư vấn" =&gt; "Tư vấn chuyên sâu"
2. Bấm nút "Hủy yêu cầu"
3. Nhập lý do hợp lệ và xác nhận</t>
  </si>
  <si>
    <t>- Chuyển sang trạng thái chờ duyệt hủy; khi Cán bộ phê duyệt duyệt hủy, mới chuyển sang "Đã hủy".
- Hệ thống hiển thị thông báo "Đã gửi yêu cầu duyệt hủy".</t>
  </si>
  <si>
    <t xml:space="preserve">- Chuyển ngay sang "Đã hủy".
- Hệ thống hiển thị thông báo "Đã hủy yêu cầu" </t>
  </si>
  <si>
    <r>
      <rPr>
        <rFont val="Times New Roman"/>
        <color rgb="FF1155CC"/>
        <sz val="12.0"/>
        <u/>
      </rPr>
      <t>QLNDTVVCG_36.webm</t>
    </r>
  </si>
  <si>
    <t>QLNDTVVCG_40</t>
  </si>
  <si>
    <t>1. Chọn menu "Tư vấn" =&gt; "Tư vấn chuyên sâu"
2. Bấm nút "Xuất Excel"</t>
  </si>
  <si>
    <t>- Hệ thống xuất danh sách yêu cầu tư vấn theo điều kiện lọc hiện tại ra tệp Excel, bao gồm toàn bộ cột đang hiển thị cộng thêm cột "Nội dung tư vấn (đầy đủ)" và "Ngày hoàn thành" để phục vụ báo cáo.
- Có dữ liệu, hệ thống tải tệp về máy người dùng với tên dạng "TVCS-danh-sach-{YYYYMMDD-HHmm}.xlsx".</t>
  </si>
  <si>
    <t>- Tên tệp không giống với thiết kế
- Tệp excel thiếu các cột thông tin so với màn hình danh sách: Doanh nghiệp, Chuyên gia, Lĩnh vực</t>
  </si>
  <si>
    <r>
      <rPr>
        <rFont val="Times New Roman"/>
        <color rgb="FF1155CC"/>
        <sz val="12.0"/>
        <u/>
      </rPr>
      <t>QLNDTVVCG_41.jpg</t>
    </r>
  </si>
  <si>
    <t>TKNDTVVCG_03</t>
  </si>
  <si>
    <t>Tìm kiếm theo tên DN</t>
  </si>
  <si>
    <t>1. Đăng nhập hệ thống thành công
2. Tồn tại bản ghi phù hợp tiêu chí tìm kiếm</t>
  </si>
  <si>
    <t>1. Chọn menu "Tư vấn" =&gt; "Tư vấn chuyên sâu"
2. Nhập tên DN</t>
  </si>
  <si>
    <t>Hệ thống hiển thị "Không có nội dung tư vấn chuyên sâu nào."</t>
  </si>
  <si>
    <r>
      <rPr>
        <rFont val="Times New Roman"/>
        <color rgb="FF1155CC"/>
        <sz val="12.0"/>
        <u/>
      </rPr>
      <t>TKNDTVVCG_03.webm</t>
    </r>
  </si>
  <si>
    <t>QLHSPLDN_02</t>
  </si>
  <si>
    <t xml:space="preserve">Bảng danh sách hồ sơ pháp lý </t>
  </si>
  <si>
    <t>1. Chọn menu "Doanh nghiệp"
2. Nhấn "Xem chi tiết"
3. Chọn thẻ "Hồ sơ pháp lý doanh nghiệp"</t>
  </si>
  <si>
    <t>- Bảng danh sách thiếu các cột thông tin: Lĩnh vực pháp lý, Nguồn, Có tệp đính kèm
- Bảng danh sách trên hệ thống hiển thị trường thông tin Số/ký hiệu nhưng tài liệu SRS không có trường thông tin này</t>
  </si>
  <si>
    <r>
      <rPr>
        <rFont val="Times New Roman"/>
        <color rgb="FF1155CC"/>
        <sz val="12.0"/>
        <u/>
      </rPr>
      <t>QLHSPLDN_02.webm</t>
    </r>
  </si>
  <si>
    <t>QLHSPLDN_03</t>
  </si>
  <si>
    <t>Biểu mẫu thêm mới / chỉnh sửa hồ sơ pháp lý</t>
  </si>
  <si>
    <t>1. Chọn menu "Doanh nghiệp"
2. Nhấn "Xem chi tiết"
3. Chọn thẻ "Hồ sơ pháp lý doanh nghiệp"
4. Nhấn "+ Thêm mới hồ sơ pháp lý" hoặc "Chỉnh sửa"</t>
  </si>
  <si>
    <t>- Biểu mẫu thêm mới thiếu các trường thông tin: Lĩnh vực pháp lý, Mô tả, Tệp đính kèm
- Biểu mẫu thêm mới trên hệ thống hiển thị trường thông tin Số/ký hiệu nhưng tài liệu SRS không có trường thông tin này</t>
  </si>
  <si>
    <r>
      <rPr>
        <rFont val="Times New Roman"/>
        <color rgb="FF1155CC"/>
        <sz val="12.0"/>
        <u/>
      </rPr>
      <t>QLHSPLDN_03.webm</t>
    </r>
  </si>
  <si>
    <t>QLTLPLCVV_02</t>
  </si>
  <si>
    <t>Bảng danh sách tư liệu pháp lý</t>
  </si>
  <si>
    <t>1. Chọn menu "Tư vấn" =&gt; "Tư vấn chuyên sâu"
2. Nhấn "Xem chi tiết" tại bản ghi
3. Mở Nhóm 3 — Tư liệu pháp lý liên kết</t>
  </si>
  <si>
    <t>Thiếu cột thông tin Ngày tạo, Người tạo</t>
  </si>
  <si>
    <r>
      <rPr>
        <rFont val="Times New Roman"/>
        <color rgb="FF1155CC"/>
        <sz val="12.0"/>
        <u/>
      </rPr>
      <t>QLTLPLCVV_02.webm</t>
    </r>
  </si>
  <si>
    <t>QLTLPLCVV_03</t>
  </si>
  <si>
    <t>Kiểm tra điều kiện hiển thị nút chức năng Thêm mới</t>
  </si>
  <si>
    <t>Điều kiện hiển thị: yêu cầu tư vấn liên kết đang ở trạng thái "Tiếp nhận", "Đã phân công", "Đang tư vấn", "Hoàn thành tư vấn" hoặc "Chờ phê duyệt".</t>
  </si>
  <si>
    <t>Hệ thống hiển thị nút chức năng đối với cả các bản ghi có trạng thái "Đã duyệt" và "Hủy"</t>
  </si>
  <si>
    <r>
      <rPr>
        <rFont val="Times New Roman"/>
        <color rgb="FF1155CC"/>
        <sz val="12.0"/>
        <u/>
      </rPr>
      <t>QLTLPLCVV_03.webm</t>
    </r>
  </si>
  <si>
    <t>QLTLPLCVV_07</t>
  </si>
  <si>
    <t>Kiểm tra điều kiện hiển thị nút chức năng Sửa</t>
  </si>
  <si>
    <t>- Điều kiện hiển thị: tư liệu đang ở trạng thái "Nháp" (tư liệu đang công khai phải hủy công khai trước khi sửa).</t>
  </si>
  <si>
    <t>Tư liệu ở trạng thái Công khai vẫn hiển thị chức năng Sửa</t>
  </si>
  <si>
    <r>
      <rPr>
        <rFont val="Times New Roman"/>
        <color rgb="FF1155CC"/>
        <sz val="12.0"/>
        <u/>
      </rPr>
      <t>QLTLPLCVV_07.jpg</t>
    </r>
  </si>
  <si>
    <t>uc này và uc QLTLPLCVV_09 về mặt ý nghĩa giống nhau, chỉ cần fix 1 tr 2</t>
  </si>
  <si>
    <t>QLTLPLCVV_08</t>
  </si>
  <si>
    <t>1. Chọn menu "Tư vấn" =&gt; "Tư vấn chuyên sâu"
2. Nhấn "Xem chi tiết" tại bản ghi
3. Mở Nhóm 3 — Tư liệu pháp lý liên kết
4. Bấm "Sửa"
5. Nhập thông tin hợp lệ =&gt; "Lưu"</t>
  </si>
  <si>
    <t xml:space="preserve">- Hệ thống mở cửa sổ chỉnh sửa với dữ liệu hiện có.
- NSD cập nhật và bấm "Lưu", hệ thống cập nhật bản ghi và lưu vết thao tác.
</t>
  </si>
  <si>
    <t>- Hệ thống không hiển thị tệp đính kèm mặc dù tồn tại dữ liệu</t>
  </si>
  <si>
    <r>
      <rPr>
        <rFont val="Times New Roman"/>
        <color rgb="FF1155CC"/>
        <sz val="12.0"/>
        <u/>
      </rPr>
      <t>QLTLPLCVV_08.webm</t>
    </r>
  </si>
  <si>
    <t>QLTLPLCVV_09</t>
  </si>
  <si>
    <t xml:space="preserve">Sửa tư liệu đã chuyển sang "Công khai" </t>
  </si>
  <si>
    <t xml:space="preserve">1. Đăng nhập hệ thống thành công
2. Tư liệu đã chuyển sang "Công khai" </t>
  </si>
  <si>
    <t>- Hệ thống hiển thị thông báo "Tư liệu đang công khai, không thể chỉnh sửa. Vui lòng hủy công khai trước khi sửa".</t>
  </si>
  <si>
    <t>Hệ thống hiển thị thông báo "Tư liệu đã công khai, chỉ cho phép cập nhật: moTa, fileDinhKemIds"</t>
  </si>
  <si>
    <r>
      <rPr>
        <rFont val="Times New Roman"/>
        <color rgb="FF1155CC"/>
        <sz val="12.0"/>
        <u/>
      </rPr>
      <t>QLTLPLCVV_09.jpg</t>
    </r>
  </si>
  <si>
    <t>QLTLPLCVV_11</t>
  </si>
  <si>
    <t>Xóa tư liệu đang ở trạng thái "Công khai"</t>
  </si>
  <si>
    <t>1. Đăng nhập hệ thống thành công
2. Tư liệu đang ở trạng thái "Công khai"</t>
  </si>
  <si>
    <t>1. Chọn menu "Tư vấn" =&gt; "Tư vấn chuyên sâu"
2. Nhấn "Xem chi tiết" tại bản ghi
3. Mở Nhóm 3 — Tư liệu pháp lý liên kết
4. Nhấn "Xóa"</t>
  </si>
  <si>
    <t>Hệ thống yêu cầu cán bộ xác nhận thêm; khi xác nhận, hệ thống đặt cờ công khai về tắt; Cổng Pháp luật quốc gia tự ẩn tư liệu khỏi chuyên trang công khai ở lần kéo kế tiếp.</t>
  </si>
  <si>
    <t>Hệ thống disable nút chức năng Xóa</t>
  </si>
  <si>
    <r>
      <rPr>
        <rFont val="Times New Roman"/>
        <color rgb="FF1155CC"/>
        <sz val="12.0"/>
        <u/>
      </rPr>
      <t>QLTLPLCVV_11.jpg</t>
    </r>
  </si>
  <si>
    <t>QLTLPLCVV_15</t>
  </si>
  <si>
    <t>Tải lên tệp đính kèm chứa mã độc</t>
  </si>
  <si>
    <t>1. Chọn menu "Tư vấn" =&gt; "Tư vấn chuyên sâu"
2. Nhấn "Xem chi tiết" tại bản ghi
3. Mở Nhóm 3 — Tư liệu pháp lý liên kết
4. Nhấn nút "Tải tệp" trong cửa sổ chỉnh sửa hồ sơ</t>
  </si>
  <si>
    <t>Hệ thống hiển thị thông báo "Tệp «{tên_tệp}» chứa mã độc, không thể tải lên".</t>
  </si>
  <si>
    <t>Hệ thống hiển thị thông báo "Tải file thất bại"</t>
  </si>
  <si>
    <r>
      <rPr>
        <rFont val="Times New Roman"/>
        <color rgb="FF1155CC"/>
        <sz val="12.0"/>
        <u/>
      </rPr>
      <t>QLTLPLCVV_15.jpg</t>
    </r>
  </si>
  <si>
    <t>QLTLPLCVV_16</t>
  </si>
  <si>
    <t>Xóa tệp đính kèm thành công</t>
  </si>
  <si>
    <t>1. Chọn menu "Tư vấn" =&gt; "Tư vấn chuyên sâu"
2. Nhấn "Xem chi tiết" tại bản ghi
3. Mở Nhóm 3 — Tư liệu pháp lý liên kết
4. Nhấn nút xóa bên cạnh tệp trong danh sách đính kèm</t>
  </si>
  <si>
    <t xml:space="preserve">Hệ thống hỏi xác nhận và thực hiện xóa tệp khỏi tư liệu khi được xác nhận.
</t>
  </si>
  <si>
    <t>Hệ thống không hiển thị xác nhận xóa</t>
  </si>
  <si>
    <r>
      <rPr>
        <rFont val="Times New Roman"/>
        <color rgb="FF1155CC"/>
        <sz val="12.0"/>
        <u/>
      </rPr>
      <t>QLTLPLCVV_16.webm</t>
    </r>
  </si>
  <si>
    <t>Tên PM</t>
  </si>
  <si>
    <t>Tổng</t>
  </si>
  <si>
    <t>TGPL DN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</si>
</sst>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33">
    <font>
      <sz val="10.0"/>
      <color rgb="FF000000"/>
      <name val="Arial"/>
      <scheme val="minor"/>
    </font>
    <font>
      <b/>
      <sz val="12.0"/>
      <color theme="0"/>
      <name val="Times New Roman"/>
    </font>
    <font>
      <b/>
      <sz val="12.0"/>
      <color rgb="FFFFFFFF"/>
      <name val="Times New Roman"/>
    </font>
    <font>
      <sz val="12.0"/>
      <color theme="0"/>
      <name val="Times New Roman"/>
    </font>
    <font>
      <b/>
      <sz val="12.0"/>
      <color theme="1"/>
      <name val="Times New Roman"/>
    </font>
    <font>
      <sz val="12.0"/>
      <color theme="1"/>
      <name val="Times New Roman"/>
    </font>
    <font>
      <u/>
      <sz val="12.0"/>
      <color rgb="FF0000FF"/>
      <name val="Times New Roman"/>
    </font>
    <font>
      <sz val="12.0"/>
      <color rgb="FF000000"/>
      <name val="Times New Roman"/>
    </font>
    <font>
      <u/>
      <sz val="12.0"/>
      <color theme="1"/>
      <name val="Times New Roman"/>
    </font>
    <font>
      <u/>
      <sz val="12.0"/>
      <color theme="1"/>
      <name val="Times New Roman"/>
    </font>
    <font>
      <u/>
      <sz val="12.0"/>
      <color rgb="FF0000FF"/>
      <name val="Times New Roman"/>
    </font>
    <font>
      <sz val="11.0"/>
      <color rgb="FF000000"/>
      <name val="Calibri"/>
    </font>
    <font>
      <color theme="1"/>
      <name val="Arial"/>
    </font>
    <font>
      <sz val="12.0"/>
      <color rgb="FFD4EDBC"/>
      <name val="Times New Roman"/>
    </font>
    <font>
      <u/>
      <sz val="12.0"/>
      <color rgb="FF000000"/>
      <name val="Times New Roman"/>
    </font>
    <font>
      <u/>
      <sz val="12.0"/>
      <color rgb="FF000000"/>
      <name val="Times New Roman"/>
    </font>
    <font>
      <color theme="1"/>
      <name val="Arial"/>
      <scheme val="minor"/>
    </font>
    <font>
      <u/>
      <sz val="13.0"/>
      <color theme="1"/>
      <name val="Times New Roman"/>
    </font>
    <font>
      <u/>
      <sz val="13.0"/>
      <color rgb="FF0000FF"/>
      <name val="Times New Roman"/>
    </font>
    <font>
      <u/>
      <sz val="13.0"/>
      <color rgb="FF0000FF"/>
      <name val="Times New Roman"/>
    </font>
    <font>
      <u/>
      <sz val="13.0"/>
      <color rgb="FF4285F4"/>
      <name val="Times New Roman"/>
    </font>
    <font>
      <u/>
      <sz val="13.0"/>
      <color rgb="FF1155CC"/>
      <name val="Times New Roman"/>
    </font>
    <font>
      <u/>
      <sz val="12.0"/>
      <color rgb="FF0000FF"/>
      <name val="Times New Roman"/>
    </font>
    <font>
      <u/>
      <sz val="12.0"/>
      <color rgb="FF1155CC"/>
      <name val="Times New Roman"/>
    </font>
    <font>
      <u/>
      <sz val="13.0"/>
      <color rgb="FF1155CC"/>
      <name val="Times New Roman"/>
    </font>
    <font>
      <u/>
      <sz val="12.0"/>
      <color rgb="FF1155CC"/>
      <name val="Times New Roman"/>
    </font>
    <font>
      <u/>
      <sz val="12.0"/>
      <color rgb="FF1155CC"/>
      <name val="Times New Roman"/>
    </font>
    <font>
      <u/>
      <sz val="12.0"/>
      <color rgb="FF0000FF"/>
      <name val="Times New Roman"/>
    </font>
    <font>
      <u/>
      <sz val="12.0"/>
      <color theme="1"/>
      <name val="Times New Roman"/>
    </font>
    <font>
      <u/>
      <sz val="12.0"/>
      <color theme="1"/>
      <name val="Times New Roman"/>
    </font>
    <font/>
    <font>
      <b/>
      <sz val="14.0"/>
      <color theme="1"/>
      <name val="Times New Roman"/>
    </font>
    <font>
      <sz val="14.0"/>
      <color theme="1"/>
      <name val="Times New Roman"/>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B6D7A8"/>
        <bgColor rgb="FFB6D7A8"/>
      </patternFill>
    </fill>
    <fill>
      <patternFill patternType="solid">
        <fgColor rgb="FF9FC5E8"/>
        <bgColor rgb="FF9FC5E8"/>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2" numFmtId="0" xfId="0" applyAlignment="1" applyFont="1">
      <alignment horizontal="center" readingOrder="0" shrinkToFit="0" vertical="center" wrapText="1"/>
    </xf>
    <xf borderId="1" fillId="0" fontId="3" numFmtId="0" xfId="0" applyAlignment="1" applyBorder="1" applyFont="1">
      <alignment shrinkToFit="0" vertical="center" wrapText="1"/>
    </xf>
    <xf borderId="0" fillId="3" fontId="4" numFmtId="0" xfId="0" applyAlignment="1" applyFill="1" applyFon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1" fillId="3" fontId="5" numFmtId="0" xfId="0" applyAlignment="1" applyBorder="1" applyFont="1">
      <alignment shrinkToFit="0" vertical="center" wrapText="0"/>
    </xf>
    <xf borderId="1" fillId="3" fontId="6" numFmtId="0" xfId="0" applyAlignment="1" applyBorder="1" applyFont="1">
      <alignment shrinkToFit="0" vertical="center" wrapText="1"/>
    </xf>
    <xf borderId="1" fillId="3" fontId="5" numFmtId="0" xfId="0" applyAlignment="1" applyBorder="1" applyFont="1">
      <alignment shrinkToFit="0" vertical="center" wrapText="1"/>
    </xf>
    <xf borderId="1" fillId="3"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0" fillId="4" fontId="5" numFmtId="164" xfId="0" applyAlignment="1" applyFill="1" applyFont="1" applyNumberFormat="1">
      <alignment horizontal="center" shrinkToFit="0" vertical="center" wrapText="1"/>
    </xf>
    <xf borderId="1" fillId="4" fontId="5" numFmtId="164"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1" fillId="4" fontId="7" numFmtId="0" xfId="0" applyAlignment="1" applyBorder="1" applyFont="1">
      <alignment horizontal="left" shrinkToFit="0" vertical="center" wrapText="1"/>
    </xf>
    <xf borderId="1" fillId="4" fontId="8" numFmtId="0" xfId="0" applyAlignment="1" applyBorder="1" applyFont="1">
      <alignment shrinkToFit="0" vertical="center" wrapText="1"/>
    </xf>
    <xf borderId="0" fillId="3" fontId="5" numFmtId="164" xfId="0" applyAlignment="1" applyFont="1" applyNumberFormat="1">
      <alignment horizontal="center" shrinkToFit="0" vertical="center" wrapText="1"/>
    </xf>
    <xf borderId="1" fillId="3" fontId="5" numFmtId="164" xfId="0" applyAlignment="1" applyBorder="1" applyFont="1" applyNumberFormat="1">
      <alignment horizontal="center" shrinkToFit="0" vertical="center" wrapText="1"/>
    </xf>
    <xf borderId="1" fillId="3" fontId="7" numFmtId="0" xfId="0" applyAlignment="1" applyBorder="1" applyFont="1">
      <alignment horizontal="left" shrinkToFit="0" vertical="center" wrapText="1"/>
    </xf>
    <xf borderId="1" fillId="3" fontId="9" numFmtId="0" xfId="0" applyAlignment="1" applyBorder="1" applyFont="1">
      <alignment shrinkToFit="0" vertical="center" wrapText="1"/>
    </xf>
    <xf borderId="1" fillId="3" fontId="5" numFmtId="0" xfId="0" applyAlignment="1" applyBorder="1" applyFont="1">
      <alignment readingOrder="0" shrinkToFit="0" vertical="center" wrapText="1"/>
    </xf>
    <xf borderId="1" fillId="3" fontId="5"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1"/>
    </xf>
    <xf borderId="1" fillId="4" fontId="5" numFmtId="0" xfId="0" applyAlignment="1" applyBorder="1" applyFont="1">
      <alignment horizontal="center" readingOrder="0" shrinkToFit="0" vertical="center" wrapText="1"/>
    </xf>
    <xf borderId="0" fillId="3" fontId="5" numFmtId="0" xfId="0" applyAlignment="1" applyFont="1">
      <alignment horizontal="center" shrinkToFit="0" vertical="center" wrapText="1"/>
    </xf>
    <xf borderId="0" fillId="4" fontId="5" numFmtId="0" xfId="0" applyAlignment="1" applyFont="1">
      <alignment horizontal="center" shrinkToFit="0" vertical="center" wrapText="1"/>
    </xf>
    <xf borderId="1" fillId="3" fontId="5" numFmtId="0" xfId="0" applyAlignment="1" applyBorder="1" applyFont="1">
      <alignment horizontal="left" shrinkToFit="0" vertical="center" wrapText="1"/>
    </xf>
    <xf borderId="1" fillId="4" fontId="5" numFmtId="0" xfId="0" applyAlignment="1" applyBorder="1" applyFont="1">
      <alignment horizontal="left" shrinkToFit="0" vertical="center" wrapText="1"/>
    </xf>
    <xf borderId="1" fillId="4" fontId="10" numFmtId="0" xfId="0" applyAlignment="1" applyBorder="1" applyFont="1">
      <alignment shrinkToFit="0" vertical="center" wrapText="1"/>
    </xf>
    <xf borderId="0" fillId="4" fontId="4" numFmtId="0" xfId="0" applyAlignment="1" applyFont="1">
      <alignment horizontal="center" shrinkToFit="0" vertical="center" wrapText="1"/>
    </xf>
    <xf borderId="1" fillId="4" fontId="4"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4" fontId="11" numFmtId="0" xfId="0" applyAlignment="1" applyBorder="1" applyFont="1">
      <alignment horizontal="left" shrinkToFit="0" vertical="center" wrapText="0"/>
    </xf>
    <xf borderId="1" fillId="3" fontId="11" numFmtId="0" xfId="0" applyAlignment="1" applyBorder="1" applyFont="1">
      <alignment horizontal="left" shrinkToFit="0" vertical="center" wrapText="0"/>
    </xf>
    <xf borderId="1" fillId="4" fontId="5" numFmtId="165" xfId="0" applyAlignment="1" applyBorder="1" applyFont="1" applyNumberFormat="1">
      <alignment horizontal="center" shrinkToFit="0" vertical="center" wrapText="1"/>
    </xf>
    <xf borderId="1" fillId="3" fontId="5" numFmtId="165" xfId="0" applyAlignment="1" applyBorder="1" applyFont="1" applyNumberFormat="1">
      <alignment horizontal="center" shrinkToFit="0" vertical="center" wrapText="1"/>
    </xf>
    <xf borderId="1" fillId="3" fontId="12" numFmtId="0" xfId="0" applyAlignment="1" applyBorder="1" applyFont="1">
      <alignment vertical="center"/>
    </xf>
    <xf borderId="1" fillId="3" fontId="13" numFmtId="0" xfId="0" applyAlignment="1" applyBorder="1" applyFont="1">
      <alignment shrinkToFit="0" vertical="center" wrapText="1"/>
    </xf>
    <xf borderId="1" fillId="3" fontId="5" numFmtId="0" xfId="0" applyAlignment="1" applyBorder="1" applyFont="1">
      <alignment horizontal="right" shrinkToFit="0" vertical="center" wrapText="1"/>
    </xf>
    <xf borderId="1" fillId="4" fontId="14" numFmtId="0" xfId="0" applyAlignment="1" applyBorder="1" applyFont="1">
      <alignment readingOrder="0" shrinkToFit="0" vertical="center" wrapText="1"/>
    </xf>
    <xf borderId="1" fillId="4" fontId="5" numFmtId="0" xfId="0" applyAlignment="1" applyBorder="1" applyFont="1">
      <alignment horizontal="right" shrinkToFit="0" vertical="center" wrapText="1"/>
    </xf>
    <xf borderId="1" fillId="3" fontId="15" numFmtId="0" xfId="0" applyAlignment="1" applyBorder="1" applyFont="1">
      <alignment readingOrder="0" shrinkToFit="0" vertical="center" wrapText="1"/>
    </xf>
    <xf borderId="0" fillId="4" fontId="16" numFmtId="0" xfId="0" applyFont="1"/>
    <xf borderId="0" fillId="3" fontId="16" numFmtId="0" xfId="0" applyFont="1"/>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0" fillId="3" fontId="12" numFmtId="0" xfId="0" applyAlignment="1" applyFont="1">
      <alignment horizontal="left" vertical="center"/>
    </xf>
    <xf borderId="1" fillId="3" fontId="5" numFmtId="165" xfId="0" applyAlignment="1" applyBorder="1" applyFont="1" applyNumberFormat="1">
      <alignment horizontal="left" shrinkToFit="0" vertical="center" wrapText="1"/>
    </xf>
    <xf borderId="1" fillId="0" fontId="5" numFmtId="0" xfId="0" applyAlignment="1" applyBorder="1" applyFont="1">
      <alignment horizontal="left" shrinkToFit="0" vertical="center" wrapText="1"/>
    </xf>
    <xf borderId="1" fillId="3" fontId="5" numFmtId="0" xfId="0" applyAlignment="1" applyBorder="1" applyFont="1">
      <alignment horizontal="left" readingOrder="0" shrinkToFit="0" vertical="center" wrapText="1"/>
    </xf>
    <xf borderId="1" fillId="3" fontId="12" numFmtId="0" xfId="0" applyAlignment="1" applyBorder="1" applyFont="1">
      <alignment horizontal="left" vertical="center"/>
    </xf>
    <xf borderId="1" fillId="3" fontId="5"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0" fontId="17"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5" numFmtId="0" xfId="0" applyAlignment="1" applyBorder="1" applyFont="1">
      <alignment horizontal="center" readingOrder="0" shrinkToFit="0" vertical="center" wrapText="1"/>
    </xf>
    <xf borderId="0" fillId="0" fontId="16" numFmtId="0" xfId="0" applyAlignment="1" applyFont="1">
      <alignment horizontal="left" readingOrder="0" shrinkToFit="0" wrapText="1"/>
    </xf>
    <xf borderId="0" fillId="0" fontId="16" numFmtId="0" xfId="0" applyAlignment="1" applyFont="1">
      <alignment horizontal="left"/>
    </xf>
    <xf borderId="1" fillId="0" fontId="18" numFmtId="0" xfId="0" applyAlignment="1" applyBorder="1" applyFont="1">
      <alignment horizontal="left" readingOrder="0" shrinkToFit="0" vertical="center" wrapText="1"/>
    </xf>
    <xf borderId="0" fillId="5" fontId="12" numFmtId="0" xfId="0" applyAlignment="1" applyFill="1" applyFont="1">
      <alignment horizontal="left" vertical="center"/>
    </xf>
    <xf borderId="1" fillId="5" fontId="5" numFmtId="0" xfId="0" applyAlignment="1" applyBorder="1" applyFont="1">
      <alignment horizontal="left" shrinkToFit="0" vertical="center" wrapText="1"/>
    </xf>
    <xf borderId="1" fillId="5" fontId="5" numFmtId="0" xfId="0" applyAlignment="1" applyBorder="1" applyFont="1">
      <alignment horizontal="left" readingOrder="0" shrinkToFit="0" vertical="center" wrapText="1"/>
    </xf>
    <xf borderId="1" fillId="6" fontId="5" numFmtId="0" xfId="0" applyAlignment="1" applyBorder="1" applyFill="1" applyFont="1">
      <alignment horizontal="left" shrinkToFit="0" vertical="center" wrapText="1"/>
    </xf>
    <xf borderId="1" fillId="0" fontId="19" numFmtId="0" xfId="0" applyAlignment="1" applyBorder="1" applyFont="1">
      <alignment horizontal="left" shrinkToFit="0" vertical="center" wrapText="1"/>
    </xf>
    <xf borderId="0" fillId="0" fontId="16" numFmtId="0" xfId="0" applyAlignment="1" applyFont="1">
      <alignment horizontal="left" readingOrder="0"/>
    </xf>
    <xf borderId="1" fillId="0" fontId="20" numFmtId="0" xfId="0" applyAlignment="1" applyBorder="1" applyFont="1">
      <alignment horizontal="left" shrinkToFit="0" vertical="center" wrapText="1"/>
    </xf>
    <xf borderId="1" fillId="0" fontId="21" numFmtId="0" xfId="0" applyAlignment="1" applyBorder="1" applyFont="1">
      <alignment horizontal="left" shrinkToFit="0" vertical="center" wrapText="1"/>
    </xf>
    <xf borderId="0" fillId="0" fontId="12" numFmtId="0" xfId="0" applyAlignment="1" applyFont="1">
      <alignment horizontal="left" vertical="center"/>
    </xf>
    <xf borderId="1" fillId="0" fontId="12" numFmtId="0" xfId="0" applyAlignment="1" applyBorder="1" applyFont="1">
      <alignment horizontal="left" vertical="center"/>
    </xf>
    <xf borderId="1" fillId="0" fontId="22" numFmtId="0" xfId="0" applyAlignment="1" applyBorder="1" applyFont="1">
      <alignment horizontal="left" readingOrder="0" shrinkToFit="0" vertical="center" wrapText="1"/>
    </xf>
    <xf borderId="0" fillId="0" fontId="12" numFmtId="0" xfId="0" applyAlignment="1" applyFont="1">
      <alignment horizontal="center" vertical="center"/>
    </xf>
    <xf borderId="1" fillId="0" fontId="23" numFmtId="0" xfId="0" applyAlignment="1" applyBorder="1" applyFont="1">
      <alignment horizontal="left" shrinkToFit="0" vertical="center" wrapText="1"/>
    </xf>
    <xf borderId="1" fillId="3" fontId="5" numFmtId="0" xfId="0" applyAlignment="1" applyBorder="1" applyFont="1">
      <alignment horizontal="center" shrinkToFit="0" vertical="center" wrapText="1"/>
    </xf>
    <xf borderId="1" fillId="3" fontId="12" numFmtId="0" xfId="0" applyAlignment="1" applyBorder="1" applyFont="1">
      <alignment horizontal="center" vertical="center"/>
    </xf>
    <xf borderId="0" fillId="3" fontId="5" numFmtId="165" xfId="0" applyAlignment="1" applyFont="1" applyNumberFormat="1">
      <alignment horizontal="left"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3" fontId="12" numFmtId="0" xfId="0" applyAlignment="1" applyFont="1">
      <alignment horizontal="center" vertical="center"/>
    </xf>
    <xf borderId="0" fillId="0" fontId="5" numFmtId="0" xfId="0" applyAlignment="1" applyFont="1">
      <alignment horizontal="center" readingOrder="0" shrinkToFit="0" vertical="center" wrapText="1"/>
    </xf>
    <xf borderId="0" fillId="5" fontId="12" numFmtId="0" xfId="0" applyAlignment="1" applyFont="1">
      <alignment horizontal="left" shrinkToFit="0" vertical="center" wrapText="1"/>
    </xf>
    <xf borderId="1" fillId="5" fontId="5" numFmtId="165" xfId="0" applyAlignment="1" applyBorder="1" applyFont="1" applyNumberFormat="1">
      <alignment horizontal="left" shrinkToFit="0" vertical="center" wrapText="1"/>
    </xf>
    <xf borderId="1" fillId="0" fontId="5" numFmtId="0" xfId="0" applyAlignment="1" applyBorder="1" applyFont="1">
      <alignment horizontal="left" shrinkToFit="0" vertical="center" wrapText="1"/>
    </xf>
    <xf borderId="1" fillId="5" fontId="5" numFmtId="0" xfId="0" applyAlignment="1" applyBorder="1" applyFont="1">
      <alignment horizontal="left" shrinkToFit="0" vertical="center" wrapText="1"/>
    </xf>
    <xf borderId="1" fillId="6" fontId="5"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shrinkToFit="0" vertical="center" wrapText="1"/>
    </xf>
    <xf borderId="0" fillId="2" fontId="1" numFmtId="0" xfId="0" applyAlignment="1" applyFont="1">
      <alignment horizontal="center" readingOrder="0" shrinkToFit="0" vertical="center" wrapText="1"/>
    </xf>
    <xf borderId="1" fillId="3" fontId="12" numFmtId="0" xfId="0" applyAlignment="1" applyBorder="1" applyFont="1">
      <alignment shrinkToFit="0" vertical="center" wrapText="1"/>
    </xf>
    <xf borderId="1" fillId="3" fontId="5" numFmtId="0" xfId="0" applyAlignment="1" applyBorder="1" applyFont="1">
      <alignment shrinkToFit="0" vertical="center" wrapText="1"/>
    </xf>
    <xf borderId="1" fillId="0" fontId="5" numFmtId="0" xfId="0" applyAlignment="1" applyBorder="1" applyFont="1">
      <alignment shrinkToFit="0" vertical="center" wrapText="1"/>
    </xf>
    <xf borderId="1" fillId="0" fontId="25" numFmtId="0" xfId="0" applyAlignment="1" applyBorder="1" applyFont="1">
      <alignment shrinkToFit="0" vertical="center" wrapText="1"/>
    </xf>
    <xf borderId="1" fillId="0" fontId="26" numFmtId="0" xfId="0" applyAlignment="1" applyBorder="1" applyFont="1">
      <alignment shrinkToFit="0" vertical="center" wrapText="1"/>
    </xf>
    <xf borderId="1" fillId="0" fontId="27" numFmtId="0" xfId="0" applyAlignment="1" applyBorder="1" applyFont="1">
      <alignment shrinkToFit="0" vertical="center" wrapText="1"/>
    </xf>
    <xf borderId="1" fillId="5" fontId="5" numFmtId="165" xfId="0" applyAlignment="1" applyBorder="1" applyFont="1" applyNumberFormat="1">
      <alignment horizontal="center" shrinkToFit="0" vertical="center" wrapText="1"/>
    </xf>
    <xf borderId="1" fillId="5" fontId="5" numFmtId="0" xfId="0" applyAlignment="1" applyBorder="1" applyFont="1">
      <alignment readingOrder="0" shrinkToFit="0" vertical="center" wrapText="1"/>
    </xf>
    <xf borderId="1" fillId="5" fontId="5" numFmtId="0" xfId="0" applyAlignment="1" applyBorder="1" applyFont="1">
      <alignment shrinkToFit="0" vertical="center" wrapText="1"/>
    </xf>
    <xf borderId="1" fillId="6" fontId="5" numFmtId="0" xfId="0" applyAlignment="1" applyBorder="1" applyFont="1">
      <alignment shrinkToFit="0" vertical="center" wrapText="1"/>
    </xf>
    <xf borderId="1" fillId="0" fontId="28" numFmtId="0" xfId="0" applyAlignment="1" applyBorder="1" applyFont="1">
      <alignment shrinkToFit="0" vertical="center" wrapText="1"/>
    </xf>
    <xf borderId="1" fillId="3" fontId="5" numFmtId="0" xfId="0" applyAlignment="1" applyBorder="1" applyFont="1">
      <alignment shrinkToFit="0" vertical="center" wrapText="1"/>
    </xf>
    <xf borderId="1" fillId="0" fontId="5" numFmtId="0" xfId="0" applyAlignment="1" applyBorder="1" applyFont="1">
      <alignment shrinkToFit="0" vertical="center" wrapText="1"/>
    </xf>
    <xf borderId="1" fillId="0" fontId="12" numFmtId="0" xfId="0" applyAlignment="1" applyBorder="1" applyFont="1">
      <alignment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0" fillId="0" fontId="12" numFmtId="0" xfId="0" applyAlignment="1" applyFont="1">
      <alignment horizontal="left" shrinkToFit="0" vertical="center" wrapText="1"/>
    </xf>
    <xf borderId="0" fillId="0" fontId="12" numFmtId="0" xfId="0" applyAlignment="1" applyFont="1">
      <alignment shrinkToFit="0" vertical="center" wrapText="1"/>
    </xf>
    <xf borderId="1" fillId="6" fontId="5" numFmtId="0" xfId="0" applyAlignment="1" applyBorder="1" applyFont="1">
      <alignment shrinkToFit="0" vertical="center" wrapText="1"/>
    </xf>
    <xf borderId="1" fillId="0" fontId="29" numFmtId="0" xfId="0" applyAlignment="1" applyBorder="1" applyFont="1">
      <alignment shrinkToFit="0" vertical="center" wrapText="1"/>
    </xf>
    <xf borderId="2" fillId="0" fontId="12" numFmtId="0" xfId="0" applyBorder="1" applyFont="1"/>
    <xf borderId="3" fillId="0" fontId="30" numFmtId="0" xfId="0" applyBorder="1" applyFont="1"/>
    <xf borderId="2" fillId="5" fontId="31" numFmtId="0" xfId="0" applyAlignment="1" applyBorder="1" applyFont="1">
      <alignment horizontal="center" shrinkToFit="0" wrapText="1"/>
    </xf>
    <xf borderId="4" fillId="0" fontId="30" numFmtId="0" xfId="0" applyBorder="1" applyFont="1"/>
    <xf borderId="1" fillId="0" fontId="31" numFmtId="0" xfId="0" applyAlignment="1" applyBorder="1" applyFont="1">
      <alignment horizontal="center" shrinkToFit="0" wrapText="1"/>
    </xf>
    <xf borderId="1" fillId="5" fontId="31" numFmtId="0" xfId="0" applyAlignment="1" applyBorder="1" applyFont="1">
      <alignment horizontal="center" shrinkToFit="0" wrapText="1"/>
    </xf>
    <xf borderId="1" fillId="7" fontId="31" numFmtId="164" xfId="0" applyAlignment="1" applyBorder="1" applyFill="1" applyFont="1" applyNumberFormat="1">
      <alignment horizontal="center" shrinkToFit="0" wrapText="1"/>
    </xf>
    <xf borderId="1" fillId="0" fontId="31" numFmtId="164" xfId="0" applyAlignment="1" applyBorder="1" applyFont="1" applyNumberFormat="1">
      <alignment horizontal="center" shrinkToFit="0" wrapText="1"/>
    </xf>
    <xf borderId="1" fillId="0" fontId="31" numFmtId="0" xfId="0" applyAlignment="1" applyBorder="1" applyFont="1">
      <alignment shrinkToFit="0" wrapText="1"/>
    </xf>
    <xf borderId="1" fillId="0" fontId="32" numFmtId="0" xfId="0" applyAlignment="1" applyBorder="1" applyFont="1">
      <alignment horizontal="center" shrinkToFit="0" wrapText="1"/>
    </xf>
    <xf borderId="1" fillId="0" fontId="12" numFmtId="0" xfId="0" applyBorder="1"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UAT_TGPL Doanh Nghiệp-tuần 2-style">
      <tableStyleElement dxfId="1" type="headerRow"/>
      <tableStyleElement dxfId="2" type="firstRowStripe"/>
      <tableStyleElement dxfId="3" type="secondRowStripe"/>
    </tableStyle>
    <tableStyle count="2" pivot="0" name="UAT_TGPL Doanh Nghiệp-tuần 2-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X1"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UAT_TGPL Doanh Nghiệp-tuần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P2:Q2" displayName="Table_2" name="Table_2" id="2">
  <tableColumns count="2">
    <tableColumn name="Column1" id="1"/>
    <tableColumn name="Column2" id="2"/>
  </tableColumns>
  <tableStyleInfo name="UAT_TGPL Doanh Nghiệp-tuần 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KuQFDQ4UV0KLnkeOcJHxuB1gm3_VsY8m&amp;usp=drive_copy" TargetMode="External"/><Relationship Id="rId190" Type="http://schemas.openxmlformats.org/officeDocument/2006/relationships/hyperlink" Target="https://drive.google.com/open?id=1y_Rp3xlPi5qDWaYW_b9sY1eJQvKL_429&amp;usp=drive_copy" TargetMode="External"/><Relationship Id="rId42" Type="http://schemas.openxmlformats.org/officeDocument/2006/relationships/hyperlink" Target="https://drive.google.com/open?id=1QSrHT9iLktF6lRXseQFjrTV9Mm2VutZj&amp;usp=drive_copy" TargetMode="External"/><Relationship Id="rId41" Type="http://schemas.openxmlformats.org/officeDocument/2006/relationships/hyperlink" Target="https://drive.google.com/open?id=15Us4XpwhnPUBgBvj_S6MM8fk6zegnG53&amp;usp=drive_copy" TargetMode="External"/><Relationship Id="rId44" Type="http://schemas.openxmlformats.org/officeDocument/2006/relationships/hyperlink" Target="https://drive.google.com/open?id=1jtTQkWU78fFcJ1whG1WetOiZvrbTrLzJ&amp;usp=drive_copy" TargetMode="External"/><Relationship Id="rId194" Type="http://schemas.openxmlformats.org/officeDocument/2006/relationships/hyperlink" Target="https://drive.google.com/open?id=1DqfEeNdtX-D4G5NY61c1gUiIsRLuWAgZ&amp;usp=drive_copy" TargetMode="External"/><Relationship Id="rId43" Type="http://schemas.openxmlformats.org/officeDocument/2006/relationships/hyperlink" Target="https://drive.google.com/open?id=1rxZUCRKEKHbE3fEzXwNgP9sQ3pASSSpQ&amp;usp=drive_copy" TargetMode="External"/><Relationship Id="rId193" Type="http://schemas.openxmlformats.org/officeDocument/2006/relationships/hyperlink" Target="https://drive.google.com/open?id=1JQeakWFPvubncc42zNA2OxzHUObqZtMc&amp;usp=drive_copy" TargetMode="External"/><Relationship Id="rId46" Type="http://schemas.openxmlformats.org/officeDocument/2006/relationships/hyperlink" Target="https://drive.google.com/open?id=1uXhWPWD9Wy-BwFBv67xX5ICXRdMBWwoI&amp;usp=drive_copy" TargetMode="External"/><Relationship Id="rId192" Type="http://schemas.openxmlformats.org/officeDocument/2006/relationships/hyperlink" Target="https://drive.google.com/open?id=1nzZLIxVuzrNGtHz6IjYyz2tizMbueDxt&amp;usp=drive_copy" TargetMode="External"/><Relationship Id="rId45" Type="http://schemas.openxmlformats.org/officeDocument/2006/relationships/hyperlink" Target="https://drive.google.com/open?id=1usOyiXKNNTCPx1ddeQzVMY28_3jCDtlp&amp;usp=drive_copy" TargetMode="External"/><Relationship Id="rId191" Type="http://schemas.openxmlformats.org/officeDocument/2006/relationships/hyperlink" Target="https://drive.google.com/open?id=1lD7J507WneErUPPYIR6hupMh6E1FNw4V&amp;usp=drive_copy" TargetMode="External"/><Relationship Id="rId48" Type="http://schemas.openxmlformats.org/officeDocument/2006/relationships/hyperlink" Target="https://drive.google.com/open?id=1-pjOZe9zJnH52a1ipb0iCv1cEmFZGrvq&amp;usp=drive_copy" TargetMode="External"/><Relationship Id="rId187" Type="http://schemas.openxmlformats.org/officeDocument/2006/relationships/hyperlink" Target="https://drive.google.com/open?id=19Yz1IokHAUXQnf7nNqiAeldHwBy_6Snd&amp;usp=drive_copy" TargetMode="External"/><Relationship Id="rId47" Type="http://schemas.openxmlformats.org/officeDocument/2006/relationships/hyperlink" Target="https://drive.google.com/open?id=1A3JpWCifojalKYJqkxyb3lMrr_I_tHG2&amp;usp=drive_copy" TargetMode="External"/><Relationship Id="rId186" Type="http://schemas.openxmlformats.org/officeDocument/2006/relationships/hyperlink" Target="https://drive.google.com/open?id=1xBpIPXWQiALOjT2j6iNdf5gXnB03TSte&amp;usp=drive_copy" TargetMode="External"/><Relationship Id="rId185" Type="http://schemas.openxmlformats.org/officeDocument/2006/relationships/hyperlink" Target="https://drive.google.com/open?id=1qfbwRv72Lh9fln2C6TSN7ALIQcQaXbXh&amp;usp=drive_copy" TargetMode="External"/><Relationship Id="rId49" Type="http://schemas.openxmlformats.org/officeDocument/2006/relationships/hyperlink" Target="https://drive.google.com/open?id=1-vh6BULEH9bb8aTXAHB4HUqjH7s7ntFT&amp;usp=drive_copy" TargetMode="External"/><Relationship Id="rId184" Type="http://schemas.openxmlformats.org/officeDocument/2006/relationships/hyperlink" Target="https://drive.google.com/open?id=1Ku33Z7YU6JZEU1fO3S6-kcjwmIAsWz_z&amp;usp=drive_copy" TargetMode="External"/><Relationship Id="rId189" Type="http://schemas.openxmlformats.org/officeDocument/2006/relationships/hyperlink" Target="https://drive.google.com/open?id=1jkeAXNIhR-M3R9yvaqc1BJ94C0INwOdD&amp;usp=drive_copy" TargetMode="External"/><Relationship Id="rId188" Type="http://schemas.openxmlformats.org/officeDocument/2006/relationships/hyperlink" Target="https://drive.google.com/open?id=1ofuk6ZqKLeWiF4y6tK0MYxVs2ixfWKqB&amp;usp=drive_copy" TargetMode="External"/><Relationship Id="rId31" Type="http://schemas.openxmlformats.org/officeDocument/2006/relationships/hyperlink" Target="https://drive.google.com/file/d/1UVh--zb2A4deiXc13SEJXH7cmFX_hfqu/view?usp=drive_link" TargetMode="External"/><Relationship Id="rId30" Type="http://schemas.openxmlformats.org/officeDocument/2006/relationships/hyperlink" Target="https://drive.google.com/file/d/1r1iloIumKnQ7oi4FhB8FQ4EtqLKJGGYL/view?usp=drive_link" TargetMode="External"/><Relationship Id="rId33" Type="http://schemas.openxmlformats.org/officeDocument/2006/relationships/hyperlink" Target="https://drive.google.com/file/d/1riNYan8JX9IHpKQHUDReymqEPROz3mVc/view?usp=drive_link" TargetMode="External"/><Relationship Id="rId183" Type="http://schemas.openxmlformats.org/officeDocument/2006/relationships/hyperlink" Target="https://drive.google.com/open?id=1Nk-ofxZqH94oeOK65rDWmVsTBmqfEEbY&amp;usp=drive_copy" TargetMode="External"/><Relationship Id="rId32" Type="http://schemas.openxmlformats.org/officeDocument/2006/relationships/hyperlink" Target="https://drive.google.com/file/d/1riNYan8JX9IHpKQHUDReymqEPROz3mVc/view?usp=drive_link" TargetMode="External"/><Relationship Id="rId182" Type="http://schemas.openxmlformats.org/officeDocument/2006/relationships/hyperlink" Target="https://drive.google.com/open?id=1ggepdB6tFjF2lva-4V8WMPv_E5Urq1S3&amp;usp=drive_copy" TargetMode="External"/><Relationship Id="rId35" Type="http://schemas.openxmlformats.org/officeDocument/2006/relationships/hyperlink" Target="https://drive.google.com/file/d/1WB04EJu1UkFRQnzcwBhLUOWwyLCHse7a/view?usp=drive_link" TargetMode="External"/><Relationship Id="rId181" Type="http://schemas.openxmlformats.org/officeDocument/2006/relationships/hyperlink" Target="https://drive.google.com/open?id=1xwIUjxtKYd7viM2BOZ-Z0LMTFjw5CNR3&amp;usp=drive_copy" TargetMode="External"/><Relationship Id="rId34" Type="http://schemas.openxmlformats.org/officeDocument/2006/relationships/hyperlink" Target="https://drive.google.com/file/d/1RdxBxEqiE2qioMF-ybmyztyzP1FQ8_jX/view?usp=drive_link" TargetMode="External"/><Relationship Id="rId180" Type="http://schemas.openxmlformats.org/officeDocument/2006/relationships/hyperlink" Target="https://drive.google.com/open?id=1bwtX9yK7HskIQ3fF7QowSS-QBcV2P_F6&amp;usp=drive_copy" TargetMode="External"/><Relationship Id="rId37" Type="http://schemas.openxmlformats.org/officeDocument/2006/relationships/hyperlink" Target="https://drive.google.com/open?id=1lbUUJZwgyhM-nceuAMFsw_AbAU9ANFcv&amp;usp=drive_copy" TargetMode="External"/><Relationship Id="rId176" Type="http://schemas.openxmlformats.org/officeDocument/2006/relationships/hyperlink" Target="https://drive.google.com/open?id=1PxFlr5JLgxl6ytiX_QT16JGDfmpmrsrN&amp;usp=drive_copy" TargetMode="External"/><Relationship Id="rId36" Type="http://schemas.openxmlformats.org/officeDocument/2006/relationships/hyperlink" Target="https://drive.google.com/file/d/1RVjaGnXJlJk3ktdXfy-HnWMQ3x3Gu9-z/view?usp=drive_link" TargetMode="External"/><Relationship Id="rId175" Type="http://schemas.openxmlformats.org/officeDocument/2006/relationships/hyperlink" Target="https://drive.google.com/open?id=1AmZDlgoKKgUNkUZhKZuAL6waENooLdH6&amp;usp=drive_copy" TargetMode="External"/><Relationship Id="rId39" Type="http://schemas.openxmlformats.org/officeDocument/2006/relationships/hyperlink" Target="https://drive.google.com/open?id=1VxNxJdqZ66ZCzGqj19MW3wAwG4wyw54j&amp;usp=drive_copy" TargetMode="External"/><Relationship Id="rId174" Type="http://schemas.openxmlformats.org/officeDocument/2006/relationships/hyperlink" Target="https://drive.google.com/open?id=1lKZnhPG1stNCPP0ir_YD07tiw93O8J4F&amp;usp=drive_copy" TargetMode="External"/><Relationship Id="rId38" Type="http://schemas.openxmlformats.org/officeDocument/2006/relationships/hyperlink" Target="https://drive.google.com/open?id=1r4ub3g7tTKEHY8B8d5_050UrzC2J5sD0&amp;usp=drive_copy" TargetMode="External"/><Relationship Id="rId173" Type="http://schemas.openxmlformats.org/officeDocument/2006/relationships/hyperlink" Target="https://drive.google.com/open?id=1n1l3YxjaPFIPUl5biVRybrQK9XuxnXPT&amp;usp=drive_copy" TargetMode="External"/><Relationship Id="rId179" Type="http://schemas.openxmlformats.org/officeDocument/2006/relationships/hyperlink" Target="https://drive.google.com/open?id=1MOUf7Qi_gZqctSOjnpmkMs6zgevhkiMB&amp;usp=drive_copy" TargetMode="External"/><Relationship Id="rId178" Type="http://schemas.openxmlformats.org/officeDocument/2006/relationships/hyperlink" Target="https://drive.google.com/open?id=1Mp3U4dKCTXSLl61sQ_QFEyHx9WjsxKXK&amp;usp=drive_copy" TargetMode="External"/><Relationship Id="rId177" Type="http://schemas.openxmlformats.org/officeDocument/2006/relationships/hyperlink" Target="https://drive.google.com/open?id=1Q7MQil5qlJPpMZmQoKJKa20puAeG4Fcx&amp;usp=drive_copy" TargetMode="External"/><Relationship Id="rId20" Type="http://schemas.openxmlformats.org/officeDocument/2006/relationships/hyperlink" Target="https://drive.google.com/file/d/1FTxsYqGAQ8s252TQVXr3ve4cAcjBuo2a/view?usp=drive_link" TargetMode="External"/><Relationship Id="rId22" Type="http://schemas.openxmlformats.org/officeDocument/2006/relationships/hyperlink" Target="https://drive.google.com/file/d/1iDTWBtpd8Vd9FMUIg194vPg3ituC-AAH/view?usp=drive_link" TargetMode="External"/><Relationship Id="rId21" Type="http://schemas.openxmlformats.org/officeDocument/2006/relationships/hyperlink" Target="https://drive.google.com/file/d/1A6Z010Mh0KCPaaD17VH5d1B19we0eiec/view?usp=drive_link" TargetMode="External"/><Relationship Id="rId24" Type="http://schemas.openxmlformats.org/officeDocument/2006/relationships/hyperlink" Target="https://drive.google.com/file/d/1GHWE7frRaeykl3pPYp0jOQ88ixjqgtXP/view?usp=drive_link" TargetMode="External"/><Relationship Id="rId23" Type="http://schemas.openxmlformats.org/officeDocument/2006/relationships/hyperlink" Target="https://drive.google.com/file/d/1DZV6EkR0rvFSY7OSj4rJxiApDCtwXH6u/view?usp=drive_link" TargetMode="External"/><Relationship Id="rId26" Type="http://schemas.openxmlformats.org/officeDocument/2006/relationships/hyperlink" Target="https://drive.google.com/file/d/1h36vyd3TBSBLEIeMU0JsTblzIZPCkOAM/view?usp=drive_link" TargetMode="External"/><Relationship Id="rId25" Type="http://schemas.openxmlformats.org/officeDocument/2006/relationships/hyperlink" Target="https://drive.google.com/file/d/1aBbx4_LhhBeZAd88F8C6JFNswVHLgMp_/view?usp=drive_link" TargetMode="External"/><Relationship Id="rId28" Type="http://schemas.openxmlformats.org/officeDocument/2006/relationships/hyperlink" Target="https://drive.google.com/file/d/1aHTfXEpDZSP9z76lqbjT6SdL01sM-IvO/view?usp=drive_link" TargetMode="External"/><Relationship Id="rId27" Type="http://schemas.openxmlformats.org/officeDocument/2006/relationships/hyperlink" Target="https://drive.google.com/file/d/1p696YEgRSBfY00ubqUOGItM6xhXfSt13/view?usp=drive_link" TargetMode="External"/><Relationship Id="rId29" Type="http://schemas.openxmlformats.org/officeDocument/2006/relationships/hyperlink" Target="https://drive.google.com/file/d/1UFrEMFd8z0B6zR0_2x91qBM_WNKeN8Hv/view?usp=drive_link" TargetMode="External"/><Relationship Id="rId11" Type="http://schemas.openxmlformats.org/officeDocument/2006/relationships/hyperlink" Target="https://drive.google.com/file/d/1XdRE6bLPr3QLRum0ylwks7h35xMlx5-d/view?usp=drive_link" TargetMode="External"/><Relationship Id="rId10" Type="http://schemas.openxmlformats.org/officeDocument/2006/relationships/hyperlink" Target="https://drive.google.com/file/d/1H_boEiIzGqvOTvUaNhUSjM9lx9ajfl6I/view?usp=drive_link" TargetMode="External"/><Relationship Id="rId13" Type="http://schemas.openxmlformats.org/officeDocument/2006/relationships/hyperlink" Target="https://drive.google.com/file/d/13HLbvRwEBnU1zGLcslmNWJaJbPS3LMBx/view?usp=drive_link" TargetMode="External"/><Relationship Id="rId12" Type="http://schemas.openxmlformats.org/officeDocument/2006/relationships/hyperlink" Target="https://drive.google.com/file/d/13HLbvRwEBnU1zGLcslmNWJaJbPS3LMBx/view?usp=drive_link" TargetMode="External"/><Relationship Id="rId15" Type="http://schemas.openxmlformats.org/officeDocument/2006/relationships/hyperlink" Target="https://drive.google.com/file/d/1z9eH-iZeU5R3p1Xf27Dpihrl2_Y_3HMy/view?usp=drive_link" TargetMode="External"/><Relationship Id="rId198" Type="http://schemas.openxmlformats.org/officeDocument/2006/relationships/hyperlink" Target="https://drive.google.com/open?id=19oDxprQ2SjAPesG991Bp01-TUywFMVe0&amp;usp=drive_copy" TargetMode="External"/><Relationship Id="rId14" Type="http://schemas.openxmlformats.org/officeDocument/2006/relationships/hyperlink" Target="https://drive.google.com/file/d/13HLbvRwEBnU1zGLcslmNWJaJbPS3LMBx/view?usp=drive_link" TargetMode="External"/><Relationship Id="rId197" Type="http://schemas.openxmlformats.org/officeDocument/2006/relationships/hyperlink" Target="https://drive.google.com/open?id=1W44LdBQygq_faqtHFVPlmHs96SKBMIEl&amp;usp=drive_copy" TargetMode="External"/><Relationship Id="rId17" Type="http://schemas.openxmlformats.org/officeDocument/2006/relationships/hyperlink" Target="https://drive.google.com/file/d/1fblKhfVqwhzsmSw0JazomIvB4dRtfbsq/view?usp=drive_link" TargetMode="External"/><Relationship Id="rId196" Type="http://schemas.openxmlformats.org/officeDocument/2006/relationships/hyperlink" Target="https://drive.google.com/open?id=1WNUi-p8dzUhh7Ot1SbMyifQ0mrY3rMXV&amp;usp=drive_copy" TargetMode="External"/><Relationship Id="rId16" Type="http://schemas.openxmlformats.org/officeDocument/2006/relationships/hyperlink" Target="https://drive.google.com/file/d/1z9eH-iZeU5R3p1Xf27Dpihrl2_Y_3HMy/view?usp=drive_link" TargetMode="External"/><Relationship Id="rId195" Type="http://schemas.openxmlformats.org/officeDocument/2006/relationships/hyperlink" Target="https://drive.google.com/open?id=1l1ZhmFg_6oF5qfC1K3e14GBflch5hvOM&amp;usp=drive_copy" TargetMode="External"/><Relationship Id="rId19" Type="http://schemas.openxmlformats.org/officeDocument/2006/relationships/hyperlink" Target="https://drive.google.com/file/d/13wgG-KkTvelc2Q4fXjMRxU-vosFB1hv0/view?usp=drive_link" TargetMode="External"/><Relationship Id="rId18" Type="http://schemas.openxmlformats.org/officeDocument/2006/relationships/hyperlink" Target="https://drive.google.com/file/d/1yYHKV9SNRP-3e3dcssfWw6L4DRnhYGjl/view?usp=drive_link" TargetMode="External"/><Relationship Id="rId199" Type="http://schemas.openxmlformats.org/officeDocument/2006/relationships/drawing" Target="../drawings/drawing1.xml"/><Relationship Id="rId84" Type="http://schemas.openxmlformats.org/officeDocument/2006/relationships/hyperlink" Target="https://drive.google.com/open?id=1Cvv3Dn91sRcEjqqvXPf4BhHOkJRsRiP8&amp;usp=drive_copy" TargetMode="External"/><Relationship Id="rId83" Type="http://schemas.openxmlformats.org/officeDocument/2006/relationships/hyperlink" Target="https://drive.google.com/open?id=1ICx5BuB-VpUB-WnGaHjHH3mvK_lqfJBw&amp;usp=drive_copy" TargetMode="External"/><Relationship Id="rId86" Type="http://schemas.openxmlformats.org/officeDocument/2006/relationships/hyperlink" Target="https://drive.google.com/open?id=16GrUCh35bOZ3MBC3QuYpwYZaPjO_-LrW&amp;usp=drive_copy" TargetMode="External"/><Relationship Id="rId85" Type="http://schemas.openxmlformats.org/officeDocument/2006/relationships/hyperlink" Target="https://drive.google.com/open?id=1q4YB0S0hIYpCswc8l05t-B9jJcxoP0En&amp;usp=drive_copy" TargetMode="External"/><Relationship Id="rId88" Type="http://schemas.openxmlformats.org/officeDocument/2006/relationships/hyperlink" Target="https://drive.google.com/open?id=12cyp3a4RG4mE4M8ON58WaffTIc9btfhl&amp;usp=drive_copy" TargetMode="External"/><Relationship Id="rId150" Type="http://schemas.openxmlformats.org/officeDocument/2006/relationships/hyperlink" Target="https://drive.google.com/open?id=1dEOqE1QgsXcK_oaUGqSCPXIIRDrBs5xl&amp;usp=drive_copy" TargetMode="External"/><Relationship Id="rId87" Type="http://schemas.openxmlformats.org/officeDocument/2006/relationships/hyperlink" Target="https://drive.google.com/open?id=12OL9FEQOEAnV-9LhMCuc4pbTfWpMLFXl&amp;usp=drive_copy" TargetMode="External"/><Relationship Id="rId89" Type="http://schemas.openxmlformats.org/officeDocument/2006/relationships/hyperlink" Target="https://drive.google.com/open?id=1SmOSQVoUpsH7gkI3YX36dckyTrB-Vv1o&amp;usp=drive_copy" TargetMode="External"/><Relationship Id="rId80" Type="http://schemas.openxmlformats.org/officeDocument/2006/relationships/hyperlink" Target="https://drive.google.com/open?id=1rlvcNd_eb-Es4Tp2t8zHoJnXEqWAtO3J&amp;usp=drive_copy" TargetMode="External"/><Relationship Id="rId82" Type="http://schemas.openxmlformats.org/officeDocument/2006/relationships/hyperlink" Target="https://drive.google.com/open?id=1sevu59zPE-DqAq0Da9Cp7lwlxdCUktXR&amp;usp=drive_copy" TargetMode="External"/><Relationship Id="rId81" Type="http://schemas.openxmlformats.org/officeDocument/2006/relationships/hyperlink" Target="https://drive.google.com/open?id=10pYRbs5GFTeHs_QxrDMpAmZSrvyLvsRl&amp;usp=drive_copy" TargetMode="External"/><Relationship Id="rId1" Type="http://schemas.openxmlformats.org/officeDocument/2006/relationships/hyperlink" Target="https://htpldn-uat.ospgroup.vn/login" TargetMode="External"/><Relationship Id="rId2" Type="http://schemas.openxmlformats.org/officeDocument/2006/relationships/hyperlink" Target="https://drive.google.com/file/d/1RRMEIhZVZWLZak8zB7uaJeDssnhNvTeD/view?usp=drive_link" TargetMode="External"/><Relationship Id="rId3" Type="http://schemas.openxmlformats.org/officeDocument/2006/relationships/hyperlink" Target="https://drive.google.com/file/d/1RRMEIhZVZWLZak8zB7uaJeDssnhNvTeD/view?usp=drive_link" TargetMode="External"/><Relationship Id="rId149" Type="http://schemas.openxmlformats.org/officeDocument/2006/relationships/hyperlink" Target="https://drive.google.com/open?id=1Y8W2W3wOy5UHQoZNQC55BrMEMkVr5Jy3&amp;usp=drive_copy" TargetMode="External"/><Relationship Id="rId4" Type="http://schemas.openxmlformats.org/officeDocument/2006/relationships/hyperlink" Target="https://drive.google.com/file/d/1RRMEIhZVZWLZak8zB7uaJeDssnhNvTeD/view?usp=drive_link" TargetMode="External"/><Relationship Id="rId148" Type="http://schemas.openxmlformats.org/officeDocument/2006/relationships/hyperlink" Target="https://drive.google.com/open?id=1vK73HrWbYPjoV6OeqJviAB1vE1koB_Pf&amp;usp=drive_copy" TargetMode="External"/><Relationship Id="rId9" Type="http://schemas.openxmlformats.org/officeDocument/2006/relationships/hyperlink" Target="https://drive.google.com/file/d/1_sEam8ErkVzhp4--JGccDhQL6dL7PwDJ/view?usp=drive_link" TargetMode="External"/><Relationship Id="rId143" Type="http://schemas.openxmlformats.org/officeDocument/2006/relationships/hyperlink" Target="https://drive.google.com/open?id=1StNiU4vs1CeWG-016U1F6zNxCFiN8yk9&amp;usp=drive_copy" TargetMode="External"/><Relationship Id="rId142" Type="http://schemas.openxmlformats.org/officeDocument/2006/relationships/hyperlink" Target="https://drive.google.com/open?id=13g-QJsP3ExJzWXiwQJjysGt7VVMKaE65&amp;usp=drive_copy" TargetMode="External"/><Relationship Id="rId141" Type="http://schemas.openxmlformats.org/officeDocument/2006/relationships/hyperlink" Target="https://drive.google.com/open?id=1wPW4uwsk7_9VaMxHtQzIgQqZoaOj3QLQ&amp;usp=drive_copy" TargetMode="External"/><Relationship Id="rId140" Type="http://schemas.openxmlformats.org/officeDocument/2006/relationships/hyperlink" Target="https://drive.google.com/open?id=1QBQEBu2R1rBm77a4S0QbbScVMcr6Ooeh&amp;usp=drive_copy" TargetMode="External"/><Relationship Id="rId5" Type="http://schemas.openxmlformats.org/officeDocument/2006/relationships/hyperlink" Target="https://drive.google.com/file/d/1bN0Bb30SAnMBpoTuMqzAw9meYWJvVeTj/view?usp=drive_link" TargetMode="External"/><Relationship Id="rId147" Type="http://schemas.openxmlformats.org/officeDocument/2006/relationships/hyperlink" Target="https://drive.google.com/open?id=1lcP_tIPMIb3BWSoGGdLXLSGqSqEpkpAU&amp;usp=drive_copy" TargetMode="External"/><Relationship Id="rId6" Type="http://schemas.openxmlformats.org/officeDocument/2006/relationships/hyperlink" Target="https://drive.google.com/file/d/1ThkVZoHd_7WE8LTA8TrFJ79iwtqzUEJy/view?usp=drive_link" TargetMode="External"/><Relationship Id="rId146" Type="http://schemas.openxmlformats.org/officeDocument/2006/relationships/hyperlink" Target="https://drive.google.com/open?id=1Kyln3iXV7bnGlpdAVs8Lg5NtlZbM350L&amp;usp=drive_copy" TargetMode="External"/><Relationship Id="rId7" Type="http://schemas.openxmlformats.org/officeDocument/2006/relationships/hyperlink" Target="https://drive.google.com/file/d/1ot9bmUP4sYZLfu2q5mEcgUODIgo4Tefj/view?usp=drive_link" TargetMode="External"/><Relationship Id="rId145" Type="http://schemas.openxmlformats.org/officeDocument/2006/relationships/hyperlink" Target="https://drive.google.com/open?id=1dBbDQg_IR24yYKiZJyC3ScLp8lwZeaq6&amp;usp=drive_copy" TargetMode="External"/><Relationship Id="rId8" Type="http://schemas.openxmlformats.org/officeDocument/2006/relationships/hyperlink" Target="https://drive.google.com/file/d/15bN_Cz0woJ8t_yTv3DiXAPdUoGDEumoL/view?usp=drive_link" TargetMode="External"/><Relationship Id="rId144" Type="http://schemas.openxmlformats.org/officeDocument/2006/relationships/hyperlink" Target="https://drive.google.com/open?id=1npJy9RYk2GTxVEodO4i7dBRp44heq1VI&amp;usp=drive_copy" TargetMode="External"/><Relationship Id="rId73" Type="http://schemas.openxmlformats.org/officeDocument/2006/relationships/hyperlink" Target="https://drive.google.com/open?id=1jnggzQYF0h4e0pYEJRXsgrd-9BTQ-C58&amp;usp=drive_copy" TargetMode="External"/><Relationship Id="rId72" Type="http://schemas.openxmlformats.org/officeDocument/2006/relationships/hyperlink" Target="https://drive.google.com/open?id=10Mdvj_JwgABxTB8FEDMWutHar0BgAIUM&amp;usp=drive_copy" TargetMode="External"/><Relationship Id="rId75" Type="http://schemas.openxmlformats.org/officeDocument/2006/relationships/hyperlink" Target="https://drive.google.com/open?id=16Y71UfCmRxnjcaT5enLW8RWGx8QjpX4w&amp;usp=drive_copy" TargetMode="External"/><Relationship Id="rId74" Type="http://schemas.openxmlformats.org/officeDocument/2006/relationships/hyperlink" Target="https://drive.google.com/open?id=10igs877Fr2o_BnBanL6H6221jloWHKh8&amp;usp=drive_copy" TargetMode="External"/><Relationship Id="rId77" Type="http://schemas.openxmlformats.org/officeDocument/2006/relationships/hyperlink" Target="https://drive.google.com/open?id=1pSBbWRBs7c3YfuanEEmlt0eMQEPQI0P_&amp;usp=drive_copy" TargetMode="External"/><Relationship Id="rId76" Type="http://schemas.openxmlformats.org/officeDocument/2006/relationships/hyperlink" Target="https://drive.google.com/open?id=1Wbu3vpYDawE6a8jCOmqmq432D5KncCpn&amp;usp=drive_copy" TargetMode="External"/><Relationship Id="rId79" Type="http://schemas.openxmlformats.org/officeDocument/2006/relationships/hyperlink" Target="https://drive.google.com/open?id=1sMDbXNlGz7CPXSwmwF59HmIi6nVQ7eVG&amp;usp=drive_copy" TargetMode="External"/><Relationship Id="rId78" Type="http://schemas.openxmlformats.org/officeDocument/2006/relationships/hyperlink" Target="https://drive.google.com/open?id=19djlS85Q2vbd7tyqRlxHHy7fd0GSNKhS&amp;usp=drive_copy" TargetMode="External"/><Relationship Id="rId71" Type="http://schemas.openxmlformats.org/officeDocument/2006/relationships/hyperlink" Target="https://drive.google.com/open?id=1yNTjNBnVqlZSvlq0yVWBmD4575Z8N8J1&amp;usp=drive_copy" TargetMode="External"/><Relationship Id="rId70" Type="http://schemas.openxmlformats.org/officeDocument/2006/relationships/hyperlink" Target="https://drive.google.com/open?id=1cFtq3-4miUbsnUmAKBMwERqjWzAf65fm&amp;usp=drive_copy" TargetMode="External"/><Relationship Id="rId139" Type="http://schemas.openxmlformats.org/officeDocument/2006/relationships/hyperlink" Target="https://drive.google.com/open?id=14P30np_44rmLUCot4Nj6DI1weEaap4JR&amp;usp=drive_copy" TargetMode="External"/><Relationship Id="rId138" Type="http://schemas.openxmlformats.org/officeDocument/2006/relationships/hyperlink" Target="https://drive.google.com/open?id=1JjaRWKHW9TpaPc_Fz3fAqxyvqT993Z86&amp;usp=drive_copy" TargetMode="External"/><Relationship Id="rId137" Type="http://schemas.openxmlformats.org/officeDocument/2006/relationships/hyperlink" Target="https://drive.google.com/open?id=1Nmcno-e5yTHtjfLOF6lYGu760mr3F1Ju&amp;usp=drive_copy" TargetMode="External"/><Relationship Id="rId132" Type="http://schemas.openxmlformats.org/officeDocument/2006/relationships/hyperlink" Target="https://drive.google.com/open?id=1pwZGGeAsHoBu00kzetCf66U2Y_5kl9qd&amp;usp=drive_copy" TargetMode="External"/><Relationship Id="rId131" Type="http://schemas.openxmlformats.org/officeDocument/2006/relationships/hyperlink" Target="https://drive.google.com/open?id=11oPBxRds6iux7nBiMJxIUMO9q4BXGi0m&amp;usp=drive_copy" TargetMode="External"/><Relationship Id="rId130" Type="http://schemas.openxmlformats.org/officeDocument/2006/relationships/hyperlink" Target="https://drive.google.com/open?id=1w-EfVWGAkxNIAJYkjxfKjoDSWAZoBmlY&amp;usp=drive_copy" TargetMode="External"/><Relationship Id="rId136" Type="http://schemas.openxmlformats.org/officeDocument/2006/relationships/hyperlink" Target="https://drive.google.com/open?id=1U_QcrjKKZXwg2dzYTpZFM1B5bhZAyh9e&amp;usp=drive_copy" TargetMode="External"/><Relationship Id="rId135" Type="http://schemas.openxmlformats.org/officeDocument/2006/relationships/hyperlink" Target="https://drive.google.com/open?id=1qTpPGarLc1B1VKXBCoAIwgdGIJE1aEtO&amp;usp=drive_copy" TargetMode="External"/><Relationship Id="rId134" Type="http://schemas.openxmlformats.org/officeDocument/2006/relationships/hyperlink" Target="https://drive.google.com/open?id=1Fir5KOk9oaT6XVhsnn_3xv7ncaFsrKGo&amp;usp=drive_copy" TargetMode="External"/><Relationship Id="rId133" Type="http://schemas.openxmlformats.org/officeDocument/2006/relationships/hyperlink" Target="https://drive.google.com/open?id=1xg5qHF-zhaEHTDkXQ7y9F2FVf5kKhSWB&amp;usp=drive_copy" TargetMode="External"/><Relationship Id="rId62" Type="http://schemas.openxmlformats.org/officeDocument/2006/relationships/hyperlink" Target="https://drive.google.com/open?id=1ZpP-HLHp5EXkzFbVjFt3wg7xyv_Dg60Q&amp;usp=drive_copy" TargetMode="External"/><Relationship Id="rId61" Type="http://schemas.openxmlformats.org/officeDocument/2006/relationships/hyperlink" Target="https://drive.google.com/open?id=1ih8OIqdKXzyu_uAnWzZgxcKQVs2k-rdw&amp;usp=drive_copy" TargetMode="External"/><Relationship Id="rId64" Type="http://schemas.openxmlformats.org/officeDocument/2006/relationships/hyperlink" Target="https://drive.google.com/open?id=1N2n_4-uYxQV6mqmZ34kIrvFix7atsC6C&amp;usp=drive_copy" TargetMode="External"/><Relationship Id="rId63" Type="http://schemas.openxmlformats.org/officeDocument/2006/relationships/hyperlink" Target="https://drive.google.com/open?id=1jf3EPM0ekvf_1ucyHuid0TrH5MKALmbN&amp;usp=drive_copy" TargetMode="External"/><Relationship Id="rId66" Type="http://schemas.openxmlformats.org/officeDocument/2006/relationships/hyperlink" Target="https://drive.google.com/open?id=12iX08fnniPRZAhpI9kWNPzjiMQhqMObA&amp;usp=drive_copy" TargetMode="External"/><Relationship Id="rId172" Type="http://schemas.openxmlformats.org/officeDocument/2006/relationships/hyperlink" Target="https://drive.google.com/open?id=1m6NZOIw14QJKv0eOG__X-Rf4lCZ-LMal&amp;usp=drive_copy" TargetMode="External"/><Relationship Id="rId65" Type="http://schemas.openxmlformats.org/officeDocument/2006/relationships/hyperlink" Target="https://drive.google.com/open?id=12Sk2bW5caJIqF9S0Ib9V7Hs0421_TKfC&amp;usp=drive_copy" TargetMode="External"/><Relationship Id="rId171" Type="http://schemas.openxmlformats.org/officeDocument/2006/relationships/hyperlink" Target="https://drive.google.com/open?id=19XVwPZpyFpRmaZrVdihGCxxCVclUo5c8&amp;usp=drive_copy" TargetMode="External"/><Relationship Id="rId68" Type="http://schemas.openxmlformats.org/officeDocument/2006/relationships/hyperlink" Target="https://drive.google.com/open?id=17eeHxhLPuoxn-t7qVsFPVkxWfDHC7rYH&amp;usp=drive_copy" TargetMode="External"/><Relationship Id="rId170" Type="http://schemas.openxmlformats.org/officeDocument/2006/relationships/hyperlink" Target="https://drive.google.com/open?id=1SJpTdLwTjx0XSTHQ4RXPa9zB9_sjOtkq&amp;usp=drive_copy" TargetMode="External"/><Relationship Id="rId67" Type="http://schemas.openxmlformats.org/officeDocument/2006/relationships/hyperlink" Target="https://drive.google.com/open?id=1ADyf14O9Bdws3sS3HECUg7fOfLCQZWLd&amp;usp=drive_copy" TargetMode="External"/><Relationship Id="rId60" Type="http://schemas.openxmlformats.org/officeDocument/2006/relationships/hyperlink" Target="https://drive.google.com/open?id=1CBOp4G8i91nTGGPCPge41xpvsfOh-hc4&amp;usp=drive_copy" TargetMode="External"/><Relationship Id="rId165" Type="http://schemas.openxmlformats.org/officeDocument/2006/relationships/hyperlink" Target="https://drive.google.com/open?id=1d9EMtnB1Ik0SI-ndsmc_O-ZwK_8LfYfY&amp;usp=drive_copy" TargetMode="External"/><Relationship Id="rId69" Type="http://schemas.openxmlformats.org/officeDocument/2006/relationships/hyperlink" Target="https://drive.google.com/open?id=1kZJy27vzy41pPGQ-2hIs3_82qtcXXlq6&amp;usp=drive_copy" TargetMode="External"/><Relationship Id="rId164" Type="http://schemas.openxmlformats.org/officeDocument/2006/relationships/hyperlink" Target="https://drive.google.com/open?id=1EedftX7vm_-2unXSG-hVoY4T0F-AQ_QA&amp;usp=drive_copy" TargetMode="External"/><Relationship Id="rId163" Type="http://schemas.openxmlformats.org/officeDocument/2006/relationships/hyperlink" Target="https://drive.google.com/open?id=1Lb6VJDs1S8noqe9m7cUsGK6GCteTQffq&amp;usp=drive_copy" TargetMode="External"/><Relationship Id="rId162" Type="http://schemas.openxmlformats.org/officeDocument/2006/relationships/hyperlink" Target="https://drive.google.com/open?id=1-djJ1OwgRiC9Wzo6VacFISz_A9FtI9qr&amp;usp=drive_copy" TargetMode="External"/><Relationship Id="rId169" Type="http://schemas.openxmlformats.org/officeDocument/2006/relationships/hyperlink" Target="https://drive.google.com/open?id=1N5tIKeVV5XT6xcmE_PD7I3sYcK9SAzLs&amp;usp=drive_copy" TargetMode="External"/><Relationship Id="rId168" Type="http://schemas.openxmlformats.org/officeDocument/2006/relationships/hyperlink" Target="https://drive.google.com/open?id=1xiSdQEFIdz3j4gQLZVcIBwz7XWYF9AYU&amp;usp=drive_copy" TargetMode="External"/><Relationship Id="rId167" Type="http://schemas.openxmlformats.org/officeDocument/2006/relationships/hyperlink" Target="https://drive.google.com/open?id=1cSBx4BSrZhAUenSWBRkzVov5vYzRocGY&amp;usp=drive_copy" TargetMode="External"/><Relationship Id="rId166" Type="http://schemas.openxmlformats.org/officeDocument/2006/relationships/hyperlink" Target="https://drive.google.com/open?id=1utuC-5S4iBNpQxLGNTWiMRg61mG2cSl_&amp;usp=drive_copy" TargetMode="External"/><Relationship Id="rId51" Type="http://schemas.openxmlformats.org/officeDocument/2006/relationships/hyperlink" Target="https://drive.google.com/open?id=1o5rEHtESyEF4Teb9aBBr_PCFC3G_UFk5&amp;usp=drive_copy" TargetMode="External"/><Relationship Id="rId50" Type="http://schemas.openxmlformats.org/officeDocument/2006/relationships/hyperlink" Target="https://drive.google.com/open?id=1GN2NB2vZTsJ770jYAbpqKcSf-ld-jeFk&amp;usp=drive_copy" TargetMode="External"/><Relationship Id="rId53" Type="http://schemas.openxmlformats.org/officeDocument/2006/relationships/hyperlink" Target="https://drive.google.com/open?id=1nAfX3qk3_t4ZLa2cWXbs0iq_bUyPlTNX&amp;usp=drive_copy" TargetMode="External"/><Relationship Id="rId52" Type="http://schemas.openxmlformats.org/officeDocument/2006/relationships/hyperlink" Target="https://drive.google.com/open?id=1B7IJo9P7Z_yO7mBcOYe8hC4MQDSeSD7S&amp;usp=drive_copy" TargetMode="External"/><Relationship Id="rId55" Type="http://schemas.openxmlformats.org/officeDocument/2006/relationships/hyperlink" Target="https://drive.google.com/open?id=1FQOHxfEb6aKvqOsnydT4AS--jdt0RJLe&amp;usp=drive_copy" TargetMode="External"/><Relationship Id="rId161" Type="http://schemas.openxmlformats.org/officeDocument/2006/relationships/hyperlink" Target="https://drive.google.com/open?id=14sPzH8OGjN8vWA665Sh0L55robDA59ns&amp;usp=drive_copy" TargetMode="External"/><Relationship Id="rId54" Type="http://schemas.openxmlformats.org/officeDocument/2006/relationships/hyperlink" Target="https://drive.google.com/open?id=1hrEatlIxyOGw7spL0RKsTZucWHPR3hCN&amp;usp=drive_copy" TargetMode="External"/><Relationship Id="rId160" Type="http://schemas.openxmlformats.org/officeDocument/2006/relationships/hyperlink" Target="https://drive.google.com/open?id=1_kbHeOHxd8jPKkyxRhudgmdxQxZ4_kVQ&amp;usp=drive_copy" TargetMode="External"/><Relationship Id="rId57" Type="http://schemas.openxmlformats.org/officeDocument/2006/relationships/hyperlink" Target="https://drive.google.com/open?id=1XGZjCXVZMBnQ8RCNYNNxemNjY1Rb6Hmr&amp;usp=drive_copy" TargetMode="External"/><Relationship Id="rId56" Type="http://schemas.openxmlformats.org/officeDocument/2006/relationships/hyperlink" Target="https://drive.google.com/open?id=1FDQK_GPQoLszgtuxaCwmbRG-l1ioB9lw&amp;usp=drive_copy" TargetMode="External"/><Relationship Id="rId159" Type="http://schemas.openxmlformats.org/officeDocument/2006/relationships/hyperlink" Target="https://drive.google.com/open?id=1c3U3mNCHHApCYu2MKf3kYBLS31htNlUY&amp;usp=drive_copy" TargetMode="External"/><Relationship Id="rId59" Type="http://schemas.openxmlformats.org/officeDocument/2006/relationships/hyperlink" Target="https://drive.google.com/open?id=1w1PQnPMbl9t96LRgNyFx0b62ud7df0yK&amp;usp=drive_copy" TargetMode="External"/><Relationship Id="rId154" Type="http://schemas.openxmlformats.org/officeDocument/2006/relationships/hyperlink" Target="https://drive.google.com/open?id=1WHBejaLr6cVeCxtNRqHnefDVEMYFRcIc&amp;usp=drive_copy" TargetMode="External"/><Relationship Id="rId58" Type="http://schemas.openxmlformats.org/officeDocument/2006/relationships/hyperlink" Target="https://drive.google.com/open?id=131qrfvfj45RjQUN6IFZXOw9oZ9J6sILc&amp;usp=drive_copy" TargetMode="External"/><Relationship Id="rId153" Type="http://schemas.openxmlformats.org/officeDocument/2006/relationships/hyperlink" Target="https://drive.google.com/open?id=1yro5fgZmPhdyvHgULxBLlCQZWvRC5nRM&amp;usp=drive_copy" TargetMode="External"/><Relationship Id="rId152" Type="http://schemas.openxmlformats.org/officeDocument/2006/relationships/hyperlink" Target="https://drive.google.com/open?id=1_DcSivCf9tXKgoRUvU4avs3UsZaBXLvp&amp;usp=drive_copy" TargetMode="External"/><Relationship Id="rId151" Type="http://schemas.openxmlformats.org/officeDocument/2006/relationships/hyperlink" Target="https://drive.google.com/open?id=1gZo2UHvOQfjLochGwSmSkebHqIzIU4lM&amp;usp=drive_copy" TargetMode="External"/><Relationship Id="rId158" Type="http://schemas.openxmlformats.org/officeDocument/2006/relationships/hyperlink" Target="https://drive.google.com/open?id=1i4hgERZ4ezMhFdGuvz7q_B756zwlr-Ah&amp;usp=drive_copy" TargetMode="External"/><Relationship Id="rId157" Type="http://schemas.openxmlformats.org/officeDocument/2006/relationships/hyperlink" Target="https://drive.google.com/open?id=1t4S7iENXYuczAZbpaqPbz7KWtiOyADF0&amp;usp=drive_copy" TargetMode="External"/><Relationship Id="rId156" Type="http://schemas.openxmlformats.org/officeDocument/2006/relationships/hyperlink" Target="https://drive.google.com/open?id=1HYBySgdDXx7o8xth0-D4TEquuzVy3V8R&amp;usp=drive_copy" TargetMode="External"/><Relationship Id="rId155" Type="http://schemas.openxmlformats.org/officeDocument/2006/relationships/hyperlink" Target="https://drive.google.com/open?id=1bUfAKcQoa7icMLk7GoHLhNgisP9_HF8S&amp;usp=drive_copy" TargetMode="External"/><Relationship Id="rId107" Type="http://schemas.openxmlformats.org/officeDocument/2006/relationships/hyperlink" Target="https://drive.google.com/open?id=1dFmWYd0CmdmFBG2gytaO-hoPo6gyt9Cg&amp;usp=drive_copy" TargetMode="External"/><Relationship Id="rId106" Type="http://schemas.openxmlformats.org/officeDocument/2006/relationships/hyperlink" Target="https://drive.google.com/open?id=1UArb3GcZebcYdIaq9viamJ2U6WbdFFBA&amp;usp=drive_copy" TargetMode="External"/><Relationship Id="rId105" Type="http://schemas.openxmlformats.org/officeDocument/2006/relationships/hyperlink" Target="https://drive.google.com/open?id=1jakAKiNK8984od2U4Yx2rzOFGpaagqiw&amp;usp=drive_copy" TargetMode="External"/><Relationship Id="rId104" Type="http://schemas.openxmlformats.org/officeDocument/2006/relationships/hyperlink" Target="https://drive.google.com/open?id=1Ps5ol5YjisGabvSjxUVcm8ij4q4wNKDY&amp;usp=drive_copy" TargetMode="External"/><Relationship Id="rId109" Type="http://schemas.openxmlformats.org/officeDocument/2006/relationships/hyperlink" Target="https://drive.google.com/open?id=1o2VbBgQb__6WS2-0hbH98h86CkbOVyaE&amp;usp=drive_copy" TargetMode="External"/><Relationship Id="rId108" Type="http://schemas.openxmlformats.org/officeDocument/2006/relationships/hyperlink" Target="https://drive.google.com/open?id=1aPU12U_6FmcXi0sYtwbahFXNvKAoy7Td&amp;usp=drive_copy" TargetMode="External"/><Relationship Id="rId103" Type="http://schemas.openxmlformats.org/officeDocument/2006/relationships/hyperlink" Target="https://drive.google.com/open?id=1baPhGSdUhkHOgZJBGQv0WBnd9vznSPpK&amp;usp=drive_copy" TargetMode="External"/><Relationship Id="rId102" Type="http://schemas.openxmlformats.org/officeDocument/2006/relationships/hyperlink" Target="https://drive.google.com/open?id=1vECVt1uetypx-RV7P04Mwr1BVyH9Aaea&amp;usp=drive_copy" TargetMode="External"/><Relationship Id="rId101" Type="http://schemas.openxmlformats.org/officeDocument/2006/relationships/hyperlink" Target="https://drive.google.com/open?id=1CyOmHP_4nV-KpMMDmG_40TzVW6VUGA17&amp;usp=drive_copy" TargetMode="External"/><Relationship Id="rId100" Type="http://schemas.openxmlformats.org/officeDocument/2006/relationships/hyperlink" Target="https://drive.google.com/open?id=1zwg6suGm5bHULmsep7OOcIzMd941btMx&amp;usp=drive_copy" TargetMode="External"/><Relationship Id="rId129" Type="http://schemas.openxmlformats.org/officeDocument/2006/relationships/hyperlink" Target="https://drive.google.com/open?id=1Me7IFHfvy4y4UcKogrnZKPb2Oy3ldU10&amp;usp=drive_copy" TargetMode="External"/><Relationship Id="rId128" Type="http://schemas.openxmlformats.org/officeDocument/2006/relationships/hyperlink" Target="https://drive.google.com/open?id=1vxI7jb8i2GX0wFNnWwx7OAKPxgmLMaq-&amp;usp=drive_copy" TargetMode="External"/><Relationship Id="rId127" Type="http://schemas.openxmlformats.org/officeDocument/2006/relationships/hyperlink" Target="https://drive.google.com/open?id=1jpI-4UD0die_C1t3H-q4iOT4uDTdrYFq&amp;usp=drive_copy" TargetMode="External"/><Relationship Id="rId126" Type="http://schemas.openxmlformats.org/officeDocument/2006/relationships/hyperlink" Target="https://drive.google.com/open?id=1jXRzsHg846F-YW5MayO2Oo_GI0X36_Kz&amp;usp=drive_copy" TargetMode="External"/><Relationship Id="rId121" Type="http://schemas.openxmlformats.org/officeDocument/2006/relationships/hyperlink" Target="https://drive.google.com/open?id=19d7-jxaW_1MrVdaHyadxJuy5i6z5lQSp&amp;usp=drive_copy" TargetMode="External"/><Relationship Id="rId120" Type="http://schemas.openxmlformats.org/officeDocument/2006/relationships/hyperlink" Target="https://drive.google.com/open?id=17CdqeGiTJKJH7_IwKZNOGLJxTZF22aeF&amp;usp=drive_copy" TargetMode="External"/><Relationship Id="rId125" Type="http://schemas.openxmlformats.org/officeDocument/2006/relationships/hyperlink" Target="https://drive.google.com/open?id=106I2J95m4BCsssnjIlMy7aodBgnysBXk&amp;usp=drive_copy" TargetMode="External"/><Relationship Id="rId124" Type="http://schemas.openxmlformats.org/officeDocument/2006/relationships/hyperlink" Target="https://drive.google.com/open?id=1FSqCCS6AlKnvrE6TAlaessJ0LHTgj7ge&amp;usp=drive_copy" TargetMode="External"/><Relationship Id="rId123" Type="http://schemas.openxmlformats.org/officeDocument/2006/relationships/hyperlink" Target="https://drive.google.com/open?id=1PF-GTl_XT9KHeTB0n4yrsz3fh2w59WBN&amp;usp=drive_copy" TargetMode="External"/><Relationship Id="rId122" Type="http://schemas.openxmlformats.org/officeDocument/2006/relationships/hyperlink" Target="https://drive.google.com/open?id=1D3M195VfYTE9Y6Z7rblWcePEi9isa424&amp;usp=drive_copy" TargetMode="External"/><Relationship Id="rId95" Type="http://schemas.openxmlformats.org/officeDocument/2006/relationships/hyperlink" Target="https://drive.google.com/open?id=1ubeeu-QlRR93gysAS3_uE_NPBcSajfzS&amp;usp=drive_copy" TargetMode="External"/><Relationship Id="rId94" Type="http://schemas.openxmlformats.org/officeDocument/2006/relationships/hyperlink" Target="https://drive.google.com/open?id=1BQLPm_FqNBdS35Vn4cXqV8YKphV0YIGu&amp;usp=drive_copy" TargetMode="External"/><Relationship Id="rId97" Type="http://schemas.openxmlformats.org/officeDocument/2006/relationships/hyperlink" Target="https://drive.google.com/open?id=1rQXRS2PP4ZcmGBT6qZpGZOEFD3orDllB&amp;usp=drive_copy" TargetMode="External"/><Relationship Id="rId96" Type="http://schemas.openxmlformats.org/officeDocument/2006/relationships/hyperlink" Target="https://drive.google.com/open?id=1s6HK0uWYADJlNPQ4pNLycwRb_2e0Ka7x&amp;usp=drive_copy" TargetMode="External"/><Relationship Id="rId99" Type="http://schemas.openxmlformats.org/officeDocument/2006/relationships/hyperlink" Target="https://drive.google.com/open?id=1skqixg6hq_zF2hBhTBNz5EjRIp0IKMkz&amp;usp=drive_copy" TargetMode="External"/><Relationship Id="rId98" Type="http://schemas.openxmlformats.org/officeDocument/2006/relationships/hyperlink" Target="https://drive.google.com/open?id=1skqixg6hq_zF2hBhTBNz5EjRIp0IKMkz&amp;usp=drive_copy" TargetMode="External"/><Relationship Id="rId91" Type="http://schemas.openxmlformats.org/officeDocument/2006/relationships/hyperlink" Target="https://drive.google.com/open?id=1bo4DFhq8LuszN1naUGCFnE55PaZWXE0q&amp;usp=drive_copy" TargetMode="External"/><Relationship Id="rId90" Type="http://schemas.openxmlformats.org/officeDocument/2006/relationships/hyperlink" Target="https://drive.google.com/open?id=104ZlxocZw9a3j6M0l3zJYSjBqaUS8xuK&amp;usp=drive_copy" TargetMode="External"/><Relationship Id="rId93" Type="http://schemas.openxmlformats.org/officeDocument/2006/relationships/hyperlink" Target="https://drive.google.com/open?id=1UjUeX-Z3hJjMEXMebAQF5FucBi8oCq-4&amp;usp=drive_copy" TargetMode="External"/><Relationship Id="rId92" Type="http://schemas.openxmlformats.org/officeDocument/2006/relationships/hyperlink" Target="https://drive.google.com/open?id=1v9ZukoBpX0KSfaQH7O2sji8c7iA2qyMg&amp;usp=drive_copy" TargetMode="External"/><Relationship Id="rId118" Type="http://schemas.openxmlformats.org/officeDocument/2006/relationships/hyperlink" Target="https://drive.google.com/open?id=1nh4CUKjzQfoj21CuwYEPUkEojivoI3x9&amp;usp=drive_copy" TargetMode="External"/><Relationship Id="rId117" Type="http://schemas.openxmlformats.org/officeDocument/2006/relationships/hyperlink" Target="https://drive.google.com/open?id=18jp0qfn9RvJyM9GoPf-ietIp-sxb8sQ8&amp;usp=drive_copy" TargetMode="External"/><Relationship Id="rId116" Type="http://schemas.openxmlformats.org/officeDocument/2006/relationships/hyperlink" Target="https://drive.google.com/open?id=1kXeRfKCIUqRssk0STKq1v0DtO2nq9qb0&amp;usp=drive_copy" TargetMode="External"/><Relationship Id="rId115" Type="http://schemas.openxmlformats.org/officeDocument/2006/relationships/hyperlink" Target="https://drive.google.com/open?id=1qIWOPcyPjYRo9UwFkjcLND-fXr96hZDY&amp;usp=drive_copy" TargetMode="External"/><Relationship Id="rId119" Type="http://schemas.openxmlformats.org/officeDocument/2006/relationships/hyperlink" Target="https://drive.google.com/open?id=1Xo0kwgkGgk5QOW5VA6lR4ENrWUAVss1I&amp;usp=drive_copy" TargetMode="External"/><Relationship Id="rId110" Type="http://schemas.openxmlformats.org/officeDocument/2006/relationships/hyperlink" Target="https://drive.google.com/open?id=1Xa6MOVFGaQrTeij271FVTLu5iEFXYhs_&amp;usp=drive_copy" TargetMode="External"/><Relationship Id="rId114" Type="http://schemas.openxmlformats.org/officeDocument/2006/relationships/hyperlink" Target="https://drive.google.com/open?id=1SBJCLKRpQg8cwqFoh16v7iX4N_9Ngj9c&amp;usp=drive_copy" TargetMode="External"/><Relationship Id="rId113" Type="http://schemas.openxmlformats.org/officeDocument/2006/relationships/hyperlink" Target="https://drive.google.com/open?id=1ZBy4hxk2RpPsB3onXQ_EdghF_d_4Wo5N&amp;usp=drive_copy" TargetMode="External"/><Relationship Id="rId112" Type="http://schemas.openxmlformats.org/officeDocument/2006/relationships/hyperlink" Target="https://drive.google.com/open?id=1RUDkoMz161mqmt81ShqTkaxBbvfFUUzL&amp;usp=drive_copy" TargetMode="External"/><Relationship Id="rId111" Type="http://schemas.openxmlformats.org/officeDocument/2006/relationships/hyperlink" Target="https://drive.google.com/open?id=1E0w12kOAVLh-fL-YjQqhJH5TSPf0V_a1&amp;usp=drive_copy"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8mMXx0U0d_uBEnJEf3kCy2ZiF328xht1&amp;usp=drive_copy" TargetMode="External"/><Relationship Id="rId42" Type="http://schemas.openxmlformats.org/officeDocument/2006/relationships/hyperlink" Target="https://drive.google.com/open?id=1ggEJfENr1dLJxT1qeuR0ya4Rcm0W_Czp&amp;usp=drive_copy" TargetMode="External"/><Relationship Id="rId41" Type="http://schemas.openxmlformats.org/officeDocument/2006/relationships/hyperlink" Target="https://drive.google.com/open?id=1S-u63g7HhMogqMhOBxUpyTSH0Pm2Kjga&amp;usp=drive_copy" TargetMode="External"/><Relationship Id="rId44" Type="http://schemas.openxmlformats.org/officeDocument/2006/relationships/hyperlink" Target="https://drive.google.com/open?id=1xugOyGIFRHD0ID3kgttqB82QUv34Jmkc&amp;usp=drive_copy" TargetMode="External"/><Relationship Id="rId43" Type="http://schemas.openxmlformats.org/officeDocument/2006/relationships/hyperlink" Target="https://drive.google.com/open?id=1c766g18ka_gdmRIsktYQsZofONaGVx00&amp;usp=drive_copy" TargetMode="External"/><Relationship Id="rId46" Type="http://schemas.openxmlformats.org/officeDocument/2006/relationships/hyperlink" Target="https://drive.google.com/open?id=1bBI_PTid1GCEq_6n0qfGj7C8R9drojgL&amp;usp=drive_copy" TargetMode="External"/><Relationship Id="rId45" Type="http://schemas.openxmlformats.org/officeDocument/2006/relationships/hyperlink" Target="https://drive.google.com/open?id=1Epq3U9HdjeZmsiyIxVlnJsy_bUMTyEyh&amp;usp=drive_copy" TargetMode="External"/><Relationship Id="rId48" Type="http://schemas.openxmlformats.org/officeDocument/2006/relationships/hyperlink" Target="https://drive.google.com/open?id=1ncscXqvDFYnC83gHot3SijPFsNo_63tz&amp;usp=drive_copy" TargetMode="External"/><Relationship Id="rId47" Type="http://schemas.openxmlformats.org/officeDocument/2006/relationships/hyperlink" Target="https://drive.google.com/open?id=1lwNwwHJIrl5LAGDovR3F5fHSP4zJEPo0&amp;usp=drive_copy" TargetMode="External"/><Relationship Id="rId49" Type="http://schemas.openxmlformats.org/officeDocument/2006/relationships/hyperlink" Target="https://drive.google.com/open?id=177orGGLS74K1teD_YxkjSJyAT3jam76O&amp;usp=drive_copy" TargetMode="External"/><Relationship Id="rId31" Type="http://schemas.openxmlformats.org/officeDocument/2006/relationships/hyperlink" Target="https://drive.google.com/open?id=1GI6TdemvUUh2h_JEV3HMMF50xeesKNFC&amp;usp=drive_copy" TargetMode="External"/><Relationship Id="rId30" Type="http://schemas.openxmlformats.org/officeDocument/2006/relationships/hyperlink" Target="https://drive.google.com/open?id=1TQQ3eOjphaZCF9MR5OK_knvcL2AjpuA4&amp;usp=drive_copy" TargetMode="External"/><Relationship Id="rId33" Type="http://schemas.openxmlformats.org/officeDocument/2006/relationships/hyperlink" Target="https://drive.google.com/open?id=16nqGpCxOclj1AVT8ramTgPbjhoHYbpq0&amp;usp=drive_copy" TargetMode="External"/><Relationship Id="rId32" Type="http://schemas.openxmlformats.org/officeDocument/2006/relationships/hyperlink" Target="https://drive.google.com/open?id=11Xj4f9uNx194AMssV4_I6s1W-sQub9F9&amp;usp=drive_copy" TargetMode="External"/><Relationship Id="rId35" Type="http://schemas.openxmlformats.org/officeDocument/2006/relationships/hyperlink" Target="https://drive.google.com/open?id=1edPhdegnPHPuquX8ymQRZE5L_2b9abcT&amp;usp=drive_copy" TargetMode="External"/><Relationship Id="rId34" Type="http://schemas.openxmlformats.org/officeDocument/2006/relationships/hyperlink" Target="https://drive.google.com/open?id=1lhX3VGs12QRE5ZObH4CQS0wni6VoWfeA&amp;usp=drive_copy" TargetMode="External"/><Relationship Id="rId37" Type="http://schemas.openxmlformats.org/officeDocument/2006/relationships/hyperlink" Target="https://drive.google.com/open?id=1qU9GJEFUNSmAtlAIXKdwdwENkFetJCEf&amp;usp=drive_copy" TargetMode="External"/><Relationship Id="rId36" Type="http://schemas.openxmlformats.org/officeDocument/2006/relationships/hyperlink" Target="https://drive.google.com/open?id=12d1Ob-aatHptHUuflS5jXRoIIvX1vh_t&amp;usp=drive_copy" TargetMode="External"/><Relationship Id="rId39" Type="http://schemas.openxmlformats.org/officeDocument/2006/relationships/hyperlink" Target="https://drive.google.com/open?id=1glw2ERkN80JNDzb8GhMGFhv3K6veyElu&amp;usp=drive_copy" TargetMode="External"/><Relationship Id="rId38" Type="http://schemas.openxmlformats.org/officeDocument/2006/relationships/hyperlink" Target="https://drive.google.com/open?id=1gmP7T2u_6ZsbZ50bT4M3RLqjeK2mhrwQ&amp;usp=drive_copy" TargetMode="External"/><Relationship Id="rId20" Type="http://schemas.openxmlformats.org/officeDocument/2006/relationships/hyperlink" Target="https://drive.google.com/open?id=1csuet8K29w8vlFoIdYHn-sQcqgFvIoWd&amp;usp=drive_copy" TargetMode="External"/><Relationship Id="rId22" Type="http://schemas.openxmlformats.org/officeDocument/2006/relationships/hyperlink" Target="https://drive.google.com/open?id=1TifxRbw6MsfUuHxYjgMukyRdrgDZ2zAe&amp;usp=drive_copy" TargetMode="External"/><Relationship Id="rId21" Type="http://schemas.openxmlformats.org/officeDocument/2006/relationships/hyperlink" Target="https://drive.google.com/open?id=1jItq9insS7RxQhhI1fNlVOPuhF-crSuo&amp;usp=drive_copy" TargetMode="External"/><Relationship Id="rId24" Type="http://schemas.openxmlformats.org/officeDocument/2006/relationships/hyperlink" Target="https://drive.google.com/open?id=14V1IfbWn3e90ZBPx8r3fjkqcGwPy0eKa&amp;usp=drive_copy" TargetMode="External"/><Relationship Id="rId23" Type="http://schemas.openxmlformats.org/officeDocument/2006/relationships/hyperlink" Target="https://drive.google.com/open?id=1u0UpBU-WzgLXTG2S0iXjYpu-ah84qtKJ&amp;usp=drive_copy" TargetMode="External"/><Relationship Id="rId26" Type="http://schemas.openxmlformats.org/officeDocument/2006/relationships/hyperlink" Target="https://drive.google.com/open?id=1F89j8XRFXPxG7b-AwbDisnXp9-UMj8fS&amp;usp=drive_copy" TargetMode="External"/><Relationship Id="rId25" Type="http://schemas.openxmlformats.org/officeDocument/2006/relationships/hyperlink" Target="https://drive.google.com/open?id=10-XD7sC3JZOAfQM05XhWdt_n6JyEYS3C&amp;usp=drive_copy" TargetMode="External"/><Relationship Id="rId28" Type="http://schemas.openxmlformats.org/officeDocument/2006/relationships/hyperlink" Target="https://drive.google.com/open?id=1N7gVAJue7PRrRdvx9kUJyMOA9pF6K8br&amp;usp=drive_copy" TargetMode="External"/><Relationship Id="rId27" Type="http://schemas.openxmlformats.org/officeDocument/2006/relationships/hyperlink" Target="https://drive.google.com/open?id=1LlE4R2vjVboVc1oaQdVA4sXiRjHjo7Oc&amp;usp=drive_copy" TargetMode="External"/><Relationship Id="rId29" Type="http://schemas.openxmlformats.org/officeDocument/2006/relationships/hyperlink" Target="https://drive.google.com/open?id=12XPFTZcFhpRItZhwzWS7jr2kp1VKEaEZ&amp;usp=drive_copy" TargetMode="External"/><Relationship Id="rId11" Type="http://schemas.openxmlformats.org/officeDocument/2006/relationships/hyperlink" Target="https://drive.google.com/open?id=1QzNdBfw3yCUdzbndc-3-3GXL1XHzjTVy&amp;usp=drive_copy" TargetMode="External"/><Relationship Id="rId10" Type="http://schemas.openxmlformats.org/officeDocument/2006/relationships/hyperlink" Target="https://drive.google.com/open?id=1VIJEhBnq9ysl8-k-IxsMAinn6dGQ1Dyf&amp;usp=drive_copy" TargetMode="External"/><Relationship Id="rId13" Type="http://schemas.openxmlformats.org/officeDocument/2006/relationships/hyperlink" Target="https://drive.google.com/open?id=1ywGZacqeSjO1vM25VB6TmYYxIM3k65FW&amp;usp=drive_copy" TargetMode="External"/><Relationship Id="rId12" Type="http://schemas.openxmlformats.org/officeDocument/2006/relationships/hyperlink" Target="https://drive.google.com/open?id=1Gef-F9dHLL2wwUjxXoIi_kcXl01b7EoR&amp;usp=drive_copy" TargetMode="External"/><Relationship Id="rId15" Type="http://schemas.openxmlformats.org/officeDocument/2006/relationships/hyperlink" Target="https://drive.google.com/open?id=1qr_CXemnA1jZCSKV2-pqGLnqojcV-3i7&amp;usp=drive_copy" TargetMode="External"/><Relationship Id="rId14" Type="http://schemas.openxmlformats.org/officeDocument/2006/relationships/hyperlink" Target="https://drive.google.com/open?id=17uUprgCfNuqr4lJwjDHs-cdAHxf18PTI&amp;usp=drive_copy" TargetMode="External"/><Relationship Id="rId17" Type="http://schemas.openxmlformats.org/officeDocument/2006/relationships/hyperlink" Target="https://drive.google.com/open?id=1I_yQL9fUn-qdy63iRn_CKzW4gTCXAbIB&amp;usp=drive_copy" TargetMode="External"/><Relationship Id="rId16" Type="http://schemas.openxmlformats.org/officeDocument/2006/relationships/hyperlink" Target="https://drive.google.com/open?id=1kJ_Gsi6LHG2FmbZGNeghQIbbZ_wosh16&amp;usp=drive_copy" TargetMode="External"/><Relationship Id="rId19" Type="http://schemas.openxmlformats.org/officeDocument/2006/relationships/hyperlink" Target="https://drive.google.com/open?id=1BvSZXN9pmV4mki3LDLvxM5kSFAzVy8Vt&amp;usp=drive_copy" TargetMode="External"/><Relationship Id="rId18" Type="http://schemas.openxmlformats.org/officeDocument/2006/relationships/hyperlink" Target="https://drive.google.com/open?id=1kNooy4yV-NDdIGS2ybFPKD0JdIrXPgik&amp;usp=drive_copy" TargetMode="External"/><Relationship Id="rId84" Type="http://schemas.openxmlformats.org/officeDocument/2006/relationships/hyperlink" Target="https://drive.google.com/open?id=1RMCnJgFZyVDfFfGK6DknjILsUEWMB2qQ&amp;usp=drive_copy" TargetMode="External"/><Relationship Id="rId83" Type="http://schemas.openxmlformats.org/officeDocument/2006/relationships/hyperlink" Target="https://drive.google.com/open?id=1rvHq8g8lNzJNV-RINH3laGGE533IUBS6&amp;usp=drive_copy" TargetMode="External"/><Relationship Id="rId86" Type="http://schemas.openxmlformats.org/officeDocument/2006/relationships/hyperlink" Target="https://drive.google.com/open?id=1S2AoKqNTaxHHIqXIwmU6VCB7uO4eh53y&amp;usp=drive_copy" TargetMode="External"/><Relationship Id="rId85" Type="http://schemas.openxmlformats.org/officeDocument/2006/relationships/hyperlink" Target="https://drive.google.com/open?id=1ZkuOw3wo8XZkXgWioJa0d9OdwrtZgDTL&amp;usp=drive_copy" TargetMode="External"/><Relationship Id="rId88" Type="http://schemas.openxmlformats.org/officeDocument/2006/relationships/hyperlink" Target="https://drive.google.com/open?id=1lNIkkkv34WlkHa8OqUF32a5tp42gicbx&amp;usp=drive_copy" TargetMode="External"/><Relationship Id="rId87" Type="http://schemas.openxmlformats.org/officeDocument/2006/relationships/hyperlink" Target="https://drive.google.com/open?id=18AKmublFEX0bk5CIZLDce6OUNYG7wFlx&amp;usp=drive_copy" TargetMode="External"/><Relationship Id="rId89" Type="http://schemas.openxmlformats.org/officeDocument/2006/relationships/hyperlink" Target="https://drive.google.com/open?id=1WgVCIiBzVE32pWIstpLXnUSk5Qh3ouH1&amp;usp=drive_copy" TargetMode="External"/><Relationship Id="rId80" Type="http://schemas.openxmlformats.org/officeDocument/2006/relationships/hyperlink" Target="https://drive.google.com/open?id=1nIq9nt7xa6_Dzb8OImCwCyy9eGZlHARg&amp;usp=drive_copy" TargetMode="External"/><Relationship Id="rId82" Type="http://schemas.openxmlformats.org/officeDocument/2006/relationships/hyperlink" Target="https://drive.google.com/open?id=13MnzEl7ivtVErgrt4bRcOr9TJ2EdtteM&amp;usp=drive_copy" TargetMode="External"/><Relationship Id="rId81" Type="http://schemas.openxmlformats.org/officeDocument/2006/relationships/hyperlink" Target="https://drive.google.com/open?id=13ogj-0emvEGmVewP_knd2KRxP9fIlOOq&amp;usp=drive_copy" TargetMode="External"/><Relationship Id="rId1" Type="http://schemas.openxmlformats.org/officeDocument/2006/relationships/hyperlink" Target="https://drive.google.com/open?id=1zP6TEZtpJ3g8lRwdEbyw4gq6en_eoflq&amp;usp=drive_copy" TargetMode="External"/><Relationship Id="rId2" Type="http://schemas.openxmlformats.org/officeDocument/2006/relationships/hyperlink" Target="https://drive.google.com/open?id=1CNndz0WE_TBWuRfso-OjXktqnuWqU-r5&amp;usp=drive_copy" TargetMode="External"/><Relationship Id="rId3" Type="http://schemas.openxmlformats.org/officeDocument/2006/relationships/hyperlink" Target="https://drive.google.com/open?id=1nr3lbjgheYthnohpdZMEzEP8mvzqQFEl&amp;usp=drive_copy" TargetMode="External"/><Relationship Id="rId4" Type="http://schemas.openxmlformats.org/officeDocument/2006/relationships/hyperlink" Target="https://drive.google.com/open?id=1X2p6wtBrHG_c-MvqAerSjACGUN2szt7F&amp;usp=drive_copy" TargetMode="External"/><Relationship Id="rId9" Type="http://schemas.openxmlformats.org/officeDocument/2006/relationships/hyperlink" Target="https://drive.google.com/open?id=1CbC5wJhnE6IKQMZXzzmQ2Por1WAYZyIZ&amp;usp=drive_copy" TargetMode="External"/><Relationship Id="rId5" Type="http://schemas.openxmlformats.org/officeDocument/2006/relationships/hyperlink" Target="https://drive.google.com/open?id=1LoDkwS19sqxSeyb3DlTeHSDoQtMoso2u&amp;usp=drive_copy" TargetMode="External"/><Relationship Id="rId6" Type="http://schemas.openxmlformats.org/officeDocument/2006/relationships/hyperlink" Target="https://drive.google.com/open?id=1PNqlAags9eCjhAikcjSkaI8GpRDG08FL&amp;usp=drive_copy" TargetMode="External"/><Relationship Id="rId7" Type="http://schemas.openxmlformats.org/officeDocument/2006/relationships/hyperlink" Target="https://drive.google.com/open?id=1RmkEqO0K2VA7a2OWvqvEuxb7Z3x-Yxvu&amp;usp=drive_copy" TargetMode="External"/><Relationship Id="rId8" Type="http://schemas.openxmlformats.org/officeDocument/2006/relationships/hyperlink" Target="https://drive.google.com/open?id=1IkhJErHPFUy7Zy7h23ctuNeFdvwkWO8v&amp;usp=drive_copy" TargetMode="External"/><Relationship Id="rId73" Type="http://schemas.openxmlformats.org/officeDocument/2006/relationships/hyperlink" Target="https://drive.google.com/open?id=1kNa1klKO7kZ0Pr7Jz_Vk3guHHQvp4sDm&amp;usp=drive_copy" TargetMode="External"/><Relationship Id="rId72" Type="http://schemas.openxmlformats.org/officeDocument/2006/relationships/hyperlink" Target="https://drive.google.com/open?id=1HZwS3VJGE0fGn_aqsrukhukyV-gfRFUu&amp;usp=drive_copy" TargetMode="External"/><Relationship Id="rId75" Type="http://schemas.openxmlformats.org/officeDocument/2006/relationships/hyperlink" Target="https://drive.google.com/open?id=1c4X_rgHw7j2tmd855d4ZmZRQ_8GK5NE3&amp;usp=drive_copy" TargetMode="External"/><Relationship Id="rId74" Type="http://schemas.openxmlformats.org/officeDocument/2006/relationships/hyperlink" Target="https://drive.google.com/open?id=1aSHR9lg1ynJBRAUOPdb0co8MFusZRnZ-&amp;usp=drive_copy" TargetMode="External"/><Relationship Id="rId77" Type="http://schemas.openxmlformats.org/officeDocument/2006/relationships/hyperlink" Target="https://drive.google.com/open?id=1MCYZBEs4CIHK395Ic9QUwMAA7Hb2qK5V&amp;usp=drive_copy" TargetMode="External"/><Relationship Id="rId76" Type="http://schemas.openxmlformats.org/officeDocument/2006/relationships/hyperlink" Target="https://drive.google.com/open?id=1Hs_zhD3I_XFfPbgFAFJceJZ3k3nuK3on&amp;usp=drive_copy" TargetMode="External"/><Relationship Id="rId79" Type="http://schemas.openxmlformats.org/officeDocument/2006/relationships/hyperlink" Target="https://drive.google.com/open?id=18VncwCBYijXVnd94Jb5tlhYjVAM35Cjh&amp;usp=drive_copy" TargetMode="External"/><Relationship Id="rId78" Type="http://schemas.openxmlformats.org/officeDocument/2006/relationships/hyperlink" Target="https://drive.google.com/open?id=1Rk5kqgjhrha3sQ1zG4dGnNFSm7UVFHym&amp;usp=drive_copy" TargetMode="External"/><Relationship Id="rId71" Type="http://schemas.openxmlformats.org/officeDocument/2006/relationships/hyperlink" Target="https://drive.google.com/open?id=1qIdH84Ojv6QNyw9bJ3OZgPsLPKT3vaUs&amp;usp=drive_copy" TargetMode="External"/><Relationship Id="rId70" Type="http://schemas.openxmlformats.org/officeDocument/2006/relationships/hyperlink" Target="https://drive.google.com/open?id=1wfdBIVnbZcUtoCS-E9AFmgdI138BaW2C&amp;usp=drive_copy" TargetMode="External"/><Relationship Id="rId62" Type="http://schemas.openxmlformats.org/officeDocument/2006/relationships/hyperlink" Target="https://drive.google.com/open?id=1ts6soRh-HdgdUHZuUMa5k6w6tAp8Qndx&amp;usp=drive_copy" TargetMode="External"/><Relationship Id="rId61" Type="http://schemas.openxmlformats.org/officeDocument/2006/relationships/hyperlink" Target="https://drive.google.com/open?id=1Vp7Zg3fLjdFIHVMpCzEVjeXbCMg2d9WV&amp;usp=drive_copy" TargetMode="External"/><Relationship Id="rId64" Type="http://schemas.openxmlformats.org/officeDocument/2006/relationships/hyperlink" Target="https://drive.google.com/open?id=1LjdyWGxViwDwavm-Mui3ieeogQ8l7Qam&amp;usp=drive_copy" TargetMode="External"/><Relationship Id="rId63" Type="http://schemas.openxmlformats.org/officeDocument/2006/relationships/hyperlink" Target="https://drive.google.com/open?id=1xv7zKSdEp2dUzedPuRoETAjnPBu5VuTo&amp;usp=drive_copy" TargetMode="External"/><Relationship Id="rId66" Type="http://schemas.openxmlformats.org/officeDocument/2006/relationships/hyperlink" Target="https://drive.google.com/open?id=1b7-6_GTkvE82lPfyYwGrYMGEHK1_onoi&amp;usp=drive_copy" TargetMode="External"/><Relationship Id="rId65" Type="http://schemas.openxmlformats.org/officeDocument/2006/relationships/hyperlink" Target="https://drive.google.com/open?id=1R3QpzoFx9RWBRp7Y9cyCCLJVoMCa74uq&amp;usp=drive_copy" TargetMode="External"/><Relationship Id="rId68" Type="http://schemas.openxmlformats.org/officeDocument/2006/relationships/hyperlink" Target="https://drive.google.com/open?id=1q5D8IYLeZ0ZVSMR1POhIVmSFtTvLQdsJ&amp;usp=drive_copy" TargetMode="External"/><Relationship Id="rId67" Type="http://schemas.openxmlformats.org/officeDocument/2006/relationships/hyperlink" Target="https://drive.google.com/open?id=1drEx-O00II6rJi0tVL6ab4BALQ3ZzKbH&amp;usp=drive_copy" TargetMode="External"/><Relationship Id="rId60" Type="http://schemas.openxmlformats.org/officeDocument/2006/relationships/hyperlink" Target="https://drive.google.com/open?id=14QHXagyOhtwebcmgfu61tTIS3yN9I-2F&amp;usp=drive_copy" TargetMode="External"/><Relationship Id="rId69" Type="http://schemas.openxmlformats.org/officeDocument/2006/relationships/hyperlink" Target="https://drive.google.com/open?id=13t4jIl12Fi7n1NHDrgSh_mYgMffH3R4N&amp;usp=drive_copy" TargetMode="External"/><Relationship Id="rId51" Type="http://schemas.openxmlformats.org/officeDocument/2006/relationships/hyperlink" Target="https://drive.google.com/open?id=1AFrbT_GOhuI-Q67uvdVbHeS7hXuK6Hxn&amp;usp=drive_copy" TargetMode="External"/><Relationship Id="rId50" Type="http://schemas.openxmlformats.org/officeDocument/2006/relationships/hyperlink" Target="https://drive.google.com/open?id=1JNDaixYwbVuHZR1J2aJYoOegl7CTyN1N&amp;usp=drive_copy" TargetMode="External"/><Relationship Id="rId53" Type="http://schemas.openxmlformats.org/officeDocument/2006/relationships/hyperlink" Target="https://drive.google.com/open?id=1d7wrBYd6Y8IUxfqYpI-LRlyRXHyLYiLJ&amp;usp=drive_copy" TargetMode="External"/><Relationship Id="rId52" Type="http://schemas.openxmlformats.org/officeDocument/2006/relationships/hyperlink" Target="https://drive.google.com/open?id=1kPEB_lAhzW__1uSyjJ6qO5tXtLlRNyDM&amp;usp=drive_copy" TargetMode="External"/><Relationship Id="rId55" Type="http://schemas.openxmlformats.org/officeDocument/2006/relationships/hyperlink" Target="https://drive.google.com/open?id=1by8gf1nUnRXcMPqU8zTj7Z1O51aBxG_4&amp;usp=drive_copy" TargetMode="External"/><Relationship Id="rId54" Type="http://schemas.openxmlformats.org/officeDocument/2006/relationships/hyperlink" Target="https://drive.google.com/open?id=1PRGWxTw0TjSIIjV09ZmT_M_0TQh-zrV3&amp;usp=drive_copy" TargetMode="External"/><Relationship Id="rId57" Type="http://schemas.openxmlformats.org/officeDocument/2006/relationships/hyperlink" Target="https://drive.google.com/open?id=1gbYa-cakaVbXjAe_PseXXAuDu9qnpLxQ&amp;usp=drive_copy" TargetMode="External"/><Relationship Id="rId56" Type="http://schemas.openxmlformats.org/officeDocument/2006/relationships/hyperlink" Target="https://drive.google.com/open?id=1RitvCkLEIe4a9ku3cbfXJdNWkj6ng-_t&amp;usp=drive_copy" TargetMode="External"/><Relationship Id="rId59" Type="http://schemas.openxmlformats.org/officeDocument/2006/relationships/hyperlink" Target="https://drive.google.com/open?id=15l1mps0yHMQfUmsXxSrV7nMRsAVIkG6V&amp;usp=drive_copy" TargetMode="External"/><Relationship Id="rId58" Type="http://schemas.openxmlformats.org/officeDocument/2006/relationships/hyperlink" Target="https://drive.google.com/open?id=1UkVnSHqKylUTUGBUb5eMtmh--tWE3TZ7&amp;usp=drive_copy" TargetMode="External"/><Relationship Id="rId107" Type="http://schemas.openxmlformats.org/officeDocument/2006/relationships/hyperlink" Target="https://drive.google.com/open?id=1qOn_ko2J40WnOZ8WrQrcGDHj2j7Ciqlx&amp;usp=drive_copy" TargetMode="External"/><Relationship Id="rId106" Type="http://schemas.openxmlformats.org/officeDocument/2006/relationships/hyperlink" Target="https://drive.google.com/open?id=1ZoJk1iS5rID81qMKHMv_-czdBfw2ISWC&amp;usp=drive_copy" TargetMode="External"/><Relationship Id="rId105" Type="http://schemas.openxmlformats.org/officeDocument/2006/relationships/hyperlink" Target="https://drive.google.com/open?id=1XfvBtW-vWR4Ke7himjfWFAbIrPmeP-TQ&amp;usp=drive_copy" TargetMode="External"/><Relationship Id="rId104" Type="http://schemas.openxmlformats.org/officeDocument/2006/relationships/hyperlink" Target="https://drive.google.com/open?id=1xfsPtQUAKek4Wo-ytTMXGATEQd26mLdK&amp;usp=drive_copy" TargetMode="External"/><Relationship Id="rId109" Type="http://schemas.openxmlformats.org/officeDocument/2006/relationships/hyperlink" Target="https://drive.google.com/open?id=1BXP5qVJxTHEy1FRgOExsjtYgQOst6a3W&amp;usp=drive_copy" TargetMode="External"/><Relationship Id="rId108" Type="http://schemas.openxmlformats.org/officeDocument/2006/relationships/hyperlink" Target="https://drive.google.com/open?id=1ugiY8cmzs2SX6B4XINW4kLvBubycgMh5&amp;usp=drive_copy" TargetMode="External"/><Relationship Id="rId103" Type="http://schemas.openxmlformats.org/officeDocument/2006/relationships/hyperlink" Target="https://drive.google.com/open?id=1WWLP_Rx0t2JIj90XY9Vv40BmLwhmpPr1&amp;usp=drive_copy" TargetMode="External"/><Relationship Id="rId102" Type="http://schemas.openxmlformats.org/officeDocument/2006/relationships/hyperlink" Target="https://drive.google.com/open?id=16lJzP0RtIayb5NshEUnHYUQ6LBQ_D7Dp&amp;usp=drive_copy" TargetMode="External"/><Relationship Id="rId101" Type="http://schemas.openxmlformats.org/officeDocument/2006/relationships/hyperlink" Target="https://drive.google.com/open?id=1Pzb6Facv2eprLF3zef78_ZLTidNf4dBV&amp;usp=drive_copy" TargetMode="External"/><Relationship Id="rId100" Type="http://schemas.openxmlformats.org/officeDocument/2006/relationships/hyperlink" Target="https://drive.google.com/open?id=1759GGGi5M2v5lADycSJTt8Ns_XbupXiJ&amp;usp=drive_copy" TargetMode="External"/><Relationship Id="rId95" Type="http://schemas.openxmlformats.org/officeDocument/2006/relationships/hyperlink" Target="https://drive.google.com/open?id=1Xd94DEBSiGTYNB-gas5nJzro3zjUiSyo&amp;usp=drive_copy" TargetMode="External"/><Relationship Id="rId94" Type="http://schemas.openxmlformats.org/officeDocument/2006/relationships/hyperlink" Target="https://drive.google.com/open?id=1cabAQO11a884Kw9pX_XjMcbiBrxngTZL&amp;usp=drive_copy" TargetMode="External"/><Relationship Id="rId97" Type="http://schemas.openxmlformats.org/officeDocument/2006/relationships/hyperlink" Target="https://drive.google.com/open?id=172VL_JfPKbQesB9V1pW3io8T-pccYBEl&amp;usp=drive_copy" TargetMode="External"/><Relationship Id="rId96" Type="http://schemas.openxmlformats.org/officeDocument/2006/relationships/hyperlink" Target="https://drive.google.com/open?id=1ntpRQisvPO1O734bNAwn0qbM9ZI60fLc&amp;usp=drive_copy" TargetMode="External"/><Relationship Id="rId99" Type="http://schemas.openxmlformats.org/officeDocument/2006/relationships/hyperlink" Target="https://drive.google.com/open?id=197xu-HTGlWofQVHr6nOLlqFSxkB6KIas&amp;usp=drive_copy" TargetMode="External"/><Relationship Id="rId98" Type="http://schemas.openxmlformats.org/officeDocument/2006/relationships/hyperlink" Target="https://drive.google.com/open?id=1j4VoFVbr-qPNRrcmxG691hgH8v7icbJa&amp;usp=drive_copy" TargetMode="External"/><Relationship Id="rId91" Type="http://schemas.openxmlformats.org/officeDocument/2006/relationships/hyperlink" Target="https://drive.google.com/open?id=1gEw83j1gdt7EoqSi5on0lZLQnh081z4a&amp;usp=drive_copy" TargetMode="External"/><Relationship Id="rId90" Type="http://schemas.openxmlformats.org/officeDocument/2006/relationships/hyperlink" Target="https://drive.google.com/open?id=1Q6JzXQSwVCgmcmzi40aRl30CM1yZK_m-&amp;usp=drive_copy" TargetMode="External"/><Relationship Id="rId93" Type="http://schemas.openxmlformats.org/officeDocument/2006/relationships/hyperlink" Target="https://drive.google.com/open?id=1yFBVX8pbpCi66IZRMcRFEch7U1pE0ZZB&amp;usp=drive_copy" TargetMode="External"/><Relationship Id="rId92" Type="http://schemas.openxmlformats.org/officeDocument/2006/relationships/hyperlink" Target="https://drive.google.com/open?id=1tORZZ_tXy0u2sqcmVvvxhdWKu3gDRlAo&amp;usp=drive_copy" TargetMode="External"/><Relationship Id="rId110" Type="http://schemas.openxmlformats.org/officeDocument/2006/relationships/drawing" Target="../drawings/drawing2.xml"/><Relationship Id="rId114" Type="http://schemas.openxmlformats.org/officeDocument/2006/relationships/table" Target="../tables/table2.xml"/><Relationship Id="rId11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QgXtFkSFF86qUFNJ7BQgiNUUsRruHLAU&amp;usp=drive_copy" TargetMode="External"/><Relationship Id="rId190" Type="http://schemas.openxmlformats.org/officeDocument/2006/relationships/hyperlink" Target="https://drive.google.com/open?id=1NyiMLDVUswatklZ7XhzOnPNXQo0tDdeG&amp;usp=drive_copy" TargetMode="External"/><Relationship Id="rId42" Type="http://schemas.openxmlformats.org/officeDocument/2006/relationships/hyperlink" Target="https://drive.google.com/open?id=187mD-PTxhOvRpEJeOaOKyvVsmzEU51XT&amp;usp=drive_copy" TargetMode="External"/><Relationship Id="rId41" Type="http://schemas.openxmlformats.org/officeDocument/2006/relationships/hyperlink" Target="https://drive.google.com/open?id=1RbYaFcIodl2MnhXN4CkRbK-uAo0U90FP&amp;usp=drive_copy" TargetMode="External"/><Relationship Id="rId44" Type="http://schemas.openxmlformats.org/officeDocument/2006/relationships/hyperlink" Target="https://drive.google.com/open?id=18-U8JSTOf1a27la7rc91EuREnPHpvTIE&amp;usp=drive_copy" TargetMode="External"/><Relationship Id="rId194" Type="http://schemas.openxmlformats.org/officeDocument/2006/relationships/hyperlink" Target="https://drive.google.com/open?id=1HHBxzvqoQpg80jgygkD5fcnGojYkoHlC&amp;usp=drive_copy" TargetMode="External"/><Relationship Id="rId43" Type="http://schemas.openxmlformats.org/officeDocument/2006/relationships/hyperlink" Target="https://drive.google.com/open?id=1CW-qmKTJcDPXT_3asMv0s5yZHH6XItPI&amp;usp=drive_copy" TargetMode="External"/><Relationship Id="rId193" Type="http://schemas.openxmlformats.org/officeDocument/2006/relationships/hyperlink" Target="https://drive.google.com/open?id=18YKRoQIAZJV5zIOe3_94e-3KbkVoLNhL&amp;usp=drive_copy" TargetMode="External"/><Relationship Id="rId46" Type="http://schemas.openxmlformats.org/officeDocument/2006/relationships/hyperlink" Target="https://drive.google.com/open?id=16O1nSyfZMHD9oSF2Rmuy6Zo0Zut6ut1H&amp;usp=drive_copy" TargetMode="External"/><Relationship Id="rId192" Type="http://schemas.openxmlformats.org/officeDocument/2006/relationships/hyperlink" Target="https://drive.google.com/open?id=1CyiEcZBS8jknIT3cCNgmx66eSYn-T0sY&amp;usp=drive_copy" TargetMode="External"/><Relationship Id="rId45" Type="http://schemas.openxmlformats.org/officeDocument/2006/relationships/hyperlink" Target="https://drive.google.com/open?id=1qJ13wpiq5SQZ339c2gHGvT95FPEQwnrG&amp;usp=drive_copy" TargetMode="External"/><Relationship Id="rId191" Type="http://schemas.openxmlformats.org/officeDocument/2006/relationships/hyperlink" Target="https://drive.google.com/open?id=1RufaV-bZ3pTPxSxOL1zm5LWhv14_mm9J&amp;usp=drive_copy" TargetMode="External"/><Relationship Id="rId48" Type="http://schemas.openxmlformats.org/officeDocument/2006/relationships/hyperlink" Target="https://drive.google.com/open?id=1oH4U9suURMqLzkdOxLT8asu0Fg84wE6e&amp;usp=drive_copy" TargetMode="External"/><Relationship Id="rId187" Type="http://schemas.openxmlformats.org/officeDocument/2006/relationships/hyperlink" Target="https://drive.google.com/open?id=1cl118LjeHUt5onerFo1W66a2xMoWV3ni&amp;usp=drive_copy" TargetMode="External"/><Relationship Id="rId47" Type="http://schemas.openxmlformats.org/officeDocument/2006/relationships/hyperlink" Target="https://drive.google.com/open?id=1fiwNH9K7dbUnXPC2VnpAaL8AASdDdg6D&amp;usp=drive_copy" TargetMode="External"/><Relationship Id="rId186" Type="http://schemas.openxmlformats.org/officeDocument/2006/relationships/hyperlink" Target="https://drive.google.com/open?id=1oPvTFZyG0sXwp9cfpry4BJUfqgFE4xRg&amp;usp=drive_copy" TargetMode="External"/><Relationship Id="rId185" Type="http://schemas.openxmlformats.org/officeDocument/2006/relationships/hyperlink" Target="https://drive.google.com/open?id=1GR1LJMGLllIJ6KgwHundk29dMRMlyhXI&amp;usp=drive_copy" TargetMode="External"/><Relationship Id="rId49" Type="http://schemas.openxmlformats.org/officeDocument/2006/relationships/hyperlink" Target="https://drive.google.com/open?id=1FcxP6MXiTkyaUMEdrvn6RBGvkomDgQO0&amp;usp=drive_copy" TargetMode="External"/><Relationship Id="rId184" Type="http://schemas.openxmlformats.org/officeDocument/2006/relationships/hyperlink" Target="https://drive.google.com/open?id=1p3AE3_lPvAqjW-1lyKUpnumjc_HJGrOY&amp;usp=drive_copy" TargetMode="External"/><Relationship Id="rId189" Type="http://schemas.openxmlformats.org/officeDocument/2006/relationships/hyperlink" Target="https://drive.google.com/open?id=15o-sZdERbMRh4ePfdp0rpTvPSXOvvW3f&amp;usp=drive_copy" TargetMode="External"/><Relationship Id="rId188" Type="http://schemas.openxmlformats.org/officeDocument/2006/relationships/hyperlink" Target="https://drive.google.com/open?id=1Bw4c5vZfJthABTDJm1LV3XyPiuKBpRo9&amp;usp=drive_copy" TargetMode="External"/><Relationship Id="rId31" Type="http://schemas.openxmlformats.org/officeDocument/2006/relationships/hyperlink" Target="https://drive.google.com/open?id=1tB8t9zrWAgCvfayySgac3NuFhnZFU22e&amp;usp=drive_copy" TargetMode="External"/><Relationship Id="rId30" Type="http://schemas.openxmlformats.org/officeDocument/2006/relationships/hyperlink" Target="https://drive.google.com/open?id=1VquJ3DcV5NdefAGQ2pYC8-zuSfr6fFRp&amp;usp=drive_copy" TargetMode="External"/><Relationship Id="rId33" Type="http://schemas.openxmlformats.org/officeDocument/2006/relationships/hyperlink" Target="https://drive.google.com/open?id=15EuNALeYVWraeAXhEZHy4MCMJIZmqSRW&amp;usp=drive_copy" TargetMode="External"/><Relationship Id="rId183" Type="http://schemas.openxmlformats.org/officeDocument/2006/relationships/hyperlink" Target="https://drive.google.com/open?id=1DFVdf594NsM4A2nrA-Gli3wbhgf-TXRI&amp;usp=drive_copy" TargetMode="External"/><Relationship Id="rId32" Type="http://schemas.openxmlformats.org/officeDocument/2006/relationships/hyperlink" Target="https://drive.google.com/open?id=1Iw5UWfXUxHCEsX4NislqgxIYl0gMDfr1&amp;usp=drive_copy" TargetMode="External"/><Relationship Id="rId182" Type="http://schemas.openxmlformats.org/officeDocument/2006/relationships/hyperlink" Target="https://drive.google.com/open?id=1bp2MhGjqaWZGLwpdytYkKDZvvCSnPDO7&amp;usp=drive_copy" TargetMode="External"/><Relationship Id="rId35" Type="http://schemas.openxmlformats.org/officeDocument/2006/relationships/hyperlink" Target="https://drive.google.com/open?id=132jYGdnfs2hJbx0NR2SXJf19HxiYL3H2&amp;usp=drive_copy" TargetMode="External"/><Relationship Id="rId181" Type="http://schemas.openxmlformats.org/officeDocument/2006/relationships/hyperlink" Target="https://drive.google.com/open?id=1DxOL7d-M_ASuPrcsU-krKdc7mzlE5RWg&amp;usp=drive_copy" TargetMode="External"/><Relationship Id="rId34" Type="http://schemas.openxmlformats.org/officeDocument/2006/relationships/hyperlink" Target="https://drive.google.com/open?id=1K11_AvfIdm5GjhWm6_OCdfWEJ1Qcc5mD&amp;usp=drive_copy" TargetMode="External"/><Relationship Id="rId180" Type="http://schemas.openxmlformats.org/officeDocument/2006/relationships/hyperlink" Target="https://drive.google.com/open?id=1m0F77zmL4hbXTsFEosP5iGf_JcnbOgAo&amp;usp=drive_copy" TargetMode="External"/><Relationship Id="rId37" Type="http://schemas.openxmlformats.org/officeDocument/2006/relationships/hyperlink" Target="https://drive.google.com/open?id=1l1rOK3z3_w2aOwidtWQfz5Ika4BPjbhY&amp;usp=drive_copy" TargetMode="External"/><Relationship Id="rId176" Type="http://schemas.openxmlformats.org/officeDocument/2006/relationships/hyperlink" Target="https://drive.google.com/open?id=1OTsrvCVH0R518AWfCehrJHx3NBHKzFVd&amp;usp=drive_copy" TargetMode="External"/><Relationship Id="rId297" Type="http://schemas.openxmlformats.org/officeDocument/2006/relationships/hyperlink" Target="https://drive.google.com/open?id=1K1m-aw1a7I1GSMbSzr7q9eSf2eM5Fujb&amp;usp=drive_copy" TargetMode="External"/><Relationship Id="rId36" Type="http://schemas.openxmlformats.org/officeDocument/2006/relationships/hyperlink" Target="https://drive.google.com/open?id=1BHuH_k-9Q236pB4wzv5bB5aqjLWZYFzH&amp;usp=drive_copy" TargetMode="External"/><Relationship Id="rId175" Type="http://schemas.openxmlformats.org/officeDocument/2006/relationships/hyperlink" Target="https://drive.google.com/open?id=1RB_zgjGWQ2udv0m85zDVNuxsnPDav09T&amp;usp=drive_copy" TargetMode="External"/><Relationship Id="rId296" Type="http://schemas.openxmlformats.org/officeDocument/2006/relationships/hyperlink" Target="https://drive.google.com/open?id=199s3k2Sr84zJyfdKBk0nSYKB0Qw5LKeD&amp;usp=drive_copy" TargetMode="External"/><Relationship Id="rId39" Type="http://schemas.openxmlformats.org/officeDocument/2006/relationships/hyperlink" Target="https://drive.google.com/open?id=1onL9dBE80PDyol2xzfktKCeVB5G_8fwe&amp;usp=drive_copy" TargetMode="External"/><Relationship Id="rId174" Type="http://schemas.openxmlformats.org/officeDocument/2006/relationships/hyperlink" Target="https://drive.google.com/open?id=1gNShh-4Dy2mo3gNR6I7dr-1MvqSRS6Fb&amp;usp=drive_copy" TargetMode="External"/><Relationship Id="rId295" Type="http://schemas.openxmlformats.org/officeDocument/2006/relationships/hyperlink" Target="https://drive.google.com/open?id=1hbJAEHYht7L-BtjachXx5pKl7xMCbsFP&amp;usp=drive_copy" TargetMode="External"/><Relationship Id="rId38" Type="http://schemas.openxmlformats.org/officeDocument/2006/relationships/hyperlink" Target="https://drive.google.com/open?id=15cbS54ADFGMrb5gMZwU4PtnxnlzQkTOI&amp;usp=drive_copy" TargetMode="External"/><Relationship Id="rId173" Type="http://schemas.openxmlformats.org/officeDocument/2006/relationships/hyperlink" Target="https://drive.google.com/open?id=1A-9T9qzSGUxUSn8MBQTobUNCrI6wUq9d&amp;usp=drive_copy" TargetMode="External"/><Relationship Id="rId294" Type="http://schemas.openxmlformats.org/officeDocument/2006/relationships/hyperlink" Target="https://drive.google.com/open?id=1k2JPsYRMi3MgFsgazhVRd8n3t4nG1Mz8&amp;usp=drive_copy" TargetMode="External"/><Relationship Id="rId179" Type="http://schemas.openxmlformats.org/officeDocument/2006/relationships/hyperlink" Target="https://drive.google.com/open?id=1GpD3yj6yF9o886D-OsLh6TP9s-9Qsa0L&amp;usp=drive_copy" TargetMode="External"/><Relationship Id="rId178" Type="http://schemas.openxmlformats.org/officeDocument/2006/relationships/hyperlink" Target="https://drive.google.com/open?id=1-1aKHpK4bvl1K2I_6Kz2yTnwhO8Ow2yV&amp;usp=drive_copy" TargetMode="External"/><Relationship Id="rId299" Type="http://schemas.openxmlformats.org/officeDocument/2006/relationships/hyperlink" Target="https://drive.google.com/open?id=16w19sc-txTZRuQB5BRNg6hYk3cdiLjmT&amp;usp=drive_copy" TargetMode="External"/><Relationship Id="rId177" Type="http://schemas.openxmlformats.org/officeDocument/2006/relationships/hyperlink" Target="https://drive.google.com/open?id=1QI6P_4YuPo7LfMkevX3a748SGgok0GzY&amp;usp=drive_copy" TargetMode="External"/><Relationship Id="rId298" Type="http://schemas.openxmlformats.org/officeDocument/2006/relationships/hyperlink" Target="https://drive.google.com/open?id=1VlGitHJMBStniBJKa6gdfrl3AL_9Yebo&amp;usp=drive_copy" TargetMode="External"/><Relationship Id="rId20" Type="http://schemas.openxmlformats.org/officeDocument/2006/relationships/hyperlink" Target="https://drive.google.com/open?id=1O5rr1ItKhOF-2GYXkaZQnAOmypgySf-0&amp;usp=drive_copy" TargetMode="External"/><Relationship Id="rId22" Type="http://schemas.openxmlformats.org/officeDocument/2006/relationships/hyperlink" Target="https://drive.google.com/open?id=1KecNsR4Pn_RsrgivhOH5qjJkJO_iMqbi&amp;usp=drive_copy" TargetMode="External"/><Relationship Id="rId21" Type="http://schemas.openxmlformats.org/officeDocument/2006/relationships/hyperlink" Target="https://drive.google.com/open?id=1eek1Faf2iVb5I4_kYlAPnlANIzdKLxt5&amp;usp=drive_copy" TargetMode="External"/><Relationship Id="rId24" Type="http://schemas.openxmlformats.org/officeDocument/2006/relationships/hyperlink" Target="https://drive.google.com/open?id=1DT5N6xTkHdqOOkttsPNmINXhCYRcII2A&amp;usp=drive_copy" TargetMode="External"/><Relationship Id="rId23" Type="http://schemas.openxmlformats.org/officeDocument/2006/relationships/hyperlink" Target="https://drive.google.com/open?id=1hDTd7WemUFmPS0d14PKGdRBu8uLeje2Y&amp;usp=drive_copy" TargetMode="External"/><Relationship Id="rId26" Type="http://schemas.openxmlformats.org/officeDocument/2006/relationships/hyperlink" Target="https://drive.google.com/open?id=1nprNjJhH_jA36hTPhBhuVpGQXG15Kd0i&amp;usp=drive_copy" TargetMode="External"/><Relationship Id="rId25" Type="http://schemas.openxmlformats.org/officeDocument/2006/relationships/hyperlink" Target="https://drive.google.com/open?id=1CUKtpQFg_TOSsYMOqxboiQlnLnn4v5z-&amp;usp=drive_copy" TargetMode="External"/><Relationship Id="rId28" Type="http://schemas.openxmlformats.org/officeDocument/2006/relationships/hyperlink" Target="https://drive.google.com/open?id=179XPj32GWZJVVKBwc5J2YtdJoqvvw_U3&amp;usp=drive_copy" TargetMode="External"/><Relationship Id="rId27" Type="http://schemas.openxmlformats.org/officeDocument/2006/relationships/hyperlink" Target="https://drive.google.com/open?id=17eZNKo8tZkpJLYqnoLLsVFttK8DmnT7T&amp;usp=drive_copy" TargetMode="External"/><Relationship Id="rId29" Type="http://schemas.openxmlformats.org/officeDocument/2006/relationships/hyperlink" Target="https://drive.google.com/open?id=1RH_417EtzdfNq2iWO4EMOEPfwGxZSrlH&amp;usp=drive_copy" TargetMode="External"/><Relationship Id="rId11" Type="http://schemas.openxmlformats.org/officeDocument/2006/relationships/hyperlink" Target="https://drive.google.com/open?id=1Mzh4tnehO2bXKX-KEKOwsdGvv_auCqHK&amp;usp=drive_copy" TargetMode="External"/><Relationship Id="rId10" Type="http://schemas.openxmlformats.org/officeDocument/2006/relationships/hyperlink" Target="https://drive.google.com/open?id=1tCluSjngbkCrhgz5zHmSxu0fmadrYI9p&amp;usp=drive_copy" TargetMode="External"/><Relationship Id="rId13" Type="http://schemas.openxmlformats.org/officeDocument/2006/relationships/hyperlink" Target="https://drive.google.com/open?id=1hGjKzhnIHaFOfI-Q7-xMFb4OIcFUKytm&amp;usp=drive_copy" TargetMode="External"/><Relationship Id="rId12" Type="http://schemas.openxmlformats.org/officeDocument/2006/relationships/hyperlink" Target="https://drive.google.com/open?id=1-mS7ocFoJPhP2nrBc992_4--fX5vpX_P&amp;usp=drive_copy" TargetMode="External"/><Relationship Id="rId15" Type="http://schemas.openxmlformats.org/officeDocument/2006/relationships/hyperlink" Target="https://drive.google.com/open?id=1xCcY_pxlPJyIE9pGBSxtx6LYAztqPoeO&amp;usp=drive_copy" TargetMode="External"/><Relationship Id="rId198" Type="http://schemas.openxmlformats.org/officeDocument/2006/relationships/hyperlink" Target="https://drive.google.com/open?id=1hDUaRIyzuWAwXZNLt5OpQ_Eq1TK612Ak&amp;usp=drive_copy" TargetMode="External"/><Relationship Id="rId14" Type="http://schemas.openxmlformats.org/officeDocument/2006/relationships/hyperlink" Target="https://drive.google.com/open?id=1YarjvVndYuMLldxsptE31xu24_gMNrUN&amp;usp=drive_copy" TargetMode="External"/><Relationship Id="rId197" Type="http://schemas.openxmlformats.org/officeDocument/2006/relationships/hyperlink" Target="https://drive.google.com/open?id=1apLPZdbFhuTWHDijiv7Oj4Aoi86G30rL&amp;usp=drive_copy" TargetMode="External"/><Relationship Id="rId17" Type="http://schemas.openxmlformats.org/officeDocument/2006/relationships/hyperlink" Target="https://drive.google.com/open?id=1XG64kGScCyQ4Fx3XXDesDRFr3gGwrq8f&amp;usp=drive_copy" TargetMode="External"/><Relationship Id="rId196" Type="http://schemas.openxmlformats.org/officeDocument/2006/relationships/hyperlink" Target="https://drive.google.com/open?id=1nEIZacTNhx_9shplkaY_RlNB0kABC-ao&amp;usp=drive_copy" TargetMode="External"/><Relationship Id="rId16" Type="http://schemas.openxmlformats.org/officeDocument/2006/relationships/hyperlink" Target="https://drive.google.com/open?id=169pcL6Kfni_4rjMivIei_OceXWSW3NEx&amp;usp=drive_copy" TargetMode="External"/><Relationship Id="rId195" Type="http://schemas.openxmlformats.org/officeDocument/2006/relationships/hyperlink" Target="https://drive.google.com/open?id=14WD9IBrqbpL0fcUwN8iJm5RQz46wEXKj&amp;usp=drive_copy" TargetMode="External"/><Relationship Id="rId19" Type="http://schemas.openxmlformats.org/officeDocument/2006/relationships/hyperlink" Target="https://drive.google.com/open?id=1masOc6GjeZvJXgjoW01oE-ghsc4bmSs9&amp;usp=drive_copy" TargetMode="External"/><Relationship Id="rId18" Type="http://schemas.openxmlformats.org/officeDocument/2006/relationships/hyperlink" Target="https://drive.google.com/open?id=1fZB_4D3VPzM-mC8WsdAuVSE9WEEwxjK0&amp;usp=drive_copy" TargetMode="External"/><Relationship Id="rId199" Type="http://schemas.openxmlformats.org/officeDocument/2006/relationships/hyperlink" Target="https://drive.google.com/open?id=1oCvf1vo9UvV-sttKwD-eyzWJG3FK8CpU&amp;usp=drive_copy" TargetMode="External"/><Relationship Id="rId84" Type="http://schemas.openxmlformats.org/officeDocument/2006/relationships/hyperlink" Target="https://drive.google.com/open?id=1JHm98AC8zD45uNEon53QhFsdwRYjUmMV&amp;usp=drive_copy" TargetMode="External"/><Relationship Id="rId83" Type="http://schemas.openxmlformats.org/officeDocument/2006/relationships/hyperlink" Target="https://drive.google.com/open?id=1pUD1uzQQ68ZgBpy2D6SHm_QbQYSoDMEW&amp;usp=drive_copy" TargetMode="External"/><Relationship Id="rId86" Type="http://schemas.openxmlformats.org/officeDocument/2006/relationships/hyperlink" Target="https://drive.google.com/open?id=15Y_s3vv3nsyCSXLdpj2vXKUWhtgv0CMt&amp;usp=drive_copy" TargetMode="External"/><Relationship Id="rId85" Type="http://schemas.openxmlformats.org/officeDocument/2006/relationships/hyperlink" Target="https://drive.google.com/open?id=1ZuaUngl95NIZlCvouYt0Ysi8k68MYAD-&amp;usp=drive_copy" TargetMode="External"/><Relationship Id="rId88" Type="http://schemas.openxmlformats.org/officeDocument/2006/relationships/hyperlink" Target="https://drive.google.com/open?id=1HEX6hniGaJtWNkHC51uIg-GwDE643jQ1&amp;usp=drive_copy" TargetMode="External"/><Relationship Id="rId150" Type="http://schemas.openxmlformats.org/officeDocument/2006/relationships/hyperlink" Target="https://drive.google.com/open?id=1O7GXzXUKBmwUnLU2SldQw5dOmFNgs7Pr&amp;usp=drive_copy" TargetMode="External"/><Relationship Id="rId271" Type="http://schemas.openxmlformats.org/officeDocument/2006/relationships/hyperlink" Target="https://drive.google.com/open?id=1ZlwcgkiWdUP176PVrX3AGc7Pmj31XvwE&amp;usp=drive_copy" TargetMode="External"/><Relationship Id="rId87" Type="http://schemas.openxmlformats.org/officeDocument/2006/relationships/hyperlink" Target="https://drive.google.com/open?id=1SG9vp3iBI29Co2g5cF64q_ZJ3RadWZvA&amp;usp=drive_copy" TargetMode="External"/><Relationship Id="rId270" Type="http://schemas.openxmlformats.org/officeDocument/2006/relationships/hyperlink" Target="https://drive.google.com/open?id=1vzcQgcLf7M1jwzYy0zjP2mx2rhGh3X-L&amp;usp=drive_copy" TargetMode="External"/><Relationship Id="rId89" Type="http://schemas.openxmlformats.org/officeDocument/2006/relationships/hyperlink" Target="https://drive.google.com/open?id=1pbh-5WlwL1CkiANiD1lvWfV_g-xDSmbi&amp;usp=drive_copy" TargetMode="External"/><Relationship Id="rId80" Type="http://schemas.openxmlformats.org/officeDocument/2006/relationships/hyperlink" Target="https://drive.google.com/open?id=13N7mqEIp8T0mN0FtZkS7Bz6dqI2-woBH&amp;usp=drive_copy" TargetMode="External"/><Relationship Id="rId82" Type="http://schemas.openxmlformats.org/officeDocument/2006/relationships/hyperlink" Target="https://drive.google.com/open?id=1m8MRw59-lcC2FhqxKgwnUeuRcXzbyCc5&amp;usp=drive_copy" TargetMode="External"/><Relationship Id="rId81" Type="http://schemas.openxmlformats.org/officeDocument/2006/relationships/hyperlink" Target="https://drive.google.com/open?id=1r-SDfGo3Tw5nSSguBOzaaMNliW8KF5o3&amp;usp=drive_copy" TargetMode="External"/><Relationship Id="rId1" Type="http://schemas.openxmlformats.org/officeDocument/2006/relationships/hyperlink" Target="https://drive.google.com/open?id=1kLpcL9poEudTeiRoWyDcYMiX8jJkBhwN&amp;usp=drive_copy" TargetMode="External"/><Relationship Id="rId2" Type="http://schemas.openxmlformats.org/officeDocument/2006/relationships/hyperlink" Target="https://drive.google.com/open?id=1-h1Ww8tIQJ5t0yfWNaKtJ1LqkpbEFk1j&amp;usp=drive_copy" TargetMode="External"/><Relationship Id="rId3" Type="http://schemas.openxmlformats.org/officeDocument/2006/relationships/hyperlink" Target="https://drive.google.com/open?id=1BAp8mur8MwIHpjdgHbXQIDEnlg93ttnI&amp;usp=drive_copy" TargetMode="External"/><Relationship Id="rId149" Type="http://schemas.openxmlformats.org/officeDocument/2006/relationships/hyperlink" Target="https://drive.google.com/open?id=1sSKhtdaH0W0cNMZSrBETqTCyzAEy7Vtt&amp;usp=drive_copy" TargetMode="External"/><Relationship Id="rId4" Type="http://schemas.openxmlformats.org/officeDocument/2006/relationships/hyperlink" Target="https://drive.google.com/open?id=18OqFXFEA1R52dFJkUNw9rhuEdeKV7_1n&amp;usp=drive_copy" TargetMode="External"/><Relationship Id="rId148" Type="http://schemas.openxmlformats.org/officeDocument/2006/relationships/hyperlink" Target="https://drive.google.com/open?id=1WqxOPUk66UaWq9vxOzNnq7-zfZ4XAc4G&amp;usp=drive_copy" TargetMode="External"/><Relationship Id="rId269" Type="http://schemas.openxmlformats.org/officeDocument/2006/relationships/hyperlink" Target="https://drive.google.com/open?id=1qMnrlcorxJquWUMvRZlLyNBPExhEx-Ca&amp;usp=drive_copy" TargetMode="External"/><Relationship Id="rId9" Type="http://schemas.openxmlformats.org/officeDocument/2006/relationships/hyperlink" Target="https://drive.google.com/open?id=14mkcNXa_1ljfJU59rgd61g8cOkLS6vGb&amp;usp=drive_copy" TargetMode="External"/><Relationship Id="rId143" Type="http://schemas.openxmlformats.org/officeDocument/2006/relationships/hyperlink" Target="https://drive.google.com/open?id=1kf7GA0due6PUk0f__Kk7KXZu699a6fAl&amp;usp=drive_copy" TargetMode="External"/><Relationship Id="rId264" Type="http://schemas.openxmlformats.org/officeDocument/2006/relationships/hyperlink" Target="https://drive.google.com/open?id=1R0PaF1LsyzKNGQuWV8LMI6Q-IRkGDxei&amp;usp=drive_copy" TargetMode="External"/><Relationship Id="rId142" Type="http://schemas.openxmlformats.org/officeDocument/2006/relationships/hyperlink" Target="https://drive.google.com/open?id=1ibBETjwpwYhc3pZq-PQJ38xx41lI6mD-&amp;usp=drive_copy" TargetMode="External"/><Relationship Id="rId263" Type="http://schemas.openxmlformats.org/officeDocument/2006/relationships/hyperlink" Target="https://drive.google.com/open?id=1OQK6AzEv4PGCC3P48U-t_3pyROQRiNjX&amp;usp=drive_copy" TargetMode="External"/><Relationship Id="rId141" Type="http://schemas.openxmlformats.org/officeDocument/2006/relationships/hyperlink" Target="https://drive.google.com/open?id=1Rns3_1yBpNbyBIYV0CLwKQ1ePuVGckJl&amp;usp=drive_copy" TargetMode="External"/><Relationship Id="rId262" Type="http://schemas.openxmlformats.org/officeDocument/2006/relationships/hyperlink" Target="https://drive.google.com/open?id=1nk_b0H9Hi93deCrGfI33rcwmrKWUxe3h&amp;usp=drive_copy" TargetMode="External"/><Relationship Id="rId140" Type="http://schemas.openxmlformats.org/officeDocument/2006/relationships/hyperlink" Target="https://drive.google.com/open?id=1VlHuhjx2z9-UXKi8zzbiSr4aoc3IxJLt&amp;usp=drive_copy" TargetMode="External"/><Relationship Id="rId261" Type="http://schemas.openxmlformats.org/officeDocument/2006/relationships/hyperlink" Target="https://drive.google.com/open?id=149XpmRcFfQiR-aU6j7tlUtAIZWuna_8m&amp;usp=drive_copy" TargetMode="External"/><Relationship Id="rId5" Type="http://schemas.openxmlformats.org/officeDocument/2006/relationships/hyperlink" Target="https://drive.google.com/open?id=1FOTcXprHywf45lLFdqfj1ooztTOqJz2M&amp;usp=drive_copy" TargetMode="External"/><Relationship Id="rId147" Type="http://schemas.openxmlformats.org/officeDocument/2006/relationships/hyperlink" Target="https://drive.google.com/open?id=1V48YDCWeruljBSdKs0cAm-niJT1QXFD-&amp;usp=drive_copy" TargetMode="External"/><Relationship Id="rId268" Type="http://schemas.openxmlformats.org/officeDocument/2006/relationships/hyperlink" Target="https://drive.google.com/open?id=1R-stBof5Ckg2dBKdWexEcOuHNJ5bjlp_&amp;usp=drive_copy" TargetMode="External"/><Relationship Id="rId6" Type="http://schemas.openxmlformats.org/officeDocument/2006/relationships/hyperlink" Target="https://drive.google.com/open?id=1jXiQFb5HNQQysx0vaz-htXzQi1SxNNPe&amp;usp=drive_copy" TargetMode="External"/><Relationship Id="rId146" Type="http://schemas.openxmlformats.org/officeDocument/2006/relationships/hyperlink" Target="https://drive.google.com/open?id=15feTiIf6SEe1zJMB8FShqWs_FwTRmsdu&amp;usp=drive_copy" TargetMode="External"/><Relationship Id="rId267" Type="http://schemas.openxmlformats.org/officeDocument/2006/relationships/hyperlink" Target="https://drive.google.com/open?id=1iBTIliHMPu1AGRjLnOTPSXVYYHSfzxFQ&amp;usp=drive_copy" TargetMode="External"/><Relationship Id="rId7" Type="http://schemas.openxmlformats.org/officeDocument/2006/relationships/hyperlink" Target="https://drive.google.com/open?id=1pUk574oCff6qVCXPSchEf8WiR4ptX3TR&amp;usp=drive_copy" TargetMode="External"/><Relationship Id="rId145" Type="http://schemas.openxmlformats.org/officeDocument/2006/relationships/hyperlink" Target="https://drive.google.com/open?id=1V8EpLe00seAFO6ndBJSbw5Iakq06biif&amp;usp=drive_copy" TargetMode="External"/><Relationship Id="rId266" Type="http://schemas.openxmlformats.org/officeDocument/2006/relationships/hyperlink" Target="https://drive.google.com/open?id=1yE5xSbrxmr457PhIdaMM7x0dbutzZlM-&amp;usp=drive_copy" TargetMode="External"/><Relationship Id="rId8" Type="http://schemas.openxmlformats.org/officeDocument/2006/relationships/hyperlink" Target="https://drive.google.com/open?id=1qkrhA_UKQvcD1rtNzWzb9apuoJxbJ8I9&amp;usp=drive_copy" TargetMode="External"/><Relationship Id="rId144" Type="http://schemas.openxmlformats.org/officeDocument/2006/relationships/hyperlink" Target="https://drive.google.com/open?id=1LSv1vqqCpAXaXOrLWfEjh1-7viY-bJ97&amp;usp=drive_copy" TargetMode="External"/><Relationship Id="rId265" Type="http://schemas.openxmlformats.org/officeDocument/2006/relationships/hyperlink" Target="https://drive.google.com/open?id=1Bbk4E4jIFM4q9nn-1PNkx1cLWf26nhE3&amp;usp=drive_copy" TargetMode="External"/><Relationship Id="rId73" Type="http://schemas.openxmlformats.org/officeDocument/2006/relationships/hyperlink" Target="https://drive.google.com/open?id=13U9DrHIsjHh9Fw-J89qSf3weVGCYKg-m&amp;usp=drive_copy" TargetMode="External"/><Relationship Id="rId72" Type="http://schemas.openxmlformats.org/officeDocument/2006/relationships/hyperlink" Target="https://drive.google.com/open?id=15aq-cc01ud4z1GQ3unuHzLGcsl7yg10w&amp;usp=drive_copy" TargetMode="External"/><Relationship Id="rId75" Type="http://schemas.openxmlformats.org/officeDocument/2006/relationships/hyperlink" Target="https://drive.google.com/open?id=15Tg_8Ur0hQlOxkSVxMdq1CMLJegQffYf&amp;usp=drive_copy" TargetMode="External"/><Relationship Id="rId74" Type="http://schemas.openxmlformats.org/officeDocument/2006/relationships/hyperlink" Target="https://drive.google.com/open?id=1vYXUgXtQ4SoOktK8xsLWdaUvkfgO2Owm&amp;usp=drive_copy" TargetMode="External"/><Relationship Id="rId77" Type="http://schemas.openxmlformats.org/officeDocument/2006/relationships/hyperlink" Target="https://drive.google.com/open?id=18w4Pr74Qp1-5TOfFkAzjal6vkEJZrDkU&amp;usp=drive_copy" TargetMode="External"/><Relationship Id="rId260" Type="http://schemas.openxmlformats.org/officeDocument/2006/relationships/hyperlink" Target="https://drive.google.com/open?id=1q8oJEWokCptWIHCPIdYclfoJL06ZEdiF&amp;usp=drive_copy" TargetMode="External"/><Relationship Id="rId76" Type="http://schemas.openxmlformats.org/officeDocument/2006/relationships/hyperlink" Target="https://drive.google.com/open?id=1lnJBH3f82DZBPx7coXggNgWVZORK6pls&amp;usp=drive_copy" TargetMode="External"/><Relationship Id="rId79" Type="http://schemas.openxmlformats.org/officeDocument/2006/relationships/hyperlink" Target="https://drive.google.com/open?id=1cLYQDh-f4MLXier1Y_W9-EkTWhgr36K9&amp;usp=drive_copy" TargetMode="External"/><Relationship Id="rId78" Type="http://schemas.openxmlformats.org/officeDocument/2006/relationships/hyperlink" Target="https://drive.google.com/open?id=1XE-i_VScCkaQnSRzPUgqFN5F-tvkZ0C8&amp;usp=drive_copy" TargetMode="External"/><Relationship Id="rId71" Type="http://schemas.openxmlformats.org/officeDocument/2006/relationships/hyperlink" Target="https://drive.google.com/open?id=1EqksWB9JSmDU4NMSPxeepzU-9YtsdSc3&amp;usp=drive_copy" TargetMode="External"/><Relationship Id="rId70" Type="http://schemas.openxmlformats.org/officeDocument/2006/relationships/hyperlink" Target="https://drive.google.com/open?id=1anVs0lqqf6GyiUhdJNe4Nonf4T4kpadW&amp;usp=drive_copy" TargetMode="External"/><Relationship Id="rId139" Type="http://schemas.openxmlformats.org/officeDocument/2006/relationships/hyperlink" Target="https://drive.google.com/open?id=1_eF2nVf6gmGAAZbySeJgBEOmo9BTXXMJ&amp;usp=drive_copy" TargetMode="External"/><Relationship Id="rId138" Type="http://schemas.openxmlformats.org/officeDocument/2006/relationships/hyperlink" Target="https://drive.google.com/open?id=1F2hFYFux8kkdu8fC6hvpiVF97QOFbxJk&amp;usp=drive_copy" TargetMode="External"/><Relationship Id="rId259" Type="http://schemas.openxmlformats.org/officeDocument/2006/relationships/hyperlink" Target="https://drive.google.com/open?id=1tGPLExGAPz1yzk6asv781uJll7Yo8cxX&amp;usp=drive_copy" TargetMode="External"/><Relationship Id="rId137" Type="http://schemas.openxmlformats.org/officeDocument/2006/relationships/hyperlink" Target="https://drive.google.com/open?id=1W6NdI6qP031v5lYdYbruC0_45Fwso3VA&amp;usp=drive_copy" TargetMode="External"/><Relationship Id="rId258" Type="http://schemas.openxmlformats.org/officeDocument/2006/relationships/hyperlink" Target="https://drive.google.com/open?id=1BPwzI0mOGTJ3pQCSoQamEAmsWJsxI-tq&amp;usp=drive_copy" TargetMode="External"/><Relationship Id="rId132" Type="http://schemas.openxmlformats.org/officeDocument/2006/relationships/hyperlink" Target="https://drive.google.com/open?id=1EeM9vzzR1uNIQbalmaB826kAQMRGsPiK&amp;usp=drive_copy" TargetMode="External"/><Relationship Id="rId253" Type="http://schemas.openxmlformats.org/officeDocument/2006/relationships/hyperlink" Target="https://drive.google.com/open?id=1SwrbjQ1O_yu3xq6D9KrpaaoTmmQqdVJe&amp;usp=drive_copy" TargetMode="External"/><Relationship Id="rId131" Type="http://schemas.openxmlformats.org/officeDocument/2006/relationships/hyperlink" Target="https://drive.google.com/open?id=1SKkr3297HlXphZ9EyrXClPpAX3rNv1CD&amp;usp=drive_copy" TargetMode="External"/><Relationship Id="rId252" Type="http://schemas.openxmlformats.org/officeDocument/2006/relationships/hyperlink" Target="https://drive.google.com/open?id=1Uaq0eggzQ8gEM8sVRingzXYYBGrqLIpD&amp;usp=drive_copy" TargetMode="External"/><Relationship Id="rId130" Type="http://schemas.openxmlformats.org/officeDocument/2006/relationships/hyperlink" Target="https://drive.google.com/open?id=1OFAEDJAXQJpdDWMNKwxc6-MnkTaMIyTW&amp;usp=drive_copy" TargetMode="External"/><Relationship Id="rId251" Type="http://schemas.openxmlformats.org/officeDocument/2006/relationships/hyperlink" Target="https://drive.google.com/open?id=1rQCEX62rgyxlqTLmRrX-YjFOUqKqKbzM&amp;usp=drive_copy" TargetMode="External"/><Relationship Id="rId250" Type="http://schemas.openxmlformats.org/officeDocument/2006/relationships/hyperlink" Target="https://drive.google.com/open?id=19omLkMf5Rc--LcmHI7mAnGfGXGpYqPQv&amp;usp=drive_copy" TargetMode="External"/><Relationship Id="rId136" Type="http://schemas.openxmlformats.org/officeDocument/2006/relationships/hyperlink" Target="https://drive.google.com/open?id=1dwM_BceRbbH0IVq2PyG5HgjhSwaLcgmE&amp;usp=drive_copy" TargetMode="External"/><Relationship Id="rId257" Type="http://schemas.openxmlformats.org/officeDocument/2006/relationships/hyperlink" Target="https://drive.google.com/open?id=1__ciUB_ANhEcB0I_0LmuAAu8IF7z4sC0&amp;usp=drive_copy" TargetMode="External"/><Relationship Id="rId135" Type="http://schemas.openxmlformats.org/officeDocument/2006/relationships/hyperlink" Target="https://drive.google.com/open?id=1eChdO77p9m8Yj7Iiv8NugaOYxXtZIqVa&amp;usp=drive_copy" TargetMode="External"/><Relationship Id="rId256" Type="http://schemas.openxmlformats.org/officeDocument/2006/relationships/hyperlink" Target="https://drive.google.com/open?id=13mmc14UjwrhPF1Uj2PLtctANtQH9zg4P&amp;usp=drive_copy" TargetMode="External"/><Relationship Id="rId134" Type="http://schemas.openxmlformats.org/officeDocument/2006/relationships/hyperlink" Target="https://drive.google.com/open?id=10vmHqiVlt4HdH7UMDTiy1Fzh_dHmE5Z7&amp;usp=drive_copy" TargetMode="External"/><Relationship Id="rId255" Type="http://schemas.openxmlformats.org/officeDocument/2006/relationships/hyperlink" Target="https://drive.google.com/open?id=1BdnZpRntA2upO2-m34E5zliBBAGwLoga&amp;usp=drive_copy" TargetMode="External"/><Relationship Id="rId133" Type="http://schemas.openxmlformats.org/officeDocument/2006/relationships/hyperlink" Target="https://drive.google.com/open?id=1a4fgxev6i9Gh3sjogo4zuEFmel5Traf7&amp;usp=drive_copy" TargetMode="External"/><Relationship Id="rId254" Type="http://schemas.openxmlformats.org/officeDocument/2006/relationships/hyperlink" Target="https://drive.google.com/open?id=1YPOhvlV2e9Tw_rZfymyr_r9mTaAsS39b&amp;usp=drive_copy" TargetMode="External"/><Relationship Id="rId62" Type="http://schemas.openxmlformats.org/officeDocument/2006/relationships/hyperlink" Target="https://drive.google.com/open?id=1QSYxVxcZiKBMpWF6xz7lKfTAA4a92t16&amp;usp=drive_copy" TargetMode="External"/><Relationship Id="rId61" Type="http://schemas.openxmlformats.org/officeDocument/2006/relationships/hyperlink" Target="https://drive.google.com/open?id=1jcoTE_zc0e5MOQm3L4zpPGGfAxhE0iJu&amp;usp=drive_copy" TargetMode="External"/><Relationship Id="rId64" Type="http://schemas.openxmlformats.org/officeDocument/2006/relationships/hyperlink" Target="https://drive.google.com/open?id=1JxH_RvK61Ane_WDW1Qnqce0LV8DDF2AV&amp;usp=drive_copy" TargetMode="External"/><Relationship Id="rId63" Type="http://schemas.openxmlformats.org/officeDocument/2006/relationships/hyperlink" Target="https://drive.google.com/open?id=1jTFk1Rcs20L0LrHwikBtB6ANkrxqfWDC&amp;usp=drive_copy" TargetMode="External"/><Relationship Id="rId66" Type="http://schemas.openxmlformats.org/officeDocument/2006/relationships/hyperlink" Target="https://drive.google.com/open?id=1uoAF4IsoEpRNWIF82cxdjosLWELd0Boe&amp;usp=drive_copy" TargetMode="External"/><Relationship Id="rId172" Type="http://schemas.openxmlformats.org/officeDocument/2006/relationships/hyperlink" Target="https://drive.google.com/open?id=1Plg3SOcinTh6HVf6IIA26jdv695Pofwo&amp;usp=drive_copy" TargetMode="External"/><Relationship Id="rId293" Type="http://schemas.openxmlformats.org/officeDocument/2006/relationships/hyperlink" Target="https://drive.google.com/open?id=1Kc8BRz2fYdRdv5a065xCF4F_AMsAtTYC&amp;usp=drive_copy" TargetMode="External"/><Relationship Id="rId65" Type="http://schemas.openxmlformats.org/officeDocument/2006/relationships/hyperlink" Target="https://drive.google.com/open?id=15U-yz4Cta3h8YyxZ7zQHoTqicUIs18Ad&amp;usp=drive_copy" TargetMode="External"/><Relationship Id="rId171" Type="http://schemas.openxmlformats.org/officeDocument/2006/relationships/hyperlink" Target="https://drive.google.com/open?id=1RxBQibPanAX0OBc8H0LUElZEV89msrL7&amp;usp=drive_copy" TargetMode="External"/><Relationship Id="rId292" Type="http://schemas.openxmlformats.org/officeDocument/2006/relationships/hyperlink" Target="https://drive.google.com/open?id=1Cq1SzaJHhTywhxOmJwRxFAzIHwrdn8Vh&amp;usp=drive_copy" TargetMode="External"/><Relationship Id="rId68" Type="http://schemas.openxmlformats.org/officeDocument/2006/relationships/hyperlink" Target="https://drive.google.com/open?id=1pqvA81lXNMpa84UJxijDy6-PWrvSHQiO&amp;usp=drive_copy" TargetMode="External"/><Relationship Id="rId170" Type="http://schemas.openxmlformats.org/officeDocument/2006/relationships/hyperlink" Target="https://drive.google.com/open?id=1FJ_d3bF0ReaeZroWArXUf0AUOIGQf5BP&amp;usp=drive_copy" TargetMode="External"/><Relationship Id="rId291" Type="http://schemas.openxmlformats.org/officeDocument/2006/relationships/hyperlink" Target="https://drive.google.com/open?id=1KqjJ2_Oe8RdmW0mMeH1ySiM8GT5h8WMy&amp;usp=drive_copy" TargetMode="External"/><Relationship Id="rId67" Type="http://schemas.openxmlformats.org/officeDocument/2006/relationships/hyperlink" Target="https://drive.google.com/open?id=1Q7eO8t_wyWBd8CrWGn4l7Cl1s6LfhifU&amp;usp=drive_copy" TargetMode="External"/><Relationship Id="rId290" Type="http://schemas.openxmlformats.org/officeDocument/2006/relationships/hyperlink" Target="https://drive.google.com/open?id=1c6p4NJsVs6l78_x9RyMG55j_1-0hv70b&amp;usp=drive_copy" TargetMode="External"/><Relationship Id="rId60" Type="http://schemas.openxmlformats.org/officeDocument/2006/relationships/hyperlink" Target="https://drive.google.com/open?id=1BQpqw8Jebstz8kIplVqvQBzFj6OAmp5B&amp;usp=drive_copy" TargetMode="External"/><Relationship Id="rId165" Type="http://schemas.openxmlformats.org/officeDocument/2006/relationships/hyperlink" Target="https://drive.google.com/open?id=1TpTUEhx76D-TwRbOHut19qyK_xc08RdJ&amp;usp=drive_copy" TargetMode="External"/><Relationship Id="rId286" Type="http://schemas.openxmlformats.org/officeDocument/2006/relationships/hyperlink" Target="https://drive.google.com/open?id=11s66ufksRd_wzEw15XXGJ5aPYvIUUcYo&amp;usp=drive_copy" TargetMode="External"/><Relationship Id="rId69" Type="http://schemas.openxmlformats.org/officeDocument/2006/relationships/hyperlink" Target="https://drive.google.com/open?id=1lXmNOz47E-llAJOPsXqKndetfPxaoKC1&amp;usp=drive_copy" TargetMode="External"/><Relationship Id="rId164" Type="http://schemas.openxmlformats.org/officeDocument/2006/relationships/hyperlink" Target="https://drive.google.com/open?id=1N1ufaiX69_z1JZxXD0jK3I5C17Kaazvj&amp;usp=drive_copy" TargetMode="External"/><Relationship Id="rId285" Type="http://schemas.openxmlformats.org/officeDocument/2006/relationships/hyperlink" Target="https://drive.google.com/open?id=14SPCjyL6HUv91RIaO_BAPLvglKvAEh-8&amp;usp=drive_copy" TargetMode="External"/><Relationship Id="rId163" Type="http://schemas.openxmlformats.org/officeDocument/2006/relationships/hyperlink" Target="https://drive.google.com/open?id=1vAvEPgv1-Qd8qos_kE24rpEM9145fNM_&amp;usp=drive_copy" TargetMode="External"/><Relationship Id="rId284" Type="http://schemas.openxmlformats.org/officeDocument/2006/relationships/hyperlink" Target="https://drive.google.com/open?id=1eUgsvI_UN5SAUzVREOuNngQ6cJ4Zc2B6&amp;usp=drive_copy" TargetMode="External"/><Relationship Id="rId162" Type="http://schemas.openxmlformats.org/officeDocument/2006/relationships/hyperlink" Target="https://drive.google.com/open?id=1tdw1Ta3tSw6aEqxXD30bNeBvMaBP1sGZ&amp;usp=drive_copy" TargetMode="External"/><Relationship Id="rId283" Type="http://schemas.openxmlformats.org/officeDocument/2006/relationships/hyperlink" Target="https://drive.google.com/open?id=164KrQmCJSC0HZYA-OAcXZlX6vUZEtsYR&amp;usp=drive_copy" TargetMode="External"/><Relationship Id="rId169" Type="http://schemas.openxmlformats.org/officeDocument/2006/relationships/hyperlink" Target="https://drive.google.com/open?id=1JmmLeZOL544bqK7PhxhmKNNqFKKlUBc5&amp;usp=drive_copy" TargetMode="External"/><Relationship Id="rId168" Type="http://schemas.openxmlformats.org/officeDocument/2006/relationships/hyperlink" Target="https://drive.google.com/open?id=1oBTMbaU6fyOIsHAawPqe3U2-i5zYY9e2&amp;usp=drive_copy" TargetMode="External"/><Relationship Id="rId289" Type="http://schemas.openxmlformats.org/officeDocument/2006/relationships/hyperlink" Target="https://drive.google.com/open?id=1U0yVKc5ie8FG7B5cXMZiGH1YVHhO3HN2&amp;usp=drive_copy" TargetMode="External"/><Relationship Id="rId167" Type="http://schemas.openxmlformats.org/officeDocument/2006/relationships/hyperlink" Target="https://drive.google.com/open?id=1mN1rDa_OxXTj94mvUglBJ0wjy8ymD52Y&amp;usp=drive_copy" TargetMode="External"/><Relationship Id="rId288" Type="http://schemas.openxmlformats.org/officeDocument/2006/relationships/hyperlink" Target="https://drive.google.com/open?id=1Q9VxM7YXKDxDTA8nVH8f7NPHt6sE-O8o&amp;usp=drive_copy" TargetMode="External"/><Relationship Id="rId166" Type="http://schemas.openxmlformats.org/officeDocument/2006/relationships/hyperlink" Target="https://drive.google.com/open?id=1J1AWQu45sAw4DHsotkpChR1RfObSI3ee&amp;usp=drive_copy" TargetMode="External"/><Relationship Id="rId287" Type="http://schemas.openxmlformats.org/officeDocument/2006/relationships/hyperlink" Target="https://drive.google.com/open?id=1w4bOX__geyH0phouifoZNppcWNYnBD-t&amp;usp=drive_copy" TargetMode="External"/><Relationship Id="rId51" Type="http://schemas.openxmlformats.org/officeDocument/2006/relationships/hyperlink" Target="https://drive.google.com/open?id=1PmOtR-1bJYulcqHlM0USiYCTC3GTxQOU&amp;usp=drive_copy" TargetMode="External"/><Relationship Id="rId50" Type="http://schemas.openxmlformats.org/officeDocument/2006/relationships/hyperlink" Target="https://drive.google.com/open?id=1IW_9sfbzh8IdDDFfJlH_AmFzk85cwHgY&amp;usp=drive_copy" TargetMode="External"/><Relationship Id="rId53" Type="http://schemas.openxmlformats.org/officeDocument/2006/relationships/hyperlink" Target="https://drive.google.com/open?id=15fpoSxH0InWDLfVJkGVPAS0c61_qdqXv&amp;usp=drive_copy" TargetMode="External"/><Relationship Id="rId52" Type="http://schemas.openxmlformats.org/officeDocument/2006/relationships/hyperlink" Target="https://drive.google.com/open?id=1WFSUHkKfIleIij6YjBpJcxKsyvhGOCiI&amp;usp=drive_copy" TargetMode="External"/><Relationship Id="rId55" Type="http://schemas.openxmlformats.org/officeDocument/2006/relationships/hyperlink" Target="https://drive.google.com/open?id=1lOh8E8xEtXAknhhK3tW0QbrxWJTkfWsx&amp;usp=drive_copy" TargetMode="External"/><Relationship Id="rId161" Type="http://schemas.openxmlformats.org/officeDocument/2006/relationships/hyperlink" Target="https://drive.google.com/open?id=1KEP6-PFuGZ3mj_iqYhf9Zm9hnoqbaypU&amp;usp=drive_copy" TargetMode="External"/><Relationship Id="rId282" Type="http://schemas.openxmlformats.org/officeDocument/2006/relationships/hyperlink" Target="https://drive.google.com/open?id=1mA1kECH9ySgnb8d9kt5z994IwSAI4yTl&amp;usp=drive_copy" TargetMode="External"/><Relationship Id="rId54" Type="http://schemas.openxmlformats.org/officeDocument/2006/relationships/hyperlink" Target="https://drive.google.com/open?id=1rBl3fDVyCUKg5pzxswzeGpDWnik1XynF&amp;usp=drive_copy" TargetMode="External"/><Relationship Id="rId160" Type="http://schemas.openxmlformats.org/officeDocument/2006/relationships/hyperlink" Target="https://drive.google.com/open?id=1B-CxNypNrd7hwcn_2MTPbRWESEUimhqg&amp;usp=drive_copy" TargetMode="External"/><Relationship Id="rId281" Type="http://schemas.openxmlformats.org/officeDocument/2006/relationships/hyperlink" Target="https://drive.google.com/open?id=1rXKYqwghH4WkP_JDiuf7dXJGS465z7HI&amp;usp=drive_copy" TargetMode="External"/><Relationship Id="rId57" Type="http://schemas.openxmlformats.org/officeDocument/2006/relationships/hyperlink" Target="https://drive.google.com/open?id=1nJY_a1sFTyH2-S8YAfaHtZ6BQn-T7zPw&amp;usp=drive_copy" TargetMode="External"/><Relationship Id="rId280" Type="http://schemas.openxmlformats.org/officeDocument/2006/relationships/hyperlink" Target="https://drive.google.com/open?id=1X3FwuIfakNEOwD02dGiNx30gSfbXaAHp&amp;usp=drive_copy" TargetMode="External"/><Relationship Id="rId56" Type="http://schemas.openxmlformats.org/officeDocument/2006/relationships/hyperlink" Target="https://drive.google.com/open?id=1JRdv6IDL36Yl7TdTj_Tws5mbSuY92Ye9&amp;usp=drive_copy" TargetMode="External"/><Relationship Id="rId159" Type="http://schemas.openxmlformats.org/officeDocument/2006/relationships/hyperlink" Target="https://drive.google.com/open?id=1E4sYyunhp4IaG072P19UdT-z-8TMElzM&amp;usp=drive_copy" TargetMode="External"/><Relationship Id="rId59" Type="http://schemas.openxmlformats.org/officeDocument/2006/relationships/hyperlink" Target="https://drive.google.com/open?id=1-8ACwBsxeQBx1zaJL7nCwcYacHLsQv5m&amp;usp=drive_copy" TargetMode="External"/><Relationship Id="rId154" Type="http://schemas.openxmlformats.org/officeDocument/2006/relationships/hyperlink" Target="https://drive.google.com/open?id=1Xa0vQca0Yy7gIJhfy45K93SNoOXh6Ak6&amp;usp=drive_copy" TargetMode="External"/><Relationship Id="rId275" Type="http://schemas.openxmlformats.org/officeDocument/2006/relationships/hyperlink" Target="https://drive.google.com/open?id=1UCUpKmkw1k8EQ7JsmdOMAmesQIxxVsv9&amp;usp=drive_copy" TargetMode="External"/><Relationship Id="rId58" Type="http://schemas.openxmlformats.org/officeDocument/2006/relationships/hyperlink" Target="https://drive.google.com/open?id=1SE_r7fzuKN2EUhw1-05WETrOVlrZg0Ba&amp;usp=drive_copy" TargetMode="External"/><Relationship Id="rId153" Type="http://schemas.openxmlformats.org/officeDocument/2006/relationships/hyperlink" Target="https://drive.google.com/open?id=1T6W6V7GbMPxZ1K87VW_1bzz7Kw1aumhI&amp;usp=drive_copy" TargetMode="External"/><Relationship Id="rId274" Type="http://schemas.openxmlformats.org/officeDocument/2006/relationships/hyperlink" Target="https://drive.google.com/open?id=1mBsgYKJZGocsa-62hP-t0PDu1d3bJIam&amp;usp=drive_copy" TargetMode="External"/><Relationship Id="rId152" Type="http://schemas.openxmlformats.org/officeDocument/2006/relationships/hyperlink" Target="https://drive.google.com/open?id=1guaM4LvHsfrCjf2NvGEGDzerimNoEBAo&amp;usp=drive_copy" TargetMode="External"/><Relationship Id="rId273" Type="http://schemas.openxmlformats.org/officeDocument/2006/relationships/hyperlink" Target="https://drive.google.com/open?id=1bVd7EdLv2q9lK3Bjd9_rwD5CKLwa6Hmq&amp;usp=drive_copy" TargetMode="External"/><Relationship Id="rId151" Type="http://schemas.openxmlformats.org/officeDocument/2006/relationships/hyperlink" Target="https://drive.google.com/open?id=1MDbvA7whXEhHHVpXEu_D_s9w_ulCqYYG&amp;usp=drive_copy" TargetMode="External"/><Relationship Id="rId272" Type="http://schemas.openxmlformats.org/officeDocument/2006/relationships/hyperlink" Target="https://drive.google.com/open?id=1ynIoW0wAEk_M_X8D8cgwYAfmi_tN9cxe&amp;usp=drive_copy" TargetMode="External"/><Relationship Id="rId158" Type="http://schemas.openxmlformats.org/officeDocument/2006/relationships/hyperlink" Target="https://drive.google.com/open?id=1A6s1OwuVXQtmRHRcz9Ajmr5LagDZTuzh&amp;usp=drive_copy" TargetMode="External"/><Relationship Id="rId279" Type="http://schemas.openxmlformats.org/officeDocument/2006/relationships/hyperlink" Target="https://drive.google.com/open?id=1Wj50LEIlTnAgIkkyRRvwZOaetnC3ejc7&amp;usp=drive_copy" TargetMode="External"/><Relationship Id="rId157" Type="http://schemas.openxmlformats.org/officeDocument/2006/relationships/hyperlink" Target="https://drive.google.com/open?id=1oiuM1vdVNgavuyVeeIceyRqtQYigTrKb&amp;usp=drive_copy" TargetMode="External"/><Relationship Id="rId278" Type="http://schemas.openxmlformats.org/officeDocument/2006/relationships/hyperlink" Target="https://drive.google.com/open?id=1tv_Yq9WPVyRC1q_GC7wXzlrTLFYGZlOh&amp;usp=drive_copy" TargetMode="External"/><Relationship Id="rId156" Type="http://schemas.openxmlformats.org/officeDocument/2006/relationships/hyperlink" Target="https://drive.google.com/open?id=1ISImA9sBPFE7hy6vMQ9BKDHIfweHxe6-&amp;usp=drive_copy" TargetMode="External"/><Relationship Id="rId277" Type="http://schemas.openxmlformats.org/officeDocument/2006/relationships/hyperlink" Target="https://drive.google.com/open?id=1PNAIoIdf_Djtpw18bZDe1Z18RKLIgPqR&amp;usp=drive_copy" TargetMode="External"/><Relationship Id="rId155" Type="http://schemas.openxmlformats.org/officeDocument/2006/relationships/hyperlink" Target="https://drive.google.com/open?id=1Kf7fhPKh7aUdfa4enq9em_jRPLK0YpXr&amp;usp=drive_copy" TargetMode="External"/><Relationship Id="rId276" Type="http://schemas.openxmlformats.org/officeDocument/2006/relationships/hyperlink" Target="https://drive.google.com/open?id=18Wvx6J8FeF0hBq5Ig4rkxd7LCLe3Hzse&amp;usp=drive_copy" TargetMode="External"/><Relationship Id="rId107" Type="http://schemas.openxmlformats.org/officeDocument/2006/relationships/hyperlink" Target="https://drive.google.com/open?id=1n6mL2CuqYRJt4ob7HSdGHdKkHYPhAzkh&amp;usp=drive_copy" TargetMode="External"/><Relationship Id="rId228" Type="http://schemas.openxmlformats.org/officeDocument/2006/relationships/hyperlink" Target="https://drive.google.com/open?id=1RAcpEzoKexo7qB95wIA2MMMTkDCKKRoZ&amp;usp=drive_copy" TargetMode="External"/><Relationship Id="rId106" Type="http://schemas.openxmlformats.org/officeDocument/2006/relationships/hyperlink" Target="https://drive.google.com/open?id=1dWFZVPTaeRtlK8ljNILssGyzXEm5no0e&amp;usp=drive_copy" TargetMode="External"/><Relationship Id="rId227" Type="http://schemas.openxmlformats.org/officeDocument/2006/relationships/hyperlink" Target="https://drive.google.com/open?id=1V1osVZGZgFqb-mjQaIHCtK7lUeuwgQxQ&amp;usp=drive_copy" TargetMode="External"/><Relationship Id="rId105" Type="http://schemas.openxmlformats.org/officeDocument/2006/relationships/hyperlink" Target="https://drive.google.com/open?id=1XfKwk0F7soaeaM5FOq0qZNiGoihwydfw&amp;usp=drive_copy" TargetMode="External"/><Relationship Id="rId226" Type="http://schemas.openxmlformats.org/officeDocument/2006/relationships/hyperlink" Target="https://drive.google.com/open?id=1b-8svUeew_wJ4-16Bi_7wgJmqnChfSj4&amp;usp=drive_copy" TargetMode="External"/><Relationship Id="rId104" Type="http://schemas.openxmlformats.org/officeDocument/2006/relationships/hyperlink" Target="https://drive.google.com/open?id=1Ogur5ulHDC2qgAqgXAWMOTdce12vTv-h&amp;usp=drive_copy" TargetMode="External"/><Relationship Id="rId225" Type="http://schemas.openxmlformats.org/officeDocument/2006/relationships/hyperlink" Target="https://drive.google.com/open?id=1rD5-gN5F7uvlMK6lMMxnszdGNloScQg9&amp;usp=drive_copy" TargetMode="External"/><Relationship Id="rId109" Type="http://schemas.openxmlformats.org/officeDocument/2006/relationships/hyperlink" Target="https://drive.google.com/open?id=11ifglpy1eyod6zDY333F0SROq3c89SBa&amp;usp=drive_copy" TargetMode="External"/><Relationship Id="rId108" Type="http://schemas.openxmlformats.org/officeDocument/2006/relationships/hyperlink" Target="https://drive.google.com/open?id=1a7AHB2XynnDQSf14N-PJP65ThVLORwoX&amp;usp=drive_copy" TargetMode="External"/><Relationship Id="rId229" Type="http://schemas.openxmlformats.org/officeDocument/2006/relationships/hyperlink" Target="https://drive.google.com/open?id=11DTgDEde_4EYKKi_AvDIKFX8BYISWaFe&amp;usp=drive_copy" TargetMode="External"/><Relationship Id="rId220" Type="http://schemas.openxmlformats.org/officeDocument/2006/relationships/hyperlink" Target="https://drive.google.com/open?id=1rD5-gN5F7uvlMK6lMMxnszdGNloScQg9&amp;usp=drive_copy" TargetMode="External"/><Relationship Id="rId103" Type="http://schemas.openxmlformats.org/officeDocument/2006/relationships/hyperlink" Target="https://drive.google.com/open?id=15Q25MrP_4bzWZxUZHi6HeKP9eHbD0Tsf&amp;usp=drive_copy" TargetMode="External"/><Relationship Id="rId224" Type="http://schemas.openxmlformats.org/officeDocument/2006/relationships/hyperlink" Target="https://drive.google.com/open?id=11rKh239kDwzwUlmmAHj569IXsf_TSUCZ&amp;usp=drive_copy" TargetMode="External"/><Relationship Id="rId102" Type="http://schemas.openxmlformats.org/officeDocument/2006/relationships/hyperlink" Target="https://drive.google.com/open?id=11Onk4s02GZ-9x9DauK_UleGCvWxrV0q5&amp;usp=drive_copy" TargetMode="External"/><Relationship Id="rId223" Type="http://schemas.openxmlformats.org/officeDocument/2006/relationships/hyperlink" Target="https://drive.google.com/open?id=1AmI-_lpgdDc6vvZzQqGHt9__m4zS3CDY&amp;usp=drive_copy" TargetMode="External"/><Relationship Id="rId101" Type="http://schemas.openxmlformats.org/officeDocument/2006/relationships/hyperlink" Target="https://drive.google.com/open?id=1KdkfD4J2aDOpu_j45x7uhdLYGYhf_nhs&amp;usp=drive_copy" TargetMode="External"/><Relationship Id="rId222" Type="http://schemas.openxmlformats.org/officeDocument/2006/relationships/hyperlink" Target="https://drive.google.com/open?id=1V1osVZGZgFqb-mjQaIHCtK7lUeuwgQxQ&amp;usp=drive_copy" TargetMode="External"/><Relationship Id="rId100" Type="http://schemas.openxmlformats.org/officeDocument/2006/relationships/hyperlink" Target="https://drive.google.com/open?id=1VSdoEISwlZMDzEQ5PS5TgYDcrLfEIKXC&amp;usp=drive_copy" TargetMode="External"/><Relationship Id="rId221" Type="http://schemas.openxmlformats.org/officeDocument/2006/relationships/hyperlink" Target="https://drive.google.com/open?id=1b-8svUeew_wJ4-16Bi_7wgJmqnChfSj4&amp;usp=drive_copy" TargetMode="External"/><Relationship Id="rId217" Type="http://schemas.openxmlformats.org/officeDocument/2006/relationships/hyperlink" Target="https://drive.google.com/open?id=1xFYe4P7n_8j1iWEwd_xuPJ-MCk9lWM65&amp;usp=drive_copy" TargetMode="External"/><Relationship Id="rId216" Type="http://schemas.openxmlformats.org/officeDocument/2006/relationships/hyperlink" Target="https://drive.google.com/open?id=13TwRh8Ke1srdLOOcF-mH8ML7kZT9qUMz&amp;usp=drive_copy" TargetMode="External"/><Relationship Id="rId215" Type="http://schemas.openxmlformats.org/officeDocument/2006/relationships/hyperlink" Target="https://drive.google.com/open?id=1H_Mq3I1W3I5Mam9H0eGLUfajbzDjvSc6&amp;usp=drive_copy" TargetMode="External"/><Relationship Id="rId214" Type="http://schemas.openxmlformats.org/officeDocument/2006/relationships/hyperlink" Target="https://drive.google.com/open?id=1R_eWuCbsK8ZxTP1YQecQS7Kde-gUInWH&amp;usp=drive_copy" TargetMode="External"/><Relationship Id="rId219" Type="http://schemas.openxmlformats.org/officeDocument/2006/relationships/hyperlink" Target="https://drive.google.com/open?id=1GFcpuc3BCUeNxU7PQlze_qhoFo_SbQ7j&amp;usp=drive_copy" TargetMode="External"/><Relationship Id="rId218" Type="http://schemas.openxmlformats.org/officeDocument/2006/relationships/hyperlink" Target="https://drive.google.com/open?id=13tOknq0C0Dh9VbTHJ9MttiD_suPfiUuG&amp;usp=drive_copy" TargetMode="External"/><Relationship Id="rId213" Type="http://schemas.openxmlformats.org/officeDocument/2006/relationships/hyperlink" Target="https://drive.google.com/open?id=1MejKiX8Gx1MYy1IqS-mM5HjpCNFOQhOy&amp;usp=drive_copy" TargetMode="External"/><Relationship Id="rId212" Type="http://schemas.openxmlformats.org/officeDocument/2006/relationships/hyperlink" Target="https://drive.google.com/open?id=15-G1MNuX7Obd_vHfK0qooGHcqKxl6yd2&amp;usp=drive_copy" TargetMode="External"/><Relationship Id="rId211" Type="http://schemas.openxmlformats.org/officeDocument/2006/relationships/hyperlink" Target="https://drive.google.com/open?id=11M5Aq71AHWuzG1xA5m1yqHPJ8o4xs10t&amp;usp=drive_copy" TargetMode="External"/><Relationship Id="rId210" Type="http://schemas.openxmlformats.org/officeDocument/2006/relationships/hyperlink" Target="https://drive.google.com/open?id=13wSHNuYObqHmevhe-DMlUyA_6lkEDRPL&amp;usp=drive_copy" TargetMode="External"/><Relationship Id="rId129" Type="http://schemas.openxmlformats.org/officeDocument/2006/relationships/hyperlink" Target="https://drive.google.com/open?id=1ljuosOS_ocTo6RXm5O4jpqZp2Dcn15oy&amp;usp=drive_copy" TargetMode="External"/><Relationship Id="rId128" Type="http://schemas.openxmlformats.org/officeDocument/2006/relationships/hyperlink" Target="https://drive.google.com/open?id=1AUMxpUjMqoU3ZKtGcVoc40EVEma8h8ys&amp;usp=drive_copy" TargetMode="External"/><Relationship Id="rId249" Type="http://schemas.openxmlformats.org/officeDocument/2006/relationships/hyperlink" Target="https://drive.google.com/open?id=1sb7qCDF51E_K9ENrMFrC0i0bkQF7OojT&amp;usp=drive_copy" TargetMode="External"/><Relationship Id="rId127" Type="http://schemas.openxmlformats.org/officeDocument/2006/relationships/hyperlink" Target="https://drive.google.com/open?id=1zsy_zSL3tGO9AK7kHqOUFj-ERaXkErYN&amp;usp=drive_copy" TargetMode="External"/><Relationship Id="rId248" Type="http://schemas.openxmlformats.org/officeDocument/2006/relationships/hyperlink" Target="https://drive.google.com/open?id=16b4QTWXZYykLGeKhNKHNE-76-1e3Ax9j&amp;usp=drive_copy" TargetMode="External"/><Relationship Id="rId126" Type="http://schemas.openxmlformats.org/officeDocument/2006/relationships/hyperlink" Target="https://drive.google.com/open?id=1T06tKkzggavOrKF0KdxLjMi6KJ1KL_x4&amp;usp=drive_copy" TargetMode="External"/><Relationship Id="rId247" Type="http://schemas.openxmlformats.org/officeDocument/2006/relationships/hyperlink" Target="https://drive.google.com/open?id=1AkNjuJmu-aKBwTeopH_6MNMRBaT6XHlI&amp;usp=drive_copy" TargetMode="External"/><Relationship Id="rId121" Type="http://schemas.openxmlformats.org/officeDocument/2006/relationships/hyperlink" Target="https://drive.google.com/open?id=1o2pXVgimT1OUOrbjveM45MRbNhOOh--Q&amp;usp=drive_copy" TargetMode="External"/><Relationship Id="rId242" Type="http://schemas.openxmlformats.org/officeDocument/2006/relationships/hyperlink" Target="https://drive.google.com/open?id=1FeO6M1uAwsrDNCWKHkTvMzz9AvNwTqBj&amp;usp=drive_copy" TargetMode="External"/><Relationship Id="rId120" Type="http://schemas.openxmlformats.org/officeDocument/2006/relationships/hyperlink" Target="https://drive.google.com/open?id=1GjDLFDxgv8Sq_-513qNVZOM_Gq0BVwON&amp;usp=drive_copy" TargetMode="External"/><Relationship Id="rId241" Type="http://schemas.openxmlformats.org/officeDocument/2006/relationships/hyperlink" Target="https://drive.google.com/open?id=13dKszit3OHwL3-Xk6T4P4Bctbg-eD7MG&amp;usp=drive_copy" TargetMode="External"/><Relationship Id="rId240" Type="http://schemas.openxmlformats.org/officeDocument/2006/relationships/hyperlink" Target="https://drive.google.com/open?id=1JgYSs9pgx-mSFTOf-E1I1YZova6ajxv7&amp;usp=drive_copy" TargetMode="External"/><Relationship Id="rId125" Type="http://schemas.openxmlformats.org/officeDocument/2006/relationships/hyperlink" Target="https://drive.google.com/open?id=1BR4xsRfgdf6PeAG0KpAI5mj3jzvIlr0u&amp;usp=drive_copy" TargetMode="External"/><Relationship Id="rId246" Type="http://schemas.openxmlformats.org/officeDocument/2006/relationships/hyperlink" Target="https://drive.google.com/open?id=1C5--X46esNJEwzTfOqpSJHIiadwxXMIb&amp;usp=drive_copy" TargetMode="External"/><Relationship Id="rId124" Type="http://schemas.openxmlformats.org/officeDocument/2006/relationships/hyperlink" Target="https://drive.google.com/open?id=1AYP03HR_io16D-hEy3bPKyjOFd-0aFNP&amp;usp=drive_copy" TargetMode="External"/><Relationship Id="rId245" Type="http://schemas.openxmlformats.org/officeDocument/2006/relationships/hyperlink" Target="https://drive.google.com/open?id=1w-gvpwKShlnjNtAvq6KYmPg6_C52q9Tr&amp;usp=drive_copy" TargetMode="External"/><Relationship Id="rId123" Type="http://schemas.openxmlformats.org/officeDocument/2006/relationships/hyperlink" Target="https://drive.google.com/open?id=11DTcXxkhkxmbpitx9JMF0xahVTJJbhOm&amp;usp=drive_copy" TargetMode="External"/><Relationship Id="rId244" Type="http://schemas.openxmlformats.org/officeDocument/2006/relationships/hyperlink" Target="https://drive.google.com/open?id=1Tqb4GHl2kND_0EK9InwU0ijzTc7eThvQ&amp;usp=drive_copy" TargetMode="External"/><Relationship Id="rId122" Type="http://schemas.openxmlformats.org/officeDocument/2006/relationships/hyperlink" Target="https://drive.google.com/open?id=1D0kX8uooqt0ku0Q1MqvCGE3zLId0a0Is&amp;usp=drive_copy" TargetMode="External"/><Relationship Id="rId243" Type="http://schemas.openxmlformats.org/officeDocument/2006/relationships/hyperlink" Target="https://drive.google.com/open?id=184Lms9is7xfXCZ3_HCti8fP7redYyU4U&amp;usp=drive_copy" TargetMode="External"/><Relationship Id="rId95" Type="http://schemas.openxmlformats.org/officeDocument/2006/relationships/hyperlink" Target="https://drive.google.com/open?id=1vBLGHrGBv2QQDE-rSd3XMZ0jVBQWmr2M&amp;usp=drive_copy" TargetMode="External"/><Relationship Id="rId94" Type="http://schemas.openxmlformats.org/officeDocument/2006/relationships/hyperlink" Target="https://drive.google.com/open?id=1iBU_R27tGLlm55Lj-T4kdnZV9hnddBZZ&amp;usp=drive_copy" TargetMode="External"/><Relationship Id="rId97" Type="http://schemas.openxmlformats.org/officeDocument/2006/relationships/hyperlink" Target="https://drive.google.com/open?id=10ATD5xbUUw6-8SPwgM6Iu_8Yj-CaeiRx&amp;usp=drive_copy" TargetMode="External"/><Relationship Id="rId96" Type="http://schemas.openxmlformats.org/officeDocument/2006/relationships/hyperlink" Target="https://drive.google.com/open?id=1lcDCw9Vomwb4I_i3P-i0t6vIT8daEWFO&amp;usp=drive_copy" TargetMode="External"/><Relationship Id="rId99" Type="http://schemas.openxmlformats.org/officeDocument/2006/relationships/hyperlink" Target="https://drive.google.com/open?id=1K0oZq8QNlnhwB1v1VWn8Ze-1P4IL8Tui&amp;usp=drive_copy" TargetMode="External"/><Relationship Id="rId98" Type="http://schemas.openxmlformats.org/officeDocument/2006/relationships/hyperlink" Target="https://drive.google.com/open?id=17S3uhatTZVNYG7sAk7UlQYLwS-vc-J0I&amp;usp=drive_copy" TargetMode="External"/><Relationship Id="rId91" Type="http://schemas.openxmlformats.org/officeDocument/2006/relationships/hyperlink" Target="https://drive.google.com/open?id=11Uvr6rWlxm_kYdBCCFWIZS1goGSylPXD&amp;usp=drive_copy" TargetMode="External"/><Relationship Id="rId90" Type="http://schemas.openxmlformats.org/officeDocument/2006/relationships/hyperlink" Target="https://drive.google.com/open?id=1dovfzkQEwr2Ey1oOpW1bmVezd6-TY2lR&amp;usp=drive_copy" TargetMode="External"/><Relationship Id="rId93" Type="http://schemas.openxmlformats.org/officeDocument/2006/relationships/hyperlink" Target="https://drive.google.com/open?id=1M4tLO8QIdI7H_nxdmbgt72B_hYcbmhMu&amp;usp=drive_copy" TargetMode="External"/><Relationship Id="rId92" Type="http://schemas.openxmlformats.org/officeDocument/2006/relationships/hyperlink" Target="https://drive.google.com/open?id=1iDA3FKqQ2fZKBPDUXGdevPR4v2ctPNmn&amp;usp=drive_copy" TargetMode="External"/><Relationship Id="rId118" Type="http://schemas.openxmlformats.org/officeDocument/2006/relationships/hyperlink" Target="https://drive.google.com/open?id=1rV11ALPct5-0lpvbJRBZ6QlS_VUa0h2-&amp;usp=drive_copy" TargetMode="External"/><Relationship Id="rId239" Type="http://schemas.openxmlformats.org/officeDocument/2006/relationships/hyperlink" Target="https://drive.google.com/open?id=1Vh7v6PQ7g8vwHgpXcU1dugBrJshCkPLc&amp;usp=drive_copy" TargetMode="External"/><Relationship Id="rId117" Type="http://schemas.openxmlformats.org/officeDocument/2006/relationships/hyperlink" Target="https://drive.google.com/open?id=1FoeCigB7UFz5Fq0lY5ex2ocuFW73lRq2&amp;usp=drive_copy" TargetMode="External"/><Relationship Id="rId238" Type="http://schemas.openxmlformats.org/officeDocument/2006/relationships/hyperlink" Target="https://drive.google.com/open?id=1ayY9EO9ORTSIrCgGbdpZ6naq9ZR85lq9&amp;usp=drive_copy" TargetMode="External"/><Relationship Id="rId116" Type="http://schemas.openxmlformats.org/officeDocument/2006/relationships/hyperlink" Target="https://drive.google.com/open?id=1Inme3DEYZrZ5SYOHvWovdo64RWvV3lgX&amp;usp=drive_copy" TargetMode="External"/><Relationship Id="rId237" Type="http://schemas.openxmlformats.org/officeDocument/2006/relationships/hyperlink" Target="https://drive.google.com/open?id=1phi9SrciprGaSpST36LEX-Sb07epvOkF&amp;usp=drive_copy" TargetMode="External"/><Relationship Id="rId115" Type="http://schemas.openxmlformats.org/officeDocument/2006/relationships/hyperlink" Target="https://drive.google.com/open?id=1uF5tbRbVeiwnimiwwQmne6B61A8rzkTh&amp;usp=drive_copy" TargetMode="External"/><Relationship Id="rId236" Type="http://schemas.openxmlformats.org/officeDocument/2006/relationships/hyperlink" Target="https://drive.google.com/open?id=1u0yjH4uMS2sNziUsG-7rWuE1hDB9j59n&amp;usp=drive_copy" TargetMode="External"/><Relationship Id="rId119" Type="http://schemas.openxmlformats.org/officeDocument/2006/relationships/hyperlink" Target="https://drive.google.com/open?id=1pcqtoTmCPRJJ_ut3GynK922lxPR499X6&amp;usp=drive_copy" TargetMode="External"/><Relationship Id="rId110" Type="http://schemas.openxmlformats.org/officeDocument/2006/relationships/hyperlink" Target="https://drive.google.com/open?id=1PNl45fiA2IZGI5grzA8BqamP-B8GncR2&amp;usp=drive_copy" TargetMode="External"/><Relationship Id="rId231" Type="http://schemas.openxmlformats.org/officeDocument/2006/relationships/hyperlink" Target="https://drive.google.com/open?id=1RW-fexvPMfHbSoCG6Y4ATgZY-kcYCxY-&amp;usp=drive_copy" TargetMode="External"/><Relationship Id="rId230" Type="http://schemas.openxmlformats.org/officeDocument/2006/relationships/hyperlink" Target="https://drive.google.com/open?id=1ywrh7Qa3LhaYEwGRvxcqdcEPGhWN6FmN&amp;usp=drive_copy" TargetMode="External"/><Relationship Id="rId114" Type="http://schemas.openxmlformats.org/officeDocument/2006/relationships/hyperlink" Target="https://drive.google.com/open?id=1C2xriEoT3xJwsnlTu5yS0k2-c8YH8ba_&amp;usp=drive_copy" TargetMode="External"/><Relationship Id="rId235" Type="http://schemas.openxmlformats.org/officeDocument/2006/relationships/hyperlink" Target="https://drive.google.com/open?id=1KNv-C99qflPWNbFa1HepbN5I2hMzA29E&amp;usp=drive_copy" TargetMode="External"/><Relationship Id="rId113" Type="http://schemas.openxmlformats.org/officeDocument/2006/relationships/hyperlink" Target="https://drive.google.com/open?id=1IApwuj7vUPBq_lfVh118Iblqb22MRBqP&amp;usp=drive_copy" TargetMode="External"/><Relationship Id="rId234" Type="http://schemas.openxmlformats.org/officeDocument/2006/relationships/hyperlink" Target="https://drive.google.com/open?id=10zBLKjaFGZQgtrrO6nh68ZHpUy0YRfSR&amp;usp=drive_copy" TargetMode="External"/><Relationship Id="rId112" Type="http://schemas.openxmlformats.org/officeDocument/2006/relationships/hyperlink" Target="https://drive.google.com/open?id=1nUT5s77leq_zoKXRck7dhoC9_dsdh3q7&amp;usp=drive_copy" TargetMode="External"/><Relationship Id="rId233" Type="http://schemas.openxmlformats.org/officeDocument/2006/relationships/hyperlink" Target="https://drive.google.com/open?id=19rezuprBPjWyVjoEsicei1LDv4PPOldE&amp;usp=drive_copy" TargetMode="External"/><Relationship Id="rId111" Type="http://schemas.openxmlformats.org/officeDocument/2006/relationships/hyperlink" Target="https://drive.google.com/open?id=1IPCHlHcFcfe1p8JWKlI--kpIaGIwqUuU&amp;usp=drive_copy" TargetMode="External"/><Relationship Id="rId232" Type="http://schemas.openxmlformats.org/officeDocument/2006/relationships/hyperlink" Target="https://drive.google.com/open?id=14rNcHpZNLGB3Z3zJaxoIDMC0RAcEezGA&amp;usp=drive_copy" TargetMode="External"/><Relationship Id="rId301" Type="http://schemas.openxmlformats.org/officeDocument/2006/relationships/drawing" Target="../drawings/drawing3.xml"/><Relationship Id="rId300" Type="http://schemas.openxmlformats.org/officeDocument/2006/relationships/hyperlink" Target="https://drive.google.com/open?id=1_CiRyH_y63xV4BqWH9UM3ij9AmLluoTn&amp;usp=drive_copy" TargetMode="External"/><Relationship Id="rId206" Type="http://schemas.openxmlformats.org/officeDocument/2006/relationships/hyperlink" Target="https://drive.google.com/open?id=1391X1w_tHE_Z-0jQDRaBSbYD6385wD4T&amp;usp=drive_copy" TargetMode="External"/><Relationship Id="rId205" Type="http://schemas.openxmlformats.org/officeDocument/2006/relationships/hyperlink" Target="https://drive.google.com/open?id=1ToPgGuNHXYdUKB_Ry0EKQycwGa1XwctS&amp;usp=drive_copy" TargetMode="External"/><Relationship Id="rId204" Type="http://schemas.openxmlformats.org/officeDocument/2006/relationships/hyperlink" Target="https://drive.google.com/open?id=1lJXpnoxuAm7koZCyQngZ9diamLI-ai21&amp;usp=drive_copy" TargetMode="External"/><Relationship Id="rId203" Type="http://schemas.openxmlformats.org/officeDocument/2006/relationships/hyperlink" Target="https://drive.google.com/open?id=1iIkPXCVjjPTzUP1jnv8D2Vxdi2ASDUwS&amp;usp=drive_copy" TargetMode="External"/><Relationship Id="rId209" Type="http://schemas.openxmlformats.org/officeDocument/2006/relationships/hyperlink" Target="https://drive.google.com/open?id=1UpKpJ7XRVFsVo7eq34KaCMWlFbq1wR8U&amp;usp=drive_copy" TargetMode="External"/><Relationship Id="rId208" Type="http://schemas.openxmlformats.org/officeDocument/2006/relationships/hyperlink" Target="https://drive.google.com/open?id=1JQZU7W_3k6PGyo0kldAy8_pmM1FCJTls&amp;usp=drive_copy" TargetMode="External"/><Relationship Id="rId207" Type="http://schemas.openxmlformats.org/officeDocument/2006/relationships/hyperlink" Target="https://drive.google.com/open?id=1pQSf05UOH7oPNUXUGGIkICVC21blqkuq&amp;usp=drive_copy" TargetMode="External"/><Relationship Id="rId202" Type="http://schemas.openxmlformats.org/officeDocument/2006/relationships/hyperlink" Target="https://drive.google.com/open?id=1_8UT4f4jyLU8YVKFHiQHD0I-YIJFxO3W&amp;usp=drive_copy" TargetMode="External"/><Relationship Id="rId201" Type="http://schemas.openxmlformats.org/officeDocument/2006/relationships/hyperlink" Target="https://drive.google.com/open?id=1WmXSwKBKBIkeCpsg4uviLLGxq0Rw6_SJ&amp;usp=drive_copy" TargetMode="External"/><Relationship Id="rId200" Type="http://schemas.openxmlformats.org/officeDocument/2006/relationships/hyperlink" Target="https://drive.google.com/open?id=1DFNowYv3NY3dx3zgKAzfXlJhPrHVdsY5&amp;usp=drive_copy"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4.38"/>
    <col customWidth="1" min="2" max="2" width="10.75"/>
    <col customWidth="1" min="3" max="3" width="13.13"/>
    <col customWidth="1" min="4" max="4" width="21.88"/>
    <col customWidth="1" min="5" max="5" width="20.25"/>
    <col customWidth="1" min="6" max="6" width="32.0"/>
    <col customWidth="1" min="7" max="7" width="37.5"/>
    <col customWidth="1" min="8" max="9" width="17.25"/>
    <col customWidth="1" min="10" max="10" width="24.88"/>
    <col customWidth="1" min="11" max="12" width="27.75"/>
    <col customWidth="1" min="13" max="13" width="23.38"/>
    <col customWidth="1" min="15" max="15" width="14.13"/>
    <col customWidth="1" min="16" max="17" width="17.38"/>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c r="Z1" s="3"/>
      <c r="AA1" s="3"/>
      <c r="AB1" s="3"/>
      <c r="AC1" s="3"/>
      <c r="AD1" s="3"/>
    </row>
    <row r="2" hidden="1">
      <c r="A2" s="4"/>
      <c r="B2" s="5" t="s">
        <v>24</v>
      </c>
      <c r="C2" s="5"/>
      <c r="D2" s="6"/>
      <c r="E2" s="6" t="s">
        <v>25</v>
      </c>
      <c r="F2" s="7" t="s">
        <v>26</v>
      </c>
      <c r="G2" s="8" t="s">
        <v>27</v>
      </c>
      <c r="H2" s="9"/>
      <c r="I2" s="9"/>
      <c r="J2" s="9"/>
      <c r="K2" s="9"/>
      <c r="L2" s="9"/>
      <c r="M2" s="9"/>
      <c r="N2" s="10"/>
      <c r="O2" s="9"/>
      <c r="P2" s="9"/>
      <c r="Q2" s="9"/>
      <c r="R2" s="9"/>
      <c r="S2" s="9"/>
      <c r="T2" s="9"/>
      <c r="U2" s="9"/>
      <c r="V2" s="9"/>
      <c r="W2" s="9"/>
      <c r="X2" s="9"/>
      <c r="Y2" s="11"/>
      <c r="Z2" s="11"/>
      <c r="AA2" s="11"/>
      <c r="AB2" s="11"/>
      <c r="AC2" s="11"/>
      <c r="AD2" s="11"/>
    </row>
    <row r="3" hidden="1">
      <c r="A3" s="12"/>
      <c r="B3" s="13">
        <v>46203.0</v>
      </c>
      <c r="C3" s="14" t="s">
        <v>28</v>
      </c>
      <c r="D3" s="15" t="s">
        <v>29</v>
      </c>
      <c r="E3" s="15"/>
      <c r="F3" s="16" t="s">
        <v>30</v>
      </c>
      <c r="G3" s="16" t="s">
        <v>31</v>
      </c>
      <c r="H3" s="16" t="s">
        <v>32</v>
      </c>
      <c r="I3" s="15" t="s">
        <v>33</v>
      </c>
      <c r="J3" s="16" t="s">
        <v>34</v>
      </c>
      <c r="K3" s="16" t="s">
        <v>35</v>
      </c>
      <c r="L3" s="16" t="s">
        <v>35</v>
      </c>
      <c r="M3" s="17" t="s">
        <v>36</v>
      </c>
      <c r="N3" s="14" t="s">
        <v>37</v>
      </c>
      <c r="O3" s="15"/>
      <c r="P3" s="15"/>
      <c r="Q3" s="15"/>
      <c r="R3" s="15"/>
      <c r="S3" s="15"/>
      <c r="T3" s="15"/>
      <c r="U3" s="15"/>
      <c r="V3" s="15"/>
      <c r="W3" s="15"/>
      <c r="X3" s="15"/>
      <c r="Y3" s="11"/>
      <c r="Z3" s="11"/>
      <c r="AA3" s="11"/>
      <c r="AB3" s="11"/>
      <c r="AC3" s="11"/>
      <c r="AD3" s="11"/>
    </row>
    <row r="4" hidden="1">
      <c r="A4" s="18"/>
      <c r="B4" s="19">
        <v>46203.0</v>
      </c>
      <c r="C4" s="10" t="s">
        <v>28</v>
      </c>
      <c r="D4" s="9" t="s">
        <v>38</v>
      </c>
      <c r="E4" s="9"/>
      <c r="F4" s="20" t="s">
        <v>30</v>
      </c>
      <c r="G4" s="20" t="s">
        <v>39</v>
      </c>
      <c r="H4" s="20" t="s">
        <v>40</v>
      </c>
      <c r="I4" s="9" t="s">
        <v>33</v>
      </c>
      <c r="J4" s="20" t="s">
        <v>41</v>
      </c>
      <c r="K4" s="20" t="s">
        <v>42</v>
      </c>
      <c r="L4" s="20" t="s">
        <v>42</v>
      </c>
      <c r="M4" s="21" t="s">
        <v>36</v>
      </c>
      <c r="N4" s="10" t="s">
        <v>37</v>
      </c>
      <c r="O4" s="9"/>
      <c r="P4" s="9"/>
      <c r="Q4" s="9"/>
      <c r="R4" s="9"/>
      <c r="S4" s="9"/>
      <c r="T4" s="9"/>
      <c r="U4" s="9"/>
      <c r="V4" s="9"/>
      <c r="W4" s="9"/>
      <c r="X4" s="9"/>
      <c r="Y4" s="11"/>
      <c r="Z4" s="11"/>
      <c r="AA4" s="11"/>
      <c r="AB4" s="11"/>
      <c r="AC4" s="11"/>
      <c r="AD4" s="11"/>
    </row>
    <row r="5" hidden="1">
      <c r="A5" s="12"/>
      <c r="B5" s="13">
        <v>46203.0</v>
      </c>
      <c r="C5" s="14" t="s">
        <v>28</v>
      </c>
      <c r="D5" s="15" t="s">
        <v>43</v>
      </c>
      <c r="E5" s="15"/>
      <c r="F5" s="16" t="s">
        <v>30</v>
      </c>
      <c r="G5" s="16" t="s">
        <v>44</v>
      </c>
      <c r="H5" s="16" t="s">
        <v>45</v>
      </c>
      <c r="I5" s="15" t="s">
        <v>33</v>
      </c>
      <c r="J5" s="16" t="s">
        <v>41</v>
      </c>
      <c r="K5" s="16" t="s">
        <v>46</v>
      </c>
      <c r="L5" s="16" t="s">
        <v>46</v>
      </c>
      <c r="M5" s="17" t="s">
        <v>36</v>
      </c>
      <c r="N5" s="14" t="s">
        <v>37</v>
      </c>
      <c r="O5" s="15"/>
      <c r="P5" s="15"/>
      <c r="Q5" s="15"/>
      <c r="R5" s="15"/>
      <c r="S5" s="15"/>
      <c r="T5" s="15"/>
      <c r="U5" s="15"/>
      <c r="V5" s="15"/>
      <c r="W5" s="15"/>
      <c r="X5" s="15"/>
      <c r="Y5" s="11"/>
      <c r="Z5" s="11"/>
      <c r="AA5" s="11"/>
      <c r="AB5" s="11"/>
      <c r="AC5" s="11"/>
      <c r="AD5" s="11"/>
    </row>
    <row r="6" hidden="1">
      <c r="A6" s="18"/>
      <c r="B6" s="19">
        <v>46203.0</v>
      </c>
      <c r="C6" s="10" t="s">
        <v>28</v>
      </c>
      <c r="D6" s="9" t="s">
        <v>47</v>
      </c>
      <c r="E6" s="9"/>
      <c r="F6" s="20" t="s">
        <v>30</v>
      </c>
      <c r="G6" s="20" t="s">
        <v>48</v>
      </c>
      <c r="H6" s="20" t="s">
        <v>49</v>
      </c>
      <c r="I6" s="9" t="s">
        <v>33</v>
      </c>
      <c r="J6" s="20" t="s">
        <v>41</v>
      </c>
      <c r="K6" s="20" t="s">
        <v>50</v>
      </c>
      <c r="L6" s="20" t="s">
        <v>50</v>
      </c>
      <c r="M6" s="21" t="s">
        <v>51</v>
      </c>
      <c r="N6" s="10" t="s">
        <v>37</v>
      </c>
      <c r="O6" s="9"/>
      <c r="P6" s="9"/>
      <c r="Q6" s="9"/>
      <c r="R6" s="9"/>
      <c r="S6" s="9"/>
      <c r="T6" s="9"/>
      <c r="U6" s="9"/>
      <c r="V6" s="9"/>
      <c r="W6" s="9"/>
      <c r="X6" s="9"/>
      <c r="Y6" s="11"/>
      <c r="Z6" s="11"/>
      <c r="AA6" s="11"/>
      <c r="AB6" s="11"/>
      <c r="AC6" s="11"/>
      <c r="AD6" s="11"/>
    </row>
    <row r="7" hidden="1">
      <c r="A7" s="12"/>
      <c r="B7" s="13">
        <v>46203.0</v>
      </c>
      <c r="C7" s="14" t="s">
        <v>28</v>
      </c>
      <c r="D7" s="15" t="s">
        <v>52</v>
      </c>
      <c r="E7" s="15"/>
      <c r="F7" s="16" t="s">
        <v>30</v>
      </c>
      <c r="G7" s="16" t="s">
        <v>53</v>
      </c>
      <c r="H7" s="16" t="s">
        <v>54</v>
      </c>
      <c r="I7" s="15" t="s">
        <v>33</v>
      </c>
      <c r="J7" s="16" t="s">
        <v>41</v>
      </c>
      <c r="K7" s="16" t="s">
        <v>55</v>
      </c>
      <c r="L7" s="16" t="s">
        <v>55</v>
      </c>
      <c r="M7" s="17" t="s">
        <v>56</v>
      </c>
      <c r="N7" s="14" t="s">
        <v>37</v>
      </c>
      <c r="O7" s="15"/>
      <c r="P7" s="15"/>
      <c r="Q7" s="15"/>
      <c r="R7" s="15"/>
      <c r="S7" s="15"/>
      <c r="T7" s="15"/>
      <c r="U7" s="15"/>
      <c r="V7" s="15"/>
      <c r="W7" s="15"/>
      <c r="X7" s="15"/>
      <c r="Y7" s="11"/>
      <c r="Z7" s="11"/>
      <c r="AA7" s="11"/>
      <c r="AB7" s="11"/>
      <c r="AC7" s="11"/>
      <c r="AD7" s="11"/>
    </row>
    <row r="8">
      <c r="A8" s="18"/>
      <c r="B8" s="19">
        <v>46203.0</v>
      </c>
      <c r="C8" s="10" t="s">
        <v>28</v>
      </c>
      <c r="D8" s="9" t="s">
        <v>57</v>
      </c>
      <c r="E8" s="9"/>
      <c r="F8" s="20" t="s">
        <v>30</v>
      </c>
      <c r="G8" s="20" t="s">
        <v>58</v>
      </c>
      <c r="H8" s="20" t="s">
        <v>59</v>
      </c>
      <c r="I8" s="9" t="s">
        <v>33</v>
      </c>
      <c r="J8" s="20" t="s">
        <v>60</v>
      </c>
      <c r="K8" s="20" t="s">
        <v>61</v>
      </c>
      <c r="L8" s="20" t="s">
        <v>62</v>
      </c>
      <c r="M8" s="21" t="s">
        <v>63</v>
      </c>
      <c r="N8" s="10" t="s">
        <v>64</v>
      </c>
      <c r="O8" s="9"/>
      <c r="P8" s="22" t="s">
        <v>65</v>
      </c>
      <c r="Q8" s="23" t="s">
        <v>37</v>
      </c>
      <c r="R8" s="9"/>
      <c r="S8" s="9"/>
      <c r="T8" s="9"/>
      <c r="U8" s="9"/>
      <c r="V8" s="9"/>
      <c r="W8" s="9"/>
      <c r="X8" s="9"/>
      <c r="Y8" s="11"/>
      <c r="Z8" s="11"/>
      <c r="AA8" s="11"/>
      <c r="AB8" s="11"/>
      <c r="AC8" s="11"/>
      <c r="AD8" s="11"/>
    </row>
    <row r="9">
      <c r="A9" s="12"/>
      <c r="B9" s="13">
        <v>46203.0</v>
      </c>
      <c r="C9" s="14" t="s">
        <v>28</v>
      </c>
      <c r="D9" s="15" t="s">
        <v>66</v>
      </c>
      <c r="E9" s="15"/>
      <c r="F9" s="16" t="s">
        <v>30</v>
      </c>
      <c r="G9" s="16" t="s">
        <v>67</v>
      </c>
      <c r="H9" s="16" t="s">
        <v>59</v>
      </c>
      <c r="I9" s="15" t="s">
        <v>33</v>
      </c>
      <c r="J9" s="16" t="s">
        <v>68</v>
      </c>
      <c r="K9" s="16" t="s">
        <v>69</v>
      </c>
      <c r="L9" s="15" t="s">
        <v>70</v>
      </c>
      <c r="M9" s="17" t="s">
        <v>71</v>
      </c>
      <c r="N9" s="14" t="s">
        <v>64</v>
      </c>
      <c r="O9" s="15"/>
      <c r="P9" s="24" t="s">
        <v>65</v>
      </c>
      <c r="Q9" s="25" t="s">
        <v>37</v>
      </c>
      <c r="R9" s="15"/>
      <c r="S9" s="15"/>
      <c r="T9" s="15"/>
      <c r="U9" s="15"/>
      <c r="V9" s="15"/>
      <c r="W9" s="15"/>
      <c r="X9" s="15"/>
      <c r="Y9" s="11"/>
      <c r="Z9" s="11"/>
      <c r="AA9" s="11"/>
      <c r="AB9" s="11"/>
      <c r="AC9" s="11"/>
      <c r="AD9" s="11"/>
    </row>
    <row r="10">
      <c r="A10" s="18"/>
      <c r="B10" s="19">
        <v>46203.0</v>
      </c>
      <c r="C10" s="10" t="s">
        <v>28</v>
      </c>
      <c r="D10" s="9" t="s">
        <v>72</v>
      </c>
      <c r="E10" s="9"/>
      <c r="F10" s="20" t="s">
        <v>30</v>
      </c>
      <c r="G10" s="20" t="s">
        <v>73</v>
      </c>
      <c r="H10" s="20" t="s">
        <v>74</v>
      </c>
      <c r="I10" s="9" t="s">
        <v>33</v>
      </c>
      <c r="J10" s="20" t="s">
        <v>75</v>
      </c>
      <c r="K10" s="20" t="s">
        <v>76</v>
      </c>
      <c r="L10" s="9" t="s">
        <v>77</v>
      </c>
      <c r="M10" s="21" t="s">
        <v>78</v>
      </c>
      <c r="N10" s="10" t="s">
        <v>64</v>
      </c>
      <c r="O10" s="9"/>
      <c r="P10" s="22" t="s">
        <v>65</v>
      </c>
      <c r="Q10" s="23" t="s">
        <v>37</v>
      </c>
      <c r="R10" s="9"/>
      <c r="S10" s="9"/>
      <c r="T10" s="9"/>
      <c r="U10" s="9"/>
      <c r="V10" s="9"/>
      <c r="W10" s="9"/>
      <c r="X10" s="9"/>
      <c r="Y10" s="11"/>
      <c r="Z10" s="11"/>
      <c r="AA10" s="11"/>
      <c r="AB10" s="11"/>
      <c r="AC10" s="11"/>
      <c r="AD10" s="11"/>
    </row>
    <row r="11" hidden="1">
      <c r="A11" s="12"/>
      <c r="B11" s="13">
        <v>46203.0</v>
      </c>
      <c r="C11" s="14" t="s">
        <v>28</v>
      </c>
      <c r="D11" s="15" t="s">
        <v>79</v>
      </c>
      <c r="E11" s="15"/>
      <c r="F11" s="16" t="s">
        <v>30</v>
      </c>
      <c r="G11" s="16" t="s">
        <v>80</v>
      </c>
      <c r="H11" s="16" t="s">
        <v>81</v>
      </c>
      <c r="I11" s="15" t="s">
        <v>33</v>
      </c>
      <c r="J11" s="16" t="s">
        <v>82</v>
      </c>
      <c r="K11" s="16" t="s">
        <v>83</v>
      </c>
      <c r="L11" s="16" t="s">
        <v>83</v>
      </c>
      <c r="M11" s="17" t="s">
        <v>84</v>
      </c>
      <c r="N11" s="14" t="s">
        <v>37</v>
      </c>
      <c r="O11" s="15"/>
      <c r="P11" s="15"/>
      <c r="Q11" s="15"/>
      <c r="R11" s="15"/>
      <c r="S11" s="15"/>
      <c r="T11" s="15"/>
      <c r="U11" s="15"/>
      <c r="V11" s="15"/>
      <c r="W11" s="15"/>
      <c r="X11" s="15"/>
      <c r="Y11" s="11"/>
      <c r="Z11" s="11"/>
      <c r="AA11" s="11"/>
      <c r="AB11" s="11"/>
      <c r="AC11" s="11"/>
      <c r="AD11" s="11"/>
    </row>
    <row r="12" hidden="1">
      <c r="A12" s="18"/>
      <c r="B12" s="19">
        <v>46203.0</v>
      </c>
      <c r="C12" s="10" t="s">
        <v>28</v>
      </c>
      <c r="D12" s="9" t="s">
        <v>85</v>
      </c>
      <c r="E12" s="9"/>
      <c r="F12" s="20" t="s">
        <v>30</v>
      </c>
      <c r="G12" s="20" t="s">
        <v>86</v>
      </c>
      <c r="H12" s="20"/>
      <c r="I12" s="9" t="s">
        <v>33</v>
      </c>
      <c r="J12" s="20" t="s">
        <v>87</v>
      </c>
      <c r="K12" s="20" t="s">
        <v>88</v>
      </c>
      <c r="L12" s="20" t="s">
        <v>88</v>
      </c>
      <c r="M12" s="21" t="s">
        <v>89</v>
      </c>
      <c r="N12" s="10" t="s">
        <v>37</v>
      </c>
      <c r="O12" s="9"/>
      <c r="P12" s="9"/>
      <c r="Q12" s="9"/>
      <c r="R12" s="9"/>
      <c r="S12" s="9"/>
      <c r="T12" s="9"/>
      <c r="U12" s="9"/>
      <c r="V12" s="9"/>
      <c r="W12" s="9"/>
      <c r="X12" s="9"/>
      <c r="Y12" s="11"/>
      <c r="Z12" s="11"/>
      <c r="AA12" s="11"/>
      <c r="AB12" s="11"/>
      <c r="AC12" s="11"/>
      <c r="AD12" s="11"/>
    </row>
    <row r="13" hidden="1">
      <c r="A13" s="12"/>
      <c r="B13" s="13">
        <v>46203.0</v>
      </c>
      <c r="C13" s="14" t="s">
        <v>28</v>
      </c>
      <c r="D13" s="15" t="s">
        <v>90</v>
      </c>
      <c r="E13" s="15"/>
      <c r="F13" s="16" t="s">
        <v>30</v>
      </c>
      <c r="G13" s="16" t="s">
        <v>91</v>
      </c>
      <c r="H13" s="16" t="s">
        <v>59</v>
      </c>
      <c r="I13" s="15" t="s">
        <v>33</v>
      </c>
      <c r="J13" s="16" t="s">
        <v>41</v>
      </c>
      <c r="K13" s="16" t="s">
        <v>92</v>
      </c>
      <c r="L13" s="16" t="s">
        <v>92</v>
      </c>
      <c r="M13" s="17" t="s">
        <v>93</v>
      </c>
      <c r="N13" s="14" t="s">
        <v>37</v>
      </c>
      <c r="O13" s="15"/>
      <c r="P13" s="15"/>
      <c r="Q13" s="15"/>
      <c r="R13" s="15"/>
      <c r="S13" s="15"/>
      <c r="T13" s="15"/>
      <c r="U13" s="15"/>
      <c r="V13" s="15"/>
      <c r="W13" s="15"/>
      <c r="X13" s="15"/>
      <c r="Y13" s="11"/>
      <c r="Z13" s="11"/>
      <c r="AA13" s="11"/>
      <c r="AB13" s="11"/>
      <c r="AC13" s="11"/>
      <c r="AD13" s="11"/>
    </row>
    <row r="14" hidden="1">
      <c r="A14" s="18"/>
      <c r="B14" s="19">
        <v>46203.0</v>
      </c>
      <c r="C14" s="10" t="s">
        <v>28</v>
      </c>
      <c r="D14" s="9" t="s">
        <v>94</v>
      </c>
      <c r="E14" s="9"/>
      <c r="F14" s="20" t="s">
        <v>30</v>
      </c>
      <c r="G14" s="20" t="s">
        <v>95</v>
      </c>
      <c r="H14" s="20" t="s">
        <v>59</v>
      </c>
      <c r="I14" s="9" t="s">
        <v>33</v>
      </c>
      <c r="J14" s="20" t="s">
        <v>41</v>
      </c>
      <c r="K14" s="20" t="s">
        <v>96</v>
      </c>
      <c r="L14" s="20" t="s">
        <v>96</v>
      </c>
      <c r="M14" s="21" t="s">
        <v>93</v>
      </c>
      <c r="N14" s="10" t="s">
        <v>37</v>
      </c>
      <c r="O14" s="9"/>
      <c r="P14" s="9"/>
      <c r="Q14" s="9"/>
      <c r="R14" s="9"/>
      <c r="S14" s="9"/>
      <c r="T14" s="9"/>
      <c r="U14" s="9"/>
      <c r="V14" s="9"/>
      <c r="W14" s="9"/>
      <c r="X14" s="9"/>
      <c r="Y14" s="11"/>
      <c r="Z14" s="11"/>
      <c r="AA14" s="11"/>
      <c r="AB14" s="11"/>
      <c r="AC14" s="11"/>
      <c r="AD14" s="11"/>
    </row>
    <row r="15" hidden="1">
      <c r="A15" s="12"/>
      <c r="B15" s="13">
        <v>46203.0</v>
      </c>
      <c r="C15" s="14" t="s">
        <v>28</v>
      </c>
      <c r="D15" s="15" t="s">
        <v>97</v>
      </c>
      <c r="E15" s="15"/>
      <c r="F15" s="16" t="s">
        <v>30</v>
      </c>
      <c r="G15" s="16" t="s">
        <v>98</v>
      </c>
      <c r="H15" s="16" t="s">
        <v>59</v>
      </c>
      <c r="I15" s="15" t="s">
        <v>33</v>
      </c>
      <c r="J15" s="16" t="s">
        <v>41</v>
      </c>
      <c r="K15" s="16" t="s">
        <v>99</v>
      </c>
      <c r="L15" s="16" t="s">
        <v>99</v>
      </c>
      <c r="M15" s="17" t="s">
        <v>93</v>
      </c>
      <c r="N15" s="14" t="s">
        <v>37</v>
      </c>
      <c r="O15" s="15"/>
      <c r="P15" s="15"/>
      <c r="Q15" s="15"/>
      <c r="R15" s="15"/>
      <c r="S15" s="15"/>
      <c r="T15" s="15"/>
      <c r="U15" s="15"/>
      <c r="V15" s="15"/>
      <c r="W15" s="15"/>
      <c r="X15" s="15"/>
      <c r="Y15" s="11"/>
      <c r="Z15" s="11"/>
      <c r="AA15" s="11"/>
      <c r="AB15" s="11"/>
      <c r="AC15" s="11"/>
      <c r="AD15" s="11"/>
    </row>
    <row r="16" hidden="1">
      <c r="A16" s="26"/>
      <c r="B16" s="10">
        <v>1.0</v>
      </c>
      <c r="C16" s="10" t="s">
        <v>28</v>
      </c>
      <c r="D16" s="9" t="s">
        <v>100</v>
      </c>
      <c r="E16" s="9" t="s">
        <v>101</v>
      </c>
      <c r="F16" s="9" t="s">
        <v>30</v>
      </c>
      <c r="G16" s="9" t="s">
        <v>102</v>
      </c>
      <c r="H16" s="20" t="s">
        <v>59</v>
      </c>
      <c r="I16" s="20"/>
      <c r="J16" s="20" t="s">
        <v>41</v>
      </c>
      <c r="K16" s="20" t="s">
        <v>103</v>
      </c>
      <c r="L16" s="20" t="s">
        <v>103</v>
      </c>
      <c r="M16" s="21" t="s">
        <v>104</v>
      </c>
      <c r="N16" s="10" t="s">
        <v>37</v>
      </c>
      <c r="O16" s="9"/>
      <c r="P16" s="9"/>
      <c r="Q16" s="9"/>
      <c r="R16" s="9"/>
      <c r="S16" s="9"/>
      <c r="T16" s="9"/>
      <c r="U16" s="9"/>
      <c r="V16" s="9"/>
      <c r="W16" s="9"/>
      <c r="X16" s="9"/>
      <c r="Y16" s="11"/>
      <c r="Z16" s="11"/>
      <c r="AA16" s="11"/>
      <c r="AB16" s="11"/>
      <c r="AC16" s="11"/>
      <c r="AD16" s="11"/>
    </row>
    <row r="17" hidden="1">
      <c r="A17" s="27"/>
      <c r="B17" s="14"/>
      <c r="C17" s="14" t="s">
        <v>28</v>
      </c>
      <c r="D17" s="15" t="s">
        <v>105</v>
      </c>
      <c r="E17" s="15"/>
      <c r="F17" s="15"/>
      <c r="G17" s="16" t="s">
        <v>106</v>
      </c>
      <c r="H17" s="16" t="s">
        <v>59</v>
      </c>
      <c r="I17" s="16"/>
      <c r="J17" s="16" t="s">
        <v>41</v>
      </c>
      <c r="K17" s="16" t="s">
        <v>103</v>
      </c>
      <c r="L17" s="16" t="s">
        <v>103</v>
      </c>
      <c r="M17" s="17" t="s">
        <v>104</v>
      </c>
      <c r="N17" s="14" t="s">
        <v>37</v>
      </c>
      <c r="O17" s="15"/>
      <c r="P17" s="15"/>
      <c r="Q17" s="15"/>
      <c r="R17" s="15"/>
      <c r="S17" s="15"/>
      <c r="T17" s="15"/>
      <c r="U17" s="15"/>
      <c r="V17" s="15"/>
      <c r="W17" s="15"/>
      <c r="X17" s="15"/>
      <c r="Y17" s="11"/>
      <c r="Z17" s="11"/>
      <c r="AA17" s="11"/>
      <c r="AB17" s="11"/>
      <c r="AC17" s="11"/>
      <c r="AD17" s="11"/>
    </row>
    <row r="18" hidden="1">
      <c r="A18" s="26"/>
      <c r="B18" s="10"/>
      <c r="C18" s="10" t="s">
        <v>28</v>
      </c>
      <c r="D18" s="9" t="s">
        <v>107</v>
      </c>
      <c r="E18" s="9"/>
      <c r="F18" s="9"/>
      <c r="G18" s="20" t="s">
        <v>108</v>
      </c>
      <c r="H18" s="20" t="s">
        <v>59</v>
      </c>
      <c r="I18" s="20"/>
      <c r="J18" s="20" t="s">
        <v>109</v>
      </c>
      <c r="K18" s="20" t="s">
        <v>110</v>
      </c>
      <c r="L18" s="20" t="s">
        <v>110</v>
      </c>
      <c r="M18" s="21" t="s">
        <v>111</v>
      </c>
      <c r="N18" s="10" t="s">
        <v>37</v>
      </c>
      <c r="O18" s="9"/>
      <c r="P18" s="9"/>
      <c r="Q18" s="9"/>
      <c r="R18" s="9"/>
      <c r="S18" s="9"/>
      <c r="T18" s="9"/>
      <c r="U18" s="9"/>
      <c r="V18" s="9"/>
      <c r="W18" s="9"/>
      <c r="X18" s="9"/>
      <c r="Y18" s="11"/>
      <c r="Z18" s="11"/>
      <c r="AA18" s="11"/>
      <c r="AB18" s="11"/>
      <c r="AC18" s="11"/>
      <c r="AD18" s="11"/>
    </row>
    <row r="19" hidden="1">
      <c r="A19" s="27"/>
      <c r="B19" s="14"/>
      <c r="C19" s="14" t="s">
        <v>28</v>
      </c>
      <c r="D19" s="15" t="s">
        <v>112</v>
      </c>
      <c r="E19" s="15"/>
      <c r="F19" s="15"/>
      <c r="G19" s="16" t="s">
        <v>113</v>
      </c>
      <c r="H19" s="16"/>
      <c r="I19" s="16"/>
      <c r="J19" s="16" t="s">
        <v>114</v>
      </c>
      <c r="K19" s="16" t="s">
        <v>115</v>
      </c>
      <c r="L19" s="16" t="s">
        <v>115</v>
      </c>
      <c r="M19" s="17" t="s">
        <v>116</v>
      </c>
      <c r="N19" s="14" t="s">
        <v>37</v>
      </c>
      <c r="O19" s="15"/>
      <c r="P19" s="15"/>
      <c r="Q19" s="15"/>
      <c r="R19" s="15"/>
      <c r="S19" s="15"/>
      <c r="T19" s="15"/>
      <c r="U19" s="15"/>
      <c r="V19" s="15"/>
      <c r="W19" s="15"/>
      <c r="X19" s="15"/>
      <c r="Y19" s="11"/>
      <c r="Z19" s="11"/>
      <c r="AA19" s="11"/>
      <c r="AB19" s="11"/>
      <c r="AC19" s="11"/>
      <c r="AD19" s="11"/>
    </row>
    <row r="20" hidden="1">
      <c r="A20" s="26"/>
      <c r="B20" s="10">
        <v>2.0</v>
      </c>
      <c r="C20" s="10" t="s">
        <v>28</v>
      </c>
      <c r="D20" s="28" t="s">
        <v>117</v>
      </c>
      <c r="E20" s="28" t="s">
        <v>118</v>
      </c>
      <c r="F20" s="9" t="s">
        <v>30</v>
      </c>
      <c r="G20" s="9" t="s">
        <v>119</v>
      </c>
      <c r="H20" s="20" t="s">
        <v>59</v>
      </c>
      <c r="I20" s="20"/>
      <c r="J20" s="20" t="s">
        <v>41</v>
      </c>
      <c r="K20" s="20" t="s">
        <v>103</v>
      </c>
      <c r="L20" s="20" t="s">
        <v>103</v>
      </c>
      <c r="M20" s="21" t="s">
        <v>120</v>
      </c>
      <c r="N20" s="10" t="s">
        <v>37</v>
      </c>
      <c r="O20" s="9"/>
      <c r="P20" s="9"/>
      <c r="Q20" s="9"/>
      <c r="R20" s="9"/>
      <c r="S20" s="9"/>
      <c r="T20" s="9"/>
      <c r="U20" s="9"/>
      <c r="V20" s="9"/>
      <c r="W20" s="9"/>
      <c r="X20" s="9"/>
      <c r="Y20" s="11"/>
      <c r="Z20" s="11"/>
      <c r="AA20" s="11"/>
      <c r="AB20" s="11"/>
      <c r="AC20" s="11"/>
      <c r="AD20" s="11"/>
    </row>
    <row r="21" hidden="1">
      <c r="A21" s="27"/>
      <c r="B21" s="14"/>
      <c r="C21" s="14" t="s">
        <v>28</v>
      </c>
      <c r="D21" s="29" t="s">
        <v>121</v>
      </c>
      <c r="E21" s="29"/>
      <c r="F21" s="15"/>
      <c r="G21" s="16" t="s">
        <v>122</v>
      </c>
      <c r="H21" s="16" t="s">
        <v>59</v>
      </c>
      <c r="I21" s="16"/>
      <c r="J21" s="16" t="s">
        <v>123</v>
      </c>
      <c r="K21" s="16" t="s">
        <v>124</v>
      </c>
      <c r="L21" s="16" t="s">
        <v>124</v>
      </c>
      <c r="M21" s="17" t="s">
        <v>125</v>
      </c>
      <c r="N21" s="14" t="s">
        <v>37</v>
      </c>
      <c r="O21" s="15"/>
      <c r="P21" s="15"/>
      <c r="Q21" s="15"/>
      <c r="R21" s="15"/>
      <c r="S21" s="15"/>
      <c r="T21" s="15"/>
      <c r="U21" s="15"/>
      <c r="V21" s="15"/>
      <c r="W21" s="15"/>
      <c r="X21" s="15"/>
      <c r="Y21" s="11"/>
      <c r="Z21" s="11"/>
      <c r="AA21" s="11"/>
      <c r="AB21" s="11"/>
      <c r="AC21" s="11"/>
      <c r="AD21" s="11"/>
    </row>
    <row r="22" hidden="1">
      <c r="A22" s="26"/>
      <c r="B22" s="10"/>
      <c r="C22" s="10" t="s">
        <v>28</v>
      </c>
      <c r="D22" s="28" t="s">
        <v>126</v>
      </c>
      <c r="E22" s="28"/>
      <c r="F22" s="9"/>
      <c r="G22" s="20" t="s">
        <v>113</v>
      </c>
      <c r="H22" s="20"/>
      <c r="I22" s="20"/>
      <c r="J22" s="20" t="s">
        <v>114</v>
      </c>
      <c r="K22" s="20" t="s">
        <v>115</v>
      </c>
      <c r="L22" s="20" t="s">
        <v>115</v>
      </c>
      <c r="M22" s="21" t="s">
        <v>127</v>
      </c>
      <c r="N22" s="10" t="s">
        <v>37</v>
      </c>
      <c r="O22" s="9"/>
      <c r="P22" s="9"/>
      <c r="Q22" s="9"/>
      <c r="R22" s="9"/>
      <c r="S22" s="9"/>
      <c r="T22" s="9"/>
      <c r="U22" s="9"/>
      <c r="V22" s="9"/>
      <c r="W22" s="9"/>
      <c r="X22" s="9"/>
      <c r="Y22" s="11"/>
      <c r="Z22" s="11"/>
      <c r="AA22" s="11"/>
      <c r="AB22" s="11"/>
      <c r="AC22" s="11"/>
      <c r="AD22" s="11"/>
    </row>
    <row r="23" hidden="1">
      <c r="A23" s="27"/>
      <c r="B23" s="14">
        <v>3.0</v>
      </c>
      <c r="C23" s="14" t="s">
        <v>28</v>
      </c>
      <c r="D23" s="29" t="s">
        <v>128</v>
      </c>
      <c r="E23" s="29" t="s">
        <v>129</v>
      </c>
      <c r="F23" s="15" t="s">
        <v>30</v>
      </c>
      <c r="G23" s="15" t="s">
        <v>130</v>
      </c>
      <c r="H23" s="16" t="s">
        <v>59</v>
      </c>
      <c r="I23" s="16"/>
      <c r="J23" s="16" t="s">
        <v>41</v>
      </c>
      <c r="K23" s="16" t="s">
        <v>103</v>
      </c>
      <c r="L23" s="16" t="s">
        <v>103</v>
      </c>
      <c r="M23" s="17" t="s">
        <v>131</v>
      </c>
      <c r="N23" s="14" t="s">
        <v>37</v>
      </c>
      <c r="O23" s="15"/>
      <c r="P23" s="15"/>
      <c r="Q23" s="15"/>
      <c r="R23" s="15"/>
      <c r="S23" s="15"/>
      <c r="T23" s="15"/>
      <c r="U23" s="15"/>
      <c r="V23" s="15"/>
      <c r="W23" s="15"/>
      <c r="X23" s="15"/>
      <c r="Y23" s="11"/>
      <c r="Z23" s="11"/>
      <c r="AA23" s="11"/>
      <c r="AB23" s="11"/>
      <c r="AC23" s="11"/>
      <c r="AD23" s="11"/>
    </row>
    <row r="24" hidden="1">
      <c r="A24" s="26"/>
      <c r="B24" s="10"/>
      <c r="C24" s="10" t="s">
        <v>28</v>
      </c>
      <c r="D24" s="28" t="s">
        <v>132</v>
      </c>
      <c r="E24" s="9"/>
      <c r="F24" s="9"/>
      <c r="G24" s="20" t="s">
        <v>133</v>
      </c>
      <c r="H24" s="20" t="s">
        <v>59</v>
      </c>
      <c r="I24" s="20"/>
      <c r="J24" s="20" t="s">
        <v>134</v>
      </c>
      <c r="K24" s="20" t="s">
        <v>135</v>
      </c>
      <c r="L24" s="20" t="s">
        <v>135</v>
      </c>
      <c r="M24" s="21" t="s">
        <v>136</v>
      </c>
      <c r="N24" s="10" t="s">
        <v>37</v>
      </c>
      <c r="O24" s="9"/>
      <c r="P24" s="9"/>
      <c r="Q24" s="9"/>
      <c r="R24" s="9"/>
      <c r="S24" s="9"/>
      <c r="T24" s="9"/>
      <c r="U24" s="9"/>
      <c r="V24" s="9"/>
      <c r="W24" s="9"/>
      <c r="X24" s="9"/>
      <c r="Y24" s="11"/>
      <c r="Z24" s="11"/>
      <c r="AA24" s="11"/>
      <c r="AB24" s="11"/>
      <c r="AC24" s="11"/>
      <c r="AD24" s="11"/>
    </row>
    <row r="25" hidden="1">
      <c r="A25" s="27"/>
      <c r="B25" s="14"/>
      <c r="C25" s="14" t="s">
        <v>28</v>
      </c>
      <c r="D25" s="29" t="s">
        <v>137</v>
      </c>
      <c r="E25" s="15"/>
      <c r="F25" s="15"/>
      <c r="G25" s="16" t="s">
        <v>113</v>
      </c>
      <c r="H25" s="16"/>
      <c r="I25" s="16"/>
      <c r="J25" s="16" t="s">
        <v>114</v>
      </c>
      <c r="K25" s="16" t="s">
        <v>115</v>
      </c>
      <c r="L25" s="16" t="s">
        <v>115</v>
      </c>
      <c r="M25" s="17" t="s">
        <v>138</v>
      </c>
      <c r="N25" s="14" t="s">
        <v>37</v>
      </c>
      <c r="O25" s="15"/>
      <c r="P25" s="15"/>
      <c r="Q25" s="15"/>
      <c r="R25" s="15"/>
      <c r="S25" s="15"/>
      <c r="T25" s="15"/>
      <c r="U25" s="15"/>
      <c r="V25" s="15"/>
      <c r="W25" s="15"/>
      <c r="X25" s="15"/>
      <c r="Y25" s="11"/>
      <c r="Z25" s="11"/>
      <c r="AA25" s="11"/>
      <c r="AB25" s="11"/>
      <c r="AC25" s="11"/>
      <c r="AD25" s="11"/>
    </row>
    <row r="26" hidden="1">
      <c r="A26" s="26"/>
      <c r="B26" s="10">
        <v>4.0</v>
      </c>
      <c r="C26" s="10" t="s">
        <v>28</v>
      </c>
      <c r="D26" s="9" t="s">
        <v>139</v>
      </c>
      <c r="E26" s="9" t="s">
        <v>140</v>
      </c>
      <c r="F26" s="9" t="s">
        <v>30</v>
      </c>
      <c r="G26" s="9" t="s">
        <v>141</v>
      </c>
      <c r="H26" s="20" t="s">
        <v>59</v>
      </c>
      <c r="I26" s="20"/>
      <c r="J26" s="20" t="s">
        <v>41</v>
      </c>
      <c r="K26" s="20" t="s">
        <v>103</v>
      </c>
      <c r="L26" s="20" t="s">
        <v>103</v>
      </c>
      <c r="M26" s="21" t="s">
        <v>142</v>
      </c>
      <c r="N26" s="10" t="s">
        <v>37</v>
      </c>
      <c r="O26" s="9"/>
      <c r="P26" s="9"/>
      <c r="Q26" s="9"/>
      <c r="R26" s="9"/>
      <c r="S26" s="9"/>
      <c r="T26" s="9"/>
      <c r="U26" s="9"/>
      <c r="V26" s="9"/>
      <c r="W26" s="9"/>
      <c r="X26" s="9"/>
      <c r="Y26" s="11"/>
      <c r="Z26" s="11"/>
      <c r="AA26" s="11"/>
      <c r="AB26" s="11"/>
      <c r="AC26" s="11"/>
      <c r="AD26" s="11"/>
    </row>
    <row r="27" hidden="1">
      <c r="A27" s="27"/>
      <c r="B27" s="14"/>
      <c r="C27" s="14" t="s">
        <v>28</v>
      </c>
      <c r="D27" s="15" t="s">
        <v>143</v>
      </c>
      <c r="E27" s="29"/>
      <c r="F27" s="29"/>
      <c r="G27" s="16" t="s">
        <v>144</v>
      </c>
      <c r="H27" s="16" t="s">
        <v>59</v>
      </c>
      <c r="I27" s="16"/>
      <c r="J27" s="16" t="s">
        <v>145</v>
      </c>
      <c r="K27" s="16" t="s">
        <v>146</v>
      </c>
      <c r="L27" s="16" t="s">
        <v>146</v>
      </c>
      <c r="M27" s="17" t="s">
        <v>147</v>
      </c>
      <c r="N27" s="14" t="s">
        <v>37</v>
      </c>
      <c r="O27" s="15"/>
      <c r="P27" s="15"/>
      <c r="Q27" s="15"/>
      <c r="R27" s="15"/>
      <c r="S27" s="15"/>
      <c r="T27" s="15"/>
      <c r="U27" s="15"/>
      <c r="V27" s="15"/>
      <c r="W27" s="15"/>
      <c r="X27" s="15"/>
      <c r="Y27" s="11"/>
      <c r="Z27" s="11"/>
      <c r="AA27" s="11"/>
      <c r="AB27" s="11"/>
      <c r="AC27" s="11"/>
      <c r="AD27" s="11"/>
    </row>
    <row r="28" hidden="1">
      <c r="A28" s="26"/>
      <c r="B28" s="10"/>
      <c r="C28" s="10" t="s">
        <v>28</v>
      </c>
      <c r="D28" s="9" t="s">
        <v>148</v>
      </c>
      <c r="E28" s="28"/>
      <c r="F28" s="28"/>
      <c r="G28" s="20" t="s">
        <v>113</v>
      </c>
      <c r="H28" s="20"/>
      <c r="I28" s="20"/>
      <c r="J28" s="20" t="s">
        <v>114</v>
      </c>
      <c r="K28" s="20" t="s">
        <v>115</v>
      </c>
      <c r="L28" s="20" t="s">
        <v>115</v>
      </c>
      <c r="M28" s="21" t="s">
        <v>149</v>
      </c>
      <c r="N28" s="10" t="s">
        <v>37</v>
      </c>
      <c r="O28" s="9"/>
      <c r="P28" s="9"/>
      <c r="Q28" s="9"/>
      <c r="R28" s="9"/>
      <c r="S28" s="9"/>
      <c r="T28" s="9"/>
      <c r="U28" s="9"/>
      <c r="V28" s="9"/>
      <c r="W28" s="9"/>
      <c r="X28" s="9"/>
      <c r="Y28" s="11"/>
      <c r="Z28" s="11"/>
      <c r="AA28" s="11"/>
      <c r="AB28" s="11"/>
      <c r="AC28" s="11"/>
      <c r="AD28" s="11"/>
    </row>
    <row r="29" hidden="1">
      <c r="A29" s="27"/>
      <c r="B29" s="14">
        <v>5.0</v>
      </c>
      <c r="C29" s="14" t="s">
        <v>28</v>
      </c>
      <c r="D29" s="29" t="s">
        <v>150</v>
      </c>
      <c r="E29" s="29" t="s">
        <v>151</v>
      </c>
      <c r="F29" s="29" t="s">
        <v>30</v>
      </c>
      <c r="G29" s="29" t="s">
        <v>152</v>
      </c>
      <c r="H29" s="16" t="s">
        <v>59</v>
      </c>
      <c r="I29" s="16"/>
      <c r="J29" s="16" t="s">
        <v>41</v>
      </c>
      <c r="K29" s="16" t="s">
        <v>103</v>
      </c>
      <c r="L29" s="16" t="s">
        <v>103</v>
      </c>
      <c r="M29" s="17" t="s">
        <v>153</v>
      </c>
      <c r="N29" s="14" t="s">
        <v>37</v>
      </c>
      <c r="O29" s="15"/>
      <c r="P29" s="15"/>
      <c r="Q29" s="15"/>
      <c r="R29" s="15"/>
      <c r="S29" s="15"/>
      <c r="T29" s="15"/>
      <c r="U29" s="15"/>
      <c r="V29" s="15"/>
      <c r="W29" s="15"/>
      <c r="X29" s="15"/>
      <c r="Y29" s="11"/>
      <c r="Z29" s="11"/>
      <c r="AA29" s="11"/>
      <c r="AB29" s="11"/>
      <c r="AC29" s="11"/>
      <c r="AD29" s="11"/>
    </row>
    <row r="30" hidden="1">
      <c r="A30" s="26"/>
      <c r="B30" s="10"/>
      <c r="C30" s="10" t="s">
        <v>28</v>
      </c>
      <c r="D30" s="28" t="s">
        <v>154</v>
      </c>
      <c r="E30" s="28"/>
      <c r="F30" s="28"/>
      <c r="G30" s="20" t="s">
        <v>155</v>
      </c>
      <c r="H30" s="20" t="s">
        <v>59</v>
      </c>
      <c r="I30" s="20"/>
      <c r="J30" s="20" t="s">
        <v>156</v>
      </c>
      <c r="K30" s="20" t="s">
        <v>157</v>
      </c>
      <c r="L30" s="20" t="s">
        <v>157</v>
      </c>
      <c r="M30" s="21" t="s">
        <v>158</v>
      </c>
      <c r="N30" s="10" t="s">
        <v>37</v>
      </c>
      <c r="O30" s="9"/>
      <c r="P30" s="9"/>
      <c r="Q30" s="9"/>
      <c r="R30" s="9"/>
      <c r="S30" s="9"/>
      <c r="T30" s="9"/>
      <c r="U30" s="9"/>
      <c r="V30" s="9"/>
      <c r="W30" s="9"/>
      <c r="X30" s="9"/>
      <c r="Y30" s="11"/>
      <c r="Z30" s="11"/>
      <c r="AA30" s="11"/>
      <c r="AB30" s="11"/>
      <c r="AC30" s="11"/>
      <c r="AD30" s="11"/>
    </row>
    <row r="31" hidden="1">
      <c r="A31" s="27"/>
      <c r="B31" s="14"/>
      <c r="C31" s="14" t="s">
        <v>28</v>
      </c>
      <c r="D31" s="29" t="s">
        <v>159</v>
      </c>
      <c r="E31" s="29"/>
      <c r="F31" s="29"/>
      <c r="G31" s="16" t="s">
        <v>113</v>
      </c>
      <c r="H31" s="16"/>
      <c r="I31" s="16"/>
      <c r="J31" s="16" t="s">
        <v>114</v>
      </c>
      <c r="K31" s="16" t="s">
        <v>115</v>
      </c>
      <c r="L31" s="16" t="s">
        <v>115</v>
      </c>
      <c r="M31" s="17" t="s">
        <v>160</v>
      </c>
      <c r="N31" s="14" t="s">
        <v>37</v>
      </c>
      <c r="O31" s="15"/>
      <c r="P31" s="15"/>
      <c r="Q31" s="15"/>
      <c r="R31" s="15"/>
      <c r="S31" s="15"/>
      <c r="T31" s="15"/>
      <c r="U31" s="15"/>
      <c r="V31" s="15"/>
      <c r="W31" s="15"/>
      <c r="X31" s="15"/>
      <c r="Y31" s="11"/>
      <c r="Z31" s="11"/>
      <c r="AA31" s="11"/>
      <c r="AB31" s="11"/>
      <c r="AC31" s="11"/>
      <c r="AD31" s="11"/>
    </row>
    <row r="32" hidden="1">
      <c r="A32" s="26"/>
      <c r="B32" s="10">
        <v>6.0</v>
      </c>
      <c r="C32" s="10" t="s">
        <v>28</v>
      </c>
      <c r="D32" s="28" t="s">
        <v>161</v>
      </c>
      <c r="E32" s="28" t="s">
        <v>162</v>
      </c>
      <c r="F32" s="28" t="s">
        <v>30</v>
      </c>
      <c r="G32" s="28" t="s">
        <v>163</v>
      </c>
      <c r="H32" s="20" t="s">
        <v>59</v>
      </c>
      <c r="I32" s="20"/>
      <c r="J32" s="20" t="s">
        <v>41</v>
      </c>
      <c r="K32" s="20" t="s">
        <v>103</v>
      </c>
      <c r="L32" s="20" t="s">
        <v>103</v>
      </c>
      <c r="M32" s="21" t="s">
        <v>164</v>
      </c>
      <c r="N32" s="10" t="s">
        <v>37</v>
      </c>
      <c r="O32" s="9"/>
      <c r="P32" s="9"/>
      <c r="Q32" s="9"/>
      <c r="R32" s="9"/>
      <c r="S32" s="9"/>
      <c r="T32" s="9"/>
      <c r="U32" s="9"/>
      <c r="V32" s="9"/>
      <c r="W32" s="9"/>
      <c r="X32" s="9"/>
      <c r="Y32" s="11"/>
      <c r="Z32" s="11"/>
      <c r="AA32" s="11"/>
      <c r="AB32" s="11"/>
      <c r="AC32" s="11"/>
      <c r="AD32" s="11"/>
    </row>
    <row r="33" hidden="1">
      <c r="A33" s="27"/>
      <c r="B33" s="14"/>
      <c r="C33" s="14" t="s">
        <v>28</v>
      </c>
      <c r="D33" s="29" t="s">
        <v>165</v>
      </c>
      <c r="E33" s="29"/>
      <c r="F33" s="29"/>
      <c r="G33" s="16" t="s">
        <v>166</v>
      </c>
      <c r="H33" s="16" t="s">
        <v>59</v>
      </c>
      <c r="I33" s="16"/>
      <c r="J33" s="16" t="s">
        <v>167</v>
      </c>
      <c r="K33" s="16" t="s">
        <v>168</v>
      </c>
      <c r="L33" s="16" t="s">
        <v>168</v>
      </c>
      <c r="M33" s="17" t="s">
        <v>169</v>
      </c>
      <c r="N33" s="14" t="s">
        <v>37</v>
      </c>
      <c r="O33" s="15"/>
      <c r="P33" s="15"/>
      <c r="Q33" s="15"/>
      <c r="R33" s="15"/>
      <c r="S33" s="15"/>
      <c r="T33" s="15"/>
      <c r="U33" s="15"/>
      <c r="V33" s="15"/>
      <c r="W33" s="15"/>
      <c r="X33" s="15"/>
      <c r="Y33" s="11"/>
      <c r="Z33" s="11"/>
      <c r="AA33" s="11"/>
      <c r="AB33" s="11"/>
      <c r="AC33" s="11"/>
      <c r="AD33" s="11"/>
    </row>
    <row r="34" hidden="1">
      <c r="A34" s="26"/>
      <c r="B34" s="10"/>
      <c r="C34" s="10" t="s">
        <v>28</v>
      </c>
      <c r="D34" s="28" t="s">
        <v>170</v>
      </c>
      <c r="E34" s="28"/>
      <c r="F34" s="28"/>
      <c r="G34" s="20" t="s">
        <v>113</v>
      </c>
      <c r="H34" s="20"/>
      <c r="I34" s="20"/>
      <c r="J34" s="20" t="s">
        <v>114</v>
      </c>
      <c r="K34" s="20" t="s">
        <v>115</v>
      </c>
      <c r="L34" s="20" t="s">
        <v>115</v>
      </c>
      <c r="M34" s="21" t="s">
        <v>169</v>
      </c>
      <c r="N34" s="10" t="s">
        <v>37</v>
      </c>
      <c r="O34" s="9"/>
      <c r="P34" s="9"/>
      <c r="Q34" s="9"/>
      <c r="R34" s="9"/>
      <c r="S34" s="9"/>
      <c r="T34" s="9"/>
      <c r="U34" s="9"/>
      <c r="V34" s="9"/>
      <c r="W34" s="9"/>
      <c r="X34" s="9"/>
      <c r="Y34" s="11"/>
      <c r="Z34" s="11"/>
      <c r="AA34" s="11"/>
      <c r="AB34" s="11"/>
      <c r="AC34" s="11"/>
      <c r="AD34" s="11"/>
    </row>
    <row r="35" hidden="1">
      <c r="A35" s="27"/>
      <c r="B35" s="14">
        <v>7.0</v>
      </c>
      <c r="C35" s="14" t="s">
        <v>28</v>
      </c>
      <c r="D35" s="29" t="s">
        <v>171</v>
      </c>
      <c r="E35" s="29" t="s">
        <v>172</v>
      </c>
      <c r="F35" s="29" t="s">
        <v>30</v>
      </c>
      <c r="G35" s="29" t="s">
        <v>173</v>
      </c>
      <c r="H35" s="16" t="s">
        <v>59</v>
      </c>
      <c r="I35" s="16"/>
      <c r="J35" s="16" t="s">
        <v>41</v>
      </c>
      <c r="K35" s="16" t="s">
        <v>103</v>
      </c>
      <c r="L35" s="16" t="s">
        <v>103</v>
      </c>
      <c r="M35" s="17" t="s">
        <v>174</v>
      </c>
      <c r="N35" s="14" t="s">
        <v>37</v>
      </c>
      <c r="O35" s="15"/>
      <c r="P35" s="15"/>
      <c r="Q35" s="15"/>
      <c r="R35" s="15"/>
      <c r="S35" s="15"/>
      <c r="T35" s="15"/>
      <c r="U35" s="15"/>
      <c r="V35" s="15"/>
      <c r="W35" s="15"/>
      <c r="X35" s="15"/>
      <c r="Y35" s="11"/>
      <c r="Z35" s="11"/>
      <c r="AA35" s="11"/>
      <c r="AB35" s="11"/>
      <c r="AC35" s="11"/>
      <c r="AD35" s="11"/>
    </row>
    <row r="36" hidden="1">
      <c r="A36" s="26"/>
      <c r="B36" s="10"/>
      <c r="C36" s="10" t="s">
        <v>28</v>
      </c>
      <c r="D36" s="28" t="s">
        <v>175</v>
      </c>
      <c r="E36" s="28"/>
      <c r="F36" s="28"/>
      <c r="G36" s="20" t="s">
        <v>176</v>
      </c>
      <c r="H36" s="20" t="s">
        <v>59</v>
      </c>
      <c r="I36" s="20"/>
      <c r="J36" s="20" t="s">
        <v>177</v>
      </c>
      <c r="K36" s="20" t="s">
        <v>178</v>
      </c>
      <c r="L36" s="20" t="s">
        <v>178</v>
      </c>
      <c r="M36" s="21" t="s">
        <v>179</v>
      </c>
      <c r="N36" s="10" t="s">
        <v>37</v>
      </c>
      <c r="O36" s="9"/>
      <c r="P36" s="9"/>
      <c r="Q36" s="9"/>
      <c r="R36" s="9"/>
      <c r="S36" s="9"/>
      <c r="T36" s="9"/>
      <c r="U36" s="9"/>
      <c r="V36" s="9"/>
      <c r="W36" s="9"/>
      <c r="X36" s="9"/>
      <c r="Y36" s="11"/>
      <c r="Z36" s="11"/>
      <c r="AA36" s="11"/>
      <c r="AB36" s="11"/>
      <c r="AC36" s="11"/>
      <c r="AD36" s="11"/>
    </row>
    <row r="37" hidden="1">
      <c r="A37" s="27"/>
      <c r="B37" s="14"/>
      <c r="C37" s="14" t="s">
        <v>28</v>
      </c>
      <c r="D37" s="29" t="s">
        <v>180</v>
      </c>
      <c r="E37" s="29"/>
      <c r="F37" s="29"/>
      <c r="G37" s="16" t="s">
        <v>113</v>
      </c>
      <c r="H37" s="16"/>
      <c r="I37" s="16"/>
      <c r="J37" s="16" t="s">
        <v>114</v>
      </c>
      <c r="K37" s="16" t="s">
        <v>115</v>
      </c>
      <c r="L37" s="16" t="s">
        <v>115</v>
      </c>
      <c r="M37" s="17" t="s">
        <v>181</v>
      </c>
      <c r="N37" s="14" t="s">
        <v>37</v>
      </c>
      <c r="O37" s="15"/>
      <c r="P37" s="15"/>
      <c r="Q37" s="15"/>
      <c r="R37" s="15"/>
      <c r="S37" s="15"/>
      <c r="T37" s="15"/>
      <c r="U37" s="15"/>
      <c r="V37" s="15"/>
      <c r="W37" s="15"/>
      <c r="X37" s="15"/>
      <c r="Y37" s="11"/>
      <c r="Z37" s="11"/>
      <c r="AA37" s="11"/>
      <c r="AB37" s="11"/>
      <c r="AC37" s="11"/>
      <c r="AD37" s="11"/>
    </row>
    <row r="38" hidden="1">
      <c r="A38" s="26"/>
      <c r="B38" s="10" t="s">
        <v>182</v>
      </c>
      <c r="C38" s="10" t="s">
        <v>28</v>
      </c>
      <c r="D38" s="10"/>
      <c r="E38" s="10" t="s">
        <v>183</v>
      </c>
      <c r="F38" s="28" t="s">
        <v>30</v>
      </c>
      <c r="G38" s="28"/>
      <c r="H38" s="20"/>
      <c r="I38" s="20"/>
      <c r="J38" s="20"/>
      <c r="K38" s="20"/>
      <c r="L38" s="20"/>
      <c r="M38" s="9"/>
      <c r="N38" s="10"/>
      <c r="O38" s="9"/>
      <c r="P38" s="9"/>
      <c r="Q38" s="9"/>
      <c r="R38" s="9"/>
      <c r="S38" s="9"/>
      <c r="T38" s="9"/>
      <c r="U38" s="9"/>
      <c r="V38" s="9"/>
      <c r="W38" s="9"/>
      <c r="X38" s="9"/>
      <c r="Y38" s="11"/>
      <c r="Z38" s="11"/>
      <c r="AA38" s="11"/>
      <c r="AB38" s="11"/>
      <c r="AC38" s="11"/>
      <c r="AD38" s="11"/>
    </row>
    <row r="39" hidden="1">
      <c r="A39" s="27"/>
      <c r="B39" s="14"/>
      <c r="C39" s="14" t="s">
        <v>28</v>
      </c>
      <c r="D39" s="29"/>
      <c r="E39" s="29"/>
      <c r="F39" s="29"/>
      <c r="G39" s="16" t="s">
        <v>184</v>
      </c>
      <c r="H39" s="16" t="s">
        <v>59</v>
      </c>
      <c r="I39" s="16"/>
      <c r="J39" s="16" t="s">
        <v>41</v>
      </c>
      <c r="K39" s="16" t="s">
        <v>103</v>
      </c>
      <c r="L39" s="16"/>
      <c r="M39" s="15"/>
      <c r="N39" s="14"/>
      <c r="O39" s="15"/>
      <c r="P39" s="15"/>
      <c r="Q39" s="15"/>
      <c r="R39" s="15"/>
      <c r="S39" s="15"/>
      <c r="T39" s="15"/>
      <c r="U39" s="15"/>
      <c r="V39" s="15"/>
      <c r="W39" s="15"/>
      <c r="X39" s="15"/>
      <c r="Y39" s="11"/>
      <c r="Z39" s="11"/>
      <c r="AA39" s="11"/>
      <c r="AB39" s="11"/>
      <c r="AC39" s="11"/>
      <c r="AD39" s="11"/>
    </row>
    <row r="40" hidden="1">
      <c r="A40" s="26"/>
      <c r="B40" s="10"/>
      <c r="C40" s="10" t="s">
        <v>28</v>
      </c>
      <c r="D40" s="28"/>
      <c r="E40" s="28"/>
      <c r="F40" s="28"/>
      <c r="G40" s="20" t="s">
        <v>185</v>
      </c>
      <c r="H40" s="20" t="s">
        <v>59</v>
      </c>
      <c r="I40" s="20"/>
      <c r="J40" s="20" t="s">
        <v>186</v>
      </c>
      <c r="K40" s="20" t="s">
        <v>187</v>
      </c>
      <c r="L40" s="20"/>
      <c r="M40" s="9"/>
      <c r="N40" s="10"/>
      <c r="O40" s="9"/>
      <c r="P40" s="9"/>
      <c r="Q40" s="9"/>
      <c r="R40" s="9"/>
      <c r="S40" s="9"/>
      <c r="T40" s="9"/>
      <c r="U40" s="9"/>
      <c r="V40" s="9"/>
      <c r="W40" s="9"/>
      <c r="X40" s="9"/>
      <c r="Y40" s="11"/>
      <c r="Z40" s="11"/>
      <c r="AA40" s="11"/>
      <c r="AB40" s="11"/>
      <c r="AC40" s="11"/>
      <c r="AD40" s="11"/>
    </row>
    <row r="41" hidden="1">
      <c r="A41" s="27"/>
      <c r="B41" s="14"/>
      <c r="C41" s="14" t="s">
        <v>28</v>
      </c>
      <c r="D41" s="29"/>
      <c r="E41" s="29"/>
      <c r="F41" s="29"/>
      <c r="G41" s="16" t="s">
        <v>113</v>
      </c>
      <c r="H41" s="16"/>
      <c r="I41" s="16"/>
      <c r="J41" s="16" t="s">
        <v>114</v>
      </c>
      <c r="K41" s="16" t="s">
        <v>115</v>
      </c>
      <c r="L41" s="16"/>
      <c r="M41" s="15"/>
      <c r="N41" s="14"/>
      <c r="O41" s="15"/>
      <c r="P41" s="15"/>
      <c r="Q41" s="15"/>
      <c r="R41" s="15"/>
      <c r="S41" s="15"/>
      <c r="T41" s="15"/>
      <c r="U41" s="15"/>
      <c r="V41" s="15"/>
      <c r="W41" s="15"/>
      <c r="X41" s="15"/>
      <c r="Y41" s="11"/>
      <c r="Z41" s="11"/>
      <c r="AA41" s="11"/>
      <c r="AB41" s="11"/>
      <c r="AC41" s="11"/>
      <c r="AD41" s="11"/>
    </row>
    <row r="42" hidden="1">
      <c r="A42" s="26"/>
      <c r="B42" s="10" t="s">
        <v>182</v>
      </c>
      <c r="C42" s="10" t="s">
        <v>28</v>
      </c>
      <c r="D42" s="10"/>
      <c r="E42" s="10" t="s">
        <v>188</v>
      </c>
      <c r="F42" s="28" t="s">
        <v>30</v>
      </c>
      <c r="G42" s="28"/>
      <c r="H42" s="20"/>
      <c r="I42" s="20"/>
      <c r="J42" s="20"/>
      <c r="K42" s="20"/>
      <c r="L42" s="20"/>
      <c r="M42" s="9"/>
      <c r="N42" s="10"/>
      <c r="O42" s="9"/>
      <c r="P42" s="9"/>
      <c r="Q42" s="9"/>
      <c r="R42" s="9"/>
      <c r="S42" s="9"/>
      <c r="T42" s="9"/>
      <c r="U42" s="9"/>
      <c r="V42" s="9"/>
      <c r="W42" s="9"/>
      <c r="X42" s="9"/>
      <c r="Y42" s="11"/>
      <c r="Z42" s="11"/>
      <c r="AA42" s="11"/>
      <c r="AB42" s="11"/>
      <c r="AC42" s="11"/>
      <c r="AD42" s="11"/>
    </row>
    <row r="43" hidden="1">
      <c r="A43" s="27"/>
      <c r="B43" s="14"/>
      <c r="C43" s="14" t="s">
        <v>28</v>
      </c>
      <c r="D43" s="29"/>
      <c r="E43" s="29"/>
      <c r="F43" s="29"/>
      <c r="G43" s="16" t="s">
        <v>189</v>
      </c>
      <c r="H43" s="16" t="s">
        <v>59</v>
      </c>
      <c r="I43" s="16"/>
      <c r="J43" s="16" t="s">
        <v>41</v>
      </c>
      <c r="K43" s="16" t="s">
        <v>103</v>
      </c>
      <c r="L43" s="16"/>
      <c r="M43" s="15"/>
      <c r="N43" s="14"/>
      <c r="O43" s="15"/>
      <c r="P43" s="15"/>
      <c r="Q43" s="15"/>
      <c r="R43" s="15"/>
      <c r="S43" s="15"/>
      <c r="T43" s="15"/>
      <c r="U43" s="15"/>
      <c r="V43" s="15"/>
      <c r="W43" s="15"/>
      <c r="X43" s="15"/>
      <c r="Y43" s="11"/>
      <c r="Z43" s="11"/>
      <c r="AA43" s="11"/>
      <c r="AB43" s="11"/>
      <c r="AC43" s="11"/>
      <c r="AD43" s="11"/>
    </row>
    <row r="44" hidden="1">
      <c r="A44" s="26"/>
      <c r="B44" s="10"/>
      <c r="C44" s="10" t="s">
        <v>28</v>
      </c>
      <c r="D44" s="28"/>
      <c r="E44" s="28"/>
      <c r="F44" s="28"/>
      <c r="G44" s="20" t="s">
        <v>190</v>
      </c>
      <c r="H44" s="20" t="s">
        <v>59</v>
      </c>
      <c r="I44" s="20"/>
      <c r="J44" s="20" t="s">
        <v>191</v>
      </c>
      <c r="K44" s="20" t="s">
        <v>192</v>
      </c>
      <c r="L44" s="20"/>
      <c r="M44" s="9"/>
      <c r="N44" s="10"/>
      <c r="O44" s="9"/>
      <c r="P44" s="9"/>
      <c r="Q44" s="9"/>
      <c r="R44" s="9"/>
      <c r="S44" s="9"/>
      <c r="T44" s="9"/>
      <c r="U44" s="9"/>
      <c r="V44" s="9"/>
      <c r="W44" s="9"/>
      <c r="X44" s="9"/>
      <c r="Y44" s="11"/>
      <c r="Z44" s="11"/>
      <c r="AA44" s="11"/>
      <c r="AB44" s="11"/>
      <c r="AC44" s="11"/>
      <c r="AD44" s="11"/>
    </row>
    <row r="45" hidden="1">
      <c r="A45" s="27"/>
      <c r="B45" s="14"/>
      <c r="C45" s="14" t="s">
        <v>28</v>
      </c>
      <c r="D45" s="29"/>
      <c r="E45" s="29"/>
      <c r="F45" s="29"/>
      <c r="G45" s="16" t="s">
        <v>113</v>
      </c>
      <c r="H45" s="16"/>
      <c r="I45" s="16"/>
      <c r="J45" s="16" t="s">
        <v>114</v>
      </c>
      <c r="K45" s="16" t="s">
        <v>115</v>
      </c>
      <c r="L45" s="16"/>
      <c r="M45" s="15"/>
      <c r="N45" s="14"/>
      <c r="O45" s="15"/>
      <c r="P45" s="15"/>
      <c r="Q45" s="15"/>
      <c r="R45" s="15"/>
      <c r="S45" s="15"/>
      <c r="T45" s="15"/>
      <c r="U45" s="15"/>
      <c r="V45" s="15"/>
      <c r="W45" s="15"/>
      <c r="X45" s="15"/>
      <c r="Y45" s="11"/>
      <c r="Z45" s="11"/>
      <c r="AA45" s="11"/>
      <c r="AB45" s="11"/>
      <c r="AC45" s="11"/>
      <c r="AD45" s="11"/>
    </row>
    <row r="46" hidden="1">
      <c r="A46" s="26"/>
      <c r="B46" s="10">
        <v>8.0</v>
      </c>
      <c r="C46" s="10" t="s">
        <v>28</v>
      </c>
      <c r="D46" s="28" t="s">
        <v>193</v>
      </c>
      <c r="E46" s="28" t="s">
        <v>194</v>
      </c>
      <c r="F46" s="28" t="s">
        <v>30</v>
      </c>
      <c r="G46" s="28" t="s">
        <v>195</v>
      </c>
      <c r="H46" s="20" t="s">
        <v>59</v>
      </c>
      <c r="I46" s="20"/>
      <c r="J46" s="20" t="s">
        <v>41</v>
      </c>
      <c r="K46" s="20" t="s">
        <v>196</v>
      </c>
      <c r="L46" s="20" t="s">
        <v>196</v>
      </c>
      <c r="M46" s="8" t="s">
        <v>197</v>
      </c>
      <c r="N46" s="10" t="s">
        <v>37</v>
      </c>
      <c r="O46" s="9"/>
      <c r="P46" s="9"/>
      <c r="Q46" s="9"/>
      <c r="R46" s="9"/>
      <c r="S46" s="9"/>
      <c r="T46" s="9"/>
      <c r="U46" s="9"/>
      <c r="V46" s="9"/>
      <c r="W46" s="9"/>
      <c r="X46" s="9"/>
      <c r="Y46" s="11"/>
      <c r="Z46" s="11"/>
      <c r="AA46" s="11"/>
      <c r="AB46" s="11"/>
      <c r="AC46" s="11"/>
      <c r="AD46" s="11"/>
    </row>
    <row r="47">
      <c r="A47" s="27"/>
      <c r="B47" s="14"/>
      <c r="C47" s="14" t="s">
        <v>28</v>
      </c>
      <c r="D47" s="29" t="s">
        <v>198</v>
      </c>
      <c r="E47" s="29"/>
      <c r="F47" s="29"/>
      <c r="G47" s="16" t="s">
        <v>199</v>
      </c>
      <c r="H47" s="16" t="s">
        <v>59</v>
      </c>
      <c r="I47" s="16"/>
      <c r="J47" s="16" t="s">
        <v>41</v>
      </c>
      <c r="K47" s="16" t="s">
        <v>200</v>
      </c>
      <c r="L47" s="16" t="s">
        <v>201</v>
      </c>
      <c r="M47" s="30" t="s">
        <v>202</v>
      </c>
      <c r="N47" s="14" t="s">
        <v>64</v>
      </c>
      <c r="O47" s="15"/>
      <c r="P47" s="24" t="s">
        <v>65</v>
      </c>
      <c r="Q47" s="25" t="s">
        <v>203</v>
      </c>
      <c r="R47" s="15"/>
      <c r="S47" s="15"/>
      <c r="T47" s="15"/>
      <c r="U47" s="15"/>
      <c r="V47" s="15"/>
      <c r="W47" s="15"/>
      <c r="X47" s="15"/>
      <c r="Y47" s="11"/>
      <c r="Z47" s="11"/>
      <c r="AA47" s="11"/>
      <c r="AB47" s="11"/>
      <c r="AC47" s="11"/>
      <c r="AD47" s="11"/>
    </row>
    <row r="48" hidden="1">
      <c r="A48" s="26"/>
      <c r="B48" s="10">
        <v>9.0</v>
      </c>
      <c r="C48" s="10" t="s">
        <v>28</v>
      </c>
      <c r="D48" s="28" t="s">
        <v>204</v>
      </c>
      <c r="E48" s="28" t="s">
        <v>205</v>
      </c>
      <c r="F48" s="28" t="s">
        <v>30</v>
      </c>
      <c r="G48" s="28" t="s">
        <v>206</v>
      </c>
      <c r="H48" s="20" t="s">
        <v>59</v>
      </c>
      <c r="I48" s="20"/>
      <c r="J48" s="20" t="s">
        <v>41</v>
      </c>
      <c r="K48" s="20" t="s">
        <v>207</v>
      </c>
      <c r="L48" s="20"/>
      <c r="M48" s="9"/>
      <c r="N48" s="10" t="s">
        <v>208</v>
      </c>
      <c r="O48" s="9" t="s">
        <v>209</v>
      </c>
      <c r="P48" s="9"/>
      <c r="Q48" s="9"/>
      <c r="R48" s="9"/>
      <c r="S48" s="9"/>
      <c r="T48" s="9"/>
      <c r="U48" s="9"/>
      <c r="V48" s="9"/>
      <c r="W48" s="9"/>
      <c r="X48" s="9"/>
      <c r="Y48" s="11"/>
      <c r="Z48" s="11"/>
      <c r="AA48" s="11"/>
      <c r="AB48" s="11"/>
      <c r="AC48" s="11"/>
      <c r="AD48" s="11"/>
    </row>
    <row r="49" hidden="1">
      <c r="A49" s="27"/>
      <c r="B49" s="14"/>
      <c r="C49" s="14" t="s">
        <v>28</v>
      </c>
      <c r="D49" s="29" t="s">
        <v>210</v>
      </c>
      <c r="E49" s="29"/>
      <c r="F49" s="29"/>
      <c r="G49" s="16" t="s">
        <v>211</v>
      </c>
      <c r="H49" s="16" t="s">
        <v>59</v>
      </c>
      <c r="I49" s="16"/>
      <c r="J49" s="16" t="s">
        <v>41</v>
      </c>
      <c r="K49" s="16" t="s">
        <v>207</v>
      </c>
      <c r="L49" s="16"/>
      <c r="M49" s="15"/>
      <c r="N49" s="14" t="s">
        <v>208</v>
      </c>
      <c r="O49" s="15" t="s">
        <v>209</v>
      </c>
      <c r="P49" s="15"/>
      <c r="Q49" s="15"/>
      <c r="R49" s="15"/>
      <c r="S49" s="15"/>
      <c r="T49" s="15"/>
      <c r="U49" s="15"/>
      <c r="V49" s="15"/>
      <c r="W49" s="15"/>
      <c r="X49" s="15"/>
      <c r="Y49" s="11"/>
      <c r="Z49" s="11"/>
      <c r="AA49" s="11"/>
      <c r="AB49" s="11"/>
      <c r="AC49" s="11"/>
      <c r="AD49" s="11"/>
    </row>
    <row r="50" hidden="1">
      <c r="A50" s="4"/>
      <c r="B50" s="5" t="s">
        <v>212</v>
      </c>
      <c r="C50" s="10" t="s">
        <v>28</v>
      </c>
      <c r="D50" s="6"/>
      <c r="E50" s="6" t="s">
        <v>213</v>
      </c>
      <c r="F50" s="28"/>
      <c r="G50" s="28"/>
      <c r="H50" s="28"/>
      <c r="I50" s="9"/>
      <c r="J50" s="9"/>
      <c r="K50" s="9"/>
      <c r="L50" s="9"/>
      <c r="M50" s="9"/>
      <c r="N50" s="10"/>
      <c r="O50" s="9"/>
      <c r="P50" s="9"/>
      <c r="Q50" s="9"/>
      <c r="R50" s="9"/>
      <c r="S50" s="9"/>
      <c r="T50" s="9"/>
      <c r="U50" s="9"/>
      <c r="V50" s="9"/>
      <c r="W50" s="9"/>
      <c r="X50" s="9"/>
      <c r="Y50" s="11"/>
      <c r="Z50" s="11"/>
      <c r="AA50" s="11"/>
      <c r="AB50" s="11"/>
      <c r="AC50" s="11"/>
      <c r="AD50" s="11"/>
    </row>
    <row r="51" hidden="1">
      <c r="A51" s="31"/>
      <c r="B51" s="32" t="s">
        <v>214</v>
      </c>
      <c r="C51" s="14" t="s">
        <v>28</v>
      </c>
      <c r="D51" s="33"/>
      <c r="E51" s="33" t="s">
        <v>215</v>
      </c>
      <c r="F51" s="29"/>
      <c r="G51" s="29"/>
      <c r="H51" s="29"/>
      <c r="I51" s="29"/>
      <c r="J51" s="29"/>
      <c r="K51" s="15"/>
      <c r="L51" s="15"/>
      <c r="M51" s="15"/>
      <c r="N51" s="14"/>
      <c r="O51" s="15"/>
      <c r="P51" s="15"/>
      <c r="Q51" s="15"/>
      <c r="R51" s="15"/>
      <c r="S51" s="15"/>
      <c r="T51" s="15"/>
      <c r="U51" s="15"/>
      <c r="V51" s="15"/>
      <c r="W51" s="15"/>
      <c r="X51" s="15"/>
      <c r="Y51" s="11"/>
      <c r="Z51" s="11"/>
      <c r="AA51" s="11"/>
      <c r="AB51" s="11"/>
      <c r="AC51" s="11"/>
      <c r="AD51" s="11"/>
    </row>
    <row r="52" hidden="1">
      <c r="A52" s="26"/>
      <c r="B52" s="10" t="s">
        <v>182</v>
      </c>
      <c r="C52" s="10" t="s">
        <v>28</v>
      </c>
      <c r="D52" s="10"/>
      <c r="E52" s="10" t="s">
        <v>216</v>
      </c>
      <c r="F52" s="28"/>
      <c r="G52" s="28"/>
      <c r="H52" s="20"/>
      <c r="I52" s="10"/>
      <c r="J52" s="9"/>
      <c r="K52" s="9"/>
      <c r="L52" s="9"/>
      <c r="M52" s="9"/>
      <c r="N52" s="10"/>
      <c r="O52" s="9"/>
      <c r="P52" s="9"/>
      <c r="Q52" s="9"/>
      <c r="R52" s="9"/>
      <c r="S52" s="9"/>
      <c r="T52" s="9"/>
      <c r="U52" s="9"/>
      <c r="V52" s="9"/>
      <c r="W52" s="9"/>
      <c r="X52" s="9"/>
      <c r="Y52" s="11"/>
      <c r="Z52" s="11"/>
      <c r="AA52" s="11"/>
      <c r="AB52" s="11"/>
      <c r="AC52" s="11"/>
      <c r="AD52" s="11"/>
    </row>
    <row r="53" hidden="1">
      <c r="A53" s="27"/>
      <c r="B53" s="14"/>
      <c r="C53" s="14" t="s">
        <v>28</v>
      </c>
      <c r="D53" s="29"/>
      <c r="E53" s="29"/>
      <c r="F53" s="16"/>
      <c r="G53" s="16" t="s">
        <v>217</v>
      </c>
      <c r="H53" s="16" t="s">
        <v>218</v>
      </c>
      <c r="I53" s="14"/>
      <c r="J53" s="16" t="s">
        <v>219</v>
      </c>
      <c r="K53" s="16" t="s">
        <v>220</v>
      </c>
      <c r="L53" s="15"/>
      <c r="M53" s="15"/>
      <c r="N53" s="14"/>
      <c r="O53" s="15"/>
      <c r="P53" s="15"/>
      <c r="Q53" s="15"/>
      <c r="R53" s="15"/>
      <c r="S53" s="15"/>
      <c r="T53" s="15"/>
      <c r="U53" s="15"/>
      <c r="V53" s="15"/>
      <c r="W53" s="15"/>
      <c r="X53" s="15"/>
      <c r="Y53" s="11"/>
      <c r="Z53" s="11"/>
      <c r="AA53" s="11"/>
      <c r="AB53" s="11"/>
      <c r="AC53" s="11"/>
      <c r="AD53" s="11"/>
    </row>
    <row r="54" hidden="1">
      <c r="A54" s="26"/>
      <c r="B54" s="10"/>
      <c r="C54" s="10" t="s">
        <v>28</v>
      </c>
      <c r="D54" s="28"/>
      <c r="E54" s="28"/>
      <c r="F54" s="20"/>
      <c r="G54" s="20" t="s">
        <v>221</v>
      </c>
      <c r="H54" s="20" t="s">
        <v>218</v>
      </c>
      <c r="I54" s="10"/>
      <c r="J54" s="20" t="s">
        <v>219</v>
      </c>
      <c r="K54" s="20" t="s">
        <v>222</v>
      </c>
      <c r="L54" s="9"/>
      <c r="M54" s="9"/>
      <c r="N54" s="10"/>
      <c r="O54" s="9"/>
      <c r="P54" s="9"/>
      <c r="Q54" s="9"/>
      <c r="R54" s="9"/>
      <c r="S54" s="9"/>
      <c r="T54" s="9"/>
      <c r="U54" s="9"/>
      <c r="V54" s="9"/>
      <c r="W54" s="9"/>
      <c r="X54" s="9"/>
      <c r="Y54" s="11"/>
      <c r="Z54" s="11"/>
      <c r="AA54" s="11"/>
      <c r="AB54" s="11"/>
      <c r="AC54" s="11"/>
      <c r="AD54" s="11"/>
    </row>
    <row r="55" hidden="1">
      <c r="A55" s="27"/>
      <c r="B55" s="14"/>
      <c r="C55" s="14" t="s">
        <v>28</v>
      </c>
      <c r="D55" s="29"/>
      <c r="E55" s="29"/>
      <c r="F55" s="16"/>
      <c r="G55" s="16" t="s">
        <v>223</v>
      </c>
      <c r="H55" s="16" t="s">
        <v>218</v>
      </c>
      <c r="I55" s="14"/>
      <c r="J55" s="16" t="s">
        <v>219</v>
      </c>
      <c r="K55" s="16" t="s">
        <v>224</v>
      </c>
      <c r="L55" s="15"/>
      <c r="M55" s="15"/>
      <c r="N55" s="14"/>
      <c r="O55" s="15"/>
      <c r="P55" s="15"/>
      <c r="Q55" s="15"/>
      <c r="R55" s="15"/>
      <c r="S55" s="15"/>
      <c r="T55" s="15"/>
      <c r="U55" s="15"/>
      <c r="V55" s="15"/>
      <c r="W55" s="15"/>
      <c r="X55" s="15"/>
      <c r="Y55" s="11"/>
      <c r="Z55" s="11"/>
      <c r="AA55" s="11"/>
      <c r="AB55" s="11"/>
      <c r="AC55" s="11"/>
      <c r="AD55" s="11"/>
    </row>
    <row r="56" hidden="1">
      <c r="A56" s="26"/>
      <c r="B56" s="10"/>
      <c r="C56" s="10" t="s">
        <v>28</v>
      </c>
      <c r="D56" s="28"/>
      <c r="E56" s="28"/>
      <c r="F56" s="20"/>
      <c r="G56" s="20" t="s">
        <v>225</v>
      </c>
      <c r="H56" s="20" t="s">
        <v>218</v>
      </c>
      <c r="I56" s="10"/>
      <c r="J56" s="20" t="s">
        <v>219</v>
      </c>
      <c r="K56" s="20" t="s">
        <v>224</v>
      </c>
      <c r="L56" s="9"/>
      <c r="M56" s="9"/>
      <c r="N56" s="10"/>
      <c r="O56" s="9"/>
      <c r="P56" s="9"/>
      <c r="Q56" s="9"/>
      <c r="R56" s="9"/>
      <c r="S56" s="9"/>
      <c r="T56" s="9"/>
      <c r="U56" s="9"/>
      <c r="V56" s="9"/>
      <c r="W56" s="9"/>
      <c r="X56" s="9"/>
      <c r="Y56" s="11"/>
      <c r="Z56" s="11"/>
      <c r="AA56" s="11"/>
      <c r="AB56" s="11"/>
      <c r="AC56" s="11"/>
      <c r="AD56" s="11"/>
    </row>
    <row r="57" hidden="1">
      <c r="A57" s="27"/>
      <c r="B57" s="14"/>
      <c r="C57" s="14" t="s">
        <v>28</v>
      </c>
      <c r="D57" s="29"/>
      <c r="E57" s="29"/>
      <c r="F57" s="16"/>
      <c r="G57" s="16" t="s">
        <v>226</v>
      </c>
      <c r="H57" s="16" t="s">
        <v>218</v>
      </c>
      <c r="I57" s="14"/>
      <c r="J57" s="16" t="s">
        <v>219</v>
      </c>
      <c r="K57" s="16" t="s">
        <v>224</v>
      </c>
      <c r="L57" s="15"/>
      <c r="M57" s="15"/>
      <c r="N57" s="14"/>
      <c r="O57" s="15"/>
      <c r="P57" s="15"/>
      <c r="Q57" s="15"/>
      <c r="R57" s="15"/>
      <c r="S57" s="15"/>
      <c r="T57" s="15"/>
      <c r="U57" s="15"/>
      <c r="V57" s="15"/>
      <c r="W57" s="15"/>
      <c r="X57" s="15"/>
      <c r="Y57" s="11"/>
      <c r="Z57" s="11"/>
      <c r="AA57" s="11"/>
      <c r="AB57" s="11"/>
      <c r="AC57" s="11"/>
      <c r="AD57" s="11"/>
    </row>
    <row r="58" hidden="1">
      <c r="A58" s="26"/>
      <c r="B58" s="10"/>
      <c r="C58" s="10" t="s">
        <v>28</v>
      </c>
      <c r="D58" s="28"/>
      <c r="E58" s="28"/>
      <c r="F58" s="20"/>
      <c r="G58" s="20" t="s">
        <v>227</v>
      </c>
      <c r="H58" s="20" t="s">
        <v>218</v>
      </c>
      <c r="I58" s="10"/>
      <c r="J58" s="20" t="s">
        <v>219</v>
      </c>
      <c r="K58" s="20" t="s">
        <v>228</v>
      </c>
      <c r="L58" s="9"/>
      <c r="M58" s="9"/>
      <c r="N58" s="10"/>
      <c r="O58" s="9"/>
      <c r="P58" s="9"/>
      <c r="Q58" s="9"/>
      <c r="R58" s="9"/>
      <c r="S58" s="9"/>
      <c r="T58" s="9"/>
      <c r="U58" s="9"/>
      <c r="V58" s="9"/>
      <c r="W58" s="9"/>
      <c r="X58" s="9"/>
      <c r="Y58" s="11"/>
      <c r="Z58" s="11"/>
      <c r="AA58" s="11"/>
      <c r="AB58" s="11"/>
      <c r="AC58" s="11"/>
      <c r="AD58" s="11"/>
    </row>
    <row r="59" hidden="1">
      <c r="A59" s="27"/>
      <c r="B59" s="14"/>
      <c r="C59" s="14" t="s">
        <v>28</v>
      </c>
      <c r="D59" s="29"/>
      <c r="E59" s="29"/>
      <c r="F59" s="16"/>
      <c r="G59" s="16" t="s">
        <v>229</v>
      </c>
      <c r="H59" s="16" t="s">
        <v>218</v>
      </c>
      <c r="I59" s="14"/>
      <c r="J59" s="16" t="s">
        <v>219</v>
      </c>
      <c r="K59" s="16" t="s">
        <v>228</v>
      </c>
      <c r="L59" s="15"/>
      <c r="M59" s="15"/>
      <c r="N59" s="14"/>
      <c r="O59" s="15"/>
      <c r="P59" s="15"/>
      <c r="Q59" s="15"/>
      <c r="R59" s="15"/>
      <c r="S59" s="15"/>
      <c r="T59" s="15"/>
      <c r="U59" s="15"/>
      <c r="V59" s="15"/>
      <c r="W59" s="15"/>
      <c r="X59" s="15"/>
      <c r="Y59" s="11"/>
      <c r="Z59" s="11"/>
      <c r="AA59" s="11"/>
      <c r="AB59" s="11"/>
      <c r="AC59" s="11"/>
      <c r="AD59" s="11"/>
    </row>
    <row r="60" hidden="1">
      <c r="A60" s="26"/>
      <c r="B60" s="10"/>
      <c r="C60" s="10" t="s">
        <v>28</v>
      </c>
      <c r="D60" s="28"/>
      <c r="E60" s="28"/>
      <c r="F60" s="20"/>
      <c r="G60" s="20" t="s">
        <v>230</v>
      </c>
      <c r="H60" s="20" t="s">
        <v>218</v>
      </c>
      <c r="I60" s="10"/>
      <c r="J60" s="20" t="s">
        <v>219</v>
      </c>
      <c r="K60" s="20" t="s">
        <v>231</v>
      </c>
      <c r="L60" s="9"/>
      <c r="M60" s="9"/>
      <c r="N60" s="10"/>
      <c r="O60" s="9"/>
      <c r="P60" s="9"/>
      <c r="Q60" s="9"/>
      <c r="R60" s="9"/>
      <c r="S60" s="9"/>
      <c r="T60" s="9"/>
      <c r="U60" s="9"/>
      <c r="V60" s="9"/>
      <c r="W60" s="9"/>
      <c r="X60" s="9"/>
      <c r="Y60" s="11"/>
      <c r="Z60" s="11"/>
      <c r="AA60" s="11"/>
      <c r="AB60" s="11"/>
      <c r="AC60" s="11"/>
      <c r="AD60" s="11"/>
    </row>
    <row r="61" hidden="1">
      <c r="A61" s="27"/>
      <c r="B61" s="14"/>
      <c r="C61" s="14" t="s">
        <v>28</v>
      </c>
      <c r="D61" s="29"/>
      <c r="E61" s="29"/>
      <c r="F61" s="16"/>
      <c r="G61" s="16" t="s">
        <v>232</v>
      </c>
      <c r="H61" s="16" t="s">
        <v>218</v>
      </c>
      <c r="I61" s="14"/>
      <c r="J61" s="16" t="s">
        <v>219</v>
      </c>
      <c r="K61" s="16" t="s">
        <v>228</v>
      </c>
      <c r="L61" s="15"/>
      <c r="M61" s="15"/>
      <c r="N61" s="14"/>
      <c r="O61" s="15"/>
      <c r="P61" s="15"/>
      <c r="Q61" s="15"/>
      <c r="R61" s="15"/>
      <c r="S61" s="15"/>
      <c r="T61" s="15"/>
      <c r="U61" s="15"/>
      <c r="V61" s="15"/>
      <c r="W61" s="15"/>
      <c r="X61" s="15"/>
      <c r="Y61" s="11"/>
      <c r="Z61" s="11"/>
      <c r="AA61" s="11"/>
      <c r="AB61" s="11"/>
      <c r="AC61" s="11"/>
      <c r="AD61" s="11"/>
    </row>
    <row r="62" hidden="1">
      <c r="A62" s="26"/>
      <c r="B62" s="10"/>
      <c r="C62" s="10" t="s">
        <v>28</v>
      </c>
      <c r="D62" s="28"/>
      <c r="E62" s="28"/>
      <c r="F62" s="20"/>
      <c r="G62" s="20" t="s">
        <v>233</v>
      </c>
      <c r="H62" s="20" t="s">
        <v>218</v>
      </c>
      <c r="I62" s="10"/>
      <c r="J62" s="20" t="s">
        <v>219</v>
      </c>
      <c r="K62" s="20" t="s">
        <v>224</v>
      </c>
      <c r="L62" s="9"/>
      <c r="M62" s="9"/>
      <c r="N62" s="10"/>
      <c r="O62" s="9"/>
      <c r="P62" s="9"/>
      <c r="Q62" s="9"/>
      <c r="R62" s="9"/>
      <c r="S62" s="9"/>
      <c r="T62" s="9"/>
      <c r="U62" s="9"/>
      <c r="V62" s="9"/>
      <c r="W62" s="9"/>
      <c r="X62" s="9"/>
      <c r="Y62" s="11"/>
      <c r="Z62" s="11"/>
      <c r="AA62" s="11"/>
      <c r="AB62" s="11"/>
      <c r="AC62" s="11"/>
      <c r="AD62" s="11"/>
    </row>
    <row r="63" hidden="1">
      <c r="A63" s="27"/>
      <c r="B63" s="14"/>
      <c r="C63" s="14" t="s">
        <v>28</v>
      </c>
      <c r="D63" s="29"/>
      <c r="E63" s="29"/>
      <c r="F63" s="16"/>
      <c r="G63" s="16" t="s">
        <v>234</v>
      </c>
      <c r="H63" s="16" t="s">
        <v>218</v>
      </c>
      <c r="I63" s="14"/>
      <c r="J63" s="16" t="s">
        <v>219</v>
      </c>
      <c r="K63" s="16" t="s">
        <v>228</v>
      </c>
      <c r="L63" s="15"/>
      <c r="M63" s="15"/>
      <c r="N63" s="14"/>
      <c r="O63" s="15"/>
      <c r="P63" s="15"/>
      <c r="Q63" s="15"/>
      <c r="R63" s="15"/>
      <c r="S63" s="15"/>
      <c r="T63" s="15"/>
      <c r="U63" s="15"/>
      <c r="V63" s="15"/>
      <c r="W63" s="15"/>
      <c r="X63" s="15"/>
      <c r="Y63" s="11"/>
      <c r="Z63" s="11"/>
      <c r="AA63" s="11"/>
      <c r="AB63" s="11"/>
      <c r="AC63" s="11"/>
      <c r="AD63" s="11"/>
    </row>
    <row r="64" hidden="1">
      <c r="A64" s="26"/>
      <c r="B64" s="10"/>
      <c r="C64" s="10" t="s">
        <v>28</v>
      </c>
      <c r="D64" s="28"/>
      <c r="E64" s="28"/>
      <c r="F64" s="20"/>
      <c r="G64" s="20" t="s">
        <v>235</v>
      </c>
      <c r="H64" s="20" t="s">
        <v>218</v>
      </c>
      <c r="I64" s="10"/>
      <c r="J64" s="20" t="s">
        <v>219</v>
      </c>
      <c r="K64" s="20" t="s">
        <v>224</v>
      </c>
      <c r="L64" s="9"/>
      <c r="M64" s="9"/>
      <c r="N64" s="10"/>
      <c r="O64" s="9"/>
      <c r="P64" s="9"/>
      <c r="Q64" s="9"/>
      <c r="R64" s="9"/>
      <c r="S64" s="9"/>
      <c r="T64" s="9"/>
      <c r="U64" s="9"/>
      <c r="V64" s="9"/>
      <c r="W64" s="9"/>
      <c r="X64" s="9"/>
      <c r="Y64" s="11"/>
      <c r="Z64" s="11"/>
      <c r="AA64" s="11"/>
      <c r="AB64" s="11"/>
      <c r="AC64" s="11"/>
      <c r="AD64" s="11"/>
    </row>
    <row r="65" hidden="1">
      <c r="A65" s="27"/>
      <c r="B65" s="14"/>
      <c r="C65" s="14" t="s">
        <v>28</v>
      </c>
      <c r="D65" s="29"/>
      <c r="E65" s="29"/>
      <c r="F65" s="16"/>
      <c r="G65" s="16" t="s">
        <v>236</v>
      </c>
      <c r="H65" s="16" t="s">
        <v>218</v>
      </c>
      <c r="I65" s="14"/>
      <c r="J65" s="16" t="s">
        <v>219</v>
      </c>
      <c r="K65" s="16" t="s">
        <v>237</v>
      </c>
      <c r="L65" s="15"/>
      <c r="M65" s="15"/>
      <c r="N65" s="14"/>
      <c r="O65" s="15"/>
      <c r="P65" s="15"/>
      <c r="Q65" s="15"/>
      <c r="R65" s="15"/>
      <c r="S65" s="15"/>
      <c r="T65" s="15"/>
      <c r="U65" s="15"/>
      <c r="V65" s="15"/>
      <c r="W65" s="15"/>
      <c r="X65" s="15"/>
      <c r="Y65" s="11"/>
      <c r="Z65" s="11"/>
      <c r="AA65" s="11"/>
      <c r="AB65" s="11"/>
      <c r="AC65" s="11"/>
      <c r="AD65" s="11"/>
    </row>
    <row r="66" hidden="1">
      <c r="A66" s="26"/>
      <c r="B66" s="10"/>
      <c r="C66" s="10" t="s">
        <v>28</v>
      </c>
      <c r="D66" s="28"/>
      <c r="E66" s="28"/>
      <c r="F66" s="20"/>
      <c r="G66" s="20" t="s">
        <v>238</v>
      </c>
      <c r="H66" s="20" t="s">
        <v>218</v>
      </c>
      <c r="I66" s="10"/>
      <c r="J66" s="20" t="s">
        <v>219</v>
      </c>
      <c r="K66" s="20" t="s">
        <v>239</v>
      </c>
      <c r="L66" s="9"/>
      <c r="M66" s="9"/>
      <c r="N66" s="10"/>
      <c r="O66" s="9"/>
      <c r="P66" s="9"/>
      <c r="Q66" s="9"/>
      <c r="R66" s="9"/>
      <c r="S66" s="9"/>
      <c r="T66" s="9"/>
      <c r="U66" s="9"/>
      <c r="V66" s="9"/>
      <c r="W66" s="9"/>
      <c r="X66" s="9"/>
      <c r="Y66" s="11"/>
      <c r="Z66" s="11"/>
      <c r="AA66" s="11"/>
      <c r="AB66" s="11"/>
      <c r="AC66" s="11"/>
      <c r="AD66" s="11"/>
    </row>
    <row r="67" hidden="1">
      <c r="A67" s="27"/>
      <c r="B67" s="14"/>
      <c r="C67" s="14" t="s">
        <v>28</v>
      </c>
      <c r="D67" s="29"/>
      <c r="E67" s="29"/>
      <c r="F67" s="16"/>
      <c r="G67" s="16" t="s">
        <v>240</v>
      </c>
      <c r="H67" s="16" t="s">
        <v>218</v>
      </c>
      <c r="I67" s="14"/>
      <c r="J67" s="16" t="s">
        <v>219</v>
      </c>
      <c r="K67" s="16" t="s">
        <v>241</v>
      </c>
      <c r="L67" s="15"/>
      <c r="M67" s="15"/>
      <c r="N67" s="14"/>
      <c r="O67" s="15"/>
      <c r="P67" s="15"/>
      <c r="Q67" s="15"/>
      <c r="R67" s="15"/>
      <c r="S67" s="15"/>
      <c r="T67" s="15"/>
      <c r="U67" s="15"/>
      <c r="V67" s="15"/>
      <c r="W67" s="15"/>
      <c r="X67" s="15"/>
      <c r="Y67" s="11"/>
      <c r="Z67" s="11"/>
      <c r="AA67" s="11"/>
      <c r="AB67" s="11"/>
      <c r="AC67" s="11"/>
      <c r="AD67" s="11"/>
    </row>
    <row r="68" hidden="1">
      <c r="A68" s="26"/>
      <c r="B68" s="10"/>
      <c r="C68" s="10" t="s">
        <v>28</v>
      </c>
      <c r="D68" s="28"/>
      <c r="E68" s="28"/>
      <c r="F68" s="20"/>
      <c r="G68" s="20" t="s">
        <v>242</v>
      </c>
      <c r="H68" s="20" t="s">
        <v>218</v>
      </c>
      <c r="I68" s="10"/>
      <c r="J68" s="20" t="s">
        <v>219</v>
      </c>
      <c r="K68" s="20" t="s">
        <v>243</v>
      </c>
      <c r="L68" s="9"/>
      <c r="M68" s="9"/>
      <c r="N68" s="10"/>
      <c r="O68" s="9"/>
      <c r="P68" s="9"/>
      <c r="Q68" s="9"/>
      <c r="R68" s="9"/>
      <c r="S68" s="9"/>
      <c r="T68" s="9"/>
      <c r="U68" s="9"/>
      <c r="V68" s="9"/>
      <c r="W68" s="9"/>
      <c r="X68" s="9"/>
      <c r="Y68" s="11"/>
      <c r="Z68" s="11"/>
      <c r="AA68" s="11"/>
      <c r="AB68" s="11"/>
      <c r="AC68" s="11"/>
      <c r="AD68" s="11"/>
    </row>
    <row r="69" hidden="1">
      <c r="A69" s="27"/>
      <c r="B69" s="14"/>
      <c r="C69" s="14" t="s">
        <v>28</v>
      </c>
      <c r="D69" s="29"/>
      <c r="E69" s="29"/>
      <c r="F69" s="16"/>
      <c r="G69" s="16" t="s">
        <v>244</v>
      </c>
      <c r="H69" s="16" t="s">
        <v>218</v>
      </c>
      <c r="I69" s="14"/>
      <c r="J69" s="16" t="s">
        <v>219</v>
      </c>
      <c r="K69" s="16" t="s">
        <v>245</v>
      </c>
      <c r="L69" s="15"/>
      <c r="M69" s="15"/>
      <c r="N69" s="14"/>
      <c r="O69" s="15"/>
      <c r="P69" s="15"/>
      <c r="Q69" s="15"/>
      <c r="R69" s="15"/>
      <c r="S69" s="15"/>
      <c r="T69" s="15"/>
      <c r="U69" s="15"/>
      <c r="V69" s="15"/>
      <c r="W69" s="15"/>
      <c r="X69" s="15"/>
      <c r="Y69" s="11"/>
      <c r="Z69" s="11"/>
      <c r="AA69" s="11"/>
      <c r="AB69" s="11"/>
      <c r="AC69" s="11"/>
      <c r="AD69" s="11"/>
    </row>
    <row r="70" hidden="1">
      <c r="A70" s="26"/>
      <c r="B70" s="10"/>
      <c r="C70" s="10" t="s">
        <v>28</v>
      </c>
      <c r="D70" s="28"/>
      <c r="E70" s="28"/>
      <c r="F70" s="20"/>
      <c r="G70" s="20" t="s">
        <v>246</v>
      </c>
      <c r="H70" s="20" t="s">
        <v>218</v>
      </c>
      <c r="I70" s="10"/>
      <c r="J70" s="20" t="s">
        <v>219</v>
      </c>
      <c r="K70" s="20" t="s">
        <v>247</v>
      </c>
      <c r="L70" s="9"/>
      <c r="M70" s="9"/>
      <c r="N70" s="10"/>
      <c r="O70" s="9"/>
      <c r="P70" s="9"/>
      <c r="Q70" s="9"/>
      <c r="R70" s="9"/>
      <c r="S70" s="9"/>
      <c r="T70" s="9"/>
      <c r="U70" s="9"/>
      <c r="V70" s="9"/>
      <c r="W70" s="9"/>
      <c r="X70" s="9"/>
      <c r="Y70" s="11"/>
      <c r="Z70" s="11"/>
      <c r="AA70" s="11"/>
      <c r="AB70" s="11"/>
      <c r="AC70" s="11"/>
      <c r="AD70" s="11"/>
    </row>
    <row r="71" hidden="1">
      <c r="A71" s="27"/>
      <c r="B71" s="14"/>
      <c r="C71" s="14" t="s">
        <v>28</v>
      </c>
      <c r="D71" s="29"/>
      <c r="E71" s="29"/>
      <c r="F71" s="16"/>
      <c r="G71" s="16" t="s">
        <v>248</v>
      </c>
      <c r="H71" s="16" t="s">
        <v>218</v>
      </c>
      <c r="I71" s="14"/>
      <c r="J71" s="16" t="s">
        <v>219</v>
      </c>
      <c r="K71" s="16" t="s">
        <v>247</v>
      </c>
      <c r="L71" s="15"/>
      <c r="M71" s="15"/>
      <c r="N71" s="14"/>
      <c r="O71" s="15"/>
      <c r="P71" s="15"/>
      <c r="Q71" s="15"/>
      <c r="R71" s="15"/>
      <c r="S71" s="15"/>
      <c r="T71" s="15"/>
      <c r="U71" s="15"/>
      <c r="V71" s="15"/>
      <c r="W71" s="15"/>
      <c r="X71" s="15"/>
      <c r="Y71" s="11"/>
      <c r="Z71" s="11"/>
      <c r="AA71" s="11"/>
      <c r="AB71" s="11"/>
      <c r="AC71" s="11"/>
      <c r="AD71" s="11"/>
    </row>
    <row r="72" hidden="1">
      <c r="A72" s="26"/>
      <c r="B72" s="10"/>
      <c r="C72" s="10" t="s">
        <v>28</v>
      </c>
      <c r="D72" s="28"/>
      <c r="E72" s="28"/>
      <c r="F72" s="20"/>
      <c r="G72" s="20" t="s">
        <v>249</v>
      </c>
      <c r="H72" s="20" t="s">
        <v>218</v>
      </c>
      <c r="I72" s="10"/>
      <c r="J72" s="20" t="s">
        <v>219</v>
      </c>
      <c r="K72" s="20" t="s">
        <v>247</v>
      </c>
      <c r="L72" s="9"/>
      <c r="M72" s="9"/>
      <c r="N72" s="10"/>
      <c r="O72" s="9"/>
      <c r="P72" s="9"/>
      <c r="Q72" s="9"/>
      <c r="R72" s="9"/>
      <c r="S72" s="9"/>
      <c r="T72" s="9"/>
      <c r="U72" s="9"/>
      <c r="V72" s="9"/>
      <c r="W72" s="9"/>
      <c r="X72" s="9"/>
      <c r="Y72" s="11"/>
      <c r="Z72" s="11"/>
      <c r="AA72" s="11"/>
      <c r="AB72" s="11"/>
      <c r="AC72" s="11"/>
      <c r="AD72" s="11"/>
    </row>
    <row r="73" hidden="1">
      <c r="A73" s="27"/>
      <c r="B73" s="14"/>
      <c r="C73" s="14" t="s">
        <v>28</v>
      </c>
      <c r="D73" s="29"/>
      <c r="E73" s="29"/>
      <c r="F73" s="16"/>
      <c r="G73" s="16" t="s">
        <v>250</v>
      </c>
      <c r="H73" s="16" t="s">
        <v>218</v>
      </c>
      <c r="I73" s="14"/>
      <c r="J73" s="16" t="s">
        <v>219</v>
      </c>
      <c r="K73" s="16" t="s">
        <v>224</v>
      </c>
      <c r="L73" s="15"/>
      <c r="M73" s="15"/>
      <c r="N73" s="14"/>
      <c r="O73" s="15"/>
      <c r="P73" s="15"/>
      <c r="Q73" s="15"/>
      <c r="R73" s="15"/>
      <c r="S73" s="15"/>
      <c r="T73" s="15"/>
      <c r="U73" s="15"/>
      <c r="V73" s="15"/>
      <c r="W73" s="15"/>
      <c r="X73" s="15"/>
      <c r="Y73" s="11"/>
      <c r="Z73" s="11"/>
      <c r="AA73" s="11"/>
      <c r="AB73" s="11"/>
      <c r="AC73" s="11"/>
      <c r="AD73" s="11"/>
    </row>
    <row r="74" hidden="1">
      <c r="A74" s="26"/>
      <c r="B74" s="10"/>
      <c r="C74" s="10" t="s">
        <v>28</v>
      </c>
      <c r="D74" s="28"/>
      <c r="E74" s="28"/>
      <c r="F74" s="20"/>
      <c r="G74" s="20" t="s">
        <v>251</v>
      </c>
      <c r="H74" s="20" t="s">
        <v>218</v>
      </c>
      <c r="I74" s="10"/>
      <c r="J74" s="20" t="s">
        <v>219</v>
      </c>
      <c r="K74" s="20" t="s">
        <v>224</v>
      </c>
      <c r="L74" s="9"/>
      <c r="M74" s="9"/>
      <c r="N74" s="10"/>
      <c r="O74" s="9"/>
      <c r="P74" s="9"/>
      <c r="Q74" s="9"/>
      <c r="R74" s="9"/>
      <c r="S74" s="9"/>
      <c r="T74" s="9"/>
      <c r="U74" s="9"/>
      <c r="V74" s="9"/>
      <c r="W74" s="9"/>
      <c r="X74" s="9"/>
      <c r="Y74" s="11"/>
      <c r="Z74" s="11"/>
      <c r="AA74" s="11"/>
      <c r="AB74" s="11"/>
      <c r="AC74" s="11"/>
      <c r="AD74" s="11"/>
    </row>
    <row r="75" hidden="1">
      <c r="A75" s="27"/>
      <c r="B75" s="14"/>
      <c r="C75" s="14" t="s">
        <v>28</v>
      </c>
      <c r="D75" s="29"/>
      <c r="E75" s="29"/>
      <c r="F75" s="16"/>
      <c r="G75" s="16" t="s">
        <v>252</v>
      </c>
      <c r="H75" s="16" t="s">
        <v>218</v>
      </c>
      <c r="I75" s="14"/>
      <c r="J75" s="16" t="s">
        <v>219</v>
      </c>
      <c r="K75" s="16" t="s">
        <v>247</v>
      </c>
      <c r="L75" s="15"/>
      <c r="M75" s="15"/>
      <c r="N75" s="14"/>
      <c r="O75" s="15"/>
      <c r="P75" s="15"/>
      <c r="Q75" s="15"/>
      <c r="R75" s="15"/>
      <c r="S75" s="15"/>
      <c r="T75" s="15"/>
      <c r="U75" s="15"/>
      <c r="V75" s="15"/>
      <c r="W75" s="15"/>
      <c r="X75" s="15"/>
      <c r="Y75" s="11"/>
      <c r="Z75" s="11"/>
      <c r="AA75" s="11"/>
      <c r="AB75" s="11"/>
      <c r="AC75" s="11"/>
      <c r="AD75" s="11"/>
    </row>
    <row r="76" hidden="1">
      <c r="A76" s="26"/>
      <c r="B76" s="10"/>
      <c r="C76" s="10" t="s">
        <v>28</v>
      </c>
      <c r="D76" s="28"/>
      <c r="E76" s="28"/>
      <c r="F76" s="20"/>
      <c r="G76" s="20" t="s">
        <v>253</v>
      </c>
      <c r="H76" s="20" t="s">
        <v>218</v>
      </c>
      <c r="I76" s="10"/>
      <c r="J76" s="20" t="s">
        <v>219</v>
      </c>
      <c r="K76" s="20" t="s">
        <v>224</v>
      </c>
      <c r="L76" s="9"/>
      <c r="M76" s="9"/>
      <c r="N76" s="10"/>
      <c r="O76" s="9"/>
      <c r="P76" s="9"/>
      <c r="Q76" s="9"/>
      <c r="R76" s="9"/>
      <c r="S76" s="9"/>
      <c r="T76" s="9"/>
      <c r="U76" s="9"/>
      <c r="V76" s="9"/>
      <c r="W76" s="9"/>
      <c r="X76" s="9"/>
      <c r="Y76" s="11"/>
      <c r="Z76" s="11"/>
      <c r="AA76" s="11"/>
      <c r="AB76" s="11"/>
      <c r="AC76" s="11"/>
      <c r="AD76" s="11"/>
    </row>
    <row r="77" hidden="1">
      <c r="A77" s="27"/>
      <c r="B77" s="14"/>
      <c r="C77" s="14" t="s">
        <v>28</v>
      </c>
      <c r="D77" s="29"/>
      <c r="E77" s="29"/>
      <c r="F77" s="16"/>
      <c r="G77" s="16" t="s">
        <v>254</v>
      </c>
      <c r="H77" s="16" t="s">
        <v>218</v>
      </c>
      <c r="I77" s="14"/>
      <c r="J77" s="16" t="s">
        <v>219</v>
      </c>
      <c r="K77" s="16" t="s">
        <v>224</v>
      </c>
      <c r="L77" s="15"/>
      <c r="M77" s="15"/>
      <c r="N77" s="14"/>
      <c r="O77" s="15"/>
      <c r="P77" s="15"/>
      <c r="Q77" s="15"/>
      <c r="R77" s="15"/>
      <c r="S77" s="15"/>
      <c r="T77" s="15"/>
      <c r="U77" s="15"/>
      <c r="V77" s="15"/>
      <c r="W77" s="15"/>
      <c r="X77" s="15"/>
      <c r="Y77" s="11"/>
      <c r="Z77" s="11"/>
      <c r="AA77" s="11"/>
      <c r="AB77" s="11"/>
      <c r="AC77" s="11"/>
      <c r="AD77" s="11"/>
    </row>
    <row r="78" hidden="1">
      <c r="A78" s="26"/>
      <c r="B78" s="10"/>
      <c r="C78" s="10" t="s">
        <v>28</v>
      </c>
      <c r="D78" s="28"/>
      <c r="E78" s="28"/>
      <c r="F78" s="20"/>
      <c r="G78" s="20" t="s">
        <v>255</v>
      </c>
      <c r="H78" s="20" t="s">
        <v>218</v>
      </c>
      <c r="I78" s="10"/>
      <c r="J78" s="20" t="s">
        <v>219</v>
      </c>
      <c r="K78" s="20" t="s">
        <v>256</v>
      </c>
      <c r="L78" s="9"/>
      <c r="M78" s="9"/>
      <c r="N78" s="10"/>
      <c r="O78" s="9"/>
      <c r="P78" s="9"/>
      <c r="Q78" s="9"/>
      <c r="R78" s="9"/>
      <c r="S78" s="9"/>
      <c r="T78" s="9"/>
      <c r="U78" s="9"/>
      <c r="V78" s="9"/>
      <c r="W78" s="9"/>
      <c r="X78" s="9"/>
      <c r="Y78" s="11"/>
      <c r="Z78" s="11"/>
      <c r="AA78" s="11"/>
      <c r="AB78" s="11"/>
      <c r="AC78" s="11"/>
      <c r="AD78" s="11"/>
    </row>
    <row r="79" hidden="1">
      <c r="A79" s="27"/>
      <c r="B79" s="14"/>
      <c r="C79" s="14" t="s">
        <v>28</v>
      </c>
      <c r="D79" s="29"/>
      <c r="E79" s="29"/>
      <c r="F79" s="16"/>
      <c r="G79" s="16" t="s">
        <v>257</v>
      </c>
      <c r="H79" s="16" t="s">
        <v>218</v>
      </c>
      <c r="I79" s="14"/>
      <c r="J79" s="16" t="s">
        <v>219</v>
      </c>
      <c r="K79" s="16" t="s">
        <v>258</v>
      </c>
      <c r="L79" s="15"/>
      <c r="M79" s="15"/>
      <c r="N79" s="14"/>
      <c r="O79" s="15"/>
      <c r="P79" s="15"/>
      <c r="Q79" s="15"/>
      <c r="R79" s="15"/>
      <c r="S79" s="15"/>
      <c r="T79" s="15"/>
      <c r="U79" s="15"/>
      <c r="V79" s="15"/>
      <c r="W79" s="15"/>
      <c r="X79" s="15"/>
      <c r="Y79" s="11"/>
      <c r="Z79" s="11"/>
      <c r="AA79" s="11"/>
      <c r="AB79" s="11"/>
      <c r="AC79" s="11"/>
      <c r="AD79" s="11"/>
    </row>
    <row r="80" hidden="1">
      <c r="A80" s="26"/>
      <c r="B80" s="10"/>
      <c r="C80" s="10" t="s">
        <v>28</v>
      </c>
      <c r="D80" s="28"/>
      <c r="E80" s="28"/>
      <c r="F80" s="20"/>
      <c r="G80" s="20" t="s">
        <v>259</v>
      </c>
      <c r="H80" s="20" t="s">
        <v>218</v>
      </c>
      <c r="I80" s="10"/>
      <c r="J80" s="20" t="s">
        <v>219</v>
      </c>
      <c r="K80" s="20" t="s">
        <v>260</v>
      </c>
      <c r="L80" s="9"/>
      <c r="M80" s="9"/>
      <c r="N80" s="10"/>
      <c r="O80" s="9"/>
      <c r="P80" s="9"/>
      <c r="Q80" s="9"/>
      <c r="R80" s="9"/>
      <c r="S80" s="9"/>
      <c r="T80" s="9"/>
      <c r="U80" s="9"/>
      <c r="V80" s="9"/>
      <c r="W80" s="9"/>
      <c r="X80" s="9"/>
      <c r="Y80" s="11"/>
      <c r="Z80" s="11"/>
      <c r="AA80" s="11"/>
      <c r="AB80" s="11"/>
      <c r="AC80" s="11"/>
      <c r="AD80" s="11"/>
    </row>
    <row r="81" hidden="1">
      <c r="A81" s="27"/>
      <c r="B81" s="14" t="s">
        <v>182</v>
      </c>
      <c r="C81" s="14" t="s">
        <v>28</v>
      </c>
      <c r="D81" s="14"/>
      <c r="E81" s="14" t="s">
        <v>261</v>
      </c>
      <c r="F81" s="29"/>
      <c r="G81" s="29"/>
      <c r="H81" s="16"/>
      <c r="I81" s="14"/>
      <c r="J81" s="15"/>
      <c r="K81" s="15"/>
      <c r="L81" s="15"/>
      <c r="M81" s="15"/>
      <c r="N81" s="14"/>
      <c r="O81" s="15"/>
      <c r="P81" s="15"/>
      <c r="Q81" s="15"/>
      <c r="R81" s="15"/>
      <c r="S81" s="15"/>
      <c r="T81" s="15"/>
      <c r="U81" s="15"/>
      <c r="V81" s="15"/>
      <c r="W81" s="15"/>
      <c r="X81" s="15"/>
      <c r="Y81" s="11"/>
      <c r="Z81" s="11"/>
      <c r="AA81" s="11"/>
      <c r="AB81" s="11"/>
      <c r="AC81" s="11"/>
      <c r="AD81" s="11"/>
    </row>
    <row r="82" hidden="1">
      <c r="A82" s="26"/>
      <c r="B82" s="10"/>
      <c r="C82" s="10" t="s">
        <v>28</v>
      </c>
      <c r="D82" s="28"/>
      <c r="E82" s="28"/>
      <c r="F82" s="20"/>
      <c r="G82" s="20" t="s">
        <v>262</v>
      </c>
      <c r="H82" s="20" t="s">
        <v>218</v>
      </c>
      <c r="I82" s="20"/>
      <c r="J82" s="20" t="s">
        <v>263</v>
      </c>
      <c r="K82" s="20" t="s">
        <v>264</v>
      </c>
      <c r="L82" s="9"/>
      <c r="M82" s="9"/>
      <c r="N82" s="10"/>
      <c r="O82" s="9"/>
      <c r="P82" s="9"/>
      <c r="Q82" s="9"/>
      <c r="R82" s="9"/>
      <c r="S82" s="9"/>
      <c r="T82" s="9"/>
      <c r="U82" s="9"/>
      <c r="V82" s="9"/>
      <c r="W82" s="9"/>
      <c r="X82" s="9"/>
      <c r="Y82" s="11"/>
      <c r="Z82" s="11"/>
      <c r="AA82" s="11"/>
      <c r="AB82" s="11"/>
      <c r="AC82" s="11"/>
      <c r="AD82" s="11"/>
    </row>
    <row r="83" hidden="1">
      <c r="A83" s="27"/>
      <c r="B83" s="14"/>
      <c r="C83" s="14" t="s">
        <v>28</v>
      </c>
      <c r="D83" s="29"/>
      <c r="E83" s="29"/>
      <c r="F83" s="16"/>
      <c r="G83" s="16" t="s">
        <v>265</v>
      </c>
      <c r="H83" s="16" t="s">
        <v>218</v>
      </c>
      <c r="I83" s="16"/>
      <c r="J83" s="16" t="s">
        <v>263</v>
      </c>
      <c r="K83" s="16" t="s">
        <v>266</v>
      </c>
      <c r="L83" s="15"/>
      <c r="M83" s="15"/>
      <c r="N83" s="14"/>
      <c r="O83" s="15"/>
      <c r="P83" s="15"/>
      <c r="Q83" s="15"/>
      <c r="R83" s="15"/>
      <c r="S83" s="15"/>
      <c r="T83" s="15"/>
      <c r="U83" s="15"/>
      <c r="V83" s="15"/>
      <c r="W83" s="15"/>
      <c r="X83" s="15"/>
      <c r="Y83" s="11"/>
      <c r="Z83" s="11"/>
      <c r="AA83" s="11"/>
      <c r="AB83" s="11"/>
      <c r="AC83" s="11"/>
      <c r="AD83" s="11"/>
    </row>
    <row r="84" hidden="1">
      <c r="A84" s="26"/>
      <c r="B84" s="10"/>
      <c r="C84" s="10" t="s">
        <v>28</v>
      </c>
      <c r="D84" s="28"/>
      <c r="E84" s="28"/>
      <c r="F84" s="20"/>
      <c r="G84" s="20" t="s">
        <v>267</v>
      </c>
      <c r="H84" s="20" t="s">
        <v>218</v>
      </c>
      <c r="I84" s="20"/>
      <c r="J84" s="20" t="s">
        <v>263</v>
      </c>
      <c r="K84" s="20" t="s">
        <v>224</v>
      </c>
      <c r="L84" s="9"/>
      <c r="M84" s="9"/>
      <c r="N84" s="10"/>
      <c r="O84" s="9"/>
      <c r="P84" s="9"/>
      <c r="Q84" s="9"/>
      <c r="R84" s="9"/>
      <c r="S84" s="9"/>
      <c r="T84" s="9"/>
      <c r="U84" s="9"/>
      <c r="V84" s="9"/>
      <c r="W84" s="9"/>
      <c r="X84" s="9"/>
      <c r="Y84" s="11"/>
      <c r="Z84" s="11"/>
      <c r="AA84" s="11"/>
      <c r="AB84" s="11"/>
      <c r="AC84" s="11"/>
      <c r="AD84" s="11"/>
    </row>
    <row r="85" hidden="1">
      <c r="A85" s="27"/>
      <c r="B85" s="14"/>
      <c r="C85" s="14" t="s">
        <v>28</v>
      </c>
      <c r="D85" s="29"/>
      <c r="E85" s="29"/>
      <c r="F85" s="16"/>
      <c r="G85" s="16" t="s">
        <v>268</v>
      </c>
      <c r="H85" s="16" t="s">
        <v>218</v>
      </c>
      <c r="I85" s="16"/>
      <c r="J85" s="16" t="s">
        <v>263</v>
      </c>
      <c r="K85" s="16" t="s">
        <v>228</v>
      </c>
      <c r="L85" s="15"/>
      <c r="M85" s="15"/>
      <c r="N85" s="14"/>
      <c r="O85" s="15"/>
      <c r="P85" s="15"/>
      <c r="Q85" s="15"/>
      <c r="R85" s="15"/>
      <c r="S85" s="15"/>
      <c r="T85" s="15"/>
      <c r="U85" s="15"/>
      <c r="V85" s="15"/>
      <c r="W85" s="15"/>
      <c r="X85" s="15"/>
      <c r="Y85" s="11"/>
      <c r="Z85" s="11"/>
      <c r="AA85" s="11"/>
      <c r="AB85" s="11"/>
      <c r="AC85" s="11"/>
      <c r="AD85" s="11"/>
    </row>
    <row r="86" hidden="1">
      <c r="A86" s="26"/>
      <c r="B86" s="10"/>
      <c r="C86" s="10" t="s">
        <v>28</v>
      </c>
      <c r="D86" s="28"/>
      <c r="E86" s="28"/>
      <c r="F86" s="20"/>
      <c r="G86" s="20" t="s">
        <v>269</v>
      </c>
      <c r="H86" s="20" t="s">
        <v>218</v>
      </c>
      <c r="I86" s="20"/>
      <c r="J86" s="20" t="s">
        <v>263</v>
      </c>
      <c r="K86" s="20" t="s">
        <v>270</v>
      </c>
      <c r="L86" s="9"/>
      <c r="M86" s="9"/>
      <c r="N86" s="10"/>
      <c r="O86" s="9"/>
      <c r="P86" s="9"/>
      <c r="Q86" s="9"/>
      <c r="R86" s="9"/>
      <c r="S86" s="9"/>
      <c r="T86" s="9"/>
      <c r="U86" s="9"/>
      <c r="V86" s="9"/>
      <c r="W86" s="9"/>
      <c r="X86" s="9"/>
      <c r="Y86" s="11"/>
      <c r="Z86" s="11"/>
      <c r="AA86" s="11"/>
      <c r="AB86" s="11"/>
      <c r="AC86" s="11"/>
      <c r="AD86" s="11"/>
    </row>
    <row r="87" hidden="1">
      <c r="A87" s="27"/>
      <c r="B87" s="14"/>
      <c r="C87" s="14" t="s">
        <v>28</v>
      </c>
      <c r="D87" s="29"/>
      <c r="E87" s="29"/>
      <c r="F87" s="16"/>
      <c r="G87" s="16" t="s">
        <v>271</v>
      </c>
      <c r="H87" s="16" t="s">
        <v>218</v>
      </c>
      <c r="I87" s="16"/>
      <c r="J87" s="16" t="s">
        <v>263</v>
      </c>
      <c r="K87" s="16" t="s">
        <v>272</v>
      </c>
      <c r="L87" s="15"/>
      <c r="M87" s="15"/>
      <c r="N87" s="14"/>
      <c r="O87" s="15"/>
      <c r="P87" s="15"/>
      <c r="Q87" s="15"/>
      <c r="R87" s="15"/>
      <c r="S87" s="15"/>
      <c r="T87" s="15"/>
      <c r="U87" s="15"/>
      <c r="V87" s="15"/>
      <c r="W87" s="15"/>
      <c r="X87" s="15"/>
      <c r="Y87" s="11"/>
      <c r="Z87" s="11"/>
      <c r="AA87" s="11"/>
      <c r="AB87" s="11"/>
      <c r="AC87" s="11"/>
      <c r="AD87" s="11"/>
    </row>
    <row r="88" hidden="1">
      <c r="A88" s="26"/>
      <c r="B88" s="10"/>
      <c r="C88" s="10" t="s">
        <v>28</v>
      </c>
      <c r="D88" s="28"/>
      <c r="E88" s="28"/>
      <c r="F88" s="20"/>
      <c r="G88" s="20" t="s">
        <v>273</v>
      </c>
      <c r="H88" s="20" t="s">
        <v>218</v>
      </c>
      <c r="I88" s="20"/>
      <c r="J88" s="20" t="s">
        <v>263</v>
      </c>
      <c r="K88" s="20" t="s">
        <v>274</v>
      </c>
      <c r="L88" s="9"/>
      <c r="M88" s="9"/>
      <c r="N88" s="10"/>
      <c r="O88" s="9"/>
      <c r="P88" s="9"/>
      <c r="Q88" s="9"/>
      <c r="R88" s="9"/>
      <c r="S88" s="9"/>
      <c r="T88" s="9"/>
      <c r="U88" s="9"/>
      <c r="V88" s="9"/>
      <c r="W88" s="9"/>
      <c r="X88" s="9"/>
      <c r="Y88" s="11"/>
      <c r="Z88" s="11"/>
      <c r="AA88" s="11"/>
      <c r="AB88" s="11"/>
      <c r="AC88" s="11"/>
      <c r="AD88" s="11"/>
    </row>
    <row r="89" hidden="1">
      <c r="A89" s="27"/>
      <c r="B89" s="14"/>
      <c r="C89" s="14" t="s">
        <v>28</v>
      </c>
      <c r="D89" s="29"/>
      <c r="E89" s="29"/>
      <c r="F89" s="16"/>
      <c r="G89" s="16" t="s">
        <v>275</v>
      </c>
      <c r="H89" s="16" t="s">
        <v>218</v>
      </c>
      <c r="I89" s="16"/>
      <c r="J89" s="16" t="s">
        <v>263</v>
      </c>
      <c r="K89" s="16" t="s">
        <v>224</v>
      </c>
      <c r="L89" s="15"/>
      <c r="M89" s="15"/>
      <c r="N89" s="14"/>
      <c r="O89" s="15"/>
      <c r="P89" s="15"/>
      <c r="Q89" s="15"/>
      <c r="R89" s="15"/>
      <c r="S89" s="15"/>
      <c r="T89" s="15"/>
      <c r="U89" s="15"/>
      <c r="V89" s="15"/>
      <c r="W89" s="15"/>
      <c r="X89" s="15"/>
      <c r="Y89" s="11"/>
      <c r="Z89" s="11"/>
      <c r="AA89" s="11"/>
      <c r="AB89" s="11"/>
      <c r="AC89" s="11"/>
      <c r="AD89" s="11"/>
    </row>
    <row r="90" hidden="1">
      <c r="A90" s="26"/>
      <c r="B90" s="10"/>
      <c r="C90" s="10" t="s">
        <v>28</v>
      </c>
      <c r="D90" s="28"/>
      <c r="E90" s="28"/>
      <c r="F90" s="20"/>
      <c r="G90" s="20" t="s">
        <v>233</v>
      </c>
      <c r="H90" s="20" t="s">
        <v>218</v>
      </c>
      <c r="I90" s="20"/>
      <c r="J90" s="20" t="s">
        <v>263</v>
      </c>
      <c r="K90" s="20" t="s">
        <v>224</v>
      </c>
      <c r="L90" s="9"/>
      <c r="M90" s="9"/>
      <c r="N90" s="10"/>
      <c r="O90" s="9"/>
      <c r="P90" s="9"/>
      <c r="Q90" s="9"/>
      <c r="R90" s="9"/>
      <c r="S90" s="9"/>
      <c r="T90" s="9"/>
      <c r="U90" s="9"/>
      <c r="V90" s="9"/>
      <c r="W90" s="9"/>
      <c r="X90" s="9"/>
      <c r="Y90" s="11"/>
      <c r="Z90" s="11"/>
      <c r="AA90" s="11"/>
      <c r="AB90" s="11"/>
      <c r="AC90" s="11"/>
      <c r="AD90" s="11"/>
    </row>
    <row r="91" hidden="1">
      <c r="A91" s="27"/>
      <c r="B91" s="14"/>
      <c r="C91" s="14" t="s">
        <v>28</v>
      </c>
      <c r="D91" s="29"/>
      <c r="E91" s="29"/>
      <c r="F91" s="16"/>
      <c r="G91" s="16" t="s">
        <v>259</v>
      </c>
      <c r="H91" s="16" t="s">
        <v>218</v>
      </c>
      <c r="I91" s="16"/>
      <c r="J91" s="16" t="s">
        <v>263</v>
      </c>
      <c r="K91" s="16" t="s">
        <v>276</v>
      </c>
      <c r="L91" s="15"/>
      <c r="M91" s="15"/>
      <c r="N91" s="14"/>
      <c r="O91" s="15"/>
      <c r="P91" s="15"/>
      <c r="Q91" s="15"/>
      <c r="R91" s="15"/>
      <c r="S91" s="15"/>
      <c r="T91" s="15"/>
      <c r="U91" s="15"/>
      <c r="V91" s="15"/>
      <c r="W91" s="15"/>
      <c r="X91" s="15"/>
      <c r="Y91" s="11"/>
      <c r="Z91" s="11"/>
      <c r="AA91" s="11"/>
      <c r="AB91" s="11"/>
      <c r="AC91" s="11"/>
      <c r="AD91" s="11"/>
    </row>
    <row r="92" hidden="1">
      <c r="A92" s="26"/>
      <c r="B92" s="10" t="s">
        <v>182</v>
      </c>
      <c r="C92" s="10" t="s">
        <v>28</v>
      </c>
      <c r="D92" s="10"/>
      <c r="E92" s="10" t="s">
        <v>277</v>
      </c>
      <c r="F92" s="28"/>
      <c r="G92" s="28"/>
      <c r="H92" s="20"/>
      <c r="I92" s="10"/>
      <c r="J92" s="9"/>
      <c r="K92" s="9"/>
      <c r="L92" s="9"/>
      <c r="M92" s="9"/>
      <c r="N92" s="10"/>
      <c r="O92" s="9"/>
      <c r="P92" s="9"/>
      <c r="Q92" s="9"/>
      <c r="R92" s="9"/>
      <c r="S92" s="9"/>
      <c r="T92" s="9"/>
      <c r="U92" s="9"/>
      <c r="V92" s="9"/>
      <c r="W92" s="9"/>
      <c r="X92" s="9"/>
      <c r="Y92" s="11"/>
      <c r="Z92" s="11"/>
      <c r="AA92" s="11"/>
      <c r="AB92" s="11"/>
      <c r="AC92" s="11"/>
      <c r="AD92" s="11"/>
    </row>
    <row r="93" hidden="1">
      <c r="A93" s="27"/>
      <c r="B93" s="14"/>
      <c r="C93" s="14" t="s">
        <v>28</v>
      </c>
      <c r="D93" s="29"/>
      <c r="E93" s="29"/>
      <c r="F93" s="34"/>
      <c r="G93" s="16" t="s">
        <v>278</v>
      </c>
      <c r="H93" s="16" t="s">
        <v>218</v>
      </c>
      <c r="I93" s="16"/>
      <c r="J93" s="16" t="s">
        <v>263</v>
      </c>
      <c r="K93" s="16" t="s">
        <v>247</v>
      </c>
      <c r="L93" s="15"/>
      <c r="M93" s="15"/>
      <c r="N93" s="14"/>
      <c r="O93" s="15"/>
      <c r="P93" s="15"/>
      <c r="Q93" s="15"/>
      <c r="R93" s="15"/>
      <c r="S93" s="15"/>
      <c r="T93" s="15"/>
      <c r="U93" s="15"/>
      <c r="V93" s="15"/>
      <c r="W93" s="15"/>
      <c r="X93" s="15"/>
      <c r="Y93" s="11"/>
      <c r="Z93" s="11"/>
      <c r="AA93" s="11"/>
      <c r="AB93" s="11"/>
      <c r="AC93" s="11"/>
      <c r="AD93" s="11"/>
    </row>
    <row r="94" hidden="1">
      <c r="A94" s="26"/>
      <c r="B94" s="10"/>
      <c r="C94" s="10" t="s">
        <v>28</v>
      </c>
      <c r="D94" s="28"/>
      <c r="E94" s="28"/>
      <c r="F94" s="35"/>
      <c r="G94" s="20" t="s">
        <v>279</v>
      </c>
      <c r="H94" s="20" t="s">
        <v>218</v>
      </c>
      <c r="I94" s="20"/>
      <c r="J94" s="20" t="s">
        <v>263</v>
      </c>
      <c r="K94" s="20" t="s">
        <v>280</v>
      </c>
      <c r="L94" s="9"/>
      <c r="M94" s="9"/>
      <c r="N94" s="10"/>
      <c r="O94" s="9"/>
      <c r="P94" s="9"/>
      <c r="Q94" s="9"/>
      <c r="R94" s="9"/>
      <c r="S94" s="9"/>
      <c r="T94" s="9"/>
      <c r="U94" s="9"/>
      <c r="V94" s="9"/>
      <c r="W94" s="9"/>
      <c r="X94" s="9"/>
      <c r="Y94" s="11"/>
      <c r="Z94" s="11"/>
      <c r="AA94" s="11"/>
      <c r="AB94" s="11"/>
      <c r="AC94" s="11"/>
      <c r="AD94" s="11"/>
    </row>
    <row r="95" hidden="1">
      <c r="A95" s="27"/>
      <c r="B95" s="14"/>
      <c r="C95" s="14" t="s">
        <v>28</v>
      </c>
      <c r="D95" s="29"/>
      <c r="E95" s="29"/>
      <c r="F95" s="34"/>
      <c r="G95" s="16" t="s">
        <v>281</v>
      </c>
      <c r="H95" s="16" t="s">
        <v>218</v>
      </c>
      <c r="I95" s="16"/>
      <c r="J95" s="16" t="s">
        <v>263</v>
      </c>
      <c r="K95" s="16" t="s">
        <v>274</v>
      </c>
      <c r="L95" s="15"/>
      <c r="M95" s="15"/>
      <c r="N95" s="14"/>
      <c r="O95" s="15"/>
      <c r="P95" s="15"/>
      <c r="Q95" s="15"/>
      <c r="R95" s="15"/>
      <c r="S95" s="15"/>
      <c r="T95" s="15"/>
      <c r="U95" s="15"/>
      <c r="V95" s="15"/>
      <c r="W95" s="15"/>
      <c r="X95" s="15"/>
      <c r="Y95" s="11"/>
      <c r="Z95" s="11"/>
      <c r="AA95" s="11"/>
      <c r="AB95" s="11"/>
      <c r="AC95" s="11"/>
      <c r="AD95" s="11"/>
    </row>
    <row r="96" hidden="1">
      <c r="A96" s="26"/>
      <c r="B96" s="10"/>
      <c r="C96" s="10" t="s">
        <v>28</v>
      </c>
      <c r="D96" s="28"/>
      <c r="E96" s="28"/>
      <c r="F96" s="35"/>
      <c r="G96" s="20" t="s">
        <v>282</v>
      </c>
      <c r="H96" s="20" t="s">
        <v>218</v>
      </c>
      <c r="I96" s="20"/>
      <c r="J96" s="20" t="s">
        <v>263</v>
      </c>
      <c r="K96" s="20" t="s">
        <v>283</v>
      </c>
      <c r="L96" s="9"/>
      <c r="M96" s="9"/>
      <c r="N96" s="10"/>
      <c r="O96" s="9"/>
      <c r="P96" s="9"/>
      <c r="Q96" s="9"/>
      <c r="R96" s="9"/>
      <c r="S96" s="9"/>
      <c r="T96" s="9"/>
      <c r="U96" s="9"/>
      <c r="V96" s="9"/>
      <c r="W96" s="9"/>
      <c r="X96" s="9"/>
      <c r="Y96" s="11"/>
      <c r="Z96" s="11"/>
      <c r="AA96" s="11"/>
      <c r="AB96" s="11"/>
      <c r="AC96" s="11"/>
      <c r="AD96" s="11"/>
    </row>
    <row r="97" hidden="1">
      <c r="A97" s="27"/>
      <c r="B97" s="14"/>
      <c r="C97" s="14" t="s">
        <v>28</v>
      </c>
      <c r="D97" s="29"/>
      <c r="E97" s="29"/>
      <c r="F97" s="34"/>
      <c r="G97" s="16" t="s">
        <v>284</v>
      </c>
      <c r="H97" s="16" t="s">
        <v>218</v>
      </c>
      <c r="I97" s="16"/>
      <c r="J97" s="16" t="s">
        <v>263</v>
      </c>
      <c r="K97" s="16" t="s">
        <v>285</v>
      </c>
      <c r="L97" s="15"/>
      <c r="M97" s="15"/>
      <c r="N97" s="14"/>
      <c r="O97" s="15"/>
      <c r="P97" s="15"/>
      <c r="Q97" s="15"/>
      <c r="R97" s="15"/>
      <c r="S97" s="15"/>
      <c r="T97" s="15"/>
      <c r="U97" s="15"/>
      <c r="V97" s="15"/>
      <c r="W97" s="15"/>
      <c r="X97" s="15"/>
      <c r="Y97" s="11"/>
      <c r="Z97" s="11"/>
      <c r="AA97" s="11"/>
      <c r="AB97" s="11"/>
      <c r="AC97" s="11"/>
      <c r="AD97" s="11"/>
    </row>
    <row r="98" hidden="1">
      <c r="A98" s="26"/>
      <c r="B98" s="10">
        <v>10.0</v>
      </c>
      <c r="C98" s="10" t="s">
        <v>28</v>
      </c>
      <c r="D98" s="28" t="str">
        <f t="shared" ref="D98:D116" si="1">IF(G98&lt;&gt;"","QLTTHDVMPL_"&amp;TEXT(COUNTIF($G$98:G98,"&lt;&gt;"),"00"),"")</f>
        <v>QLTTHDVMPL_01</v>
      </c>
      <c r="E98" s="28" t="s">
        <v>286</v>
      </c>
      <c r="F98" s="28" t="s">
        <v>287</v>
      </c>
      <c r="G98" s="28" t="s">
        <v>288</v>
      </c>
      <c r="H98" s="20" t="s">
        <v>289</v>
      </c>
      <c r="I98" s="10"/>
      <c r="J98" s="20" t="s">
        <v>290</v>
      </c>
      <c r="K98" s="9" t="s">
        <v>288</v>
      </c>
      <c r="L98" s="9" t="s">
        <v>288</v>
      </c>
      <c r="M98" s="8" t="s">
        <v>291</v>
      </c>
      <c r="N98" s="10" t="s">
        <v>37</v>
      </c>
      <c r="O98" s="9"/>
      <c r="P98" s="9"/>
      <c r="Q98" s="9"/>
      <c r="R98" s="9"/>
      <c r="S98" s="9"/>
      <c r="T98" s="9"/>
      <c r="U98" s="9"/>
      <c r="V98" s="9"/>
      <c r="W98" s="9"/>
      <c r="X98" s="9"/>
      <c r="Y98" s="11"/>
      <c r="Z98" s="11"/>
      <c r="AA98" s="11"/>
      <c r="AB98" s="11"/>
      <c r="AC98" s="11"/>
      <c r="AD98" s="11"/>
    </row>
    <row r="99" hidden="1">
      <c r="A99" s="27"/>
      <c r="B99" s="36">
        <v>46203.0</v>
      </c>
      <c r="C99" s="14" t="s">
        <v>28</v>
      </c>
      <c r="D99" s="29" t="str">
        <f t="shared" si="1"/>
        <v>QLTTHDVMPL_02</v>
      </c>
      <c r="E99" s="29"/>
      <c r="F99" s="29"/>
      <c r="G99" s="16" t="s">
        <v>292</v>
      </c>
      <c r="H99" s="16" t="s">
        <v>293</v>
      </c>
      <c r="I99" s="16" t="s">
        <v>294</v>
      </c>
      <c r="J99" s="16" t="s">
        <v>295</v>
      </c>
      <c r="K99" s="16" t="s">
        <v>296</v>
      </c>
      <c r="L99" s="16" t="s">
        <v>296</v>
      </c>
      <c r="M99" s="30" t="s">
        <v>297</v>
      </c>
      <c r="N99" s="14" t="s">
        <v>37</v>
      </c>
      <c r="O99" s="15"/>
      <c r="P99" s="15"/>
      <c r="Q99" s="15"/>
      <c r="R99" s="15"/>
      <c r="S99" s="15"/>
      <c r="T99" s="15"/>
      <c r="U99" s="15"/>
      <c r="V99" s="15"/>
      <c r="W99" s="15"/>
      <c r="X99" s="15"/>
      <c r="Y99" s="11"/>
      <c r="Z99" s="11"/>
      <c r="AA99" s="11"/>
      <c r="AB99" s="11"/>
      <c r="AC99" s="11"/>
      <c r="AD99" s="11"/>
    </row>
    <row r="100" hidden="1">
      <c r="A100" s="26"/>
      <c r="B100" s="37">
        <v>46203.0</v>
      </c>
      <c r="C100" s="10" t="s">
        <v>28</v>
      </c>
      <c r="D100" s="28" t="str">
        <f t="shared" si="1"/>
        <v>QLTTHDVMPL_03</v>
      </c>
      <c r="E100" s="28"/>
      <c r="F100" s="28"/>
      <c r="G100" s="20" t="s">
        <v>298</v>
      </c>
      <c r="H100" s="20" t="s">
        <v>299</v>
      </c>
      <c r="I100" s="20" t="s">
        <v>300</v>
      </c>
      <c r="J100" s="20" t="s">
        <v>301</v>
      </c>
      <c r="K100" s="20" t="s">
        <v>302</v>
      </c>
      <c r="L100" s="20" t="s">
        <v>302</v>
      </c>
      <c r="M100" s="8" t="s">
        <v>303</v>
      </c>
      <c r="N100" s="10" t="s">
        <v>37</v>
      </c>
      <c r="O100" s="9"/>
      <c r="P100" s="9"/>
      <c r="Q100" s="9"/>
      <c r="R100" s="9"/>
      <c r="S100" s="9"/>
      <c r="T100" s="9"/>
      <c r="U100" s="9"/>
      <c r="V100" s="9"/>
      <c r="W100" s="9"/>
      <c r="X100" s="9"/>
      <c r="Y100" s="11"/>
      <c r="Z100" s="11"/>
      <c r="AA100" s="11"/>
      <c r="AB100" s="11"/>
      <c r="AC100" s="11"/>
      <c r="AD100" s="11"/>
    </row>
    <row r="101">
      <c r="A101" s="27"/>
      <c r="B101" s="36">
        <v>46203.0</v>
      </c>
      <c r="C101" s="14" t="s">
        <v>28</v>
      </c>
      <c r="D101" s="29" t="str">
        <f t="shared" si="1"/>
        <v>QLTTHDVMPL_04</v>
      </c>
      <c r="E101" s="29"/>
      <c r="F101" s="29"/>
      <c r="G101" s="16" t="s">
        <v>304</v>
      </c>
      <c r="H101" s="16" t="s">
        <v>305</v>
      </c>
      <c r="I101" s="16" t="s">
        <v>306</v>
      </c>
      <c r="J101" s="16" t="s">
        <v>307</v>
      </c>
      <c r="K101" s="16" t="s">
        <v>308</v>
      </c>
      <c r="L101" s="15" t="s">
        <v>309</v>
      </c>
      <c r="M101" s="30" t="s">
        <v>310</v>
      </c>
      <c r="N101" s="14" t="s">
        <v>64</v>
      </c>
      <c r="O101" s="15"/>
      <c r="P101" s="24" t="s">
        <v>65</v>
      </c>
      <c r="Q101" s="25" t="s">
        <v>37</v>
      </c>
      <c r="R101" s="15"/>
      <c r="S101" s="15"/>
      <c r="T101" s="15"/>
      <c r="U101" s="15"/>
      <c r="V101" s="15"/>
      <c r="W101" s="15"/>
      <c r="X101" s="15"/>
      <c r="Y101" s="11"/>
      <c r="Z101" s="11"/>
      <c r="AA101" s="11"/>
      <c r="AB101" s="11"/>
      <c r="AC101" s="11"/>
      <c r="AD101" s="11"/>
    </row>
    <row r="102" hidden="1">
      <c r="A102" s="26"/>
      <c r="B102" s="37">
        <v>46203.0</v>
      </c>
      <c r="C102" s="10" t="s">
        <v>28</v>
      </c>
      <c r="D102" s="28" t="str">
        <f t="shared" si="1"/>
        <v>QLTTHDVMPL_05</v>
      </c>
      <c r="E102" s="28"/>
      <c r="F102" s="28"/>
      <c r="G102" s="20" t="s">
        <v>311</v>
      </c>
      <c r="H102" s="20" t="s">
        <v>312</v>
      </c>
      <c r="I102" s="20" t="s">
        <v>313</v>
      </c>
      <c r="J102" s="20" t="s">
        <v>314</v>
      </c>
      <c r="K102" s="20" t="s">
        <v>315</v>
      </c>
      <c r="L102" s="20" t="s">
        <v>315</v>
      </c>
      <c r="M102" s="8" t="s">
        <v>316</v>
      </c>
      <c r="N102" s="10" t="s">
        <v>37</v>
      </c>
      <c r="O102" s="9"/>
      <c r="P102" s="9"/>
      <c r="Q102" s="9"/>
      <c r="R102" s="9"/>
      <c r="S102" s="9"/>
      <c r="T102" s="9"/>
      <c r="U102" s="9"/>
      <c r="V102" s="9"/>
      <c r="W102" s="9"/>
      <c r="X102" s="9"/>
      <c r="Y102" s="11"/>
      <c r="Z102" s="11"/>
      <c r="AA102" s="11"/>
      <c r="AB102" s="11"/>
      <c r="AC102" s="11"/>
      <c r="AD102" s="11"/>
    </row>
    <row r="103" hidden="1">
      <c r="A103" s="27"/>
      <c r="B103" s="36">
        <v>46203.0</v>
      </c>
      <c r="C103" s="14" t="s">
        <v>28</v>
      </c>
      <c r="D103" s="29" t="str">
        <f t="shared" si="1"/>
        <v>QLTTHDVMPL_06</v>
      </c>
      <c r="E103" s="29"/>
      <c r="F103" s="29"/>
      <c r="G103" s="16" t="s">
        <v>317</v>
      </c>
      <c r="H103" s="16" t="s">
        <v>318</v>
      </c>
      <c r="I103" s="16" t="s">
        <v>319</v>
      </c>
      <c r="J103" s="16" t="s">
        <v>320</v>
      </c>
      <c r="K103" s="16" t="s">
        <v>321</v>
      </c>
      <c r="L103" s="16" t="s">
        <v>321</v>
      </c>
      <c r="M103" s="30" t="s">
        <v>322</v>
      </c>
      <c r="N103" s="14" t="s">
        <v>37</v>
      </c>
      <c r="O103" s="15"/>
      <c r="P103" s="15"/>
      <c r="Q103" s="15"/>
      <c r="R103" s="15"/>
      <c r="S103" s="15"/>
      <c r="T103" s="15"/>
      <c r="U103" s="15"/>
      <c r="V103" s="15"/>
      <c r="W103" s="15"/>
      <c r="X103" s="15"/>
      <c r="Y103" s="11"/>
      <c r="Z103" s="11"/>
      <c r="AA103" s="11"/>
      <c r="AB103" s="11"/>
      <c r="AC103" s="11"/>
      <c r="AD103" s="11"/>
    </row>
    <row r="104" hidden="1">
      <c r="A104" s="26"/>
      <c r="B104" s="37">
        <v>46203.0</v>
      </c>
      <c r="C104" s="10" t="s">
        <v>28</v>
      </c>
      <c r="D104" s="28" t="str">
        <f t="shared" si="1"/>
        <v>QLTTHDVMPL_07</v>
      </c>
      <c r="E104" s="28"/>
      <c r="F104" s="28"/>
      <c r="G104" s="20" t="s">
        <v>323</v>
      </c>
      <c r="H104" s="20" t="s">
        <v>324</v>
      </c>
      <c r="I104" s="20" t="s">
        <v>325</v>
      </c>
      <c r="J104" s="20" t="s">
        <v>326</v>
      </c>
      <c r="K104" s="20" t="s">
        <v>327</v>
      </c>
      <c r="L104" s="20" t="s">
        <v>327</v>
      </c>
      <c r="M104" s="8" t="s">
        <v>328</v>
      </c>
      <c r="N104" s="10" t="s">
        <v>37</v>
      </c>
      <c r="O104" s="9"/>
      <c r="P104" s="9"/>
      <c r="Q104" s="9"/>
      <c r="R104" s="9"/>
      <c r="S104" s="9"/>
      <c r="T104" s="9"/>
      <c r="U104" s="9"/>
      <c r="V104" s="9"/>
      <c r="W104" s="9"/>
      <c r="X104" s="9"/>
      <c r="Y104" s="11"/>
      <c r="Z104" s="11"/>
      <c r="AA104" s="11"/>
      <c r="AB104" s="11"/>
      <c r="AC104" s="11"/>
      <c r="AD104" s="11"/>
    </row>
    <row r="105" hidden="1">
      <c r="A105" s="27"/>
      <c r="B105" s="36">
        <v>46203.0</v>
      </c>
      <c r="C105" s="14" t="s">
        <v>28</v>
      </c>
      <c r="D105" s="29" t="str">
        <f t="shared" si="1"/>
        <v>QLTTHDVMPL_08</v>
      </c>
      <c r="E105" s="29"/>
      <c r="F105" s="29"/>
      <c r="G105" s="16" t="s">
        <v>329</v>
      </c>
      <c r="H105" s="16" t="s">
        <v>330</v>
      </c>
      <c r="I105" s="16" t="s">
        <v>331</v>
      </c>
      <c r="J105" s="16" t="s">
        <v>332</v>
      </c>
      <c r="K105" s="16" t="s">
        <v>333</v>
      </c>
      <c r="L105" s="16" t="s">
        <v>333</v>
      </c>
      <c r="M105" s="30" t="s">
        <v>334</v>
      </c>
      <c r="N105" s="14" t="s">
        <v>37</v>
      </c>
      <c r="O105" s="15"/>
      <c r="P105" s="15"/>
      <c r="Q105" s="15"/>
      <c r="R105" s="15"/>
      <c r="S105" s="15"/>
      <c r="T105" s="15"/>
      <c r="U105" s="15"/>
      <c r="V105" s="15"/>
      <c r="W105" s="15"/>
      <c r="X105" s="15"/>
      <c r="Y105" s="11"/>
      <c r="Z105" s="11"/>
      <c r="AA105" s="11"/>
      <c r="AB105" s="11"/>
      <c r="AC105" s="11"/>
      <c r="AD105" s="11"/>
    </row>
    <row r="106" hidden="1">
      <c r="A106" s="26"/>
      <c r="B106" s="37">
        <v>46203.0</v>
      </c>
      <c r="C106" s="10" t="s">
        <v>28</v>
      </c>
      <c r="D106" s="28" t="str">
        <f t="shared" si="1"/>
        <v>QLTTHDVMPL_09</v>
      </c>
      <c r="E106" s="28"/>
      <c r="F106" s="28"/>
      <c r="G106" s="20" t="s">
        <v>335</v>
      </c>
      <c r="H106" s="20" t="s">
        <v>336</v>
      </c>
      <c r="I106" s="20" t="s">
        <v>337</v>
      </c>
      <c r="J106" s="20" t="s">
        <v>338</v>
      </c>
      <c r="K106" s="20" t="s">
        <v>339</v>
      </c>
      <c r="L106" s="20" t="s">
        <v>339</v>
      </c>
      <c r="M106" s="8" t="s">
        <v>340</v>
      </c>
      <c r="N106" s="10" t="s">
        <v>37</v>
      </c>
      <c r="O106" s="9"/>
      <c r="P106" s="9"/>
      <c r="Q106" s="9"/>
      <c r="R106" s="9"/>
      <c r="S106" s="9"/>
      <c r="T106" s="9"/>
      <c r="U106" s="9"/>
      <c r="V106" s="9"/>
      <c r="W106" s="9"/>
      <c r="X106" s="9"/>
      <c r="Y106" s="11"/>
      <c r="Z106" s="11"/>
      <c r="AA106" s="11"/>
      <c r="AB106" s="11"/>
      <c r="AC106" s="11"/>
      <c r="AD106" s="11"/>
    </row>
    <row r="107">
      <c r="A107" s="27"/>
      <c r="B107" s="36">
        <v>46203.0</v>
      </c>
      <c r="C107" s="14" t="s">
        <v>28</v>
      </c>
      <c r="D107" s="29" t="str">
        <f t="shared" si="1"/>
        <v>QLTTHDVMPL_10</v>
      </c>
      <c r="E107" s="29"/>
      <c r="F107" s="29"/>
      <c r="G107" s="16" t="s">
        <v>341</v>
      </c>
      <c r="H107" s="16" t="s">
        <v>342</v>
      </c>
      <c r="I107" s="16" t="s">
        <v>343</v>
      </c>
      <c r="J107" s="16" t="s">
        <v>344</v>
      </c>
      <c r="K107" s="16" t="s">
        <v>345</v>
      </c>
      <c r="L107" s="15" t="s">
        <v>346</v>
      </c>
      <c r="M107" s="30" t="s">
        <v>347</v>
      </c>
      <c r="N107" s="14" t="s">
        <v>64</v>
      </c>
      <c r="O107" s="15"/>
      <c r="P107" s="24" t="s">
        <v>65</v>
      </c>
      <c r="Q107" s="25" t="s">
        <v>37</v>
      </c>
      <c r="R107" s="15"/>
      <c r="S107" s="15"/>
      <c r="T107" s="15"/>
      <c r="U107" s="15"/>
      <c r="V107" s="15"/>
      <c r="W107" s="15"/>
      <c r="X107" s="15"/>
      <c r="Y107" s="11"/>
      <c r="Z107" s="11"/>
      <c r="AA107" s="11"/>
      <c r="AB107" s="11"/>
      <c r="AC107" s="11"/>
      <c r="AD107" s="11"/>
    </row>
    <row r="108" hidden="1">
      <c r="A108" s="26"/>
      <c r="B108" s="37">
        <v>46203.0</v>
      </c>
      <c r="C108" s="10" t="s">
        <v>28</v>
      </c>
      <c r="D108" s="28" t="str">
        <f t="shared" si="1"/>
        <v>QLTTHDVMPL_11</v>
      </c>
      <c r="E108" s="28"/>
      <c r="F108" s="28"/>
      <c r="G108" s="20" t="s">
        <v>348</v>
      </c>
      <c r="H108" s="20" t="s">
        <v>349</v>
      </c>
      <c r="I108" s="20" t="s">
        <v>350</v>
      </c>
      <c r="J108" s="20" t="s">
        <v>351</v>
      </c>
      <c r="K108" s="20" t="s">
        <v>352</v>
      </c>
      <c r="L108" s="20" t="s">
        <v>352</v>
      </c>
      <c r="M108" s="8" t="s">
        <v>353</v>
      </c>
      <c r="N108" s="10" t="s">
        <v>37</v>
      </c>
      <c r="O108" s="9"/>
      <c r="P108" s="9"/>
      <c r="Q108" s="9"/>
      <c r="R108" s="9"/>
      <c r="S108" s="9"/>
      <c r="T108" s="9"/>
      <c r="U108" s="9"/>
      <c r="V108" s="9"/>
      <c r="W108" s="9"/>
      <c r="X108" s="9"/>
      <c r="Y108" s="11"/>
      <c r="Z108" s="11"/>
      <c r="AA108" s="11"/>
      <c r="AB108" s="11"/>
      <c r="AC108" s="11"/>
      <c r="AD108" s="11"/>
    </row>
    <row r="109" hidden="1">
      <c r="A109" s="27"/>
      <c r="B109" s="36">
        <v>46203.0</v>
      </c>
      <c r="C109" s="14" t="s">
        <v>28</v>
      </c>
      <c r="D109" s="29" t="str">
        <f t="shared" si="1"/>
        <v>QLTTHDVMPL_12</v>
      </c>
      <c r="E109" s="29"/>
      <c r="F109" s="29"/>
      <c r="G109" s="16" t="s">
        <v>354</v>
      </c>
      <c r="H109" s="16" t="s">
        <v>355</v>
      </c>
      <c r="I109" s="16" t="s">
        <v>356</v>
      </c>
      <c r="J109" s="16" t="s">
        <v>357</v>
      </c>
      <c r="K109" s="16" t="s">
        <v>358</v>
      </c>
      <c r="L109" s="16" t="s">
        <v>358</v>
      </c>
      <c r="M109" s="30" t="s">
        <v>359</v>
      </c>
      <c r="N109" s="14" t="s">
        <v>37</v>
      </c>
      <c r="O109" s="15"/>
      <c r="P109" s="15"/>
      <c r="Q109" s="15"/>
      <c r="R109" s="15"/>
      <c r="S109" s="15"/>
      <c r="T109" s="15"/>
      <c r="U109" s="15"/>
      <c r="V109" s="15"/>
      <c r="W109" s="15"/>
      <c r="X109" s="15"/>
      <c r="Y109" s="11"/>
      <c r="Z109" s="11"/>
      <c r="AA109" s="11"/>
      <c r="AB109" s="11"/>
      <c r="AC109" s="11"/>
      <c r="AD109" s="11"/>
    </row>
    <row r="110" hidden="1">
      <c r="A110" s="26"/>
      <c r="B110" s="37">
        <v>46203.0</v>
      </c>
      <c r="C110" s="10" t="s">
        <v>28</v>
      </c>
      <c r="D110" s="28" t="str">
        <f t="shared" si="1"/>
        <v>QLTTHDVMPL_13</v>
      </c>
      <c r="E110" s="28"/>
      <c r="F110" s="28"/>
      <c r="G110" s="20" t="s">
        <v>360</v>
      </c>
      <c r="H110" s="20" t="s">
        <v>361</v>
      </c>
      <c r="I110" s="20" t="s">
        <v>362</v>
      </c>
      <c r="J110" s="20" t="s">
        <v>363</v>
      </c>
      <c r="K110" s="20" t="s">
        <v>364</v>
      </c>
      <c r="L110" s="20" t="s">
        <v>364</v>
      </c>
      <c r="M110" s="8" t="s">
        <v>365</v>
      </c>
      <c r="N110" s="10" t="s">
        <v>37</v>
      </c>
      <c r="O110" s="9"/>
      <c r="P110" s="9"/>
      <c r="Q110" s="9"/>
      <c r="R110" s="9"/>
      <c r="S110" s="9"/>
      <c r="T110" s="9"/>
      <c r="U110" s="9"/>
      <c r="V110" s="9"/>
      <c r="W110" s="9"/>
      <c r="X110" s="9"/>
      <c r="Y110" s="11"/>
      <c r="Z110" s="11"/>
      <c r="AA110" s="11"/>
      <c r="AB110" s="11"/>
      <c r="AC110" s="11"/>
      <c r="AD110" s="11"/>
    </row>
    <row r="111" hidden="1">
      <c r="A111" s="27"/>
      <c r="B111" s="36">
        <v>46203.0</v>
      </c>
      <c r="C111" s="14" t="s">
        <v>28</v>
      </c>
      <c r="D111" s="29" t="str">
        <f t="shared" si="1"/>
        <v>QLTTHDVMPL_14</v>
      </c>
      <c r="E111" s="29"/>
      <c r="F111" s="29"/>
      <c r="G111" s="16" t="s">
        <v>366</v>
      </c>
      <c r="H111" s="16" t="s">
        <v>318</v>
      </c>
      <c r="I111" s="16" t="s">
        <v>367</v>
      </c>
      <c r="J111" s="16" t="s">
        <v>368</v>
      </c>
      <c r="K111" s="16" t="s">
        <v>369</v>
      </c>
      <c r="L111" s="16" t="s">
        <v>369</v>
      </c>
      <c r="M111" s="30" t="s">
        <v>370</v>
      </c>
      <c r="N111" s="14" t="s">
        <v>37</v>
      </c>
      <c r="O111" s="15"/>
      <c r="P111" s="15"/>
      <c r="Q111" s="15"/>
      <c r="R111" s="15"/>
      <c r="S111" s="15"/>
      <c r="T111" s="15"/>
      <c r="U111" s="15"/>
      <c r="V111" s="15"/>
      <c r="W111" s="15"/>
      <c r="X111" s="15"/>
      <c r="Y111" s="11"/>
      <c r="Z111" s="11"/>
      <c r="AA111" s="11"/>
      <c r="AB111" s="11"/>
      <c r="AC111" s="11"/>
      <c r="AD111" s="11"/>
    </row>
    <row r="112" hidden="1">
      <c r="A112" s="26"/>
      <c r="B112" s="37">
        <v>46203.0</v>
      </c>
      <c r="C112" s="10" t="s">
        <v>28</v>
      </c>
      <c r="D112" s="28" t="str">
        <f t="shared" si="1"/>
        <v>QLTTHDVMPL_15</v>
      </c>
      <c r="E112" s="28"/>
      <c r="F112" s="28"/>
      <c r="G112" s="20" t="s">
        <v>371</v>
      </c>
      <c r="H112" s="20" t="s">
        <v>318</v>
      </c>
      <c r="I112" s="20" t="s">
        <v>372</v>
      </c>
      <c r="J112" s="20" t="s">
        <v>373</v>
      </c>
      <c r="K112" s="20" t="s">
        <v>374</v>
      </c>
      <c r="L112" s="20" t="s">
        <v>374</v>
      </c>
      <c r="M112" s="8" t="s">
        <v>375</v>
      </c>
      <c r="N112" s="10" t="s">
        <v>37</v>
      </c>
      <c r="O112" s="9"/>
      <c r="P112" s="9"/>
      <c r="Q112" s="9"/>
      <c r="R112" s="9"/>
      <c r="S112" s="9"/>
      <c r="T112" s="9"/>
      <c r="U112" s="9"/>
      <c r="V112" s="9"/>
      <c r="W112" s="9"/>
      <c r="X112" s="9"/>
      <c r="Y112" s="11"/>
      <c r="Z112" s="11"/>
      <c r="AA112" s="11"/>
      <c r="AB112" s="11"/>
      <c r="AC112" s="11"/>
      <c r="AD112" s="11"/>
    </row>
    <row r="113" hidden="1">
      <c r="A113" s="27"/>
      <c r="B113" s="36">
        <v>46203.0</v>
      </c>
      <c r="C113" s="14" t="s">
        <v>28</v>
      </c>
      <c r="D113" s="29" t="str">
        <f t="shared" si="1"/>
        <v>QLTTHDVMPL_16</v>
      </c>
      <c r="E113" s="29"/>
      <c r="F113" s="29"/>
      <c r="G113" s="16" t="s">
        <v>376</v>
      </c>
      <c r="H113" s="16" t="s">
        <v>377</v>
      </c>
      <c r="I113" s="16" t="s">
        <v>378</v>
      </c>
      <c r="J113" s="16" t="s">
        <v>379</v>
      </c>
      <c r="K113" s="16" t="s">
        <v>380</v>
      </c>
      <c r="L113" s="16" t="s">
        <v>380</v>
      </c>
      <c r="M113" s="30" t="s">
        <v>381</v>
      </c>
      <c r="N113" s="14" t="s">
        <v>37</v>
      </c>
      <c r="O113" s="15"/>
      <c r="P113" s="15"/>
      <c r="Q113" s="15"/>
      <c r="R113" s="15"/>
      <c r="S113" s="15"/>
      <c r="T113" s="15"/>
      <c r="U113" s="15"/>
      <c r="V113" s="15"/>
      <c r="W113" s="15"/>
      <c r="X113" s="15"/>
      <c r="Y113" s="11"/>
      <c r="Z113" s="11"/>
      <c r="AA113" s="11"/>
      <c r="AB113" s="11"/>
      <c r="AC113" s="11"/>
      <c r="AD113" s="11"/>
    </row>
    <row r="114" hidden="1">
      <c r="A114" s="26"/>
      <c r="B114" s="37">
        <v>46203.0</v>
      </c>
      <c r="C114" s="10" t="s">
        <v>28</v>
      </c>
      <c r="D114" s="28" t="str">
        <f t="shared" si="1"/>
        <v>QLTTHDVMPL_17</v>
      </c>
      <c r="E114" s="28"/>
      <c r="F114" s="28"/>
      <c r="G114" s="20" t="s">
        <v>382</v>
      </c>
      <c r="H114" s="20" t="s">
        <v>383</v>
      </c>
      <c r="I114" s="20" t="s">
        <v>384</v>
      </c>
      <c r="J114" s="20" t="s">
        <v>385</v>
      </c>
      <c r="K114" s="20" t="s">
        <v>386</v>
      </c>
      <c r="L114" s="20" t="s">
        <v>386</v>
      </c>
      <c r="M114" s="8" t="s">
        <v>387</v>
      </c>
      <c r="N114" s="10" t="s">
        <v>37</v>
      </c>
      <c r="O114" s="9"/>
      <c r="P114" s="9"/>
      <c r="Q114" s="9"/>
      <c r="R114" s="9"/>
      <c r="S114" s="9"/>
      <c r="T114" s="9"/>
      <c r="U114" s="9"/>
      <c r="V114" s="9"/>
      <c r="W114" s="9"/>
      <c r="X114" s="9"/>
      <c r="Y114" s="11"/>
      <c r="Z114" s="11"/>
      <c r="AA114" s="11"/>
      <c r="AB114" s="11"/>
      <c r="AC114" s="11"/>
      <c r="AD114" s="11"/>
    </row>
    <row r="115" hidden="1">
      <c r="A115" s="27"/>
      <c r="B115" s="36">
        <v>46203.0</v>
      </c>
      <c r="C115" s="14" t="s">
        <v>28</v>
      </c>
      <c r="D115" s="29" t="str">
        <f t="shared" si="1"/>
        <v>QLTTHDVMPL_18</v>
      </c>
      <c r="E115" s="29"/>
      <c r="F115" s="29"/>
      <c r="G115" s="16" t="s">
        <v>388</v>
      </c>
      <c r="H115" s="16" t="s">
        <v>389</v>
      </c>
      <c r="I115" s="16" t="s">
        <v>390</v>
      </c>
      <c r="J115" s="16" t="s">
        <v>391</v>
      </c>
      <c r="K115" s="16" t="s">
        <v>392</v>
      </c>
      <c r="L115" s="16" t="s">
        <v>392</v>
      </c>
      <c r="M115" s="30" t="s">
        <v>393</v>
      </c>
      <c r="N115" s="14" t="s">
        <v>37</v>
      </c>
      <c r="O115" s="15"/>
      <c r="P115" s="15"/>
      <c r="Q115" s="15"/>
      <c r="R115" s="15"/>
      <c r="S115" s="15"/>
      <c r="T115" s="15"/>
      <c r="U115" s="15"/>
      <c r="V115" s="15"/>
      <c r="W115" s="15"/>
      <c r="X115" s="15"/>
      <c r="Y115" s="11"/>
      <c r="Z115" s="11"/>
      <c r="AA115" s="11"/>
      <c r="AB115" s="11"/>
      <c r="AC115" s="11"/>
      <c r="AD115" s="11"/>
    </row>
    <row r="116" hidden="1">
      <c r="A116" s="26"/>
      <c r="B116" s="37">
        <v>46203.0</v>
      </c>
      <c r="C116" s="10" t="s">
        <v>28</v>
      </c>
      <c r="D116" s="28" t="str">
        <f t="shared" si="1"/>
        <v>QLTTHDVMPL_19</v>
      </c>
      <c r="E116" s="28"/>
      <c r="F116" s="28"/>
      <c r="G116" s="20" t="s">
        <v>394</v>
      </c>
      <c r="H116" s="20" t="s">
        <v>395</v>
      </c>
      <c r="I116" s="20" t="s">
        <v>396</v>
      </c>
      <c r="J116" s="20" t="s">
        <v>397</v>
      </c>
      <c r="K116" s="20" t="s">
        <v>398</v>
      </c>
      <c r="L116" s="20" t="s">
        <v>398</v>
      </c>
      <c r="M116" s="8" t="s">
        <v>399</v>
      </c>
      <c r="N116" s="10" t="s">
        <v>37</v>
      </c>
      <c r="O116" s="9"/>
      <c r="P116" s="9"/>
      <c r="Q116" s="9"/>
      <c r="R116" s="9"/>
      <c r="S116" s="9"/>
      <c r="T116" s="9"/>
      <c r="U116" s="9"/>
      <c r="V116" s="9"/>
      <c r="W116" s="9"/>
      <c r="X116" s="9"/>
      <c r="Y116" s="11"/>
      <c r="Z116" s="11"/>
      <c r="AA116" s="11"/>
      <c r="AB116" s="11"/>
      <c r="AC116" s="11"/>
      <c r="AD116" s="11"/>
    </row>
    <row r="117" hidden="1">
      <c r="A117" s="27"/>
      <c r="B117" s="14">
        <v>11.0</v>
      </c>
      <c r="C117" s="14" t="s">
        <v>28</v>
      </c>
      <c r="D117" s="29" t="str">
        <f t="shared" ref="D117:D129" si="2">IF(G117&lt;&gt;"","TKHDVMTH_"&amp;TEXT(COUNTIF($G$117:G117,"&lt;&gt;"),"00"),"")</f>
        <v>TKHDVMTH_01</v>
      </c>
      <c r="E117" s="29" t="s">
        <v>400</v>
      </c>
      <c r="F117" s="29" t="s">
        <v>287</v>
      </c>
      <c r="G117" s="29" t="s">
        <v>401</v>
      </c>
      <c r="H117" s="29" t="s">
        <v>402</v>
      </c>
      <c r="I117" s="14"/>
      <c r="J117" s="16" t="s">
        <v>295</v>
      </c>
      <c r="K117" s="15" t="s">
        <v>401</v>
      </c>
      <c r="L117" s="15" t="s">
        <v>401</v>
      </c>
      <c r="M117" s="30" t="s">
        <v>403</v>
      </c>
      <c r="N117" s="14" t="s">
        <v>37</v>
      </c>
      <c r="O117" s="15"/>
      <c r="P117" s="15"/>
      <c r="Q117" s="15"/>
      <c r="R117" s="15"/>
      <c r="S117" s="15"/>
      <c r="T117" s="15"/>
      <c r="U117" s="15"/>
      <c r="V117" s="15"/>
      <c r="W117" s="15"/>
      <c r="X117" s="15"/>
      <c r="Y117" s="11"/>
      <c r="Z117" s="11"/>
      <c r="AA117" s="11"/>
      <c r="AB117" s="11"/>
      <c r="AC117" s="11"/>
      <c r="AD117" s="11"/>
    </row>
    <row r="118" hidden="1">
      <c r="A118" s="26"/>
      <c r="B118" s="37">
        <v>46203.0</v>
      </c>
      <c r="C118" s="10" t="s">
        <v>28</v>
      </c>
      <c r="D118" s="28" t="str">
        <f t="shared" si="2"/>
        <v>TKHDVMTH_02</v>
      </c>
      <c r="E118" s="28"/>
      <c r="F118" s="28"/>
      <c r="G118" s="20" t="s">
        <v>404</v>
      </c>
      <c r="H118" s="20" t="s">
        <v>405</v>
      </c>
      <c r="I118" s="20" t="s">
        <v>406</v>
      </c>
      <c r="J118" s="20" t="s">
        <v>407</v>
      </c>
      <c r="K118" s="20" t="s">
        <v>408</v>
      </c>
      <c r="L118" s="20" t="s">
        <v>408</v>
      </c>
      <c r="M118" s="8" t="s">
        <v>409</v>
      </c>
      <c r="N118" s="10" t="s">
        <v>37</v>
      </c>
      <c r="O118" s="9"/>
      <c r="P118" s="9"/>
      <c r="Q118" s="9"/>
      <c r="R118" s="9"/>
      <c r="S118" s="9"/>
      <c r="T118" s="9"/>
      <c r="U118" s="9"/>
      <c r="V118" s="9"/>
      <c r="W118" s="9"/>
      <c r="X118" s="9"/>
      <c r="Y118" s="11"/>
      <c r="Z118" s="11"/>
      <c r="AA118" s="11"/>
      <c r="AB118" s="11"/>
      <c r="AC118" s="11"/>
      <c r="AD118" s="11"/>
    </row>
    <row r="119" hidden="1">
      <c r="A119" s="27"/>
      <c r="B119" s="36">
        <v>46203.0</v>
      </c>
      <c r="C119" s="14" t="s">
        <v>28</v>
      </c>
      <c r="D119" s="29" t="str">
        <f t="shared" si="2"/>
        <v>TKHDVMTH_03</v>
      </c>
      <c r="E119" s="29"/>
      <c r="F119" s="29"/>
      <c r="G119" s="16" t="s">
        <v>410</v>
      </c>
      <c r="H119" s="16" t="s">
        <v>411</v>
      </c>
      <c r="I119" s="16" t="s">
        <v>412</v>
      </c>
      <c r="J119" s="16" t="s">
        <v>413</v>
      </c>
      <c r="K119" s="16" t="s">
        <v>414</v>
      </c>
      <c r="L119" s="16" t="s">
        <v>414</v>
      </c>
      <c r="M119" s="30" t="s">
        <v>415</v>
      </c>
      <c r="N119" s="14" t="s">
        <v>37</v>
      </c>
      <c r="O119" s="15"/>
      <c r="P119" s="15"/>
      <c r="Q119" s="15"/>
      <c r="R119" s="15"/>
      <c r="S119" s="15"/>
      <c r="T119" s="15"/>
      <c r="U119" s="15"/>
      <c r="V119" s="15"/>
      <c r="W119" s="15"/>
      <c r="X119" s="15"/>
      <c r="Y119" s="11"/>
      <c r="Z119" s="11"/>
      <c r="AA119" s="11"/>
      <c r="AB119" s="11"/>
      <c r="AC119" s="11"/>
      <c r="AD119" s="11"/>
    </row>
    <row r="120" hidden="1">
      <c r="A120" s="26"/>
      <c r="B120" s="37">
        <v>46203.0</v>
      </c>
      <c r="C120" s="10" t="s">
        <v>28</v>
      </c>
      <c r="D120" s="28" t="str">
        <f t="shared" si="2"/>
        <v>TKHDVMTH_04</v>
      </c>
      <c r="E120" s="28"/>
      <c r="F120" s="28"/>
      <c r="G120" s="20" t="s">
        <v>416</v>
      </c>
      <c r="H120" s="20" t="s">
        <v>417</v>
      </c>
      <c r="I120" s="20" t="s">
        <v>418</v>
      </c>
      <c r="J120" s="20" t="s">
        <v>419</v>
      </c>
      <c r="K120" s="20" t="s">
        <v>420</v>
      </c>
      <c r="L120" s="20" t="s">
        <v>420</v>
      </c>
      <c r="M120" s="8" t="s">
        <v>421</v>
      </c>
      <c r="N120" s="10" t="s">
        <v>37</v>
      </c>
      <c r="O120" s="9"/>
      <c r="P120" s="9"/>
      <c r="Q120" s="9"/>
      <c r="R120" s="9"/>
      <c r="S120" s="9"/>
      <c r="T120" s="9"/>
      <c r="U120" s="9"/>
      <c r="V120" s="9"/>
      <c r="W120" s="9"/>
      <c r="X120" s="9"/>
      <c r="Y120" s="11"/>
      <c r="Z120" s="11"/>
      <c r="AA120" s="11"/>
      <c r="AB120" s="11"/>
      <c r="AC120" s="11"/>
      <c r="AD120" s="11"/>
    </row>
    <row r="121" hidden="1">
      <c r="A121" s="27"/>
      <c r="B121" s="36">
        <v>46203.0</v>
      </c>
      <c r="C121" s="14" t="s">
        <v>28</v>
      </c>
      <c r="D121" s="29" t="str">
        <f t="shared" si="2"/>
        <v>TKHDVMTH_05</v>
      </c>
      <c r="E121" s="29"/>
      <c r="F121" s="29"/>
      <c r="G121" s="16" t="s">
        <v>422</v>
      </c>
      <c r="H121" s="16" t="s">
        <v>423</v>
      </c>
      <c r="I121" s="16" t="s">
        <v>424</v>
      </c>
      <c r="J121" s="16" t="s">
        <v>425</v>
      </c>
      <c r="K121" s="16" t="s">
        <v>426</v>
      </c>
      <c r="L121" s="16" t="s">
        <v>426</v>
      </c>
      <c r="M121" s="30" t="s">
        <v>427</v>
      </c>
      <c r="N121" s="14" t="s">
        <v>37</v>
      </c>
      <c r="O121" s="15"/>
      <c r="P121" s="15"/>
      <c r="Q121" s="15"/>
      <c r="R121" s="15"/>
      <c r="S121" s="15"/>
      <c r="T121" s="15"/>
      <c r="U121" s="15"/>
      <c r="V121" s="15"/>
      <c r="W121" s="15"/>
      <c r="X121" s="15"/>
      <c r="Y121" s="11"/>
      <c r="Z121" s="11"/>
      <c r="AA121" s="11"/>
      <c r="AB121" s="11"/>
      <c r="AC121" s="11"/>
      <c r="AD121" s="11"/>
    </row>
    <row r="122" hidden="1">
      <c r="A122" s="26"/>
      <c r="B122" s="37">
        <v>46203.0</v>
      </c>
      <c r="C122" s="10" t="s">
        <v>28</v>
      </c>
      <c r="D122" s="28" t="str">
        <f t="shared" si="2"/>
        <v>TKHDVMTH_06</v>
      </c>
      <c r="E122" s="28"/>
      <c r="F122" s="28"/>
      <c r="G122" s="20" t="s">
        <v>428</v>
      </c>
      <c r="H122" s="20" t="s">
        <v>429</v>
      </c>
      <c r="I122" s="20" t="s">
        <v>430</v>
      </c>
      <c r="J122" s="20" t="s">
        <v>431</v>
      </c>
      <c r="K122" s="20" t="s">
        <v>432</v>
      </c>
      <c r="L122" s="20" t="s">
        <v>432</v>
      </c>
      <c r="M122" s="8" t="s">
        <v>433</v>
      </c>
      <c r="N122" s="10" t="s">
        <v>37</v>
      </c>
      <c r="O122" s="9"/>
      <c r="P122" s="9"/>
      <c r="Q122" s="9"/>
      <c r="R122" s="9"/>
      <c r="S122" s="9"/>
      <c r="T122" s="9"/>
      <c r="U122" s="9"/>
      <c r="V122" s="9"/>
      <c r="W122" s="9"/>
      <c r="X122" s="9"/>
      <c r="Y122" s="11"/>
      <c r="Z122" s="11"/>
      <c r="AA122" s="11"/>
      <c r="AB122" s="11"/>
      <c r="AC122" s="11"/>
      <c r="AD122" s="11"/>
    </row>
    <row r="123">
      <c r="A123" s="27"/>
      <c r="B123" s="36">
        <v>46203.0</v>
      </c>
      <c r="C123" s="14" t="s">
        <v>28</v>
      </c>
      <c r="D123" s="29" t="str">
        <f t="shared" si="2"/>
        <v>TKHDVMTH_07</v>
      </c>
      <c r="E123" s="29"/>
      <c r="F123" s="29"/>
      <c r="G123" s="16" t="s">
        <v>434</v>
      </c>
      <c r="H123" s="16" t="s">
        <v>435</v>
      </c>
      <c r="I123" s="16" t="s">
        <v>436</v>
      </c>
      <c r="J123" s="16" t="s">
        <v>437</v>
      </c>
      <c r="K123" s="16" t="s">
        <v>438</v>
      </c>
      <c r="L123" s="15" t="s">
        <v>439</v>
      </c>
      <c r="M123" s="30" t="s">
        <v>440</v>
      </c>
      <c r="N123" s="14" t="s">
        <v>64</v>
      </c>
      <c r="O123" s="15"/>
      <c r="P123" s="24" t="s">
        <v>65</v>
      </c>
      <c r="Q123" s="25" t="s">
        <v>37</v>
      </c>
      <c r="R123" s="15"/>
      <c r="S123" s="15"/>
      <c r="T123" s="15"/>
      <c r="U123" s="15"/>
      <c r="V123" s="15"/>
      <c r="W123" s="15"/>
      <c r="X123" s="15"/>
      <c r="Y123" s="11"/>
      <c r="Z123" s="11"/>
      <c r="AA123" s="11"/>
      <c r="AB123" s="11"/>
      <c r="AC123" s="11"/>
      <c r="AD123" s="11"/>
    </row>
    <row r="124" hidden="1">
      <c r="A124" s="26"/>
      <c r="B124" s="37">
        <v>46203.0</v>
      </c>
      <c r="C124" s="23" t="s">
        <v>28</v>
      </c>
      <c r="D124" s="9" t="str">
        <f t="shared" si="2"/>
        <v>TKHDVMTH_08</v>
      </c>
      <c r="E124" s="38"/>
      <c r="F124" s="38"/>
      <c r="G124" s="9" t="s">
        <v>441</v>
      </c>
      <c r="H124" s="9" t="s">
        <v>423</v>
      </c>
      <c r="I124" s="9" t="s">
        <v>442</v>
      </c>
      <c r="J124" s="9" t="s">
        <v>443</v>
      </c>
      <c r="K124" s="9" t="s">
        <v>444</v>
      </c>
      <c r="L124" s="9" t="s">
        <v>444</v>
      </c>
      <c r="M124" s="8" t="s">
        <v>445</v>
      </c>
      <c r="N124" s="39" t="s">
        <v>37</v>
      </c>
      <c r="O124" s="9"/>
      <c r="P124" s="22" t="s">
        <v>65</v>
      </c>
      <c r="Q124" s="23" t="s">
        <v>37</v>
      </c>
      <c r="R124" s="9"/>
      <c r="S124" s="9"/>
      <c r="T124" s="9"/>
      <c r="U124" s="9"/>
      <c r="V124" s="9"/>
      <c r="W124" s="9"/>
      <c r="X124" s="9"/>
      <c r="Y124" s="11"/>
      <c r="Z124" s="11"/>
      <c r="AA124" s="11"/>
      <c r="AB124" s="11"/>
      <c r="AC124" s="11"/>
      <c r="AD124" s="11"/>
    </row>
    <row r="125" hidden="1">
      <c r="A125" s="27"/>
      <c r="B125" s="36">
        <v>46203.0</v>
      </c>
      <c r="C125" s="14" t="s">
        <v>28</v>
      </c>
      <c r="D125" s="29" t="str">
        <f t="shared" si="2"/>
        <v>TKHDVMTH_09</v>
      </c>
      <c r="E125" s="29"/>
      <c r="F125" s="29"/>
      <c r="G125" s="16" t="s">
        <v>446</v>
      </c>
      <c r="H125" s="16" t="s">
        <v>447</v>
      </c>
      <c r="I125" s="16" t="s">
        <v>448</v>
      </c>
      <c r="J125" s="16" t="s">
        <v>449</v>
      </c>
      <c r="K125" s="16" t="s">
        <v>450</v>
      </c>
      <c r="L125" s="16" t="s">
        <v>450</v>
      </c>
      <c r="M125" s="30" t="s">
        <v>451</v>
      </c>
      <c r="N125" s="14" t="s">
        <v>37</v>
      </c>
      <c r="O125" s="15"/>
      <c r="P125" s="15"/>
      <c r="Q125" s="15"/>
      <c r="R125" s="15"/>
      <c r="S125" s="15"/>
      <c r="T125" s="15"/>
      <c r="U125" s="15"/>
      <c r="V125" s="15"/>
      <c r="W125" s="15"/>
      <c r="X125" s="15"/>
      <c r="Y125" s="11"/>
      <c r="Z125" s="11"/>
      <c r="AA125" s="11"/>
      <c r="AB125" s="11"/>
      <c r="AC125" s="11"/>
      <c r="AD125" s="11"/>
    </row>
    <row r="126" hidden="1">
      <c r="A126" s="26"/>
      <c r="B126" s="37">
        <v>46203.0</v>
      </c>
      <c r="C126" s="10" t="s">
        <v>28</v>
      </c>
      <c r="D126" s="28" t="str">
        <f t="shared" si="2"/>
        <v>TKHDVMTH_10</v>
      </c>
      <c r="E126" s="28"/>
      <c r="F126" s="28"/>
      <c r="G126" s="20" t="s">
        <v>452</v>
      </c>
      <c r="H126" s="20" t="s">
        <v>453</v>
      </c>
      <c r="I126" s="20" t="s">
        <v>454</v>
      </c>
      <c r="J126" s="20" t="s">
        <v>455</v>
      </c>
      <c r="K126" s="20" t="s">
        <v>456</v>
      </c>
      <c r="L126" s="20" t="s">
        <v>456</v>
      </c>
      <c r="M126" s="8" t="s">
        <v>457</v>
      </c>
      <c r="N126" s="10" t="s">
        <v>37</v>
      </c>
      <c r="O126" s="9"/>
      <c r="P126" s="9"/>
      <c r="Q126" s="9"/>
      <c r="R126" s="9"/>
      <c r="S126" s="9"/>
      <c r="T126" s="9"/>
      <c r="U126" s="9"/>
      <c r="V126" s="9"/>
      <c r="W126" s="9"/>
      <c r="X126" s="9"/>
      <c r="Y126" s="11"/>
      <c r="Z126" s="11"/>
      <c r="AA126" s="11"/>
      <c r="AB126" s="11"/>
      <c r="AC126" s="11"/>
      <c r="AD126" s="11"/>
    </row>
    <row r="127" hidden="1">
      <c r="A127" s="27"/>
      <c r="B127" s="36">
        <v>46203.0</v>
      </c>
      <c r="C127" s="14" t="s">
        <v>28</v>
      </c>
      <c r="D127" s="29" t="str">
        <f t="shared" si="2"/>
        <v>TKHDVMTH_11</v>
      </c>
      <c r="E127" s="29"/>
      <c r="F127" s="29"/>
      <c r="G127" s="16" t="s">
        <v>458</v>
      </c>
      <c r="H127" s="16" t="s">
        <v>459</v>
      </c>
      <c r="I127" s="16" t="s">
        <v>460</v>
      </c>
      <c r="J127" s="16" t="s">
        <v>461</v>
      </c>
      <c r="K127" s="16" t="s">
        <v>462</v>
      </c>
      <c r="L127" s="16" t="s">
        <v>462</v>
      </c>
      <c r="M127" s="30" t="s">
        <v>463</v>
      </c>
      <c r="N127" s="14" t="s">
        <v>37</v>
      </c>
      <c r="O127" s="15"/>
      <c r="P127" s="15"/>
      <c r="Q127" s="15"/>
      <c r="R127" s="15"/>
      <c r="S127" s="15"/>
      <c r="T127" s="15"/>
      <c r="U127" s="15"/>
      <c r="V127" s="15"/>
      <c r="W127" s="15"/>
      <c r="X127" s="15"/>
      <c r="Y127" s="11"/>
      <c r="Z127" s="11"/>
      <c r="AA127" s="11"/>
      <c r="AB127" s="11"/>
      <c r="AC127" s="11"/>
      <c r="AD127" s="11"/>
    </row>
    <row r="128" hidden="1">
      <c r="A128" s="26"/>
      <c r="B128" s="37">
        <v>46203.0</v>
      </c>
      <c r="C128" s="10" t="s">
        <v>28</v>
      </c>
      <c r="D128" s="28" t="str">
        <f t="shared" si="2"/>
        <v>TKHDVMTH_12</v>
      </c>
      <c r="E128" s="28"/>
      <c r="F128" s="28"/>
      <c r="G128" s="20" t="s">
        <v>464</v>
      </c>
      <c r="H128" s="20" t="s">
        <v>465</v>
      </c>
      <c r="I128" s="20" t="s">
        <v>466</v>
      </c>
      <c r="J128" s="20" t="s">
        <v>467</v>
      </c>
      <c r="K128" s="20" t="s">
        <v>468</v>
      </c>
      <c r="L128" s="20" t="s">
        <v>468</v>
      </c>
      <c r="M128" s="8" t="s">
        <v>469</v>
      </c>
      <c r="N128" s="10" t="s">
        <v>37</v>
      </c>
      <c r="O128" s="9"/>
      <c r="P128" s="9"/>
      <c r="Q128" s="9"/>
      <c r="R128" s="9"/>
      <c r="S128" s="9"/>
      <c r="T128" s="9"/>
      <c r="U128" s="9"/>
      <c r="V128" s="9"/>
      <c r="W128" s="9"/>
      <c r="X128" s="9"/>
      <c r="Y128" s="11"/>
      <c r="Z128" s="11"/>
      <c r="AA128" s="11"/>
      <c r="AB128" s="11"/>
      <c r="AC128" s="11"/>
      <c r="AD128" s="11"/>
    </row>
    <row r="129" hidden="1">
      <c r="A129" s="27"/>
      <c r="B129" s="36">
        <v>46203.0</v>
      </c>
      <c r="C129" s="14" t="s">
        <v>28</v>
      </c>
      <c r="D129" s="29" t="str">
        <f t="shared" si="2"/>
        <v>TKHDVMTH_13</v>
      </c>
      <c r="E129" s="29"/>
      <c r="F129" s="29"/>
      <c r="G129" s="16" t="s">
        <v>470</v>
      </c>
      <c r="H129" s="16" t="s">
        <v>471</v>
      </c>
      <c r="I129" s="16" t="s">
        <v>472</v>
      </c>
      <c r="J129" s="16" t="s">
        <v>473</v>
      </c>
      <c r="K129" s="16" t="s">
        <v>474</v>
      </c>
      <c r="L129" s="16" t="s">
        <v>474</v>
      </c>
      <c r="M129" s="30" t="s">
        <v>475</v>
      </c>
      <c r="N129" s="14" t="s">
        <v>37</v>
      </c>
      <c r="O129" s="15"/>
      <c r="P129" s="15"/>
      <c r="Q129" s="15"/>
      <c r="R129" s="15"/>
      <c r="S129" s="15"/>
      <c r="T129" s="15"/>
      <c r="U129" s="15"/>
      <c r="V129" s="15"/>
      <c r="W129" s="15"/>
      <c r="X129" s="15"/>
      <c r="Y129" s="11"/>
      <c r="Z129" s="11"/>
      <c r="AA129" s="11"/>
      <c r="AB129" s="11"/>
      <c r="AC129" s="11"/>
      <c r="AD129" s="11"/>
    </row>
    <row r="130" hidden="1">
      <c r="A130" s="4"/>
      <c r="B130" s="5" t="s">
        <v>476</v>
      </c>
      <c r="C130" s="10" t="s">
        <v>28</v>
      </c>
      <c r="D130" s="6"/>
      <c r="E130" s="6" t="s">
        <v>477</v>
      </c>
      <c r="F130" s="28"/>
      <c r="G130" s="28"/>
      <c r="H130" s="28"/>
      <c r="I130" s="28"/>
      <c r="J130" s="9"/>
      <c r="K130" s="9"/>
      <c r="L130" s="9"/>
      <c r="M130" s="9"/>
      <c r="N130" s="10"/>
      <c r="O130" s="9"/>
      <c r="P130" s="9"/>
      <c r="Q130" s="9"/>
      <c r="R130" s="9"/>
      <c r="S130" s="9"/>
      <c r="T130" s="9"/>
      <c r="U130" s="9"/>
      <c r="V130" s="9"/>
      <c r="W130" s="9"/>
      <c r="X130" s="9"/>
      <c r="Y130" s="11"/>
      <c r="Z130" s="11"/>
      <c r="AA130" s="11"/>
      <c r="AB130" s="11"/>
      <c r="AC130" s="11"/>
      <c r="AD130" s="11"/>
    </row>
    <row r="131" hidden="1">
      <c r="A131" s="27"/>
      <c r="B131" s="14">
        <v>12.0</v>
      </c>
      <c r="C131" s="14" t="s">
        <v>28</v>
      </c>
      <c r="D131" s="29" t="str">
        <f t="shared" ref="D131:D136" si="3">IF(G131&lt;&gt;"","TNXLHDVMPL_"&amp;TEXT(COUNTIF($G$131:G131,"&lt;&gt;"),"00"),"")</f>
        <v>TNXLHDVMPL_01</v>
      </c>
      <c r="E131" s="29" t="s">
        <v>478</v>
      </c>
      <c r="F131" s="29" t="s">
        <v>287</v>
      </c>
      <c r="G131" s="29" t="s">
        <v>479</v>
      </c>
      <c r="H131" s="16" t="s">
        <v>480</v>
      </c>
      <c r="I131" s="16"/>
      <c r="J131" s="16" t="s">
        <v>481</v>
      </c>
      <c r="K131" s="16" t="s">
        <v>482</v>
      </c>
      <c r="L131" s="16" t="s">
        <v>482</v>
      </c>
      <c r="M131" s="30" t="s">
        <v>483</v>
      </c>
      <c r="N131" s="14" t="s">
        <v>37</v>
      </c>
      <c r="O131" s="15"/>
      <c r="P131" s="15"/>
      <c r="Q131" s="15"/>
      <c r="R131" s="15"/>
      <c r="S131" s="15"/>
      <c r="T131" s="15"/>
      <c r="U131" s="15"/>
      <c r="V131" s="15"/>
      <c r="W131" s="15"/>
      <c r="X131" s="15"/>
      <c r="Y131" s="11"/>
      <c r="Z131" s="11"/>
      <c r="AA131" s="11"/>
      <c r="AB131" s="11"/>
      <c r="AC131" s="11"/>
      <c r="AD131" s="11"/>
    </row>
    <row r="132" hidden="1">
      <c r="A132" s="26"/>
      <c r="B132" s="37">
        <v>46205.0</v>
      </c>
      <c r="C132" s="10" t="s">
        <v>28</v>
      </c>
      <c r="D132" s="28" t="str">
        <f t="shared" si="3"/>
        <v>TNXLHDVMPL_02</v>
      </c>
      <c r="E132" s="28"/>
      <c r="F132" s="28"/>
      <c r="G132" s="20" t="s">
        <v>484</v>
      </c>
      <c r="H132" s="20" t="s">
        <v>485</v>
      </c>
      <c r="I132" s="20"/>
      <c r="J132" s="20" t="s">
        <v>486</v>
      </c>
      <c r="K132" s="20" t="s">
        <v>487</v>
      </c>
      <c r="L132" s="20" t="s">
        <v>487</v>
      </c>
      <c r="M132" s="8" t="s">
        <v>488</v>
      </c>
      <c r="N132" s="10" t="s">
        <v>37</v>
      </c>
      <c r="O132" s="9"/>
      <c r="P132" s="9"/>
      <c r="Q132" s="9"/>
      <c r="R132" s="9"/>
      <c r="S132" s="9"/>
      <c r="T132" s="9"/>
      <c r="U132" s="9"/>
      <c r="V132" s="9"/>
      <c r="W132" s="9"/>
      <c r="X132" s="9"/>
      <c r="Y132" s="11"/>
      <c r="Z132" s="11"/>
      <c r="AA132" s="11"/>
      <c r="AB132" s="11"/>
      <c r="AC132" s="11"/>
      <c r="AD132" s="11"/>
    </row>
    <row r="133" hidden="1">
      <c r="A133" s="27"/>
      <c r="B133" s="36">
        <v>46205.0</v>
      </c>
      <c r="C133" s="14" t="s">
        <v>28</v>
      </c>
      <c r="D133" s="29" t="str">
        <f t="shared" si="3"/>
        <v>TNXLHDVMPL_03</v>
      </c>
      <c r="E133" s="29"/>
      <c r="F133" s="29"/>
      <c r="G133" s="16" t="s">
        <v>489</v>
      </c>
      <c r="H133" s="16" t="s">
        <v>490</v>
      </c>
      <c r="I133" s="16"/>
      <c r="J133" s="16" t="s">
        <v>491</v>
      </c>
      <c r="K133" s="16" t="s">
        <v>492</v>
      </c>
      <c r="L133" s="16" t="s">
        <v>492</v>
      </c>
      <c r="M133" s="30" t="s">
        <v>493</v>
      </c>
      <c r="N133" s="14" t="s">
        <v>37</v>
      </c>
      <c r="O133" s="15"/>
      <c r="P133" s="15"/>
      <c r="Q133" s="15"/>
      <c r="R133" s="15"/>
      <c r="S133" s="15"/>
      <c r="T133" s="15"/>
      <c r="U133" s="15"/>
      <c r="V133" s="15"/>
      <c r="W133" s="15"/>
      <c r="X133" s="15"/>
      <c r="Y133" s="11"/>
      <c r="Z133" s="11"/>
      <c r="AA133" s="11"/>
      <c r="AB133" s="11"/>
      <c r="AC133" s="11"/>
      <c r="AD133" s="11"/>
    </row>
    <row r="134" hidden="1">
      <c r="A134" s="26"/>
      <c r="B134" s="37">
        <v>46205.0</v>
      </c>
      <c r="C134" s="10" t="s">
        <v>28</v>
      </c>
      <c r="D134" s="28" t="str">
        <f t="shared" si="3"/>
        <v>TNXLHDVMPL_04</v>
      </c>
      <c r="E134" s="28"/>
      <c r="F134" s="28"/>
      <c r="G134" s="20" t="s">
        <v>494</v>
      </c>
      <c r="H134" s="20" t="s">
        <v>495</v>
      </c>
      <c r="I134" s="20"/>
      <c r="J134" s="20" t="s">
        <v>496</v>
      </c>
      <c r="K134" s="20" t="s">
        <v>497</v>
      </c>
      <c r="L134" s="20" t="s">
        <v>497</v>
      </c>
      <c r="M134" s="8" t="s">
        <v>498</v>
      </c>
      <c r="N134" s="10" t="s">
        <v>37</v>
      </c>
      <c r="O134" s="9"/>
      <c r="P134" s="9"/>
      <c r="Q134" s="9"/>
      <c r="R134" s="9"/>
      <c r="S134" s="9"/>
      <c r="T134" s="9"/>
      <c r="U134" s="9"/>
      <c r="V134" s="9"/>
      <c r="W134" s="9"/>
      <c r="X134" s="9"/>
      <c r="Y134" s="11"/>
      <c r="Z134" s="11"/>
      <c r="AA134" s="11"/>
      <c r="AB134" s="11"/>
      <c r="AC134" s="11"/>
      <c r="AD134" s="11"/>
    </row>
    <row r="135" hidden="1">
      <c r="A135" s="27"/>
      <c r="B135" s="36">
        <v>46205.0</v>
      </c>
      <c r="C135" s="14" t="s">
        <v>28</v>
      </c>
      <c r="D135" s="29" t="str">
        <f t="shared" si="3"/>
        <v>TNXLHDVMPL_05</v>
      </c>
      <c r="E135" s="29"/>
      <c r="F135" s="29"/>
      <c r="G135" s="16" t="s">
        <v>499</v>
      </c>
      <c r="H135" s="16" t="s">
        <v>500</v>
      </c>
      <c r="I135" s="16"/>
      <c r="J135" s="16" t="s">
        <v>501</v>
      </c>
      <c r="K135" s="16" t="s">
        <v>502</v>
      </c>
      <c r="L135" s="16" t="s">
        <v>502</v>
      </c>
      <c r="M135" s="30" t="s">
        <v>503</v>
      </c>
      <c r="N135" s="14" t="s">
        <v>37</v>
      </c>
      <c r="O135" s="15"/>
      <c r="P135" s="15"/>
      <c r="Q135" s="15"/>
      <c r="R135" s="15"/>
      <c r="S135" s="15"/>
      <c r="T135" s="15"/>
      <c r="U135" s="15"/>
      <c r="V135" s="15"/>
      <c r="W135" s="15"/>
      <c r="X135" s="15"/>
      <c r="Y135" s="11"/>
      <c r="Z135" s="11"/>
      <c r="AA135" s="11"/>
      <c r="AB135" s="11"/>
      <c r="AC135" s="11"/>
      <c r="AD135" s="11"/>
    </row>
    <row r="136" hidden="1">
      <c r="A136" s="26"/>
      <c r="B136" s="37">
        <v>46205.0</v>
      </c>
      <c r="C136" s="10" t="s">
        <v>28</v>
      </c>
      <c r="D136" s="28" t="str">
        <f t="shared" si="3"/>
        <v>TNXLHDVMPL_06</v>
      </c>
      <c r="E136" s="28"/>
      <c r="F136" s="28"/>
      <c r="G136" s="20" t="s">
        <v>504</v>
      </c>
      <c r="H136" s="20" t="s">
        <v>505</v>
      </c>
      <c r="I136" s="20"/>
      <c r="J136" s="20" t="s">
        <v>506</v>
      </c>
      <c r="K136" s="20" t="s">
        <v>507</v>
      </c>
      <c r="L136" s="20" t="s">
        <v>507</v>
      </c>
      <c r="M136" s="8" t="s">
        <v>508</v>
      </c>
      <c r="N136" s="10" t="s">
        <v>37</v>
      </c>
      <c r="O136" s="9"/>
      <c r="P136" s="9"/>
      <c r="Q136" s="9"/>
      <c r="R136" s="9"/>
      <c r="S136" s="9"/>
      <c r="T136" s="9"/>
      <c r="U136" s="9"/>
      <c r="V136" s="9"/>
      <c r="W136" s="9"/>
      <c r="X136" s="9"/>
      <c r="Y136" s="11"/>
      <c r="Z136" s="11"/>
      <c r="AA136" s="11"/>
      <c r="AB136" s="11"/>
      <c r="AC136" s="11"/>
      <c r="AD136" s="11"/>
    </row>
    <row r="137" hidden="1">
      <c r="A137" s="27"/>
      <c r="B137" s="14">
        <v>13.0</v>
      </c>
      <c r="C137" s="14" t="s">
        <v>28</v>
      </c>
      <c r="D137" s="29"/>
      <c r="E137" s="29" t="s">
        <v>509</v>
      </c>
      <c r="F137" s="29" t="s">
        <v>287</v>
      </c>
      <c r="G137" s="29" t="s">
        <v>510</v>
      </c>
      <c r="H137" s="29" t="s">
        <v>511</v>
      </c>
      <c r="I137" s="14"/>
      <c r="J137" s="15"/>
      <c r="K137" s="15"/>
      <c r="L137" s="15"/>
      <c r="M137" s="15"/>
      <c r="N137" s="14"/>
      <c r="O137" s="15"/>
      <c r="P137" s="15"/>
      <c r="Q137" s="15"/>
      <c r="R137" s="15"/>
      <c r="S137" s="15"/>
      <c r="T137" s="15"/>
      <c r="U137" s="15"/>
      <c r="V137" s="15"/>
      <c r="W137" s="15"/>
      <c r="X137" s="15"/>
      <c r="Y137" s="11"/>
      <c r="Z137" s="11"/>
      <c r="AA137" s="11"/>
      <c r="AB137" s="11"/>
      <c r="AC137" s="11"/>
      <c r="AD137" s="11"/>
    </row>
    <row r="138" hidden="1">
      <c r="A138" s="26"/>
      <c r="B138" s="37">
        <v>46205.0</v>
      </c>
      <c r="C138" s="10" t="s">
        <v>28</v>
      </c>
      <c r="D138" s="28" t="str">
        <f t="shared" ref="D138:D146" si="4">IF(G138&lt;&gt;"","QLTNXLHDVM_"&amp;TEXT(COUNTIF($G$138:G138,"&lt;&gt;"),"00"),"")</f>
        <v>QLTNXLHDVM_01</v>
      </c>
      <c r="E138" s="28"/>
      <c r="F138" s="28"/>
      <c r="G138" s="20" t="s">
        <v>512</v>
      </c>
      <c r="H138" s="20" t="s">
        <v>513</v>
      </c>
      <c r="I138" s="20"/>
      <c r="J138" s="20" t="s">
        <v>514</v>
      </c>
      <c r="K138" s="20" t="s">
        <v>515</v>
      </c>
      <c r="L138" s="20" t="s">
        <v>515</v>
      </c>
      <c r="M138" s="8" t="s">
        <v>516</v>
      </c>
      <c r="N138" s="10" t="s">
        <v>37</v>
      </c>
      <c r="O138" s="9"/>
      <c r="P138" s="9"/>
      <c r="Q138" s="9"/>
      <c r="R138" s="9"/>
      <c r="S138" s="9"/>
      <c r="T138" s="9"/>
      <c r="U138" s="9"/>
      <c r="V138" s="9"/>
      <c r="W138" s="9"/>
      <c r="X138" s="9"/>
      <c r="Y138" s="11"/>
      <c r="Z138" s="11"/>
      <c r="AA138" s="11"/>
      <c r="AB138" s="11"/>
      <c r="AC138" s="11"/>
      <c r="AD138" s="11"/>
    </row>
    <row r="139" hidden="1">
      <c r="A139" s="27"/>
      <c r="B139" s="36">
        <v>46205.0</v>
      </c>
      <c r="C139" s="14" t="s">
        <v>28</v>
      </c>
      <c r="D139" s="29" t="str">
        <f t="shared" si="4"/>
        <v>QLTNXLHDVM_02</v>
      </c>
      <c r="E139" s="29"/>
      <c r="F139" s="29"/>
      <c r="G139" s="16" t="s">
        <v>517</v>
      </c>
      <c r="H139" s="16" t="s">
        <v>518</v>
      </c>
      <c r="I139" s="16"/>
      <c r="J139" s="16" t="s">
        <v>519</v>
      </c>
      <c r="K139" s="16" t="s">
        <v>520</v>
      </c>
      <c r="L139" s="16" t="s">
        <v>520</v>
      </c>
      <c r="M139" s="30" t="s">
        <v>521</v>
      </c>
      <c r="N139" s="14" t="s">
        <v>37</v>
      </c>
      <c r="O139" s="15"/>
      <c r="P139" s="15"/>
      <c r="Q139" s="15"/>
      <c r="R139" s="15"/>
      <c r="S139" s="15"/>
      <c r="T139" s="15"/>
      <c r="U139" s="15"/>
      <c r="V139" s="15"/>
      <c r="W139" s="15"/>
      <c r="X139" s="15"/>
      <c r="Y139" s="11"/>
      <c r="Z139" s="11"/>
      <c r="AA139" s="11"/>
      <c r="AB139" s="11"/>
      <c r="AC139" s="11"/>
      <c r="AD139" s="11"/>
    </row>
    <row r="140" hidden="1">
      <c r="A140" s="26"/>
      <c r="B140" s="37">
        <v>46205.0</v>
      </c>
      <c r="C140" s="10" t="s">
        <v>28</v>
      </c>
      <c r="D140" s="28" t="str">
        <f t="shared" si="4"/>
        <v>QLTNXLHDVM_03</v>
      </c>
      <c r="E140" s="28"/>
      <c r="F140" s="28"/>
      <c r="G140" s="20" t="s">
        <v>522</v>
      </c>
      <c r="H140" s="20" t="s">
        <v>523</v>
      </c>
      <c r="I140" s="20"/>
      <c r="J140" s="20" t="s">
        <v>524</v>
      </c>
      <c r="K140" s="20" t="s">
        <v>525</v>
      </c>
      <c r="L140" s="20" t="s">
        <v>525</v>
      </c>
      <c r="M140" s="8" t="s">
        <v>526</v>
      </c>
      <c r="N140" s="10" t="s">
        <v>37</v>
      </c>
      <c r="O140" s="9"/>
      <c r="P140" s="9"/>
      <c r="Q140" s="9"/>
      <c r="R140" s="9"/>
      <c r="S140" s="9"/>
      <c r="T140" s="9"/>
      <c r="U140" s="9"/>
      <c r="V140" s="9"/>
      <c r="W140" s="9"/>
      <c r="X140" s="9"/>
      <c r="Y140" s="11"/>
      <c r="Z140" s="11"/>
      <c r="AA140" s="11"/>
      <c r="AB140" s="11"/>
      <c r="AC140" s="11"/>
      <c r="AD140" s="11"/>
    </row>
    <row r="141" hidden="1">
      <c r="A141" s="27"/>
      <c r="B141" s="36">
        <v>46205.0</v>
      </c>
      <c r="C141" s="14" t="s">
        <v>28</v>
      </c>
      <c r="D141" s="29" t="str">
        <f t="shared" si="4"/>
        <v>QLTNXLHDVM_04</v>
      </c>
      <c r="E141" s="29"/>
      <c r="F141" s="29"/>
      <c r="G141" s="16" t="s">
        <v>527</v>
      </c>
      <c r="H141" s="16" t="s">
        <v>528</v>
      </c>
      <c r="I141" s="16"/>
      <c r="J141" s="16" t="s">
        <v>529</v>
      </c>
      <c r="K141" s="16" t="s">
        <v>530</v>
      </c>
      <c r="L141" s="16" t="s">
        <v>530</v>
      </c>
      <c r="M141" s="30" t="s">
        <v>531</v>
      </c>
      <c r="N141" s="14" t="s">
        <v>37</v>
      </c>
      <c r="O141" s="15"/>
      <c r="P141" s="15"/>
      <c r="Q141" s="15"/>
      <c r="R141" s="15"/>
      <c r="S141" s="15"/>
      <c r="T141" s="15"/>
      <c r="U141" s="15"/>
      <c r="V141" s="15"/>
      <c r="W141" s="15"/>
      <c r="X141" s="15"/>
      <c r="Y141" s="11"/>
      <c r="Z141" s="11"/>
      <c r="AA141" s="11"/>
      <c r="AB141" s="11"/>
      <c r="AC141" s="11"/>
      <c r="AD141" s="11"/>
    </row>
    <row r="142" hidden="1">
      <c r="A142" s="26"/>
      <c r="B142" s="37">
        <v>46205.0</v>
      </c>
      <c r="C142" s="10" t="s">
        <v>28</v>
      </c>
      <c r="D142" s="28" t="str">
        <f t="shared" si="4"/>
        <v>QLTNXLHDVM_05</v>
      </c>
      <c r="E142" s="28"/>
      <c r="F142" s="28"/>
      <c r="G142" s="20" t="s">
        <v>532</v>
      </c>
      <c r="H142" s="20" t="s">
        <v>533</v>
      </c>
      <c r="I142" s="20"/>
      <c r="J142" s="20" t="s">
        <v>534</v>
      </c>
      <c r="K142" s="20" t="s">
        <v>535</v>
      </c>
      <c r="L142" s="20" t="s">
        <v>535</v>
      </c>
      <c r="M142" s="8" t="s">
        <v>536</v>
      </c>
      <c r="N142" s="10" t="s">
        <v>37</v>
      </c>
      <c r="O142" s="9"/>
      <c r="P142" s="9"/>
      <c r="Q142" s="9"/>
      <c r="R142" s="9"/>
      <c r="S142" s="9"/>
      <c r="T142" s="9"/>
      <c r="U142" s="9"/>
      <c r="V142" s="9"/>
      <c r="W142" s="9"/>
      <c r="X142" s="9"/>
      <c r="Y142" s="11"/>
      <c r="Z142" s="11"/>
      <c r="AA142" s="11"/>
      <c r="AB142" s="11"/>
      <c r="AC142" s="11"/>
      <c r="AD142" s="11"/>
    </row>
    <row r="143">
      <c r="A143" s="27"/>
      <c r="B143" s="36">
        <v>46205.0</v>
      </c>
      <c r="C143" s="14" t="s">
        <v>28</v>
      </c>
      <c r="D143" s="29" t="str">
        <f t="shared" si="4"/>
        <v>QLTNXLHDVM_06</v>
      </c>
      <c r="E143" s="29"/>
      <c r="F143" s="29"/>
      <c r="G143" s="16" t="s">
        <v>537</v>
      </c>
      <c r="H143" s="16" t="s">
        <v>538</v>
      </c>
      <c r="I143" s="16"/>
      <c r="J143" s="16" t="s">
        <v>539</v>
      </c>
      <c r="K143" s="16" t="s">
        <v>540</v>
      </c>
      <c r="L143" s="15" t="s">
        <v>541</v>
      </c>
      <c r="M143" s="30" t="s">
        <v>542</v>
      </c>
      <c r="N143" s="14" t="s">
        <v>64</v>
      </c>
      <c r="O143" s="15"/>
      <c r="P143" s="24" t="s">
        <v>65</v>
      </c>
      <c r="Q143" s="25" t="s">
        <v>37</v>
      </c>
      <c r="R143" s="24" t="s">
        <v>543</v>
      </c>
      <c r="S143" s="15"/>
      <c r="T143" s="15"/>
      <c r="U143" s="15"/>
      <c r="V143" s="15"/>
      <c r="W143" s="15"/>
      <c r="X143" s="15"/>
      <c r="Y143" s="11"/>
      <c r="Z143" s="11"/>
      <c r="AA143" s="11"/>
      <c r="AB143" s="11"/>
      <c r="AC143" s="11"/>
      <c r="AD143" s="11"/>
    </row>
    <row r="144" hidden="1">
      <c r="A144" s="26"/>
      <c r="B144" s="37">
        <v>46205.0</v>
      </c>
      <c r="C144" s="10" t="s">
        <v>28</v>
      </c>
      <c r="D144" s="28" t="str">
        <f t="shared" si="4"/>
        <v>QLTNXLHDVM_07</v>
      </c>
      <c r="E144" s="28"/>
      <c r="F144" s="28"/>
      <c r="G144" s="20" t="s">
        <v>544</v>
      </c>
      <c r="H144" s="20" t="s">
        <v>545</v>
      </c>
      <c r="I144" s="20"/>
      <c r="J144" s="20" t="s">
        <v>546</v>
      </c>
      <c r="K144" s="20" t="s">
        <v>547</v>
      </c>
      <c r="L144" s="20" t="s">
        <v>547</v>
      </c>
      <c r="M144" s="8" t="s">
        <v>548</v>
      </c>
      <c r="N144" s="10" t="s">
        <v>37</v>
      </c>
      <c r="O144" s="9"/>
      <c r="P144" s="9"/>
      <c r="Q144" s="9"/>
      <c r="R144" s="9"/>
      <c r="S144" s="9"/>
      <c r="T144" s="9"/>
      <c r="U144" s="9"/>
      <c r="V144" s="9"/>
      <c r="W144" s="9"/>
      <c r="X144" s="9"/>
      <c r="Y144" s="11"/>
      <c r="Z144" s="11"/>
      <c r="AA144" s="11"/>
      <c r="AB144" s="11"/>
      <c r="AC144" s="11"/>
      <c r="AD144" s="11"/>
    </row>
    <row r="145" hidden="1">
      <c r="A145" s="27"/>
      <c r="B145" s="36">
        <v>46205.0</v>
      </c>
      <c r="C145" s="14" t="s">
        <v>28</v>
      </c>
      <c r="D145" s="29" t="str">
        <f t="shared" si="4"/>
        <v>QLTNXLHDVM_08</v>
      </c>
      <c r="E145" s="29"/>
      <c r="F145" s="29"/>
      <c r="G145" s="16" t="s">
        <v>549</v>
      </c>
      <c r="H145" s="16" t="s">
        <v>550</v>
      </c>
      <c r="I145" s="16"/>
      <c r="J145" s="16" t="s">
        <v>551</v>
      </c>
      <c r="K145" s="16" t="s">
        <v>552</v>
      </c>
      <c r="L145" s="16" t="s">
        <v>552</v>
      </c>
      <c r="M145" s="30" t="s">
        <v>553</v>
      </c>
      <c r="N145" s="14" t="s">
        <v>37</v>
      </c>
      <c r="O145" s="15"/>
      <c r="P145" s="15"/>
      <c r="Q145" s="15"/>
      <c r="R145" s="15"/>
      <c r="S145" s="15"/>
      <c r="T145" s="15"/>
      <c r="U145" s="15"/>
      <c r="V145" s="15"/>
      <c r="W145" s="15"/>
      <c r="X145" s="15"/>
      <c r="Y145" s="11"/>
      <c r="Z145" s="11"/>
      <c r="AA145" s="11"/>
      <c r="AB145" s="11"/>
      <c r="AC145" s="11"/>
      <c r="AD145" s="11"/>
    </row>
    <row r="146" hidden="1">
      <c r="A146" s="26"/>
      <c r="B146" s="37">
        <v>46205.0</v>
      </c>
      <c r="C146" s="10" t="s">
        <v>28</v>
      </c>
      <c r="D146" s="28" t="str">
        <f t="shared" si="4"/>
        <v>QLTNXLHDVM_09</v>
      </c>
      <c r="E146" s="28"/>
      <c r="F146" s="28"/>
      <c r="G146" s="20" t="s">
        <v>554</v>
      </c>
      <c r="H146" s="20" t="s">
        <v>555</v>
      </c>
      <c r="I146" s="20"/>
      <c r="J146" s="20" t="s">
        <v>556</v>
      </c>
      <c r="K146" s="20" t="s">
        <v>557</v>
      </c>
      <c r="L146" s="20" t="s">
        <v>557</v>
      </c>
      <c r="M146" s="8" t="s">
        <v>558</v>
      </c>
      <c r="N146" s="10" t="s">
        <v>37</v>
      </c>
      <c r="O146" s="9"/>
      <c r="P146" s="9"/>
      <c r="Q146" s="9"/>
      <c r="R146" s="9"/>
      <c r="S146" s="9"/>
      <c r="T146" s="9"/>
      <c r="U146" s="9"/>
      <c r="V146" s="9"/>
      <c r="W146" s="9"/>
      <c r="X146" s="9"/>
      <c r="Y146" s="11"/>
      <c r="Z146" s="11"/>
      <c r="AA146" s="11"/>
      <c r="AB146" s="11"/>
      <c r="AC146" s="11"/>
      <c r="AD146" s="11"/>
    </row>
    <row r="147" hidden="1">
      <c r="A147" s="27"/>
      <c r="B147" s="14">
        <v>14.0</v>
      </c>
      <c r="C147" s="14"/>
      <c r="D147" s="29"/>
      <c r="E147" s="29" t="s">
        <v>559</v>
      </c>
      <c r="F147" s="29" t="s">
        <v>30</v>
      </c>
      <c r="G147" s="29" t="s">
        <v>560</v>
      </c>
      <c r="H147" s="29"/>
      <c r="I147" s="14"/>
      <c r="J147" s="15"/>
      <c r="K147" s="15"/>
      <c r="L147" s="15"/>
      <c r="M147" s="15"/>
      <c r="N147" s="14"/>
      <c r="O147" s="15"/>
      <c r="P147" s="15"/>
      <c r="Q147" s="15"/>
      <c r="R147" s="15"/>
      <c r="S147" s="15"/>
      <c r="T147" s="15"/>
      <c r="U147" s="15"/>
      <c r="V147" s="15"/>
      <c r="W147" s="15"/>
      <c r="X147" s="15"/>
      <c r="Y147" s="11"/>
      <c r="Z147" s="11"/>
      <c r="AA147" s="11"/>
      <c r="AB147" s="11"/>
      <c r="AC147" s="11"/>
      <c r="AD147" s="11"/>
    </row>
    <row r="148" hidden="1">
      <c r="A148" s="26"/>
      <c r="B148" s="37">
        <v>46205.0</v>
      </c>
      <c r="C148" s="10" t="s">
        <v>28</v>
      </c>
      <c r="D148" s="28" t="str">
        <f t="shared" ref="D148:D159" si="5">IF(G148&lt;&gt;"","TKHDVMPLDTNXL_"&amp;TEXT(COUNTIF($G$148:G148,"&lt;&gt;"),"00"),"")</f>
        <v>TKHDVMPLDTNXL_01</v>
      </c>
      <c r="E148" s="28"/>
      <c r="F148" s="28"/>
      <c r="G148" s="20" t="s">
        <v>404</v>
      </c>
      <c r="H148" s="20" t="s">
        <v>405</v>
      </c>
      <c r="I148" s="20" t="s">
        <v>406</v>
      </c>
      <c r="J148" s="20" t="s">
        <v>407</v>
      </c>
      <c r="K148" s="20" t="s">
        <v>408</v>
      </c>
      <c r="L148" s="20" t="s">
        <v>408</v>
      </c>
      <c r="M148" s="8" t="s">
        <v>561</v>
      </c>
      <c r="N148" s="10" t="s">
        <v>37</v>
      </c>
      <c r="O148" s="9"/>
      <c r="P148" s="9"/>
      <c r="Q148" s="9"/>
      <c r="R148" s="9"/>
      <c r="S148" s="9"/>
      <c r="T148" s="9"/>
      <c r="U148" s="9"/>
      <c r="V148" s="9"/>
      <c r="W148" s="9"/>
      <c r="X148" s="9"/>
      <c r="Y148" s="11"/>
      <c r="Z148" s="11"/>
      <c r="AA148" s="11"/>
      <c r="AB148" s="11"/>
      <c r="AC148" s="11"/>
      <c r="AD148" s="11"/>
    </row>
    <row r="149" hidden="1">
      <c r="A149" s="27"/>
      <c r="B149" s="36">
        <v>46205.0</v>
      </c>
      <c r="C149" s="14" t="s">
        <v>28</v>
      </c>
      <c r="D149" s="29" t="str">
        <f t="shared" si="5"/>
        <v>TKHDVMPLDTNXL_02</v>
      </c>
      <c r="E149" s="29"/>
      <c r="F149" s="29"/>
      <c r="G149" s="16" t="s">
        <v>410</v>
      </c>
      <c r="H149" s="16" t="s">
        <v>411</v>
      </c>
      <c r="I149" s="16" t="s">
        <v>412</v>
      </c>
      <c r="J149" s="16" t="s">
        <v>413</v>
      </c>
      <c r="K149" s="16" t="s">
        <v>414</v>
      </c>
      <c r="L149" s="16" t="s">
        <v>414</v>
      </c>
      <c r="M149" s="30" t="s">
        <v>562</v>
      </c>
      <c r="N149" s="14" t="s">
        <v>37</v>
      </c>
      <c r="O149" s="15"/>
      <c r="P149" s="15"/>
      <c r="Q149" s="15"/>
      <c r="R149" s="15"/>
      <c r="S149" s="15"/>
      <c r="T149" s="15"/>
      <c r="U149" s="15"/>
      <c r="V149" s="15"/>
      <c r="W149" s="15"/>
      <c r="X149" s="15"/>
      <c r="Y149" s="11"/>
      <c r="Z149" s="11"/>
      <c r="AA149" s="11"/>
      <c r="AB149" s="11"/>
      <c r="AC149" s="11"/>
      <c r="AD149" s="11"/>
    </row>
    <row r="150" hidden="1">
      <c r="A150" s="26"/>
      <c r="B150" s="37">
        <v>46205.0</v>
      </c>
      <c r="C150" s="10" t="s">
        <v>28</v>
      </c>
      <c r="D150" s="28" t="str">
        <f t="shared" si="5"/>
        <v>TKHDVMPLDTNXL_03</v>
      </c>
      <c r="E150" s="28"/>
      <c r="F150" s="28"/>
      <c r="G150" s="20" t="s">
        <v>416</v>
      </c>
      <c r="H150" s="20" t="s">
        <v>417</v>
      </c>
      <c r="I150" s="20" t="s">
        <v>418</v>
      </c>
      <c r="J150" s="20" t="s">
        <v>419</v>
      </c>
      <c r="K150" s="20" t="s">
        <v>420</v>
      </c>
      <c r="L150" s="20" t="s">
        <v>420</v>
      </c>
      <c r="M150" s="8" t="s">
        <v>563</v>
      </c>
      <c r="N150" s="10" t="s">
        <v>37</v>
      </c>
      <c r="O150" s="9"/>
      <c r="P150" s="9"/>
      <c r="Q150" s="9"/>
      <c r="R150" s="9"/>
      <c r="S150" s="9"/>
      <c r="T150" s="9"/>
      <c r="U150" s="9"/>
      <c r="V150" s="9"/>
      <c r="W150" s="9"/>
      <c r="X150" s="9"/>
      <c r="Y150" s="11"/>
      <c r="Z150" s="11"/>
      <c r="AA150" s="11"/>
      <c r="AB150" s="11"/>
      <c r="AC150" s="11"/>
      <c r="AD150" s="11"/>
    </row>
    <row r="151" hidden="1">
      <c r="A151" s="27"/>
      <c r="B151" s="36">
        <v>46205.0</v>
      </c>
      <c r="C151" s="14" t="s">
        <v>28</v>
      </c>
      <c r="D151" s="29" t="str">
        <f t="shared" si="5"/>
        <v>TKHDVMPLDTNXL_04</v>
      </c>
      <c r="E151" s="29"/>
      <c r="F151" s="29"/>
      <c r="G151" s="16" t="s">
        <v>422</v>
      </c>
      <c r="H151" s="16" t="s">
        <v>423</v>
      </c>
      <c r="I151" s="16" t="s">
        <v>424</v>
      </c>
      <c r="J151" s="16" t="s">
        <v>425</v>
      </c>
      <c r="K151" s="16" t="s">
        <v>426</v>
      </c>
      <c r="L151" s="16" t="s">
        <v>426</v>
      </c>
      <c r="M151" s="30" t="s">
        <v>564</v>
      </c>
      <c r="N151" s="25" t="s">
        <v>37</v>
      </c>
      <c r="O151" s="15"/>
      <c r="P151" s="24" t="s">
        <v>65</v>
      </c>
      <c r="Q151" s="25" t="s">
        <v>37</v>
      </c>
      <c r="R151" s="15"/>
      <c r="S151" s="15"/>
      <c r="T151" s="15"/>
      <c r="U151" s="15"/>
      <c r="V151" s="15"/>
      <c r="W151" s="15"/>
      <c r="X151" s="15"/>
      <c r="Y151" s="11"/>
      <c r="Z151" s="11"/>
      <c r="AA151" s="11"/>
      <c r="AB151" s="11"/>
      <c r="AC151" s="11"/>
      <c r="AD151" s="11"/>
    </row>
    <row r="152" hidden="1">
      <c r="A152" s="26"/>
      <c r="B152" s="37">
        <v>46205.0</v>
      </c>
      <c r="C152" s="10" t="s">
        <v>28</v>
      </c>
      <c r="D152" s="28" t="str">
        <f t="shared" si="5"/>
        <v>TKHDVMPLDTNXL_05</v>
      </c>
      <c r="E152" s="28"/>
      <c r="F152" s="28"/>
      <c r="G152" s="20" t="s">
        <v>428</v>
      </c>
      <c r="H152" s="20" t="s">
        <v>429</v>
      </c>
      <c r="I152" s="20" t="s">
        <v>430</v>
      </c>
      <c r="J152" s="20" t="s">
        <v>431</v>
      </c>
      <c r="K152" s="20" t="s">
        <v>432</v>
      </c>
      <c r="L152" s="20" t="s">
        <v>432</v>
      </c>
      <c r="M152" s="8" t="s">
        <v>565</v>
      </c>
      <c r="N152" s="10" t="s">
        <v>37</v>
      </c>
      <c r="O152" s="9"/>
      <c r="P152" s="9"/>
      <c r="Q152" s="9"/>
      <c r="R152" s="9"/>
      <c r="S152" s="9"/>
      <c r="T152" s="9"/>
      <c r="U152" s="9"/>
      <c r="V152" s="9"/>
      <c r="W152" s="9"/>
      <c r="X152" s="9"/>
      <c r="Y152" s="11"/>
      <c r="Z152" s="11"/>
      <c r="AA152" s="11"/>
      <c r="AB152" s="11"/>
      <c r="AC152" s="11"/>
      <c r="AD152" s="11"/>
    </row>
    <row r="153">
      <c r="A153" s="27"/>
      <c r="B153" s="36">
        <v>46205.0</v>
      </c>
      <c r="C153" s="14" t="s">
        <v>28</v>
      </c>
      <c r="D153" s="29" t="str">
        <f t="shared" si="5"/>
        <v>TKHDVMPLDTNXL_06</v>
      </c>
      <c r="E153" s="29"/>
      <c r="F153" s="29"/>
      <c r="G153" s="16" t="s">
        <v>434</v>
      </c>
      <c r="H153" s="16" t="s">
        <v>435</v>
      </c>
      <c r="I153" s="16" t="s">
        <v>436</v>
      </c>
      <c r="J153" s="16" t="s">
        <v>437</v>
      </c>
      <c r="K153" s="16" t="s">
        <v>438</v>
      </c>
      <c r="L153" s="15" t="s">
        <v>566</v>
      </c>
      <c r="M153" s="30" t="s">
        <v>567</v>
      </c>
      <c r="N153" s="14" t="s">
        <v>64</v>
      </c>
      <c r="O153" s="15"/>
      <c r="P153" s="24" t="s">
        <v>65</v>
      </c>
      <c r="Q153" s="25" t="s">
        <v>37</v>
      </c>
      <c r="R153" s="15"/>
      <c r="S153" s="15"/>
      <c r="T153" s="15"/>
      <c r="U153" s="15"/>
      <c r="V153" s="15"/>
      <c r="W153" s="15"/>
      <c r="X153" s="15"/>
      <c r="Y153" s="11"/>
      <c r="Z153" s="11"/>
      <c r="AA153" s="11"/>
      <c r="AB153" s="11"/>
      <c r="AC153" s="11"/>
      <c r="AD153" s="11"/>
    </row>
    <row r="154" hidden="1">
      <c r="A154" s="26"/>
      <c r="B154" s="37">
        <v>46205.0</v>
      </c>
      <c r="C154" s="10" t="s">
        <v>28</v>
      </c>
      <c r="D154" s="28" t="str">
        <f t="shared" si="5"/>
        <v>TKHDVMPLDTNXL_07</v>
      </c>
      <c r="E154" s="28"/>
      <c r="F154" s="28"/>
      <c r="G154" s="20" t="s">
        <v>446</v>
      </c>
      <c r="H154" s="20" t="s">
        <v>447</v>
      </c>
      <c r="I154" s="20" t="s">
        <v>448</v>
      </c>
      <c r="J154" s="20" t="s">
        <v>449</v>
      </c>
      <c r="K154" s="20" t="s">
        <v>450</v>
      </c>
      <c r="L154" s="20" t="s">
        <v>450</v>
      </c>
      <c r="M154" s="8" t="s">
        <v>568</v>
      </c>
      <c r="N154" s="10" t="s">
        <v>37</v>
      </c>
      <c r="O154" s="9"/>
      <c r="P154" s="9"/>
      <c r="Q154" s="9"/>
      <c r="R154" s="9"/>
      <c r="S154" s="9"/>
      <c r="T154" s="9"/>
      <c r="U154" s="9"/>
      <c r="V154" s="9"/>
      <c r="W154" s="9"/>
      <c r="X154" s="9"/>
      <c r="Y154" s="11"/>
      <c r="Z154" s="11"/>
      <c r="AA154" s="11"/>
      <c r="AB154" s="11"/>
      <c r="AC154" s="11"/>
      <c r="AD154" s="11"/>
    </row>
    <row r="155" hidden="1">
      <c r="A155" s="27"/>
      <c r="B155" s="36">
        <v>46205.0</v>
      </c>
      <c r="C155" s="14" t="s">
        <v>28</v>
      </c>
      <c r="D155" s="29" t="str">
        <f t="shared" si="5"/>
        <v>TKHDVMPLDTNXL_08</v>
      </c>
      <c r="E155" s="29"/>
      <c r="F155" s="29"/>
      <c r="G155" s="16" t="s">
        <v>452</v>
      </c>
      <c r="H155" s="16" t="s">
        <v>453</v>
      </c>
      <c r="I155" s="16" t="s">
        <v>454</v>
      </c>
      <c r="J155" s="16" t="s">
        <v>455</v>
      </c>
      <c r="K155" s="16" t="s">
        <v>456</v>
      </c>
      <c r="L155" s="16" t="s">
        <v>456</v>
      </c>
      <c r="M155" s="30" t="s">
        <v>569</v>
      </c>
      <c r="N155" s="14" t="s">
        <v>37</v>
      </c>
      <c r="O155" s="15"/>
      <c r="P155" s="15"/>
      <c r="Q155" s="15"/>
      <c r="R155" s="15"/>
      <c r="S155" s="15"/>
      <c r="T155" s="15"/>
      <c r="U155" s="15"/>
      <c r="V155" s="15"/>
      <c r="W155" s="15"/>
      <c r="X155" s="15"/>
      <c r="Y155" s="11"/>
      <c r="Z155" s="11"/>
      <c r="AA155" s="11"/>
      <c r="AB155" s="11"/>
      <c r="AC155" s="11"/>
      <c r="AD155" s="11"/>
    </row>
    <row r="156" hidden="1">
      <c r="A156" s="26"/>
      <c r="B156" s="37">
        <v>46205.0</v>
      </c>
      <c r="C156" s="10" t="s">
        <v>28</v>
      </c>
      <c r="D156" s="28" t="str">
        <f t="shared" si="5"/>
        <v>TKHDVMPLDTNXL_09</v>
      </c>
      <c r="E156" s="28"/>
      <c r="F156" s="28"/>
      <c r="G156" s="20" t="s">
        <v>458</v>
      </c>
      <c r="H156" s="20" t="s">
        <v>459</v>
      </c>
      <c r="I156" s="20" t="s">
        <v>460</v>
      </c>
      <c r="J156" s="20" t="s">
        <v>461</v>
      </c>
      <c r="K156" s="20" t="s">
        <v>462</v>
      </c>
      <c r="L156" s="20" t="s">
        <v>462</v>
      </c>
      <c r="M156" s="8" t="s">
        <v>570</v>
      </c>
      <c r="N156" s="10" t="s">
        <v>37</v>
      </c>
      <c r="O156" s="9"/>
      <c r="P156" s="9"/>
      <c r="Q156" s="9"/>
      <c r="R156" s="9"/>
      <c r="S156" s="9"/>
      <c r="T156" s="9"/>
      <c r="U156" s="9"/>
      <c r="V156" s="9"/>
      <c r="W156" s="9"/>
      <c r="X156" s="9"/>
      <c r="Y156" s="11"/>
      <c r="Z156" s="11"/>
      <c r="AA156" s="11"/>
      <c r="AB156" s="11"/>
      <c r="AC156" s="11"/>
      <c r="AD156" s="11"/>
    </row>
    <row r="157" hidden="1">
      <c r="A157" s="27"/>
      <c r="B157" s="36">
        <v>46205.0</v>
      </c>
      <c r="C157" s="14" t="s">
        <v>28</v>
      </c>
      <c r="D157" s="29" t="str">
        <f t="shared" si="5"/>
        <v>TKHDVMPLDTNXL_10</v>
      </c>
      <c r="E157" s="29"/>
      <c r="F157" s="29"/>
      <c r="G157" s="16" t="s">
        <v>441</v>
      </c>
      <c r="H157" s="16" t="s">
        <v>423</v>
      </c>
      <c r="I157" s="16" t="s">
        <v>442</v>
      </c>
      <c r="J157" s="16" t="s">
        <v>443</v>
      </c>
      <c r="K157" s="16" t="s">
        <v>444</v>
      </c>
      <c r="L157" s="16" t="s">
        <v>444</v>
      </c>
      <c r="M157" s="30" t="s">
        <v>571</v>
      </c>
      <c r="N157" s="14" t="s">
        <v>37</v>
      </c>
      <c r="O157" s="15"/>
      <c r="P157" s="15"/>
      <c r="Q157" s="15"/>
      <c r="R157" s="15"/>
      <c r="S157" s="15"/>
      <c r="T157" s="15"/>
      <c r="U157" s="15"/>
      <c r="V157" s="15"/>
      <c r="W157" s="15"/>
      <c r="X157" s="15"/>
      <c r="Y157" s="11"/>
      <c r="Z157" s="11"/>
      <c r="AA157" s="11"/>
      <c r="AB157" s="11"/>
      <c r="AC157" s="11"/>
      <c r="AD157" s="11"/>
    </row>
    <row r="158" hidden="1">
      <c r="A158" s="26"/>
      <c r="B158" s="37">
        <v>46205.0</v>
      </c>
      <c r="C158" s="10" t="s">
        <v>28</v>
      </c>
      <c r="D158" s="28" t="str">
        <f t="shared" si="5"/>
        <v>TKHDVMPLDTNXL_11</v>
      </c>
      <c r="E158" s="28"/>
      <c r="F158" s="28"/>
      <c r="G158" s="20" t="s">
        <v>464</v>
      </c>
      <c r="H158" s="20" t="s">
        <v>465</v>
      </c>
      <c r="I158" s="20" t="s">
        <v>466</v>
      </c>
      <c r="J158" s="20" t="s">
        <v>467</v>
      </c>
      <c r="K158" s="20" t="s">
        <v>468</v>
      </c>
      <c r="L158" s="20" t="s">
        <v>468</v>
      </c>
      <c r="M158" s="8" t="s">
        <v>572</v>
      </c>
      <c r="N158" s="10" t="s">
        <v>37</v>
      </c>
      <c r="O158" s="9"/>
      <c r="P158" s="9"/>
      <c r="Q158" s="9"/>
      <c r="R158" s="9"/>
      <c r="S158" s="9"/>
      <c r="T158" s="9"/>
      <c r="U158" s="9"/>
      <c r="V158" s="9"/>
      <c r="W158" s="9"/>
      <c r="X158" s="9"/>
      <c r="Y158" s="11"/>
      <c r="Z158" s="11"/>
      <c r="AA158" s="11"/>
      <c r="AB158" s="11"/>
      <c r="AC158" s="11"/>
      <c r="AD158" s="11"/>
    </row>
    <row r="159" hidden="1">
      <c r="A159" s="27"/>
      <c r="B159" s="36">
        <v>46205.0</v>
      </c>
      <c r="C159" s="14" t="s">
        <v>28</v>
      </c>
      <c r="D159" s="29" t="str">
        <f t="shared" si="5"/>
        <v>TKHDVMPLDTNXL_12</v>
      </c>
      <c r="E159" s="29"/>
      <c r="F159" s="29"/>
      <c r="G159" s="16" t="s">
        <v>470</v>
      </c>
      <c r="H159" s="16" t="s">
        <v>471</v>
      </c>
      <c r="I159" s="16" t="s">
        <v>472</v>
      </c>
      <c r="J159" s="16" t="s">
        <v>473</v>
      </c>
      <c r="K159" s="16" t="s">
        <v>474</v>
      </c>
      <c r="L159" s="16" t="s">
        <v>474</v>
      </c>
      <c r="M159" s="30" t="s">
        <v>573</v>
      </c>
      <c r="N159" s="14" t="s">
        <v>37</v>
      </c>
      <c r="O159" s="15"/>
      <c r="P159" s="15"/>
      <c r="Q159" s="15"/>
      <c r="R159" s="15"/>
      <c r="S159" s="15"/>
      <c r="T159" s="15"/>
      <c r="U159" s="15"/>
      <c r="V159" s="15"/>
      <c r="W159" s="15"/>
      <c r="X159" s="15"/>
      <c r="Y159" s="11"/>
      <c r="Z159" s="11"/>
      <c r="AA159" s="11"/>
      <c r="AB159" s="11"/>
      <c r="AC159" s="11"/>
      <c r="AD159" s="11"/>
    </row>
    <row r="160" hidden="1">
      <c r="A160" s="26"/>
      <c r="B160" s="10">
        <v>15.0</v>
      </c>
      <c r="C160" s="10" t="s">
        <v>28</v>
      </c>
      <c r="D160" s="28"/>
      <c r="E160" s="28" t="s">
        <v>574</v>
      </c>
      <c r="F160" s="28" t="s">
        <v>287</v>
      </c>
      <c r="G160" s="28" t="s">
        <v>575</v>
      </c>
      <c r="H160" s="40"/>
      <c r="I160" s="10"/>
      <c r="J160" s="9"/>
      <c r="K160" s="9"/>
      <c r="L160" s="9"/>
      <c r="M160" s="9"/>
      <c r="N160" s="10"/>
      <c r="O160" s="9"/>
      <c r="P160" s="9"/>
      <c r="Q160" s="9"/>
      <c r="R160" s="9"/>
      <c r="S160" s="9"/>
      <c r="T160" s="9"/>
      <c r="U160" s="9"/>
      <c r="V160" s="9"/>
      <c r="W160" s="9"/>
      <c r="X160" s="9"/>
      <c r="Y160" s="11"/>
      <c r="Z160" s="11"/>
      <c r="AA160" s="11"/>
      <c r="AB160" s="11"/>
      <c r="AC160" s="11"/>
      <c r="AD160" s="11"/>
    </row>
    <row r="161">
      <c r="A161" s="27"/>
      <c r="B161" s="36">
        <v>46205.0</v>
      </c>
      <c r="C161" s="14" t="s">
        <v>28</v>
      </c>
      <c r="D161" s="29" t="str">
        <f t="shared" ref="D161:D168" si="6">IF(G161&lt;&gt;"","PCXLCHVM_"&amp;TEXT(COUNTIF($G$161:G161,"&lt;&gt;"),"00"),"")</f>
        <v>PCXLCHVM_01</v>
      </c>
      <c r="E161" s="29"/>
      <c r="F161" s="29"/>
      <c r="G161" s="16" t="s">
        <v>576</v>
      </c>
      <c r="H161" s="16" t="s">
        <v>577</v>
      </c>
      <c r="I161" s="16"/>
      <c r="J161" s="16" t="s">
        <v>578</v>
      </c>
      <c r="K161" s="16" t="s">
        <v>579</v>
      </c>
      <c r="L161" s="16" t="s">
        <v>580</v>
      </c>
      <c r="M161" s="41" t="s">
        <v>581</v>
      </c>
      <c r="N161" s="14" t="s">
        <v>64</v>
      </c>
      <c r="O161" s="15"/>
      <c r="P161" s="24" t="s">
        <v>65</v>
      </c>
      <c r="Q161" s="25" t="s">
        <v>37</v>
      </c>
      <c r="R161" s="15"/>
      <c r="S161" s="15"/>
      <c r="T161" s="15"/>
      <c r="U161" s="15"/>
      <c r="V161" s="15"/>
      <c r="W161" s="15"/>
      <c r="X161" s="15"/>
      <c r="Y161" s="11"/>
      <c r="Z161" s="11"/>
      <c r="AA161" s="11"/>
      <c r="AB161" s="11"/>
      <c r="AC161" s="11"/>
      <c r="AD161" s="11"/>
    </row>
    <row r="162" hidden="1">
      <c r="A162" s="26"/>
      <c r="B162" s="37">
        <v>46205.0</v>
      </c>
      <c r="C162" s="10" t="s">
        <v>28</v>
      </c>
      <c r="D162" s="28" t="str">
        <f t="shared" si="6"/>
        <v>PCXLCHVM_02</v>
      </c>
      <c r="E162" s="28"/>
      <c r="F162" s="28"/>
      <c r="G162" s="20" t="s">
        <v>582</v>
      </c>
      <c r="H162" s="20" t="s">
        <v>583</v>
      </c>
      <c r="I162" s="20"/>
      <c r="J162" s="20" t="s">
        <v>584</v>
      </c>
      <c r="K162" s="20" t="s">
        <v>585</v>
      </c>
      <c r="L162" s="20" t="s">
        <v>585</v>
      </c>
      <c r="M162" s="8" t="s">
        <v>586</v>
      </c>
      <c r="N162" s="10" t="s">
        <v>37</v>
      </c>
      <c r="O162" s="9"/>
      <c r="P162" s="9"/>
      <c r="Q162" s="9"/>
      <c r="R162" s="9"/>
      <c r="S162" s="9"/>
      <c r="T162" s="9"/>
      <c r="U162" s="9"/>
      <c r="V162" s="9"/>
      <c r="W162" s="9"/>
      <c r="X162" s="9"/>
      <c r="Y162" s="11"/>
      <c r="Z162" s="11"/>
      <c r="AA162" s="11"/>
      <c r="AB162" s="11"/>
      <c r="AC162" s="11"/>
      <c r="AD162" s="11"/>
    </row>
    <row r="163" hidden="1">
      <c r="A163" s="27"/>
      <c r="B163" s="36">
        <v>46205.0</v>
      </c>
      <c r="C163" s="14" t="s">
        <v>28</v>
      </c>
      <c r="D163" s="29" t="str">
        <f t="shared" si="6"/>
        <v>PCXLCHVM_03</v>
      </c>
      <c r="E163" s="29"/>
      <c r="F163" s="29"/>
      <c r="G163" s="16" t="s">
        <v>587</v>
      </c>
      <c r="H163" s="16" t="s">
        <v>588</v>
      </c>
      <c r="I163" s="16"/>
      <c r="J163" s="16" t="s">
        <v>589</v>
      </c>
      <c r="K163" s="16" t="s">
        <v>590</v>
      </c>
      <c r="L163" s="16" t="s">
        <v>590</v>
      </c>
      <c r="M163" s="30" t="s">
        <v>591</v>
      </c>
      <c r="N163" s="14" t="s">
        <v>37</v>
      </c>
      <c r="O163" s="15"/>
      <c r="P163" s="15"/>
      <c r="Q163" s="15"/>
      <c r="R163" s="15"/>
      <c r="S163" s="15"/>
      <c r="T163" s="15"/>
      <c r="U163" s="15"/>
      <c r="V163" s="15"/>
      <c r="W163" s="15"/>
      <c r="X163" s="15"/>
      <c r="Y163" s="11"/>
      <c r="Z163" s="11"/>
      <c r="AA163" s="11"/>
      <c r="AB163" s="11"/>
      <c r="AC163" s="11"/>
      <c r="AD163" s="11"/>
    </row>
    <row r="164" hidden="1">
      <c r="A164" s="26"/>
      <c r="B164" s="37">
        <v>46205.0</v>
      </c>
      <c r="C164" s="10" t="s">
        <v>28</v>
      </c>
      <c r="D164" s="28" t="str">
        <f t="shared" si="6"/>
        <v>PCXLCHVM_04</v>
      </c>
      <c r="E164" s="28"/>
      <c r="F164" s="28"/>
      <c r="G164" s="20" t="s">
        <v>592</v>
      </c>
      <c r="H164" s="20" t="s">
        <v>593</v>
      </c>
      <c r="I164" s="20"/>
      <c r="J164" s="20" t="s">
        <v>594</v>
      </c>
      <c r="K164" s="20" t="s">
        <v>595</v>
      </c>
      <c r="L164" s="20" t="s">
        <v>595</v>
      </c>
      <c r="M164" s="8" t="s">
        <v>596</v>
      </c>
      <c r="N164" s="10" t="s">
        <v>37</v>
      </c>
      <c r="O164" s="9"/>
      <c r="P164" s="9"/>
      <c r="Q164" s="9"/>
      <c r="R164" s="9"/>
      <c r="S164" s="9"/>
      <c r="T164" s="9"/>
      <c r="U164" s="9"/>
      <c r="V164" s="9"/>
      <c r="W164" s="9"/>
      <c r="X164" s="9"/>
      <c r="Y164" s="11"/>
      <c r="Z164" s="11"/>
      <c r="AA164" s="11"/>
      <c r="AB164" s="11"/>
      <c r="AC164" s="11"/>
      <c r="AD164" s="11"/>
    </row>
    <row r="165" hidden="1">
      <c r="A165" s="27"/>
      <c r="B165" s="36">
        <v>46205.0</v>
      </c>
      <c r="C165" s="14" t="s">
        <v>28</v>
      </c>
      <c r="D165" s="29" t="str">
        <f t="shared" si="6"/>
        <v>PCXLCHVM_05</v>
      </c>
      <c r="E165" s="29"/>
      <c r="F165" s="29"/>
      <c r="G165" s="16" t="s">
        <v>597</v>
      </c>
      <c r="H165" s="16" t="s">
        <v>598</v>
      </c>
      <c r="I165" s="16"/>
      <c r="J165" s="16" t="s">
        <v>599</v>
      </c>
      <c r="K165" s="16" t="s">
        <v>600</v>
      </c>
      <c r="L165" s="16" t="s">
        <v>600</v>
      </c>
      <c r="M165" s="30" t="s">
        <v>601</v>
      </c>
      <c r="N165" s="14" t="s">
        <v>37</v>
      </c>
      <c r="O165" s="15"/>
      <c r="P165" s="15"/>
      <c r="Q165" s="15"/>
      <c r="R165" s="15"/>
      <c r="S165" s="15"/>
      <c r="T165" s="15"/>
      <c r="U165" s="15"/>
      <c r="V165" s="15"/>
      <c r="W165" s="15"/>
      <c r="X165" s="15"/>
      <c r="Y165" s="11"/>
      <c r="Z165" s="11"/>
      <c r="AA165" s="11"/>
      <c r="AB165" s="11"/>
      <c r="AC165" s="11"/>
      <c r="AD165" s="11"/>
    </row>
    <row r="166" hidden="1">
      <c r="A166" s="26"/>
      <c r="B166" s="37">
        <v>46205.0</v>
      </c>
      <c r="C166" s="10" t="s">
        <v>28</v>
      </c>
      <c r="D166" s="28" t="str">
        <f t="shared" si="6"/>
        <v>PCXLCHVM_06</v>
      </c>
      <c r="E166" s="28"/>
      <c r="F166" s="28"/>
      <c r="G166" s="20" t="s">
        <v>602</v>
      </c>
      <c r="H166" s="20" t="s">
        <v>603</v>
      </c>
      <c r="I166" s="20"/>
      <c r="J166" s="20" t="s">
        <v>604</v>
      </c>
      <c r="K166" s="20" t="s">
        <v>605</v>
      </c>
      <c r="L166" s="20" t="s">
        <v>605</v>
      </c>
      <c r="M166" s="8" t="s">
        <v>606</v>
      </c>
      <c r="N166" s="10" t="s">
        <v>37</v>
      </c>
      <c r="O166" s="9"/>
      <c r="P166" s="9"/>
      <c r="Q166" s="9"/>
      <c r="R166" s="9"/>
      <c r="S166" s="9"/>
      <c r="T166" s="9"/>
      <c r="U166" s="9"/>
      <c r="V166" s="9"/>
      <c r="W166" s="9"/>
      <c r="X166" s="9"/>
      <c r="Y166" s="11"/>
      <c r="Z166" s="11"/>
      <c r="AA166" s="11"/>
      <c r="AB166" s="11"/>
      <c r="AC166" s="11"/>
      <c r="AD166" s="11"/>
    </row>
    <row r="167" hidden="1">
      <c r="A167" s="27"/>
      <c r="B167" s="36">
        <v>46205.0</v>
      </c>
      <c r="C167" s="14" t="s">
        <v>28</v>
      </c>
      <c r="D167" s="29" t="str">
        <f t="shared" si="6"/>
        <v>PCXLCHVM_07</v>
      </c>
      <c r="E167" s="29"/>
      <c r="F167" s="29"/>
      <c r="G167" s="16" t="s">
        <v>607</v>
      </c>
      <c r="H167" s="16" t="s">
        <v>608</v>
      </c>
      <c r="I167" s="16"/>
      <c r="J167" s="16" t="s">
        <v>609</v>
      </c>
      <c r="K167" s="16" t="s">
        <v>610</v>
      </c>
      <c r="L167" s="16" t="s">
        <v>610</v>
      </c>
      <c r="M167" s="30" t="s">
        <v>611</v>
      </c>
      <c r="N167" s="14" t="s">
        <v>37</v>
      </c>
      <c r="O167" s="15"/>
      <c r="P167" s="15"/>
      <c r="Q167" s="15"/>
      <c r="R167" s="15"/>
      <c r="S167" s="15"/>
      <c r="T167" s="15"/>
      <c r="U167" s="15"/>
      <c r="V167" s="15"/>
      <c r="W167" s="15"/>
      <c r="X167" s="15"/>
      <c r="Y167" s="11"/>
      <c r="Z167" s="11"/>
      <c r="AA167" s="11"/>
      <c r="AB167" s="11"/>
      <c r="AC167" s="11"/>
      <c r="AD167" s="11"/>
    </row>
    <row r="168" hidden="1">
      <c r="A168" s="26"/>
      <c r="B168" s="37">
        <v>46205.0</v>
      </c>
      <c r="C168" s="10" t="s">
        <v>28</v>
      </c>
      <c r="D168" s="28" t="str">
        <f t="shared" si="6"/>
        <v>PCXLCHVM_08</v>
      </c>
      <c r="E168" s="28"/>
      <c r="F168" s="28"/>
      <c r="G168" s="20" t="s">
        <v>612</v>
      </c>
      <c r="H168" s="20" t="s">
        <v>613</v>
      </c>
      <c r="I168" s="20"/>
      <c r="J168" s="20" t="s">
        <v>614</v>
      </c>
      <c r="K168" s="20" t="s">
        <v>615</v>
      </c>
      <c r="L168" s="20" t="s">
        <v>615</v>
      </c>
      <c r="M168" s="8" t="s">
        <v>616</v>
      </c>
      <c r="N168" s="10" t="s">
        <v>37</v>
      </c>
      <c r="O168" s="9"/>
      <c r="P168" s="9"/>
      <c r="Q168" s="9"/>
      <c r="R168" s="9"/>
      <c r="S168" s="9"/>
      <c r="T168" s="9"/>
      <c r="U168" s="9"/>
      <c r="V168" s="9"/>
      <c r="W168" s="9"/>
      <c r="X168" s="9"/>
      <c r="Y168" s="11"/>
      <c r="Z168" s="11"/>
      <c r="AA168" s="11"/>
      <c r="AB168" s="11"/>
      <c r="AC168" s="11"/>
      <c r="AD168" s="11"/>
    </row>
    <row r="169" hidden="1">
      <c r="A169" s="27"/>
      <c r="B169" s="14">
        <v>16.0</v>
      </c>
      <c r="C169" s="14"/>
      <c r="D169" s="29"/>
      <c r="E169" s="29" t="s">
        <v>617</v>
      </c>
      <c r="F169" s="29" t="s">
        <v>287</v>
      </c>
      <c r="G169" s="29" t="s">
        <v>618</v>
      </c>
      <c r="H169" s="42"/>
      <c r="I169" s="14"/>
      <c r="J169" s="15"/>
      <c r="K169" s="15"/>
      <c r="L169" s="15"/>
      <c r="M169" s="15"/>
      <c r="N169" s="14"/>
      <c r="O169" s="15"/>
      <c r="P169" s="15"/>
      <c r="Q169" s="15"/>
      <c r="R169" s="15"/>
      <c r="S169" s="15"/>
      <c r="T169" s="15"/>
      <c r="U169" s="15"/>
      <c r="V169" s="15"/>
      <c r="W169" s="15"/>
      <c r="X169" s="15"/>
      <c r="Y169" s="11"/>
      <c r="Z169" s="11"/>
      <c r="AA169" s="11"/>
      <c r="AB169" s="11"/>
      <c r="AC169" s="11"/>
      <c r="AD169" s="11"/>
    </row>
    <row r="170">
      <c r="A170" s="26"/>
      <c r="B170" s="37">
        <v>46205.0</v>
      </c>
      <c r="C170" s="10" t="s">
        <v>28</v>
      </c>
      <c r="D170" s="28" t="str">
        <f t="shared" ref="D170:D181" si="7">IF(G170&lt;&gt;"","PHCHVM_"&amp;TEXT(COUNTIF($G$170:G170,"&lt;&gt;"),"00"),"")</f>
        <v>PHCHVM_01</v>
      </c>
      <c r="E170" s="28"/>
      <c r="F170" s="28"/>
      <c r="G170" s="20" t="s">
        <v>619</v>
      </c>
      <c r="H170" s="20" t="s">
        <v>620</v>
      </c>
      <c r="I170" s="20"/>
      <c r="J170" s="20" t="s">
        <v>621</v>
      </c>
      <c r="K170" s="20" t="s">
        <v>622</v>
      </c>
      <c r="L170" s="9" t="s">
        <v>623</v>
      </c>
      <c r="M170" s="8" t="s">
        <v>624</v>
      </c>
      <c r="N170" s="10" t="s">
        <v>64</v>
      </c>
      <c r="O170" s="9"/>
      <c r="P170" s="22" t="s">
        <v>65</v>
      </c>
      <c r="Q170" s="23" t="s">
        <v>37</v>
      </c>
      <c r="R170" s="22" t="s">
        <v>625</v>
      </c>
      <c r="S170" s="9"/>
      <c r="T170" s="9"/>
      <c r="U170" s="9"/>
      <c r="V170" s="9"/>
      <c r="W170" s="9"/>
      <c r="X170" s="9"/>
      <c r="Y170" s="11"/>
      <c r="Z170" s="11"/>
      <c r="AA170" s="11"/>
      <c r="AB170" s="11"/>
      <c r="AC170" s="11"/>
      <c r="AD170" s="11"/>
    </row>
    <row r="171" hidden="1">
      <c r="A171" s="27"/>
      <c r="B171" s="36">
        <v>46205.0</v>
      </c>
      <c r="C171" s="14" t="s">
        <v>28</v>
      </c>
      <c r="D171" s="29" t="str">
        <f t="shared" si="7"/>
        <v>PHCHVM_02</v>
      </c>
      <c r="E171" s="29"/>
      <c r="F171" s="29"/>
      <c r="G171" s="16" t="s">
        <v>626</v>
      </c>
      <c r="H171" s="16" t="s">
        <v>620</v>
      </c>
      <c r="I171" s="16"/>
      <c r="J171" s="16" t="s">
        <v>627</v>
      </c>
      <c r="K171" s="16" t="s">
        <v>628</v>
      </c>
      <c r="L171" s="16" t="s">
        <v>628</v>
      </c>
      <c r="M171" s="30" t="s">
        <v>629</v>
      </c>
      <c r="N171" s="14" t="s">
        <v>37</v>
      </c>
      <c r="O171" s="15"/>
      <c r="P171" s="15"/>
      <c r="Q171" s="15"/>
      <c r="R171" s="15"/>
      <c r="S171" s="15"/>
      <c r="T171" s="15"/>
      <c r="U171" s="15"/>
      <c r="V171" s="15"/>
      <c r="W171" s="15"/>
      <c r="X171" s="15"/>
      <c r="Y171" s="11"/>
      <c r="Z171" s="11"/>
      <c r="AA171" s="11"/>
      <c r="AB171" s="11"/>
      <c r="AC171" s="11"/>
      <c r="AD171" s="11"/>
    </row>
    <row r="172">
      <c r="A172" s="26"/>
      <c r="B172" s="37">
        <v>46205.0</v>
      </c>
      <c r="C172" s="10" t="s">
        <v>28</v>
      </c>
      <c r="D172" s="28" t="str">
        <f t="shared" si="7"/>
        <v>PHCHVM_03</v>
      </c>
      <c r="E172" s="28"/>
      <c r="F172" s="28"/>
      <c r="G172" s="20" t="s">
        <v>630</v>
      </c>
      <c r="H172" s="20" t="s">
        <v>620</v>
      </c>
      <c r="I172" s="20"/>
      <c r="J172" s="20" t="s">
        <v>631</v>
      </c>
      <c r="K172" s="20" t="s">
        <v>632</v>
      </c>
      <c r="L172" s="9" t="s">
        <v>633</v>
      </c>
      <c r="M172" s="8" t="s">
        <v>634</v>
      </c>
      <c r="N172" s="10" t="s">
        <v>64</v>
      </c>
      <c r="O172" s="9"/>
      <c r="P172" s="22" t="s">
        <v>65</v>
      </c>
      <c r="Q172" s="23" t="s">
        <v>37</v>
      </c>
      <c r="R172" s="9"/>
      <c r="S172" s="9"/>
      <c r="T172" s="9"/>
      <c r="U172" s="9"/>
      <c r="V172" s="9"/>
      <c r="W172" s="9"/>
      <c r="X172" s="9"/>
      <c r="Y172" s="11"/>
      <c r="Z172" s="11"/>
      <c r="AA172" s="11"/>
      <c r="AB172" s="11"/>
      <c r="AC172" s="11"/>
      <c r="AD172" s="11"/>
    </row>
    <row r="173" hidden="1">
      <c r="A173" s="27"/>
      <c r="B173" s="36">
        <v>46205.0</v>
      </c>
      <c r="C173" s="14" t="s">
        <v>28</v>
      </c>
      <c r="D173" s="29" t="str">
        <f t="shared" si="7"/>
        <v>PHCHVM_04</v>
      </c>
      <c r="E173" s="29"/>
      <c r="F173" s="29"/>
      <c r="G173" s="16" t="s">
        <v>635</v>
      </c>
      <c r="H173" s="16" t="s">
        <v>620</v>
      </c>
      <c r="I173" s="16"/>
      <c r="J173" s="16" t="s">
        <v>636</v>
      </c>
      <c r="K173" s="16" t="s">
        <v>637</v>
      </c>
      <c r="L173" s="16" t="s">
        <v>637</v>
      </c>
      <c r="M173" s="30" t="s">
        <v>638</v>
      </c>
      <c r="N173" s="14" t="s">
        <v>37</v>
      </c>
      <c r="O173" s="15"/>
      <c r="P173" s="15"/>
      <c r="Q173" s="15"/>
      <c r="R173" s="15"/>
      <c r="S173" s="15"/>
      <c r="T173" s="15"/>
      <c r="U173" s="15"/>
      <c r="V173" s="15"/>
      <c r="W173" s="15"/>
      <c r="X173" s="15"/>
      <c r="Y173" s="11"/>
      <c r="Z173" s="11"/>
      <c r="AA173" s="11"/>
      <c r="AB173" s="11"/>
      <c r="AC173" s="11"/>
      <c r="AD173" s="11"/>
    </row>
    <row r="174" hidden="1">
      <c r="A174" s="26"/>
      <c r="B174" s="37">
        <v>46205.0</v>
      </c>
      <c r="C174" s="10" t="s">
        <v>28</v>
      </c>
      <c r="D174" s="28" t="str">
        <f t="shared" si="7"/>
        <v>PHCHVM_05</v>
      </c>
      <c r="E174" s="28"/>
      <c r="F174" s="28"/>
      <c r="G174" s="20" t="s">
        <v>639</v>
      </c>
      <c r="H174" s="20" t="s">
        <v>640</v>
      </c>
      <c r="I174" s="20"/>
      <c r="J174" s="20" t="s">
        <v>641</v>
      </c>
      <c r="K174" s="20" t="s">
        <v>642</v>
      </c>
      <c r="L174" s="20" t="s">
        <v>642</v>
      </c>
      <c r="M174" s="8" t="s">
        <v>643</v>
      </c>
      <c r="N174" s="10" t="s">
        <v>37</v>
      </c>
      <c r="O174" s="9"/>
      <c r="P174" s="9"/>
      <c r="Q174" s="9"/>
      <c r="R174" s="9"/>
      <c r="S174" s="9"/>
      <c r="T174" s="9"/>
      <c r="U174" s="9"/>
      <c r="V174" s="9"/>
      <c r="W174" s="9"/>
      <c r="X174" s="9"/>
      <c r="Y174" s="11"/>
      <c r="Z174" s="11"/>
      <c r="AA174" s="11"/>
      <c r="AB174" s="11"/>
      <c r="AC174" s="11"/>
      <c r="AD174" s="11"/>
    </row>
    <row r="175">
      <c r="A175" s="27"/>
      <c r="B175" s="36">
        <v>46205.0</v>
      </c>
      <c r="C175" s="14" t="s">
        <v>28</v>
      </c>
      <c r="D175" s="29" t="str">
        <f t="shared" si="7"/>
        <v>PHCHVM_06</v>
      </c>
      <c r="E175" s="29"/>
      <c r="F175" s="29"/>
      <c r="G175" s="16" t="s">
        <v>644</v>
      </c>
      <c r="H175" s="16" t="s">
        <v>620</v>
      </c>
      <c r="I175" s="16"/>
      <c r="J175" s="16" t="s">
        <v>645</v>
      </c>
      <c r="K175" s="16" t="s">
        <v>646</v>
      </c>
      <c r="L175" s="16" t="s">
        <v>647</v>
      </c>
      <c r="M175" s="30" t="s">
        <v>648</v>
      </c>
      <c r="N175" s="14" t="s">
        <v>64</v>
      </c>
      <c r="O175" s="15"/>
      <c r="P175" s="24" t="s">
        <v>649</v>
      </c>
      <c r="Q175" s="25" t="s">
        <v>649</v>
      </c>
      <c r="R175" s="24" t="s">
        <v>625</v>
      </c>
      <c r="S175" s="15"/>
      <c r="T175" s="15"/>
      <c r="U175" s="15"/>
      <c r="V175" s="15"/>
      <c r="W175" s="15"/>
      <c r="X175" s="15"/>
      <c r="Y175" s="11"/>
      <c r="Z175" s="11"/>
      <c r="AA175" s="11"/>
      <c r="AB175" s="11"/>
      <c r="AC175" s="11"/>
      <c r="AD175" s="11"/>
    </row>
    <row r="176" hidden="1">
      <c r="A176" s="26"/>
      <c r="B176" s="37">
        <v>46205.0</v>
      </c>
      <c r="C176" s="10" t="s">
        <v>28</v>
      </c>
      <c r="D176" s="28" t="str">
        <f t="shared" si="7"/>
        <v>PHCHVM_07</v>
      </c>
      <c r="E176" s="28"/>
      <c r="F176" s="28"/>
      <c r="G176" s="20" t="s">
        <v>650</v>
      </c>
      <c r="H176" s="20" t="s">
        <v>651</v>
      </c>
      <c r="I176" s="20"/>
      <c r="J176" s="20" t="s">
        <v>652</v>
      </c>
      <c r="K176" s="20" t="s">
        <v>653</v>
      </c>
      <c r="L176" s="20" t="s">
        <v>653</v>
      </c>
      <c r="M176" s="8" t="s">
        <v>654</v>
      </c>
      <c r="N176" s="10" t="s">
        <v>37</v>
      </c>
      <c r="O176" s="9"/>
      <c r="P176" s="9"/>
      <c r="Q176" s="9"/>
      <c r="R176" s="9"/>
      <c r="S176" s="9"/>
      <c r="T176" s="9"/>
      <c r="U176" s="9"/>
      <c r="V176" s="9"/>
      <c r="W176" s="9"/>
      <c r="X176" s="9"/>
      <c r="Y176" s="11"/>
      <c r="Z176" s="11"/>
      <c r="AA176" s="11"/>
      <c r="AB176" s="11"/>
      <c r="AC176" s="11"/>
      <c r="AD176" s="11"/>
    </row>
    <row r="177" hidden="1">
      <c r="A177" s="27"/>
      <c r="B177" s="36">
        <v>46205.0</v>
      </c>
      <c r="C177" s="14" t="s">
        <v>28</v>
      </c>
      <c r="D177" s="29" t="str">
        <f t="shared" si="7"/>
        <v>PHCHVM_08</v>
      </c>
      <c r="E177" s="29"/>
      <c r="F177" s="29"/>
      <c r="G177" s="16" t="s">
        <v>655</v>
      </c>
      <c r="H177" s="16" t="s">
        <v>656</v>
      </c>
      <c r="I177" s="16"/>
      <c r="J177" s="16" t="s">
        <v>657</v>
      </c>
      <c r="K177" s="16" t="s">
        <v>658</v>
      </c>
      <c r="L177" s="16" t="s">
        <v>658</v>
      </c>
      <c r="M177" s="30" t="s">
        <v>659</v>
      </c>
      <c r="N177" s="14" t="s">
        <v>37</v>
      </c>
      <c r="O177" s="15"/>
      <c r="P177" s="15"/>
      <c r="Q177" s="15"/>
      <c r="R177" s="15"/>
      <c r="S177" s="15"/>
      <c r="T177" s="15"/>
      <c r="U177" s="15"/>
      <c r="V177" s="15"/>
      <c r="W177" s="15"/>
      <c r="X177" s="15"/>
      <c r="Y177" s="11"/>
      <c r="Z177" s="11"/>
      <c r="AA177" s="11"/>
      <c r="AB177" s="11"/>
      <c r="AC177" s="11"/>
      <c r="AD177" s="11"/>
    </row>
    <row r="178">
      <c r="A178" s="26"/>
      <c r="B178" s="37">
        <v>46205.0</v>
      </c>
      <c r="C178" s="10" t="s">
        <v>28</v>
      </c>
      <c r="D178" s="28" t="str">
        <f t="shared" si="7"/>
        <v>PHCHVM_09</v>
      </c>
      <c r="E178" s="28"/>
      <c r="F178" s="28"/>
      <c r="G178" s="20" t="s">
        <v>660</v>
      </c>
      <c r="H178" s="20" t="s">
        <v>661</v>
      </c>
      <c r="I178" s="20"/>
      <c r="J178" s="20" t="s">
        <v>662</v>
      </c>
      <c r="K178" s="20" t="s">
        <v>663</v>
      </c>
      <c r="L178" s="9" t="s">
        <v>664</v>
      </c>
      <c r="M178" s="8" t="s">
        <v>665</v>
      </c>
      <c r="N178" s="10" t="s">
        <v>64</v>
      </c>
      <c r="O178" s="9"/>
      <c r="P178" s="22" t="s">
        <v>65</v>
      </c>
      <c r="Q178" s="23" t="s">
        <v>37</v>
      </c>
      <c r="R178" s="9"/>
      <c r="S178" s="9"/>
      <c r="T178" s="9"/>
      <c r="U178" s="9"/>
      <c r="V178" s="9"/>
      <c r="W178" s="9"/>
      <c r="X178" s="9"/>
      <c r="Y178" s="11"/>
      <c r="Z178" s="11"/>
      <c r="AA178" s="11"/>
      <c r="AB178" s="11"/>
      <c r="AC178" s="11"/>
      <c r="AD178" s="11"/>
    </row>
    <row r="179">
      <c r="A179" s="27"/>
      <c r="B179" s="36">
        <v>46205.0</v>
      </c>
      <c r="C179" s="14" t="s">
        <v>28</v>
      </c>
      <c r="D179" s="29" t="str">
        <f t="shared" si="7"/>
        <v>PHCHVM_10</v>
      </c>
      <c r="E179" s="29"/>
      <c r="F179" s="29"/>
      <c r="G179" s="16" t="s">
        <v>666</v>
      </c>
      <c r="H179" s="16" t="s">
        <v>667</v>
      </c>
      <c r="I179" s="16"/>
      <c r="J179" s="16" t="s">
        <v>668</v>
      </c>
      <c r="K179" s="16" t="s">
        <v>669</v>
      </c>
      <c r="L179" s="15" t="s">
        <v>670</v>
      </c>
      <c r="M179" s="30" t="s">
        <v>671</v>
      </c>
      <c r="N179" s="14" t="s">
        <v>64</v>
      </c>
      <c r="O179" s="15"/>
      <c r="P179" s="24" t="s">
        <v>65</v>
      </c>
      <c r="Q179" s="25" t="s">
        <v>37</v>
      </c>
      <c r="R179" s="15"/>
      <c r="S179" s="15"/>
      <c r="T179" s="15"/>
      <c r="U179" s="15"/>
      <c r="V179" s="15"/>
      <c r="W179" s="15"/>
      <c r="X179" s="15"/>
      <c r="Y179" s="11"/>
      <c r="Z179" s="11"/>
      <c r="AA179" s="11"/>
      <c r="AB179" s="11"/>
      <c r="AC179" s="11"/>
      <c r="AD179" s="11"/>
    </row>
    <row r="180" hidden="1">
      <c r="A180" s="26"/>
      <c r="B180" s="37">
        <v>46205.0</v>
      </c>
      <c r="C180" s="10" t="s">
        <v>28</v>
      </c>
      <c r="D180" s="28" t="str">
        <f t="shared" si="7"/>
        <v>PHCHVM_11</v>
      </c>
      <c r="E180" s="28"/>
      <c r="F180" s="28"/>
      <c r="G180" s="20" t="s">
        <v>672</v>
      </c>
      <c r="H180" s="20" t="s">
        <v>673</v>
      </c>
      <c r="I180" s="20"/>
      <c r="J180" s="20" t="s">
        <v>674</v>
      </c>
      <c r="K180" s="20" t="s">
        <v>675</v>
      </c>
      <c r="L180" s="20" t="s">
        <v>675</v>
      </c>
      <c r="M180" s="8" t="s">
        <v>676</v>
      </c>
      <c r="N180" s="10" t="s">
        <v>37</v>
      </c>
      <c r="O180" s="9"/>
      <c r="P180" s="9"/>
      <c r="Q180" s="9"/>
      <c r="R180" s="9"/>
      <c r="S180" s="9"/>
      <c r="T180" s="9"/>
      <c r="U180" s="9"/>
      <c r="V180" s="9"/>
      <c r="W180" s="9"/>
      <c r="X180" s="9"/>
      <c r="Y180" s="11"/>
      <c r="Z180" s="11"/>
      <c r="AA180" s="11"/>
      <c r="AB180" s="11"/>
      <c r="AC180" s="11"/>
      <c r="AD180" s="11"/>
    </row>
    <row r="181" hidden="1">
      <c r="A181" s="27"/>
      <c r="B181" s="36">
        <v>46205.0</v>
      </c>
      <c r="C181" s="14" t="s">
        <v>28</v>
      </c>
      <c r="D181" s="29" t="str">
        <f t="shared" si="7"/>
        <v>PHCHVM_12</v>
      </c>
      <c r="E181" s="29"/>
      <c r="F181" s="29"/>
      <c r="G181" s="16" t="s">
        <v>677</v>
      </c>
      <c r="H181" s="16" t="s">
        <v>678</v>
      </c>
      <c r="I181" s="16"/>
      <c r="J181" s="16" t="s">
        <v>679</v>
      </c>
      <c r="K181" s="16" t="s">
        <v>680</v>
      </c>
      <c r="L181" s="16" t="s">
        <v>680</v>
      </c>
      <c r="M181" s="30" t="s">
        <v>681</v>
      </c>
      <c r="N181" s="14" t="s">
        <v>37</v>
      </c>
      <c r="O181" s="15"/>
      <c r="P181" s="15"/>
      <c r="Q181" s="15"/>
      <c r="R181" s="15"/>
      <c r="S181" s="15"/>
      <c r="T181" s="15"/>
      <c r="U181" s="15"/>
      <c r="V181" s="15"/>
      <c r="W181" s="15"/>
      <c r="X181" s="15"/>
      <c r="Y181" s="11"/>
      <c r="Z181" s="11"/>
      <c r="AA181" s="11"/>
      <c r="AB181" s="11"/>
      <c r="AC181" s="11"/>
      <c r="AD181" s="11"/>
    </row>
    <row r="182" hidden="1">
      <c r="A182" s="26"/>
      <c r="B182" s="10">
        <v>17.0</v>
      </c>
      <c r="C182" s="10"/>
      <c r="D182" s="28"/>
      <c r="E182" s="28" t="s">
        <v>682</v>
      </c>
      <c r="F182" s="28" t="s">
        <v>287</v>
      </c>
      <c r="G182" s="20" t="s">
        <v>683</v>
      </c>
      <c r="H182" s="20"/>
      <c r="I182" s="20"/>
      <c r="J182" s="20"/>
      <c r="K182" s="20"/>
      <c r="L182" s="9"/>
      <c r="M182" s="9"/>
      <c r="N182" s="10"/>
      <c r="O182" s="9"/>
      <c r="P182" s="9"/>
      <c r="Q182" s="9"/>
      <c r="R182" s="9"/>
      <c r="S182" s="9"/>
      <c r="T182" s="9"/>
      <c r="U182" s="9"/>
      <c r="V182" s="9"/>
      <c r="W182" s="9"/>
      <c r="X182" s="9"/>
      <c r="Y182" s="11"/>
      <c r="Z182" s="11"/>
      <c r="AA182" s="11"/>
      <c r="AB182" s="11"/>
      <c r="AC182" s="11"/>
      <c r="AD182" s="11"/>
    </row>
    <row r="183">
      <c r="A183" s="27"/>
      <c r="B183" s="36">
        <v>46205.0</v>
      </c>
      <c r="C183" s="14" t="s">
        <v>28</v>
      </c>
      <c r="D183" s="29" t="str">
        <f t="shared" ref="D183:D193" si="8">IF(G183&lt;&gt;"","QLCKPHCHVM_"&amp;TEXT(COUNTIF($G$183:G183,"&lt;&gt;"),"00"),"")</f>
        <v>QLCKPHCHVM_01</v>
      </c>
      <c r="E183" s="29"/>
      <c r="F183" s="29"/>
      <c r="G183" s="16" t="s">
        <v>684</v>
      </c>
      <c r="H183" s="16" t="s">
        <v>685</v>
      </c>
      <c r="I183" s="16"/>
      <c r="J183" s="16" t="s">
        <v>686</v>
      </c>
      <c r="K183" s="16" t="s">
        <v>687</v>
      </c>
      <c r="L183" s="15" t="s">
        <v>688</v>
      </c>
      <c r="M183" s="30" t="s">
        <v>689</v>
      </c>
      <c r="N183" s="14" t="s">
        <v>64</v>
      </c>
      <c r="O183" s="15"/>
      <c r="P183" s="24" t="s">
        <v>65</v>
      </c>
      <c r="Q183" s="25" t="s">
        <v>37</v>
      </c>
      <c r="R183" s="24" t="s">
        <v>690</v>
      </c>
      <c r="S183" s="15"/>
      <c r="T183" s="15"/>
      <c r="U183" s="15"/>
      <c r="V183" s="15"/>
      <c r="W183" s="15"/>
      <c r="X183" s="15"/>
      <c r="Y183" s="11"/>
      <c r="Z183" s="11"/>
      <c r="AA183" s="11"/>
      <c r="AB183" s="11"/>
      <c r="AC183" s="11"/>
      <c r="AD183" s="11"/>
    </row>
    <row r="184">
      <c r="A184" s="26"/>
      <c r="B184" s="37">
        <v>46205.0</v>
      </c>
      <c r="C184" s="10" t="s">
        <v>28</v>
      </c>
      <c r="D184" s="28" t="str">
        <f t="shared" si="8"/>
        <v>QLCKPHCHVM_02</v>
      </c>
      <c r="E184" s="28"/>
      <c r="F184" s="28"/>
      <c r="G184" s="20" t="s">
        <v>691</v>
      </c>
      <c r="H184" s="20" t="s">
        <v>692</v>
      </c>
      <c r="I184" s="20"/>
      <c r="J184" s="20" t="s">
        <v>693</v>
      </c>
      <c r="K184" s="20" t="s">
        <v>694</v>
      </c>
      <c r="L184" s="9" t="s">
        <v>695</v>
      </c>
      <c r="M184" s="43" t="s">
        <v>696</v>
      </c>
      <c r="N184" s="10" t="s">
        <v>64</v>
      </c>
      <c r="O184" s="9"/>
      <c r="P184" s="22" t="s">
        <v>65</v>
      </c>
      <c r="Q184" s="23" t="s">
        <v>37</v>
      </c>
      <c r="R184" s="22"/>
      <c r="S184" s="9"/>
      <c r="T184" s="9"/>
      <c r="U184" s="9"/>
      <c r="V184" s="9"/>
      <c r="W184" s="9"/>
      <c r="X184" s="9"/>
      <c r="Y184" s="11"/>
      <c r="Z184" s="11"/>
      <c r="AA184" s="11"/>
      <c r="AB184" s="11"/>
      <c r="AC184" s="11"/>
      <c r="AD184" s="11"/>
    </row>
    <row r="185" hidden="1">
      <c r="A185" s="27"/>
      <c r="B185" s="36">
        <v>46205.0</v>
      </c>
      <c r="C185" s="14" t="s">
        <v>28</v>
      </c>
      <c r="D185" s="29" t="str">
        <f t="shared" si="8"/>
        <v>QLCKPHCHVM_03</v>
      </c>
      <c r="E185" s="29"/>
      <c r="F185" s="29"/>
      <c r="G185" s="16" t="s">
        <v>697</v>
      </c>
      <c r="H185" s="16" t="s">
        <v>698</v>
      </c>
      <c r="I185" s="16"/>
      <c r="J185" s="16" t="s">
        <v>699</v>
      </c>
      <c r="K185" s="16" t="s">
        <v>700</v>
      </c>
      <c r="L185" s="16" t="s">
        <v>700</v>
      </c>
      <c r="M185" s="30" t="s">
        <v>701</v>
      </c>
      <c r="N185" s="14" t="s">
        <v>37</v>
      </c>
      <c r="O185" s="15"/>
      <c r="P185" s="15"/>
      <c r="Q185" s="15"/>
      <c r="R185" s="15"/>
      <c r="S185" s="15"/>
      <c r="T185" s="15"/>
      <c r="U185" s="15"/>
      <c r="V185" s="15"/>
      <c r="W185" s="15"/>
      <c r="X185" s="15"/>
      <c r="Y185" s="11"/>
      <c r="Z185" s="11"/>
      <c r="AA185" s="11"/>
      <c r="AB185" s="11"/>
      <c r="AC185" s="11"/>
      <c r="AD185" s="11"/>
    </row>
    <row r="186" hidden="1">
      <c r="A186" s="26"/>
      <c r="B186" s="37">
        <v>46205.0</v>
      </c>
      <c r="C186" s="10" t="s">
        <v>28</v>
      </c>
      <c r="D186" s="28" t="str">
        <f t="shared" si="8"/>
        <v>QLCKPHCHVM_04</v>
      </c>
      <c r="E186" s="28"/>
      <c r="F186" s="28"/>
      <c r="G186" s="20" t="s">
        <v>702</v>
      </c>
      <c r="H186" s="20" t="s">
        <v>703</v>
      </c>
      <c r="I186" s="20"/>
      <c r="J186" s="20" t="s">
        <v>704</v>
      </c>
      <c r="K186" s="20" t="s">
        <v>705</v>
      </c>
      <c r="L186" s="20" t="s">
        <v>705</v>
      </c>
      <c r="M186" s="8" t="s">
        <v>706</v>
      </c>
      <c r="N186" s="10" t="s">
        <v>37</v>
      </c>
      <c r="O186" s="9"/>
      <c r="P186" s="9"/>
      <c r="Q186" s="9"/>
      <c r="R186" s="9"/>
      <c r="S186" s="9"/>
      <c r="T186" s="9"/>
      <c r="U186" s="9"/>
      <c r="V186" s="9"/>
      <c r="W186" s="9"/>
      <c r="X186" s="9"/>
      <c r="Y186" s="11"/>
      <c r="Z186" s="11"/>
      <c r="AA186" s="11"/>
      <c r="AB186" s="11"/>
      <c r="AC186" s="11"/>
      <c r="AD186" s="11"/>
    </row>
    <row r="187" hidden="1">
      <c r="A187" s="27"/>
      <c r="B187" s="36">
        <v>46205.0</v>
      </c>
      <c r="C187" s="14" t="s">
        <v>28</v>
      </c>
      <c r="D187" s="29" t="str">
        <f t="shared" si="8"/>
        <v>QLCKPHCHVM_05</v>
      </c>
      <c r="E187" s="29"/>
      <c r="F187" s="29"/>
      <c r="G187" s="16" t="s">
        <v>707</v>
      </c>
      <c r="H187" s="16" t="s">
        <v>708</v>
      </c>
      <c r="I187" s="16"/>
      <c r="J187" s="16" t="s">
        <v>709</v>
      </c>
      <c r="K187" s="16" t="s">
        <v>710</v>
      </c>
      <c r="L187" s="16" t="s">
        <v>710</v>
      </c>
      <c r="M187" s="30" t="s">
        <v>711</v>
      </c>
      <c r="N187" s="14" t="s">
        <v>37</v>
      </c>
      <c r="O187" s="15"/>
      <c r="P187" s="15"/>
      <c r="Q187" s="15"/>
      <c r="R187" s="15"/>
      <c r="S187" s="15"/>
      <c r="T187" s="15"/>
      <c r="U187" s="15"/>
      <c r="V187" s="15"/>
      <c r="W187" s="15"/>
      <c r="X187" s="15"/>
      <c r="Y187" s="11"/>
      <c r="Z187" s="11"/>
      <c r="AA187" s="11"/>
      <c r="AB187" s="11"/>
      <c r="AC187" s="11"/>
      <c r="AD187" s="11"/>
    </row>
    <row r="188" hidden="1">
      <c r="A188" s="26"/>
      <c r="B188" s="37">
        <v>46205.0</v>
      </c>
      <c r="C188" s="10" t="s">
        <v>28</v>
      </c>
      <c r="D188" s="28" t="str">
        <f t="shared" si="8"/>
        <v>QLCKPHCHVM_06</v>
      </c>
      <c r="E188" s="28"/>
      <c r="F188" s="28"/>
      <c r="G188" s="20" t="s">
        <v>712</v>
      </c>
      <c r="H188" s="20" t="s">
        <v>713</v>
      </c>
      <c r="I188" s="20"/>
      <c r="J188" s="20" t="s">
        <v>714</v>
      </c>
      <c r="K188" s="20" t="s">
        <v>715</v>
      </c>
      <c r="L188" s="20" t="s">
        <v>715</v>
      </c>
      <c r="M188" s="8" t="s">
        <v>716</v>
      </c>
      <c r="N188" s="10" t="s">
        <v>37</v>
      </c>
      <c r="O188" s="9"/>
      <c r="P188" s="9"/>
      <c r="Q188" s="9"/>
      <c r="R188" s="9"/>
      <c r="S188" s="9"/>
      <c r="T188" s="9"/>
      <c r="U188" s="9"/>
      <c r="V188" s="9"/>
      <c r="W188" s="9"/>
      <c r="X188" s="9"/>
      <c r="Y188" s="11"/>
      <c r="Z188" s="11"/>
      <c r="AA188" s="11"/>
      <c r="AB188" s="11"/>
      <c r="AC188" s="11"/>
      <c r="AD188" s="11"/>
    </row>
    <row r="189" hidden="1">
      <c r="A189" s="27"/>
      <c r="B189" s="36">
        <v>46205.0</v>
      </c>
      <c r="C189" s="14" t="s">
        <v>28</v>
      </c>
      <c r="D189" s="29" t="str">
        <f t="shared" si="8"/>
        <v>QLCKPHCHVM_07</v>
      </c>
      <c r="E189" s="29"/>
      <c r="F189" s="29"/>
      <c r="G189" s="16" t="s">
        <v>717</v>
      </c>
      <c r="H189" s="16" t="s">
        <v>718</v>
      </c>
      <c r="I189" s="16"/>
      <c r="J189" s="16" t="s">
        <v>719</v>
      </c>
      <c r="K189" s="16" t="s">
        <v>720</v>
      </c>
      <c r="L189" s="16" t="s">
        <v>720</v>
      </c>
      <c r="M189" s="30" t="s">
        <v>721</v>
      </c>
      <c r="N189" s="14" t="s">
        <v>37</v>
      </c>
      <c r="O189" s="15"/>
      <c r="P189" s="15"/>
      <c r="Q189" s="15"/>
      <c r="R189" s="15"/>
      <c r="S189" s="15"/>
      <c r="T189" s="15"/>
      <c r="U189" s="15"/>
      <c r="V189" s="15"/>
      <c r="W189" s="15"/>
      <c r="X189" s="15"/>
      <c r="Y189" s="11"/>
      <c r="Z189" s="11"/>
      <c r="AA189" s="11"/>
      <c r="AB189" s="11"/>
      <c r="AC189" s="11"/>
      <c r="AD189" s="11"/>
    </row>
    <row r="190" hidden="1">
      <c r="A190" s="26"/>
      <c r="B190" s="37">
        <v>46205.0</v>
      </c>
      <c r="C190" s="10" t="s">
        <v>28</v>
      </c>
      <c r="D190" s="28" t="str">
        <f t="shared" si="8"/>
        <v>QLCKPHCHVM_08</v>
      </c>
      <c r="E190" s="28"/>
      <c r="F190" s="28"/>
      <c r="G190" s="20" t="s">
        <v>722</v>
      </c>
      <c r="H190" s="20" t="s">
        <v>723</v>
      </c>
      <c r="I190" s="20"/>
      <c r="J190" s="20" t="s">
        <v>724</v>
      </c>
      <c r="K190" s="20" t="s">
        <v>725</v>
      </c>
      <c r="L190" s="20" t="s">
        <v>725</v>
      </c>
      <c r="M190" s="8" t="s">
        <v>726</v>
      </c>
      <c r="N190" s="10" t="s">
        <v>37</v>
      </c>
      <c r="O190" s="9"/>
      <c r="P190" s="9"/>
      <c r="Q190" s="9"/>
      <c r="R190" s="9"/>
      <c r="S190" s="9"/>
      <c r="T190" s="9"/>
      <c r="U190" s="9"/>
      <c r="V190" s="9"/>
      <c r="W190" s="9"/>
      <c r="X190" s="9"/>
      <c r="Y190" s="11"/>
      <c r="Z190" s="11"/>
      <c r="AA190" s="11"/>
      <c r="AB190" s="11"/>
      <c r="AC190" s="11"/>
      <c r="AD190" s="11"/>
    </row>
    <row r="191" hidden="1">
      <c r="A191" s="27"/>
      <c r="B191" s="36">
        <v>46205.0</v>
      </c>
      <c r="C191" s="14" t="s">
        <v>28</v>
      </c>
      <c r="D191" s="29" t="str">
        <f t="shared" si="8"/>
        <v>QLCKPHCHVM_09</v>
      </c>
      <c r="E191" s="29"/>
      <c r="F191" s="29"/>
      <c r="G191" s="16" t="s">
        <v>727</v>
      </c>
      <c r="H191" s="16" t="s">
        <v>728</v>
      </c>
      <c r="I191" s="16"/>
      <c r="J191" s="16" t="s">
        <v>729</v>
      </c>
      <c r="K191" s="16" t="s">
        <v>730</v>
      </c>
      <c r="L191" s="16" t="s">
        <v>730</v>
      </c>
      <c r="M191" s="30" t="s">
        <v>731</v>
      </c>
      <c r="N191" s="14" t="s">
        <v>37</v>
      </c>
      <c r="O191" s="15"/>
      <c r="P191" s="15"/>
      <c r="Q191" s="15"/>
      <c r="R191" s="15"/>
      <c r="S191" s="15"/>
      <c r="T191" s="15"/>
      <c r="U191" s="15"/>
      <c r="V191" s="15"/>
      <c r="W191" s="15"/>
      <c r="X191" s="15"/>
      <c r="Y191" s="11"/>
      <c r="Z191" s="11"/>
      <c r="AA191" s="11"/>
      <c r="AB191" s="11"/>
      <c r="AC191" s="11"/>
      <c r="AD191" s="11"/>
    </row>
    <row r="192" hidden="1">
      <c r="A192" s="26"/>
      <c r="B192" s="37">
        <v>46205.0</v>
      </c>
      <c r="C192" s="10" t="s">
        <v>28</v>
      </c>
      <c r="D192" s="28" t="str">
        <f t="shared" si="8"/>
        <v>QLCKPHCHVM_10</v>
      </c>
      <c r="E192" s="28"/>
      <c r="F192" s="28"/>
      <c r="G192" s="20" t="s">
        <v>732</v>
      </c>
      <c r="H192" s="20" t="s">
        <v>733</v>
      </c>
      <c r="I192" s="20"/>
      <c r="J192" s="20" t="s">
        <v>734</v>
      </c>
      <c r="K192" s="20" t="s">
        <v>735</v>
      </c>
      <c r="L192" s="20" t="s">
        <v>735</v>
      </c>
      <c r="M192" s="8" t="s">
        <v>736</v>
      </c>
      <c r="N192" s="10" t="s">
        <v>37</v>
      </c>
      <c r="O192" s="9"/>
      <c r="P192" s="9"/>
      <c r="Q192" s="9"/>
      <c r="R192" s="9"/>
      <c r="S192" s="9"/>
      <c r="T192" s="9"/>
      <c r="U192" s="9"/>
      <c r="V192" s="9"/>
      <c r="W192" s="9"/>
      <c r="X192" s="9"/>
      <c r="Y192" s="11"/>
      <c r="Z192" s="11"/>
      <c r="AA192" s="11"/>
      <c r="AB192" s="11"/>
      <c r="AC192" s="11"/>
      <c r="AD192" s="11"/>
    </row>
    <row r="193" hidden="1">
      <c r="A193" s="27"/>
      <c r="B193" s="36">
        <v>46205.0</v>
      </c>
      <c r="C193" s="14" t="s">
        <v>28</v>
      </c>
      <c r="D193" s="29" t="str">
        <f t="shared" si="8"/>
        <v>QLCKPHCHVM_11</v>
      </c>
      <c r="E193" s="29"/>
      <c r="F193" s="29"/>
      <c r="G193" s="16" t="s">
        <v>737</v>
      </c>
      <c r="H193" s="16" t="s">
        <v>738</v>
      </c>
      <c r="I193" s="16"/>
      <c r="J193" s="16" t="s">
        <v>739</v>
      </c>
      <c r="K193" s="16" t="s">
        <v>740</v>
      </c>
      <c r="L193" s="16" t="s">
        <v>740</v>
      </c>
      <c r="M193" s="30" t="s">
        <v>741</v>
      </c>
      <c r="N193" s="14" t="s">
        <v>37</v>
      </c>
      <c r="O193" s="15"/>
      <c r="P193" s="15"/>
      <c r="Q193" s="15"/>
      <c r="R193" s="15"/>
      <c r="S193" s="15"/>
      <c r="T193" s="15"/>
      <c r="U193" s="15"/>
      <c r="V193" s="15"/>
      <c r="W193" s="15"/>
      <c r="X193" s="15"/>
      <c r="Y193" s="11"/>
      <c r="Z193" s="11"/>
      <c r="AA193" s="11"/>
      <c r="AB193" s="11"/>
      <c r="AC193" s="11"/>
      <c r="AD193" s="11"/>
    </row>
    <row r="194" hidden="1">
      <c r="A194" s="4"/>
      <c r="B194" s="5" t="s">
        <v>742</v>
      </c>
      <c r="C194" s="5" t="s">
        <v>28</v>
      </c>
      <c r="D194" s="6"/>
      <c r="E194" s="6" t="s">
        <v>743</v>
      </c>
      <c r="F194" s="28"/>
      <c r="G194" s="28"/>
      <c r="H194" s="28"/>
      <c r="I194" s="28"/>
      <c r="J194" s="9"/>
      <c r="K194" s="9"/>
      <c r="L194" s="9"/>
      <c r="M194" s="9"/>
      <c r="N194" s="10"/>
      <c r="O194" s="9"/>
      <c r="P194" s="9"/>
      <c r="Q194" s="9"/>
      <c r="R194" s="9"/>
      <c r="S194" s="9"/>
      <c r="T194" s="9"/>
      <c r="U194" s="9"/>
      <c r="V194" s="9"/>
      <c r="W194" s="9"/>
      <c r="X194" s="9"/>
      <c r="Y194" s="11"/>
      <c r="Z194" s="11"/>
      <c r="AA194" s="11"/>
      <c r="AB194" s="11"/>
      <c r="AC194" s="11"/>
      <c r="AD194" s="11"/>
    </row>
    <row r="195" hidden="1">
      <c r="A195" s="27"/>
      <c r="B195" s="14">
        <v>18.0</v>
      </c>
      <c r="C195" s="14" t="s">
        <v>28</v>
      </c>
      <c r="D195" s="29"/>
      <c r="E195" s="29" t="s">
        <v>744</v>
      </c>
      <c r="F195" s="29" t="s">
        <v>287</v>
      </c>
      <c r="G195" s="29" t="s">
        <v>745</v>
      </c>
      <c r="H195" s="42"/>
      <c r="I195" s="14"/>
      <c r="J195" s="15"/>
      <c r="K195" s="15"/>
      <c r="L195" s="15"/>
      <c r="M195" s="15"/>
      <c r="N195" s="14"/>
      <c r="O195" s="15"/>
      <c r="P195" s="15"/>
      <c r="Q195" s="15"/>
      <c r="R195" s="15"/>
      <c r="S195" s="15"/>
      <c r="T195" s="15"/>
      <c r="U195" s="15"/>
      <c r="V195" s="15"/>
      <c r="W195" s="15"/>
      <c r="X195" s="15"/>
      <c r="Y195" s="11"/>
      <c r="Z195" s="11"/>
      <c r="AA195" s="11"/>
      <c r="AB195" s="11"/>
      <c r="AC195" s="11"/>
      <c r="AD195" s="11"/>
    </row>
    <row r="196">
      <c r="A196" s="26"/>
      <c r="B196" s="37">
        <v>46206.0</v>
      </c>
      <c r="C196" s="10" t="s">
        <v>28</v>
      </c>
      <c r="D196" s="28" t="str">
        <f t="shared" ref="D196:D205" si="9">IF(G195&lt;&gt;"","QLCHVMDXL_"&amp;TEXT(COUNTIF($G$195:G195,"&lt;&gt;"),"00"),"")</f>
        <v>QLCHVMDXL_01</v>
      </c>
      <c r="E196" s="28"/>
      <c r="F196" s="28"/>
      <c r="G196" s="20" t="s">
        <v>512</v>
      </c>
      <c r="H196" s="20" t="s">
        <v>513</v>
      </c>
      <c r="I196" s="20"/>
      <c r="J196" s="20" t="s">
        <v>746</v>
      </c>
      <c r="K196" s="20" t="s">
        <v>747</v>
      </c>
      <c r="L196" s="9" t="s">
        <v>748</v>
      </c>
      <c r="M196" s="8" t="s">
        <v>749</v>
      </c>
      <c r="N196" s="10" t="s">
        <v>64</v>
      </c>
      <c r="O196" s="9"/>
      <c r="P196" s="22" t="s">
        <v>649</v>
      </c>
      <c r="Q196" s="23" t="s">
        <v>649</v>
      </c>
      <c r="R196" s="22" t="s">
        <v>750</v>
      </c>
      <c r="S196" s="9"/>
      <c r="T196" s="9"/>
      <c r="U196" s="9"/>
      <c r="V196" s="9"/>
      <c r="W196" s="9"/>
      <c r="X196" s="9"/>
      <c r="Y196" s="11"/>
      <c r="Z196" s="11"/>
      <c r="AA196" s="11"/>
      <c r="AB196" s="11"/>
      <c r="AC196" s="11"/>
      <c r="AD196" s="11"/>
    </row>
    <row r="197" hidden="1">
      <c r="A197" s="27"/>
      <c r="B197" s="36">
        <v>46206.0</v>
      </c>
      <c r="C197" s="14" t="s">
        <v>28</v>
      </c>
      <c r="D197" s="29" t="str">
        <f t="shared" si="9"/>
        <v>QLCHVMDXL_02</v>
      </c>
      <c r="E197" s="29"/>
      <c r="F197" s="29"/>
      <c r="G197" s="16" t="s">
        <v>517</v>
      </c>
      <c r="H197" s="16" t="s">
        <v>518</v>
      </c>
      <c r="I197" s="16"/>
      <c r="J197" s="16" t="s">
        <v>751</v>
      </c>
      <c r="K197" s="16" t="s">
        <v>752</v>
      </c>
      <c r="L197" s="16" t="s">
        <v>752</v>
      </c>
      <c r="M197" s="30" t="s">
        <v>753</v>
      </c>
      <c r="N197" s="14" t="s">
        <v>37</v>
      </c>
      <c r="O197" s="15"/>
      <c r="P197" s="15"/>
      <c r="Q197" s="15"/>
      <c r="R197" s="15"/>
      <c r="S197" s="15"/>
      <c r="T197" s="15"/>
      <c r="U197" s="15"/>
      <c r="V197" s="15"/>
      <c r="W197" s="15"/>
      <c r="X197" s="15"/>
      <c r="Y197" s="11"/>
      <c r="Z197" s="11"/>
      <c r="AA197" s="11"/>
      <c r="AB197" s="11"/>
      <c r="AC197" s="11"/>
      <c r="AD197" s="11"/>
    </row>
    <row r="198" hidden="1">
      <c r="A198" s="26"/>
      <c r="B198" s="37">
        <v>46206.0</v>
      </c>
      <c r="C198" s="10" t="s">
        <v>28</v>
      </c>
      <c r="D198" s="28" t="str">
        <f t="shared" si="9"/>
        <v>QLCHVMDXL_03</v>
      </c>
      <c r="E198" s="28"/>
      <c r="F198" s="28"/>
      <c r="G198" s="20" t="s">
        <v>522</v>
      </c>
      <c r="H198" s="20" t="s">
        <v>523</v>
      </c>
      <c r="I198" s="20"/>
      <c r="J198" s="20" t="s">
        <v>754</v>
      </c>
      <c r="K198" s="20" t="s">
        <v>755</v>
      </c>
      <c r="L198" s="20" t="s">
        <v>755</v>
      </c>
      <c r="M198" s="8" t="s">
        <v>756</v>
      </c>
      <c r="N198" s="10" t="s">
        <v>37</v>
      </c>
      <c r="O198" s="9"/>
      <c r="P198" s="9"/>
      <c r="Q198" s="9"/>
      <c r="R198" s="9"/>
      <c r="S198" s="9"/>
      <c r="T198" s="9"/>
      <c r="U198" s="9"/>
      <c r="V198" s="9"/>
      <c r="W198" s="9"/>
      <c r="X198" s="9"/>
      <c r="Y198" s="11"/>
      <c r="Z198" s="11"/>
      <c r="AA198" s="11"/>
      <c r="AB198" s="11"/>
      <c r="AC198" s="11"/>
      <c r="AD198" s="11"/>
    </row>
    <row r="199" hidden="1">
      <c r="A199" s="27"/>
      <c r="B199" s="36">
        <v>46206.0</v>
      </c>
      <c r="C199" s="14" t="s">
        <v>28</v>
      </c>
      <c r="D199" s="29" t="str">
        <f t="shared" si="9"/>
        <v>QLCHVMDXL_04</v>
      </c>
      <c r="E199" s="29"/>
      <c r="F199" s="29"/>
      <c r="G199" s="16" t="s">
        <v>527</v>
      </c>
      <c r="H199" s="16" t="s">
        <v>528</v>
      </c>
      <c r="I199" s="16"/>
      <c r="J199" s="16" t="s">
        <v>529</v>
      </c>
      <c r="K199" s="16" t="s">
        <v>757</v>
      </c>
      <c r="L199" s="16" t="s">
        <v>757</v>
      </c>
      <c r="M199" s="30" t="s">
        <v>758</v>
      </c>
      <c r="N199" s="14" t="s">
        <v>37</v>
      </c>
      <c r="O199" s="15"/>
      <c r="P199" s="15"/>
      <c r="Q199" s="15"/>
      <c r="R199" s="15"/>
      <c r="S199" s="15"/>
      <c r="T199" s="15"/>
      <c r="U199" s="15"/>
      <c r="V199" s="15"/>
      <c r="W199" s="15"/>
      <c r="X199" s="15"/>
      <c r="Y199" s="11"/>
      <c r="Z199" s="11"/>
      <c r="AA199" s="11"/>
      <c r="AB199" s="11"/>
      <c r="AC199" s="11"/>
      <c r="AD199" s="11"/>
    </row>
    <row r="200" hidden="1">
      <c r="A200" s="26"/>
      <c r="B200" s="37">
        <v>46206.0</v>
      </c>
      <c r="C200" s="10" t="s">
        <v>28</v>
      </c>
      <c r="D200" s="28" t="str">
        <f t="shared" si="9"/>
        <v>QLCHVMDXL_05</v>
      </c>
      <c r="E200" s="28"/>
      <c r="F200" s="28"/>
      <c r="G200" s="20" t="s">
        <v>532</v>
      </c>
      <c r="H200" s="20" t="s">
        <v>759</v>
      </c>
      <c r="I200" s="20"/>
      <c r="J200" s="20" t="s">
        <v>760</v>
      </c>
      <c r="K200" s="20" t="s">
        <v>761</v>
      </c>
      <c r="L200" s="20" t="s">
        <v>761</v>
      </c>
      <c r="M200" s="8" t="s">
        <v>762</v>
      </c>
      <c r="N200" s="10" t="s">
        <v>37</v>
      </c>
      <c r="O200" s="9"/>
      <c r="P200" s="9"/>
      <c r="Q200" s="9"/>
      <c r="R200" s="9"/>
      <c r="S200" s="9"/>
      <c r="T200" s="9"/>
      <c r="U200" s="9"/>
      <c r="V200" s="9"/>
      <c r="W200" s="9"/>
      <c r="X200" s="9"/>
      <c r="Y200" s="11"/>
      <c r="Z200" s="11"/>
      <c r="AA200" s="11"/>
      <c r="AB200" s="11"/>
      <c r="AC200" s="11"/>
      <c r="AD200" s="11"/>
    </row>
    <row r="201">
      <c r="A201" s="27"/>
      <c r="B201" s="36">
        <v>46206.0</v>
      </c>
      <c r="C201" s="14" t="s">
        <v>28</v>
      </c>
      <c r="D201" s="29" t="str">
        <f t="shared" si="9"/>
        <v>QLCHVMDXL_06</v>
      </c>
      <c r="E201" s="29"/>
      <c r="F201" s="29"/>
      <c r="G201" s="16" t="s">
        <v>537</v>
      </c>
      <c r="H201" s="16" t="s">
        <v>538</v>
      </c>
      <c r="I201" s="16"/>
      <c r="J201" s="16" t="s">
        <v>539</v>
      </c>
      <c r="K201" s="16" t="s">
        <v>540</v>
      </c>
      <c r="L201" s="15" t="s">
        <v>763</v>
      </c>
      <c r="M201" s="30" t="s">
        <v>764</v>
      </c>
      <c r="N201" s="14" t="s">
        <v>64</v>
      </c>
      <c r="O201" s="15"/>
      <c r="P201" s="24" t="s">
        <v>65</v>
      </c>
      <c r="Q201" s="25" t="s">
        <v>37</v>
      </c>
      <c r="R201" s="24" t="s">
        <v>765</v>
      </c>
      <c r="S201" s="15"/>
      <c r="T201" s="15"/>
      <c r="U201" s="15"/>
      <c r="V201" s="15"/>
      <c r="W201" s="15"/>
      <c r="X201" s="15"/>
      <c r="Y201" s="11"/>
      <c r="Z201" s="11"/>
      <c r="AA201" s="11"/>
      <c r="AB201" s="11"/>
      <c r="AC201" s="11"/>
      <c r="AD201" s="11"/>
    </row>
    <row r="202" hidden="1">
      <c r="A202" s="26"/>
      <c r="B202" s="37">
        <v>46206.0</v>
      </c>
      <c r="C202" s="10" t="s">
        <v>28</v>
      </c>
      <c r="D202" s="28" t="str">
        <f t="shared" si="9"/>
        <v>QLCHVMDXL_07</v>
      </c>
      <c r="E202" s="28"/>
      <c r="F202" s="28"/>
      <c r="G202" s="20" t="s">
        <v>544</v>
      </c>
      <c r="H202" s="20" t="s">
        <v>766</v>
      </c>
      <c r="I202" s="20"/>
      <c r="J202" s="20" t="s">
        <v>767</v>
      </c>
      <c r="K202" s="20" t="s">
        <v>547</v>
      </c>
      <c r="L202" s="20" t="s">
        <v>547</v>
      </c>
      <c r="M202" s="8" t="s">
        <v>768</v>
      </c>
      <c r="N202" s="10" t="s">
        <v>37</v>
      </c>
      <c r="O202" s="9"/>
      <c r="P202" s="9"/>
      <c r="Q202" s="9"/>
      <c r="R202" s="9"/>
      <c r="S202" s="9"/>
      <c r="T202" s="9"/>
      <c r="U202" s="9"/>
      <c r="V202" s="9"/>
      <c r="W202" s="9"/>
      <c r="X202" s="9"/>
      <c r="Y202" s="11"/>
      <c r="Z202" s="11"/>
      <c r="AA202" s="11"/>
      <c r="AB202" s="11"/>
      <c r="AC202" s="11"/>
      <c r="AD202" s="11"/>
    </row>
    <row r="203" hidden="1">
      <c r="A203" s="27"/>
      <c r="B203" s="36">
        <v>46206.0</v>
      </c>
      <c r="C203" s="14" t="s">
        <v>28</v>
      </c>
      <c r="D203" s="29" t="str">
        <f t="shared" si="9"/>
        <v>QLCHVMDXL_08</v>
      </c>
      <c r="E203" s="29"/>
      <c r="F203" s="29"/>
      <c r="G203" s="16" t="s">
        <v>769</v>
      </c>
      <c r="H203" s="16" t="s">
        <v>770</v>
      </c>
      <c r="I203" s="16"/>
      <c r="J203" s="16" t="s">
        <v>771</v>
      </c>
      <c r="K203" s="16" t="s">
        <v>772</v>
      </c>
      <c r="L203" s="16" t="s">
        <v>772</v>
      </c>
      <c r="M203" s="30" t="s">
        <v>773</v>
      </c>
      <c r="N203" s="14" t="s">
        <v>37</v>
      </c>
      <c r="O203" s="15"/>
      <c r="P203" s="15"/>
      <c r="Q203" s="15"/>
      <c r="R203" s="15"/>
      <c r="S203" s="15"/>
      <c r="T203" s="15"/>
      <c r="U203" s="15"/>
      <c r="V203" s="15"/>
      <c r="W203" s="15"/>
      <c r="X203" s="15"/>
      <c r="Y203" s="11"/>
      <c r="Z203" s="11"/>
      <c r="AA203" s="11"/>
      <c r="AB203" s="11"/>
      <c r="AC203" s="11"/>
      <c r="AD203" s="11"/>
    </row>
    <row r="204" hidden="1">
      <c r="A204" s="26"/>
      <c r="B204" s="37">
        <v>46206.0</v>
      </c>
      <c r="C204" s="10" t="s">
        <v>28</v>
      </c>
      <c r="D204" s="28" t="str">
        <f t="shared" si="9"/>
        <v>QLCHVMDXL_09</v>
      </c>
      <c r="E204" s="28"/>
      <c r="F204" s="28"/>
      <c r="G204" s="20" t="s">
        <v>549</v>
      </c>
      <c r="H204" s="20" t="s">
        <v>550</v>
      </c>
      <c r="I204" s="20"/>
      <c r="J204" s="20" t="s">
        <v>551</v>
      </c>
      <c r="K204" s="20" t="s">
        <v>552</v>
      </c>
      <c r="L204" s="20" t="s">
        <v>552</v>
      </c>
      <c r="M204" s="8" t="s">
        <v>774</v>
      </c>
      <c r="N204" s="10" t="s">
        <v>37</v>
      </c>
      <c r="O204" s="9"/>
      <c r="P204" s="9"/>
      <c r="Q204" s="9"/>
      <c r="R204" s="9"/>
      <c r="S204" s="9"/>
      <c r="T204" s="9"/>
      <c r="U204" s="9"/>
      <c r="V204" s="9"/>
      <c r="W204" s="9"/>
      <c r="X204" s="9"/>
      <c r="Y204" s="11"/>
      <c r="Z204" s="11"/>
      <c r="AA204" s="11"/>
      <c r="AB204" s="11"/>
      <c r="AC204" s="11"/>
      <c r="AD204" s="11"/>
    </row>
    <row r="205" hidden="1">
      <c r="A205" s="27"/>
      <c r="B205" s="36">
        <v>46206.0</v>
      </c>
      <c r="C205" s="14" t="s">
        <v>28</v>
      </c>
      <c r="D205" s="29" t="str">
        <f t="shared" si="9"/>
        <v>QLCHVMDXL_10</v>
      </c>
      <c r="E205" s="29"/>
      <c r="F205" s="29"/>
      <c r="G205" s="16" t="s">
        <v>554</v>
      </c>
      <c r="H205" s="16" t="s">
        <v>555</v>
      </c>
      <c r="I205" s="16"/>
      <c r="J205" s="16" t="s">
        <v>775</v>
      </c>
      <c r="K205" s="16" t="s">
        <v>776</v>
      </c>
      <c r="L205" s="16" t="s">
        <v>776</v>
      </c>
      <c r="M205" s="30" t="s">
        <v>777</v>
      </c>
      <c r="N205" s="14" t="s">
        <v>37</v>
      </c>
      <c r="O205" s="15"/>
      <c r="P205" s="15"/>
      <c r="Q205" s="15"/>
      <c r="R205" s="15"/>
      <c r="S205" s="15"/>
      <c r="T205" s="15"/>
      <c r="U205" s="15"/>
      <c r="V205" s="15"/>
      <c r="W205" s="15"/>
      <c r="X205" s="15"/>
      <c r="Y205" s="11"/>
      <c r="Z205" s="11"/>
      <c r="AA205" s="11"/>
      <c r="AB205" s="11"/>
      <c r="AC205" s="11"/>
      <c r="AD205" s="11"/>
    </row>
    <row r="206" hidden="1">
      <c r="A206" s="26"/>
      <c r="B206" s="10">
        <v>19.0</v>
      </c>
      <c r="C206" s="10" t="s">
        <v>28</v>
      </c>
      <c r="D206" s="28"/>
      <c r="E206" s="28" t="s">
        <v>778</v>
      </c>
      <c r="F206" s="28" t="s">
        <v>30</v>
      </c>
      <c r="G206" s="28" t="s">
        <v>779</v>
      </c>
      <c r="H206" s="28"/>
      <c r="I206" s="10"/>
      <c r="J206" s="9"/>
      <c r="K206" s="9"/>
      <c r="L206" s="9"/>
      <c r="M206" s="9"/>
      <c r="N206" s="10"/>
      <c r="O206" s="9"/>
      <c r="P206" s="9"/>
      <c r="Q206" s="9"/>
      <c r="R206" s="9"/>
      <c r="S206" s="9"/>
      <c r="T206" s="9"/>
      <c r="U206" s="9"/>
      <c r="V206" s="9"/>
      <c r="W206" s="9"/>
      <c r="X206" s="9"/>
      <c r="Y206" s="11"/>
      <c r="Z206" s="11"/>
      <c r="AA206" s="11"/>
      <c r="AB206" s="11"/>
      <c r="AC206" s="11"/>
      <c r="AD206" s="11"/>
    </row>
    <row r="207" hidden="1">
      <c r="A207" s="27"/>
      <c r="B207" s="36">
        <v>46206.0</v>
      </c>
      <c r="C207" s="14" t="s">
        <v>28</v>
      </c>
      <c r="D207" s="29" t="str">
        <f t="shared" ref="D207:D218" si="10">IF(G207&lt;&gt;"","TKCHVMDXL_"&amp;TEXT(COUNTIF($G$207:G207,"&lt;&gt;"),"00"),"")</f>
        <v>TKCHVMDXL_01</v>
      </c>
      <c r="E207" s="29"/>
      <c r="F207" s="29"/>
      <c r="G207" s="16" t="s">
        <v>404</v>
      </c>
      <c r="H207" s="16" t="s">
        <v>405</v>
      </c>
      <c r="I207" s="16" t="s">
        <v>406</v>
      </c>
      <c r="J207" s="16" t="s">
        <v>407</v>
      </c>
      <c r="K207" s="16" t="s">
        <v>408</v>
      </c>
      <c r="L207" s="16" t="s">
        <v>408</v>
      </c>
      <c r="M207" s="30" t="s">
        <v>780</v>
      </c>
      <c r="N207" s="14" t="s">
        <v>37</v>
      </c>
      <c r="O207" s="15"/>
      <c r="P207" s="15"/>
      <c r="Q207" s="15"/>
      <c r="R207" s="15"/>
      <c r="S207" s="15"/>
      <c r="T207" s="15"/>
      <c r="U207" s="15"/>
      <c r="V207" s="15"/>
      <c r="W207" s="15"/>
      <c r="X207" s="15"/>
      <c r="Y207" s="11"/>
      <c r="Z207" s="11"/>
      <c r="AA207" s="11"/>
      <c r="AB207" s="11"/>
      <c r="AC207" s="11"/>
      <c r="AD207" s="11"/>
    </row>
    <row r="208" hidden="1">
      <c r="A208" s="26"/>
      <c r="B208" s="37">
        <v>46206.0</v>
      </c>
      <c r="C208" s="10" t="s">
        <v>28</v>
      </c>
      <c r="D208" s="28" t="str">
        <f t="shared" si="10"/>
        <v>TKCHVMDXL_02</v>
      </c>
      <c r="E208" s="28"/>
      <c r="F208" s="28"/>
      <c r="G208" s="20" t="s">
        <v>410</v>
      </c>
      <c r="H208" s="20" t="s">
        <v>411</v>
      </c>
      <c r="I208" s="20" t="s">
        <v>412</v>
      </c>
      <c r="J208" s="20" t="s">
        <v>413</v>
      </c>
      <c r="K208" s="20" t="s">
        <v>414</v>
      </c>
      <c r="L208" s="20" t="s">
        <v>414</v>
      </c>
      <c r="M208" s="8" t="s">
        <v>781</v>
      </c>
      <c r="N208" s="10" t="s">
        <v>37</v>
      </c>
      <c r="O208" s="9"/>
      <c r="P208" s="9"/>
      <c r="Q208" s="9"/>
      <c r="R208" s="9"/>
      <c r="S208" s="9"/>
      <c r="T208" s="9"/>
      <c r="U208" s="9"/>
      <c r="V208" s="9"/>
      <c r="W208" s="9"/>
      <c r="X208" s="9"/>
      <c r="Y208" s="11"/>
      <c r="Z208" s="11"/>
      <c r="AA208" s="11"/>
      <c r="AB208" s="11"/>
      <c r="AC208" s="11"/>
      <c r="AD208" s="11"/>
    </row>
    <row r="209" hidden="1">
      <c r="A209" s="27"/>
      <c r="B209" s="36">
        <v>46206.0</v>
      </c>
      <c r="C209" s="14" t="s">
        <v>28</v>
      </c>
      <c r="D209" s="29" t="str">
        <f t="shared" si="10"/>
        <v>TKCHVMDXL_03</v>
      </c>
      <c r="E209" s="29"/>
      <c r="F209" s="29"/>
      <c r="G209" s="16" t="s">
        <v>416</v>
      </c>
      <c r="H209" s="16" t="s">
        <v>417</v>
      </c>
      <c r="I209" s="16" t="s">
        <v>418</v>
      </c>
      <c r="J209" s="16" t="s">
        <v>419</v>
      </c>
      <c r="K209" s="16" t="s">
        <v>420</v>
      </c>
      <c r="L209" s="16" t="s">
        <v>420</v>
      </c>
      <c r="M209" s="30" t="s">
        <v>782</v>
      </c>
      <c r="N209" s="14" t="s">
        <v>37</v>
      </c>
      <c r="O209" s="15"/>
      <c r="P209" s="15"/>
      <c r="Q209" s="15"/>
      <c r="R209" s="15"/>
      <c r="S209" s="15"/>
      <c r="T209" s="15"/>
      <c r="U209" s="15"/>
      <c r="V209" s="15"/>
      <c r="W209" s="15"/>
      <c r="X209" s="15"/>
      <c r="Y209" s="11"/>
      <c r="Z209" s="11"/>
      <c r="AA209" s="11"/>
      <c r="AB209" s="11"/>
      <c r="AC209" s="11"/>
      <c r="AD209" s="11"/>
    </row>
    <row r="210" hidden="1">
      <c r="A210" s="26"/>
      <c r="B210" s="37">
        <v>46206.0</v>
      </c>
      <c r="C210" s="10" t="s">
        <v>28</v>
      </c>
      <c r="D210" s="28" t="str">
        <f t="shared" si="10"/>
        <v>TKCHVMDXL_04</v>
      </c>
      <c r="E210" s="28"/>
      <c r="F210" s="28"/>
      <c r="G210" s="20" t="s">
        <v>422</v>
      </c>
      <c r="H210" s="20" t="s">
        <v>423</v>
      </c>
      <c r="I210" s="20" t="s">
        <v>424</v>
      </c>
      <c r="J210" s="20" t="s">
        <v>425</v>
      </c>
      <c r="K210" s="20" t="s">
        <v>426</v>
      </c>
      <c r="L210" s="20" t="s">
        <v>426</v>
      </c>
      <c r="M210" s="8" t="s">
        <v>783</v>
      </c>
      <c r="N210" s="10" t="s">
        <v>37</v>
      </c>
      <c r="O210" s="9"/>
      <c r="P210" s="9"/>
      <c r="Q210" s="9"/>
      <c r="R210" s="9"/>
      <c r="S210" s="9"/>
      <c r="T210" s="9"/>
      <c r="U210" s="9"/>
      <c r="V210" s="9"/>
      <c r="W210" s="9"/>
      <c r="X210" s="9"/>
      <c r="Y210" s="11"/>
      <c r="Z210" s="11"/>
      <c r="AA210" s="11"/>
      <c r="AB210" s="11"/>
      <c r="AC210" s="11"/>
      <c r="AD210" s="11"/>
    </row>
    <row r="211" hidden="1">
      <c r="A211" s="27"/>
      <c r="B211" s="36">
        <v>46206.0</v>
      </c>
      <c r="C211" s="14" t="s">
        <v>28</v>
      </c>
      <c r="D211" s="29" t="str">
        <f t="shared" si="10"/>
        <v>TKCHVMDXL_05</v>
      </c>
      <c r="E211" s="29"/>
      <c r="F211" s="29"/>
      <c r="G211" s="16" t="s">
        <v>428</v>
      </c>
      <c r="H211" s="16" t="s">
        <v>429</v>
      </c>
      <c r="I211" s="16" t="s">
        <v>430</v>
      </c>
      <c r="J211" s="16" t="s">
        <v>431</v>
      </c>
      <c r="K211" s="16" t="s">
        <v>432</v>
      </c>
      <c r="L211" s="16" t="s">
        <v>432</v>
      </c>
      <c r="M211" s="30" t="s">
        <v>784</v>
      </c>
      <c r="N211" s="14" t="s">
        <v>37</v>
      </c>
      <c r="O211" s="15"/>
      <c r="P211" s="15"/>
      <c r="Q211" s="15"/>
      <c r="R211" s="15"/>
      <c r="S211" s="15"/>
      <c r="T211" s="15"/>
      <c r="U211" s="15"/>
      <c r="V211" s="15"/>
      <c r="W211" s="15"/>
      <c r="X211" s="15"/>
      <c r="Y211" s="11"/>
      <c r="Z211" s="11"/>
      <c r="AA211" s="11"/>
      <c r="AB211" s="11"/>
      <c r="AC211" s="11"/>
      <c r="AD211" s="11"/>
    </row>
    <row r="212">
      <c r="A212" s="26"/>
      <c r="B212" s="37">
        <v>46206.0</v>
      </c>
      <c r="C212" s="10" t="s">
        <v>28</v>
      </c>
      <c r="D212" s="28" t="str">
        <f t="shared" si="10"/>
        <v>TKCHVMDXL_06</v>
      </c>
      <c r="E212" s="28"/>
      <c r="F212" s="28"/>
      <c r="G212" s="20" t="s">
        <v>434</v>
      </c>
      <c r="H212" s="20" t="s">
        <v>435</v>
      </c>
      <c r="I212" s="20" t="s">
        <v>436</v>
      </c>
      <c r="J212" s="20" t="s">
        <v>437</v>
      </c>
      <c r="K212" s="20" t="s">
        <v>438</v>
      </c>
      <c r="L212" s="9" t="s">
        <v>785</v>
      </c>
      <c r="M212" s="8" t="s">
        <v>786</v>
      </c>
      <c r="N212" s="10" t="s">
        <v>64</v>
      </c>
      <c r="O212" s="9"/>
      <c r="P212" s="22" t="s">
        <v>65</v>
      </c>
      <c r="Q212" s="23" t="s">
        <v>37</v>
      </c>
      <c r="R212" s="9"/>
      <c r="S212" s="9"/>
      <c r="T212" s="9"/>
      <c r="U212" s="9"/>
      <c r="V212" s="9"/>
      <c r="W212" s="9"/>
      <c r="X212" s="9"/>
      <c r="Y212" s="11"/>
      <c r="Z212" s="11"/>
      <c r="AA212" s="11"/>
      <c r="AB212" s="11"/>
      <c r="AC212" s="11"/>
      <c r="AD212" s="11"/>
    </row>
    <row r="213" hidden="1">
      <c r="A213" s="27"/>
      <c r="B213" s="36">
        <v>46206.0</v>
      </c>
      <c r="C213" s="14" t="s">
        <v>28</v>
      </c>
      <c r="D213" s="29" t="str">
        <f t="shared" si="10"/>
        <v>TKCHVMDXL_07</v>
      </c>
      <c r="E213" s="29"/>
      <c r="F213" s="29"/>
      <c r="G213" s="16" t="s">
        <v>446</v>
      </c>
      <c r="H213" s="16" t="s">
        <v>447</v>
      </c>
      <c r="I213" s="16" t="s">
        <v>448</v>
      </c>
      <c r="J213" s="16" t="s">
        <v>449</v>
      </c>
      <c r="K213" s="16" t="s">
        <v>450</v>
      </c>
      <c r="L213" s="16" t="s">
        <v>450</v>
      </c>
      <c r="M213" s="30" t="s">
        <v>787</v>
      </c>
      <c r="N213" s="14" t="s">
        <v>37</v>
      </c>
      <c r="O213" s="15"/>
      <c r="P213" s="15"/>
      <c r="Q213" s="15"/>
      <c r="R213" s="15"/>
      <c r="S213" s="15"/>
      <c r="T213" s="15"/>
      <c r="U213" s="15"/>
      <c r="V213" s="15"/>
      <c r="W213" s="15"/>
      <c r="X213" s="15"/>
      <c r="Y213" s="11"/>
      <c r="Z213" s="11"/>
      <c r="AA213" s="11"/>
      <c r="AB213" s="11"/>
      <c r="AC213" s="11"/>
      <c r="AD213" s="11"/>
    </row>
    <row r="214" hidden="1">
      <c r="A214" s="26"/>
      <c r="B214" s="37">
        <v>46206.0</v>
      </c>
      <c r="C214" s="10" t="s">
        <v>28</v>
      </c>
      <c r="D214" s="28" t="str">
        <f t="shared" si="10"/>
        <v>TKCHVMDXL_08</v>
      </c>
      <c r="E214" s="28"/>
      <c r="F214" s="28"/>
      <c r="G214" s="20" t="s">
        <v>452</v>
      </c>
      <c r="H214" s="20" t="s">
        <v>453</v>
      </c>
      <c r="I214" s="20" t="s">
        <v>454</v>
      </c>
      <c r="J214" s="20" t="s">
        <v>455</v>
      </c>
      <c r="K214" s="20" t="s">
        <v>456</v>
      </c>
      <c r="L214" s="20" t="s">
        <v>456</v>
      </c>
      <c r="M214" s="8" t="s">
        <v>788</v>
      </c>
      <c r="N214" s="10" t="s">
        <v>37</v>
      </c>
      <c r="O214" s="9"/>
      <c r="P214" s="9"/>
      <c r="Q214" s="9"/>
      <c r="R214" s="9"/>
      <c r="S214" s="9"/>
      <c r="T214" s="9"/>
      <c r="U214" s="9"/>
      <c r="V214" s="9"/>
      <c r="W214" s="9"/>
      <c r="X214" s="9"/>
      <c r="Y214" s="11"/>
      <c r="Z214" s="11"/>
      <c r="AA214" s="11"/>
      <c r="AB214" s="11"/>
      <c r="AC214" s="11"/>
      <c r="AD214" s="11"/>
    </row>
    <row r="215" hidden="1">
      <c r="A215" s="27"/>
      <c r="B215" s="36">
        <v>46206.0</v>
      </c>
      <c r="C215" s="14" t="s">
        <v>28</v>
      </c>
      <c r="D215" s="29" t="str">
        <f t="shared" si="10"/>
        <v>TKCHVMDXL_09</v>
      </c>
      <c r="E215" s="29"/>
      <c r="F215" s="29"/>
      <c r="G215" s="16" t="s">
        <v>458</v>
      </c>
      <c r="H215" s="16" t="s">
        <v>459</v>
      </c>
      <c r="I215" s="16" t="s">
        <v>460</v>
      </c>
      <c r="J215" s="16" t="s">
        <v>461</v>
      </c>
      <c r="K215" s="16" t="s">
        <v>462</v>
      </c>
      <c r="L215" s="16" t="s">
        <v>462</v>
      </c>
      <c r="M215" s="30" t="s">
        <v>789</v>
      </c>
      <c r="N215" s="14" t="s">
        <v>37</v>
      </c>
      <c r="O215" s="15"/>
      <c r="P215" s="15"/>
      <c r="Q215" s="15"/>
      <c r="R215" s="15"/>
      <c r="S215" s="15"/>
      <c r="T215" s="15"/>
      <c r="U215" s="15"/>
      <c r="V215" s="15"/>
      <c r="W215" s="15"/>
      <c r="X215" s="15"/>
      <c r="Y215" s="11"/>
      <c r="Z215" s="11"/>
      <c r="AA215" s="11"/>
      <c r="AB215" s="11"/>
      <c r="AC215" s="11"/>
      <c r="AD215" s="11"/>
    </row>
    <row r="216" hidden="1">
      <c r="A216" s="26"/>
      <c r="B216" s="37">
        <v>46206.0</v>
      </c>
      <c r="C216" s="10" t="s">
        <v>28</v>
      </c>
      <c r="D216" s="28" t="str">
        <f t="shared" si="10"/>
        <v>TKCHVMDXL_10</v>
      </c>
      <c r="E216" s="28"/>
      <c r="F216" s="28"/>
      <c r="G216" s="20" t="s">
        <v>441</v>
      </c>
      <c r="H216" s="20" t="s">
        <v>423</v>
      </c>
      <c r="I216" s="20" t="s">
        <v>442</v>
      </c>
      <c r="J216" s="20" t="s">
        <v>443</v>
      </c>
      <c r="K216" s="20" t="s">
        <v>444</v>
      </c>
      <c r="L216" s="20" t="s">
        <v>444</v>
      </c>
      <c r="M216" s="8" t="s">
        <v>790</v>
      </c>
      <c r="N216" s="10" t="s">
        <v>37</v>
      </c>
      <c r="O216" s="9"/>
      <c r="P216" s="9"/>
      <c r="Q216" s="9"/>
      <c r="R216" s="9"/>
      <c r="S216" s="9"/>
      <c r="T216" s="9"/>
      <c r="U216" s="9"/>
      <c r="V216" s="9"/>
      <c r="W216" s="9"/>
      <c r="X216" s="9"/>
      <c r="Y216" s="11"/>
      <c r="Z216" s="11"/>
      <c r="AA216" s="11"/>
      <c r="AB216" s="11"/>
      <c r="AC216" s="11"/>
      <c r="AD216" s="11"/>
    </row>
    <row r="217">
      <c r="A217" s="27"/>
      <c r="B217" s="36">
        <v>46206.0</v>
      </c>
      <c r="C217" s="14" t="s">
        <v>28</v>
      </c>
      <c r="D217" s="29" t="str">
        <f t="shared" si="10"/>
        <v>TKCHVMDXL_11</v>
      </c>
      <c r="E217" s="29"/>
      <c r="F217" s="29"/>
      <c r="G217" s="16" t="s">
        <v>464</v>
      </c>
      <c r="H217" s="16" t="s">
        <v>465</v>
      </c>
      <c r="I217" s="16" t="s">
        <v>466</v>
      </c>
      <c r="J217" s="16" t="s">
        <v>467</v>
      </c>
      <c r="K217" s="16" t="s">
        <v>468</v>
      </c>
      <c r="L217" s="15" t="s">
        <v>791</v>
      </c>
      <c r="M217" s="30" t="s">
        <v>792</v>
      </c>
      <c r="N217" s="14" t="s">
        <v>64</v>
      </c>
      <c r="O217" s="15"/>
      <c r="P217" s="24" t="s">
        <v>65</v>
      </c>
      <c r="Q217" s="25" t="s">
        <v>37</v>
      </c>
      <c r="R217" s="15"/>
      <c r="S217" s="15"/>
      <c r="T217" s="15"/>
      <c r="U217" s="15"/>
      <c r="V217" s="15"/>
      <c r="W217" s="15"/>
      <c r="X217" s="15"/>
      <c r="Y217" s="11"/>
      <c r="Z217" s="11"/>
      <c r="AA217" s="11"/>
      <c r="AB217" s="11"/>
      <c r="AC217" s="11"/>
      <c r="AD217" s="11"/>
    </row>
    <row r="218" hidden="1">
      <c r="A218" s="26"/>
      <c r="B218" s="37">
        <v>46206.0</v>
      </c>
      <c r="C218" s="10" t="s">
        <v>28</v>
      </c>
      <c r="D218" s="28" t="str">
        <f t="shared" si="10"/>
        <v>TKCHVMDXL_12</v>
      </c>
      <c r="E218" s="28"/>
      <c r="F218" s="28"/>
      <c r="G218" s="20" t="s">
        <v>470</v>
      </c>
      <c r="H218" s="20" t="s">
        <v>471</v>
      </c>
      <c r="I218" s="20" t="s">
        <v>472</v>
      </c>
      <c r="J218" s="20" t="s">
        <v>473</v>
      </c>
      <c r="K218" s="20" t="s">
        <v>474</v>
      </c>
      <c r="L218" s="20" t="s">
        <v>474</v>
      </c>
      <c r="M218" s="8" t="s">
        <v>793</v>
      </c>
      <c r="N218" s="10" t="s">
        <v>37</v>
      </c>
      <c r="O218" s="9"/>
      <c r="P218" s="9"/>
      <c r="Q218" s="9"/>
      <c r="R218" s="9"/>
      <c r="S218" s="9"/>
      <c r="T218" s="9"/>
      <c r="U218" s="9"/>
      <c r="V218" s="9"/>
      <c r="W218" s="9"/>
      <c r="X218" s="9"/>
      <c r="Y218" s="11"/>
      <c r="Z218" s="11"/>
      <c r="AA218" s="11"/>
      <c r="AB218" s="11"/>
      <c r="AC218" s="11"/>
      <c r="AD218" s="11"/>
    </row>
    <row r="219" hidden="1">
      <c r="A219" s="31"/>
      <c r="B219" s="32" t="s">
        <v>794</v>
      </c>
      <c r="C219" s="32" t="s">
        <v>28</v>
      </c>
      <c r="D219" s="33"/>
      <c r="E219" s="33" t="s">
        <v>795</v>
      </c>
      <c r="F219" s="29"/>
      <c r="G219" s="29"/>
      <c r="H219" s="29"/>
      <c r="I219" s="29"/>
      <c r="J219" s="29"/>
      <c r="K219" s="15"/>
      <c r="L219" s="15"/>
      <c r="M219" s="15"/>
      <c r="N219" s="14"/>
      <c r="O219" s="15"/>
      <c r="P219" s="15"/>
      <c r="Q219" s="15"/>
      <c r="R219" s="15"/>
      <c r="S219" s="15"/>
      <c r="T219" s="15"/>
      <c r="U219" s="15"/>
      <c r="V219" s="15"/>
      <c r="W219" s="15"/>
      <c r="X219" s="15"/>
      <c r="Y219" s="11"/>
      <c r="Z219" s="11"/>
      <c r="AA219" s="11"/>
      <c r="AB219" s="11"/>
      <c r="AC219" s="11"/>
      <c r="AD219" s="11"/>
    </row>
    <row r="220" hidden="1">
      <c r="A220" s="26"/>
      <c r="B220" s="10">
        <v>20.0</v>
      </c>
      <c r="C220" s="10" t="s">
        <v>28</v>
      </c>
      <c r="D220" s="28"/>
      <c r="E220" s="28" t="s">
        <v>796</v>
      </c>
      <c r="F220" s="28" t="s">
        <v>797</v>
      </c>
      <c r="G220" s="28" t="s">
        <v>798</v>
      </c>
      <c r="H220" s="10"/>
      <c r="I220" s="9"/>
      <c r="J220" s="9"/>
      <c r="K220" s="9"/>
      <c r="L220" s="9"/>
      <c r="M220" s="9"/>
      <c r="N220" s="10"/>
      <c r="O220" s="9"/>
      <c r="P220" s="9"/>
      <c r="Q220" s="9"/>
      <c r="R220" s="9"/>
      <c r="S220" s="9"/>
      <c r="T220" s="9"/>
      <c r="U220" s="9"/>
      <c r="V220" s="9"/>
      <c r="W220" s="9"/>
      <c r="X220" s="9"/>
      <c r="Y220" s="11"/>
      <c r="Z220" s="11"/>
      <c r="AA220" s="11"/>
      <c r="AB220" s="11"/>
      <c r="AC220" s="11"/>
      <c r="AD220" s="11"/>
    </row>
    <row r="221" hidden="1">
      <c r="A221" s="27"/>
      <c r="B221" s="36">
        <v>46206.0</v>
      </c>
      <c r="C221" s="14" t="s">
        <v>28</v>
      </c>
      <c r="D221" s="29" t="str">
        <f t="shared" ref="D221:D243" si="11">IF(G221&lt;&gt;"","TTCTDTTH_"&amp;TEXT(COUNTIF($G$221:G221,"&lt;&gt;"),"00"),"")</f>
        <v>TTCTDTTH_01</v>
      </c>
      <c r="E221" s="44"/>
      <c r="F221" s="16"/>
      <c r="G221" s="16" t="s">
        <v>799</v>
      </c>
      <c r="H221" s="16" t="s">
        <v>800</v>
      </c>
      <c r="I221" s="16" t="s">
        <v>801</v>
      </c>
      <c r="J221" s="16" t="s">
        <v>802</v>
      </c>
      <c r="K221" s="16" t="s">
        <v>803</v>
      </c>
      <c r="L221" s="16" t="s">
        <v>803</v>
      </c>
      <c r="M221" s="30" t="s">
        <v>804</v>
      </c>
      <c r="N221" s="14" t="s">
        <v>37</v>
      </c>
      <c r="O221" s="15"/>
      <c r="P221" s="15"/>
      <c r="Q221" s="15"/>
      <c r="R221" s="15"/>
      <c r="S221" s="15"/>
      <c r="T221" s="15"/>
      <c r="U221" s="15"/>
      <c r="V221" s="15"/>
      <c r="W221" s="15"/>
      <c r="X221" s="15"/>
      <c r="Y221" s="11"/>
      <c r="Z221" s="11"/>
      <c r="AA221" s="11"/>
      <c r="AB221" s="11"/>
      <c r="AC221" s="11"/>
      <c r="AD221" s="11"/>
    </row>
    <row r="222" hidden="1">
      <c r="A222" s="26"/>
      <c r="B222" s="37">
        <v>46206.0</v>
      </c>
      <c r="C222" s="10" t="s">
        <v>28</v>
      </c>
      <c r="D222" s="28" t="str">
        <f t="shared" si="11"/>
        <v>TTCTDTTH_02</v>
      </c>
      <c r="E222" s="45"/>
      <c r="F222" s="20"/>
      <c r="G222" s="20" t="s">
        <v>805</v>
      </c>
      <c r="H222" s="20" t="s">
        <v>806</v>
      </c>
      <c r="I222" s="20" t="s">
        <v>801</v>
      </c>
      <c r="J222" s="20" t="s">
        <v>807</v>
      </c>
      <c r="K222" s="20" t="s">
        <v>808</v>
      </c>
      <c r="L222" s="20" t="s">
        <v>808</v>
      </c>
      <c r="M222" s="8" t="s">
        <v>809</v>
      </c>
      <c r="N222" s="10" t="s">
        <v>37</v>
      </c>
      <c r="O222" s="9"/>
      <c r="P222" s="9"/>
      <c r="Q222" s="9"/>
      <c r="R222" s="9"/>
      <c r="S222" s="9"/>
      <c r="T222" s="9"/>
      <c r="U222" s="9"/>
      <c r="V222" s="9"/>
      <c r="W222" s="9"/>
      <c r="X222" s="9"/>
      <c r="Y222" s="11"/>
      <c r="Z222" s="11"/>
      <c r="AA222" s="11"/>
      <c r="AB222" s="11"/>
      <c r="AC222" s="11"/>
      <c r="AD222" s="11"/>
    </row>
    <row r="223" hidden="1">
      <c r="A223" s="27"/>
      <c r="B223" s="36">
        <v>46206.0</v>
      </c>
      <c r="C223" s="14" t="s">
        <v>28</v>
      </c>
      <c r="D223" s="29" t="str">
        <f t="shared" si="11"/>
        <v>TTCTDTTH_03</v>
      </c>
      <c r="E223" s="44"/>
      <c r="F223" s="16"/>
      <c r="G223" s="16" t="s">
        <v>810</v>
      </c>
      <c r="H223" s="16" t="s">
        <v>59</v>
      </c>
      <c r="I223" s="16" t="s">
        <v>811</v>
      </c>
      <c r="J223" s="16" t="s">
        <v>812</v>
      </c>
      <c r="K223" s="16" t="s">
        <v>813</v>
      </c>
      <c r="L223" s="16" t="s">
        <v>813</v>
      </c>
      <c r="M223" s="30" t="s">
        <v>814</v>
      </c>
      <c r="N223" s="14" t="s">
        <v>37</v>
      </c>
      <c r="O223" s="15"/>
      <c r="P223" s="15"/>
      <c r="Q223" s="15"/>
      <c r="R223" s="15"/>
      <c r="S223" s="15"/>
      <c r="T223" s="15"/>
      <c r="U223" s="15"/>
      <c r="V223" s="15"/>
      <c r="W223" s="15"/>
      <c r="X223" s="15"/>
      <c r="Y223" s="11"/>
      <c r="Z223" s="11"/>
      <c r="AA223" s="11"/>
      <c r="AB223" s="11"/>
      <c r="AC223" s="11"/>
      <c r="AD223" s="11"/>
    </row>
    <row r="224" hidden="1">
      <c r="A224" s="26"/>
      <c r="B224" s="37">
        <v>46206.0</v>
      </c>
      <c r="C224" s="10" t="s">
        <v>28</v>
      </c>
      <c r="D224" s="28" t="str">
        <f t="shared" si="11"/>
        <v>TTCTDTTH_04</v>
      </c>
      <c r="E224" s="45"/>
      <c r="F224" s="20"/>
      <c r="G224" s="20" t="s">
        <v>815</v>
      </c>
      <c r="H224" s="20" t="s">
        <v>59</v>
      </c>
      <c r="I224" s="20" t="s">
        <v>816</v>
      </c>
      <c r="J224" s="20" t="s">
        <v>817</v>
      </c>
      <c r="K224" s="20" t="s">
        <v>818</v>
      </c>
      <c r="L224" s="20" t="s">
        <v>818</v>
      </c>
      <c r="M224" s="8" t="s">
        <v>819</v>
      </c>
      <c r="N224" s="10" t="s">
        <v>37</v>
      </c>
      <c r="O224" s="9"/>
      <c r="P224" s="9"/>
      <c r="Q224" s="9"/>
      <c r="R224" s="9"/>
      <c r="S224" s="9"/>
      <c r="T224" s="9"/>
      <c r="U224" s="9"/>
      <c r="V224" s="9"/>
      <c r="W224" s="9"/>
      <c r="X224" s="9"/>
      <c r="Y224" s="11"/>
      <c r="Z224" s="11"/>
      <c r="AA224" s="11"/>
      <c r="AB224" s="11"/>
      <c r="AC224" s="11"/>
      <c r="AD224" s="11"/>
    </row>
    <row r="225" hidden="1">
      <c r="A225" s="27"/>
      <c r="B225" s="36">
        <v>46206.0</v>
      </c>
      <c r="C225" s="14" t="s">
        <v>28</v>
      </c>
      <c r="D225" s="29" t="str">
        <f t="shared" si="11"/>
        <v>TTCTDTTH_05</v>
      </c>
      <c r="E225" s="44"/>
      <c r="F225" s="16"/>
      <c r="G225" s="16" t="s">
        <v>820</v>
      </c>
      <c r="H225" s="16" t="s">
        <v>801</v>
      </c>
      <c r="I225" s="16" t="s">
        <v>821</v>
      </c>
      <c r="J225" s="16" t="s">
        <v>822</v>
      </c>
      <c r="K225" s="16" t="s">
        <v>823</v>
      </c>
      <c r="L225" s="16" t="s">
        <v>823</v>
      </c>
      <c r="M225" s="30" t="s">
        <v>824</v>
      </c>
      <c r="N225" s="14" t="s">
        <v>37</v>
      </c>
      <c r="O225" s="15"/>
      <c r="P225" s="15"/>
      <c r="Q225" s="15"/>
      <c r="R225" s="15"/>
      <c r="S225" s="15"/>
      <c r="T225" s="15"/>
      <c r="U225" s="15"/>
      <c r="V225" s="15"/>
      <c r="W225" s="15"/>
      <c r="X225" s="15"/>
      <c r="Y225" s="11"/>
      <c r="Z225" s="11"/>
      <c r="AA225" s="11"/>
      <c r="AB225" s="11"/>
      <c r="AC225" s="11"/>
      <c r="AD225" s="11"/>
    </row>
    <row r="226" hidden="1">
      <c r="A226" s="26"/>
      <c r="B226" s="37">
        <v>46206.0</v>
      </c>
      <c r="C226" s="10" t="s">
        <v>28</v>
      </c>
      <c r="D226" s="28" t="str">
        <f t="shared" si="11"/>
        <v>TTCTDTTH_06</v>
      </c>
      <c r="E226" s="45"/>
      <c r="F226" s="20"/>
      <c r="G226" s="20" t="s">
        <v>825</v>
      </c>
      <c r="H226" s="20" t="s">
        <v>801</v>
      </c>
      <c r="I226" s="20" t="s">
        <v>826</v>
      </c>
      <c r="J226" s="20" t="s">
        <v>827</v>
      </c>
      <c r="K226" s="20" t="s">
        <v>828</v>
      </c>
      <c r="L226" s="20" t="s">
        <v>828</v>
      </c>
      <c r="M226" s="8" t="s">
        <v>829</v>
      </c>
      <c r="N226" s="10" t="s">
        <v>37</v>
      </c>
      <c r="O226" s="9"/>
      <c r="P226" s="9"/>
      <c r="Q226" s="9"/>
      <c r="R226" s="9"/>
      <c r="S226" s="9"/>
      <c r="T226" s="9"/>
      <c r="U226" s="9"/>
      <c r="V226" s="9"/>
      <c r="W226" s="9"/>
      <c r="X226" s="9"/>
      <c r="Y226" s="11"/>
      <c r="Z226" s="11"/>
      <c r="AA226" s="11"/>
      <c r="AB226" s="11"/>
      <c r="AC226" s="11"/>
      <c r="AD226" s="11"/>
    </row>
    <row r="227" hidden="1">
      <c r="A227" s="27"/>
      <c r="B227" s="36">
        <v>46206.0</v>
      </c>
      <c r="C227" s="14" t="s">
        <v>28</v>
      </c>
      <c r="D227" s="29" t="str">
        <f t="shared" si="11"/>
        <v>TTCTDTTH_07</v>
      </c>
      <c r="E227" s="44"/>
      <c r="F227" s="16"/>
      <c r="G227" s="16" t="s">
        <v>830</v>
      </c>
      <c r="H227" s="16" t="s">
        <v>59</v>
      </c>
      <c r="I227" s="16" t="s">
        <v>831</v>
      </c>
      <c r="J227" s="16" t="s">
        <v>832</v>
      </c>
      <c r="K227" s="16" t="s">
        <v>833</v>
      </c>
      <c r="L227" s="16" t="s">
        <v>833</v>
      </c>
      <c r="M227" s="30" t="s">
        <v>834</v>
      </c>
      <c r="N227" s="14" t="s">
        <v>37</v>
      </c>
      <c r="O227" s="15"/>
      <c r="P227" s="15"/>
      <c r="Q227" s="15"/>
      <c r="R227" s="15"/>
      <c r="S227" s="15"/>
      <c r="T227" s="15"/>
      <c r="U227" s="15"/>
      <c r="V227" s="15"/>
      <c r="W227" s="15"/>
      <c r="X227" s="15"/>
      <c r="Y227" s="11"/>
      <c r="Z227" s="11"/>
      <c r="AA227" s="11"/>
      <c r="AB227" s="11"/>
      <c r="AC227" s="11"/>
      <c r="AD227" s="11"/>
    </row>
    <row r="228" hidden="1">
      <c r="A228" s="26"/>
      <c r="B228" s="37">
        <v>46206.0</v>
      </c>
      <c r="C228" s="10" t="s">
        <v>28</v>
      </c>
      <c r="D228" s="28" t="str">
        <f t="shared" si="11"/>
        <v>TTCTDTTH_08</v>
      </c>
      <c r="E228" s="45"/>
      <c r="F228" s="20"/>
      <c r="G228" s="20" t="s">
        <v>835</v>
      </c>
      <c r="H228" s="20" t="s">
        <v>801</v>
      </c>
      <c r="I228" s="20" t="s">
        <v>801</v>
      </c>
      <c r="J228" s="20" t="s">
        <v>836</v>
      </c>
      <c r="K228" s="20" t="s">
        <v>837</v>
      </c>
      <c r="L228" s="20" t="s">
        <v>837</v>
      </c>
      <c r="M228" s="8" t="s">
        <v>838</v>
      </c>
      <c r="N228" s="10" t="s">
        <v>37</v>
      </c>
      <c r="O228" s="9"/>
      <c r="P228" s="9"/>
      <c r="Q228" s="9"/>
      <c r="R228" s="9"/>
      <c r="S228" s="9"/>
      <c r="T228" s="9"/>
      <c r="U228" s="9"/>
      <c r="V228" s="9"/>
      <c r="W228" s="9"/>
      <c r="X228" s="9"/>
      <c r="Y228" s="11"/>
      <c r="Z228" s="11"/>
      <c r="AA228" s="11"/>
      <c r="AB228" s="11"/>
      <c r="AC228" s="11"/>
      <c r="AD228" s="11"/>
    </row>
    <row r="229" hidden="1">
      <c r="A229" s="27"/>
      <c r="B229" s="36">
        <v>46206.0</v>
      </c>
      <c r="C229" s="14" t="s">
        <v>28</v>
      </c>
      <c r="D229" s="29" t="str">
        <f t="shared" si="11"/>
        <v>TTCTDTTH_09</v>
      </c>
      <c r="E229" s="44"/>
      <c r="F229" s="16"/>
      <c r="G229" s="16" t="s">
        <v>839</v>
      </c>
      <c r="H229" s="16" t="s">
        <v>840</v>
      </c>
      <c r="I229" s="16" t="s">
        <v>801</v>
      </c>
      <c r="J229" s="16" t="s">
        <v>82</v>
      </c>
      <c r="K229" s="16" t="s">
        <v>841</v>
      </c>
      <c r="L229" s="16" t="s">
        <v>841</v>
      </c>
      <c r="M229" s="30" t="s">
        <v>842</v>
      </c>
      <c r="N229" s="14" t="s">
        <v>37</v>
      </c>
      <c r="O229" s="15"/>
      <c r="P229" s="15"/>
      <c r="Q229" s="15"/>
      <c r="R229" s="15"/>
      <c r="S229" s="15"/>
      <c r="T229" s="15"/>
      <c r="U229" s="15"/>
      <c r="V229" s="15"/>
      <c r="W229" s="15"/>
      <c r="X229" s="15"/>
      <c r="Y229" s="11"/>
      <c r="Z229" s="11"/>
      <c r="AA229" s="11"/>
      <c r="AB229" s="11"/>
      <c r="AC229" s="11"/>
      <c r="AD229" s="11"/>
    </row>
    <row r="230" hidden="1">
      <c r="A230" s="26"/>
      <c r="B230" s="37">
        <v>46206.0</v>
      </c>
      <c r="C230" s="10" t="s">
        <v>28</v>
      </c>
      <c r="D230" s="28" t="str">
        <f t="shared" si="11"/>
        <v>TTCTDTTH_10</v>
      </c>
      <c r="E230" s="45"/>
      <c r="F230" s="20"/>
      <c r="G230" s="20" t="s">
        <v>843</v>
      </c>
      <c r="H230" s="20" t="s">
        <v>801</v>
      </c>
      <c r="I230" s="20" t="s">
        <v>801</v>
      </c>
      <c r="J230" s="20" t="s">
        <v>87</v>
      </c>
      <c r="K230" s="20" t="s">
        <v>844</v>
      </c>
      <c r="L230" s="20" t="s">
        <v>844</v>
      </c>
      <c r="M230" s="8" t="s">
        <v>845</v>
      </c>
      <c r="N230" s="10" t="s">
        <v>37</v>
      </c>
      <c r="O230" s="9"/>
      <c r="P230" s="9"/>
      <c r="Q230" s="9"/>
      <c r="R230" s="9"/>
      <c r="S230" s="9"/>
      <c r="T230" s="9"/>
      <c r="U230" s="9"/>
      <c r="V230" s="9"/>
      <c r="W230" s="9"/>
      <c r="X230" s="9"/>
      <c r="Y230" s="11"/>
      <c r="Z230" s="11"/>
      <c r="AA230" s="11"/>
      <c r="AB230" s="11"/>
      <c r="AC230" s="11"/>
      <c r="AD230" s="11"/>
    </row>
    <row r="231" hidden="1">
      <c r="A231" s="27"/>
      <c r="B231" s="36">
        <v>46206.0</v>
      </c>
      <c r="C231" s="14" t="s">
        <v>28</v>
      </c>
      <c r="D231" s="29" t="str">
        <f t="shared" si="11"/>
        <v>TTCTDTTH_11</v>
      </c>
      <c r="E231" s="44"/>
      <c r="F231" s="16"/>
      <c r="G231" s="16" t="s">
        <v>846</v>
      </c>
      <c r="H231" s="16" t="s">
        <v>801</v>
      </c>
      <c r="I231" s="16" t="s">
        <v>801</v>
      </c>
      <c r="J231" s="16" t="s">
        <v>847</v>
      </c>
      <c r="K231" s="16" t="s">
        <v>848</v>
      </c>
      <c r="L231" s="16" t="s">
        <v>848</v>
      </c>
      <c r="M231" s="30" t="s">
        <v>849</v>
      </c>
      <c r="N231" s="14" t="s">
        <v>37</v>
      </c>
      <c r="O231" s="15"/>
      <c r="P231" s="15"/>
      <c r="Q231" s="15"/>
      <c r="R231" s="15"/>
      <c r="S231" s="15"/>
      <c r="T231" s="15"/>
      <c r="U231" s="15"/>
      <c r="V231" s="15"/>
      <c r="W231" s="15"/>
      <c r="X231" s="15"/>
      <c r="Y231" s="11"/>
      <c r="Z231" s="11"/>
      <c r="AA231" s="11"/>
      <c r="AB231" s="11"/>
      <c r="AC231" s="11"/>
      <c r="AD231" s="11"/>
    </row>
    <row r="232" hidden="1">
      <c r="A232" s="26"/>
      <c r="B232" s="37">
        <v>46206.0</v>
      </c>
      <c r="C232" s="10" t="s">
        <v>28</v>
      </c>
      <c r="D232" s="28" t="str">
        <f t="shared" si="11"/>
        <v>TTCTDTTH_12</v>
      </c>
      <c r="E232" s="45"/>
      <c r="F232" s="20"/>
      <c r="G232" s="20" t="s">
        <v>850</v>
      </c>
      <c r="H232" s="20" t="s">
        <v>59</v>
      </c>
      <c r="I232" s="20" t="s">
        <v>801</v>
      </c>
      <c r="J232" s="20" t="s">
        <v>851</v>
      </c>
      <c r="K232" s="20" t="s">
        <v>852</v>
      </c>
      <c r="L232" s="20" t="s">
        <v>852</v>
      </c>
      <c r="M232" s="8" t="s">
        <v>853</v>
      </c>
      <c r="N232" s="10" t="s">
        <v>37</v>
      </c>
      <c r="O232" s="9"/>
      <c r="P232" s="9"/>
      <c r="Q232" s="9"/>
      <c r="R232" s="9"/>
      <c r="S232" s="9"/>
      <c r="T232" s="9"/>
      <c r="U232" s="9"/>
      <c r="V232" s="9"/>
      <c r="W232" s="9"/>
      <c r="X232" s="9"/>
      <c r="Y232" s="11"/>
      <c r="Z232" s="11"/>
      <c r="AA232" s="11"/>
      <c r="AB232" s="11"/>
      <c r="AC232" s="11"/>
      <c r="AD232" s="11"/>
    </row>
    <row r="233" hidden="1">
      <c r="A233" s="27"/>
      <c r="B233" s="36">
        <v>46206.0</v>
      </c>
      <c r="C233" s="14" t="s">
        <v>28</v>
      </c>
      <c r="D233" s="29" t="str">
        <f t="shared" si="11"/>
        <v>TTCTDTTH_13</v>
      </c>
      <c r="E233" s="44"/>
      <c r="F233" s="16"/>
      <c r="G233" s="16" t="s">
        <v>854</v>
      </c>
      <c r="H233" s="16" t="s">
        <v>59</v>
      </c>
      <c r="I233" s="16" t="s">
        <v>801</v>
      </c>
      <c r="J233" s="16" t="s">
        <v>855</v>
      </c>
      <c r="K233" s="16" t="s">
        <v>856</v>
      </c>
      <c r="L233" s="16" t="s">
        <v>856</v>
      </c>
      <c r="M233" s="30" t="s">
        <v>857</v>
      </c>
      <c r="N233" s="14" t="s">
        <v>37</v>
      </c>
      <c r="O233" s="15"/>
      <c r="P233" s="15"/>
      <c r="Q233" s="15"/>
      <c r="R233" s="15"/>
      <c r="S233" s="15"/>
      <c r="T233" s="15"/>
      <c r="U233" s="15"/>
      <c r="V233" s="15"/>
      <c r="W233" s="15"/>
      <c r="X233" s="15"/>
      <c r="Y233" s="11"/>
      <c r="Z233" s="11"/>
      <c r="AA233" s="11"/>
      <c r="AB233" s="11"/>
      <c r="AC233" s="11"/>
      <c r="AD233" s="11"/>
    </row>
    <row r="234" hidden="1">
      <c r="A234" s="26"/>
      <c r="B234" s="37">
        <v>46206.0</v>
      </c>
      <c r="C234" s="10" t="s">
        <v>28</v>
      </c>
      <c r="D234" s="28" t="str">
        <f t="shared" si="11"/>
        <v>TTCTDTTH_14</v>
      </c>
      <c r="E234" s="45"/>
      <c r="F234" s="20"/>
      <c r="G234" s="20" t="s">
        <v>858</v>
      </c>
      <c r="H234" s="20" t="s">
        <v>59</v>
      </c>
      <c r="I234" s="20" t="s">
        <v>801</v>
      </c>
      <c r="J234" s="20" t="s">
        <v>859</v>
      </c>
      <c r="K234" s="20" t="s">
        <v>860</v>
      </c>
      <c r="L234" s="20" t="s">
        <v>860</v>
      </c>
      <c r="M234" s="8" t="s">
        <v>861</v>
      </c>
      <c r="N234" s="10" t="s">
        <v>37</v>
      </c>
      <c r="O234" s="9"/>
      <c r="P234" s="9"/>
      <c r="Q234" s="9"/>
      <c r="R234" s="9"/>
      <c r="S234" s="9"/>
      <c r="T234" s="9"/>
      <c r="U234" s="9"/>
      <c r="V234" s="9"/>
      <c r="W234" s="9"/>
      <c r="X234" s="9"/>
      <c r="Y234" s="11"/>
      <c r="Z234" s="11"/>
      <c r="AA234" s="11"/>
      <c r="AB234" s="11"/>
      <c r="AC234" s="11"/>
      <c r="AD234" s="11"/>
    </row>
    <row r="235" hidden="1">
      <c r="A235" s="27"/>
      <c r="B235" s="36">
        <v>46206.0</v>
      </c>
      <c r="C235" s="14" t="s">
        <v>28</v>
      </c>
      <c r="D235" s="29" t="str">
        <f t="shared" si="11"/>
        <v>TTCTDTTH_15</v>
      </c>
      <c r="E235" s="44"/>
      <c r="F235" s="16"/>
      <c r="G235" s="16" t="s">
        <v>862</v>
      </c>
      <c r="H235" s="16" t="s">
        <v>59</v>
      </c>
      <c r="I235" s="16" t="s">
        <v>801</v>
      </c>
      <c r="J235" s="16" t="s">
        <v>863</v>
      </c>
      <c r="K235" s="16" t="s">
        <v>864</v>
      </c>
      <c r="L235" s="16" t="s">
        <v>864</v>
      </c>
      <c r="M235" s="30" t="s">
        <v>865</v>
      </c>
      <c r="N235" s="14" t="s">
        <v>37</v>
      </c>
      <c r="O235" s="15"/>
      <c r="P235" s="15"/>
      <c r="Q235" s="15"/>
      <c r="R235" s="15"/>
      <c r="S235" s="15"/>
      <c r="T235" s="15"/>
      <c r="U235" s="15"/>
      <c r="V235" s="15"/>
      <c r="W235" s="15"/>
      <c r="X235" s="15"/>
      <c r="Y235" s="11"/>
      <c r="Z235" s="11"/>
      <c r="AA235" s="11"/>
      <c r="AB235" s="11"/>
      <c r="AC235" s="11"/>
      <c r="AD235" s="11"/>
    </row>
    <row r="236" hidden="1">
      <c r="A236" s="26"/>
      <c r="B236" s="37">
        <v>46206.0</v>
      </c>
      <c r="C236" s="10" t="s">
        <v>28</v>
      </c>
      <c r="D236" s="28" t="str">
        <f t="shared" si="11"/>
        <v>TTCTDTTH_16</v>
      </c>
      <c r="E236" s="45"/>
      <c r="F236" s="20"/>
      <c r="G236" s="20" t="s">
        <v>866</v>
      </c>
      <c r="H236" s="20" t="s">
        <v>59</v>
      </c>
      <c r="I236" s="20" t="s">
        <v>801</v>
      </c>
      <c r="J236" s="20" t="s">
        <v>867</v>
      </c>
      <c r="K236" s="20" t="s">
        <v>868</v>
      </c>
      <c r="L236" s="20"/>
      <c r="M236" s="9"/>
      <c r="N236" s="10" t="s">
        <v>208</v>
      </c>
      <c r="O236" s="9" t="s">
        <v>209</v>
      </c>
      <c r="P236" s="9"/>
      <c r="Q236" s="9"/>
      <c r="R236" s="9"/>
      <c r="S236" s="9"/>
      <c r="T236" s="9"/>
      <c r="U236" s="9"/>
      <c r="V236" s="9"/>
      <c r="W236" s="9"/>
      <c r="X236" s="9"/>
      <c r="Y236" s="11"/>
      <c r="Z236" s="11"/>
      <c r="AA236" s="11"/>
      <c r="AB236" s="11"/>
      <c r="AC236" s="11"/>
      <c r="AD236" s="11"/>
    </row>
    <row r="237" hidden="1">
      <c r="A237" s="27"/>
      <c r="B237" s="36">
        <v>46206.0</v>
      </c>
      <c r="C237" s="14" t="s">
        <v>28</v>
      </c>
      <c r="D237" s="29" t="str">
        <f t="shared" si="11"/>
        <v>TTCTDTTH_17</v>
      </c>
      <c r="E237" s="44"/>
      <c r="F237" s="16"/>
      <c r="G237" s="16" t="s">
        <v>869</v>
      </c>
      <c r="H237" s="16" t="s">
        <v>59</v>
      </c>
      <c r="I237" s="16" t="s">
        <v>801</v>
      </c>
      <c r="J237" s="16" t="s">
        <v>870</v>
      </c>
      <c r="K237" s="16" t="s">
        <v>871</v>
      </c>
      <c r="L237" s="16"/>
      <c r="M237" s="15"/>
      <c r="N237" s="14" t="s">
        <v>208</v>
      </c>
      <c r="O237" s="15" t="s">
        <v>209</v>
      </c>
      <c r="P237" s="15"/>
      <c r="Q237" s="15"/>
      <c r="R237" s="15"/>
      <c r="S237" s="15"/>
      <c r="T237" s="15"/>
      <c r="U237" s="15"/>
      <c r="V237" s="15"/>
      <c r="W237" s="15"/>
      <c r="X237" s="15"/>
      <c r="Y237" s="11"/>
      <c r="Z237" s="11"/>
      <c r="AA237" s="11"/>
      <c r="AB237" s="11"/>
      <c r="AC237" s="11"/>
      <c r="AD237" s="11"/>
    </row>
    <row r="238" hidden="1">
      <c r="A238" s="26"/>
      <c r="B238" s="37">
        <v>46206.0</v>
      </c>
      <c r="C238" s="10" t="s">
        <v>28</v>
      </c>
      <c r="D238" s="28" t="str">
        <f t="shared" si="11"/>
        <v>TTCTDTTH_18</v>
      </c>
      <c r="E238" s="45"/>
      <c r="F238" s="20"/>
      <c r="G238" s="20" t="s">
        <v>872</v>
      </c>
      <c r="H238" s="20" t="s">
        <v>59</v>
      </c>
      <c r="I238" s="20" t="s">
        <v>801</v>
      </c>
      <c r="J238" s="20" t="s">
        <v>873</v>
      </c>
      <c r="K238" s="20" t="s">
        <v>874</v>
      </c>
      <c r="L238" s="20" t="s">
        <v>874</v>
      </c>
      <c r="M238" s="8" t="s">
        <v>875</v>
      </c>
      <c r="N238" s="10" t="s">
        <v>37</v>
      </c>
      <c r="O238" s="9"/>
      <c r="P238" s="9"/>
      <c r="Q238" s="9"/>
      <c r="R238" s="9"/>
      <c r="S238" s="9"/>
      <c r="T238" s="9"/>
      <c r="U238" s="9"/>
      <c r="V238" s="9"/>
      <c r="W238" s="9"/>
      <c r="X238" s="9"/>
      <c r="Y238" s="11"/>
      <c r="Z238" s="11"/>
      <c r="AA238" s="11"/>
      <c r="AB238" s="11"/>
      <c r="AC238" s="11"/>
      <c r="AD238" s="11"/>
    </row>
    <row r="239" hidden="1">
      <c r="A239" s="27"/>
      <c r="B239" s="36">
        <v>46206.0</v>
      </c>
      <c r="C239" s="14" t="s">
        <v>28</v>
      </c>
      <c r="D239" s="29" t="str">
        <f t="shared" si="11"/>
        <v>TTCTDTTH_19</v>
      </c>
      <c r="E239" s="44"/>
      <c r="F239" s="16"/>
      <c r="G239" s="16" t="s">
        <v>876</v>
      </c>
      <c r="H239" s="16" t="s">
        <v>877</v>
      </c>
      <c r="I239" s="16" t="s">
        <v>801</v>
      </c>
      <c r="J239" s="16" t="s">
        <v>878</v>
      </c>
      <c r="K239" s="16" t="s">
        <v>879</v>
      </c>
      <c r="L239" s="16" t="s">
        <v>879</v>
      </c>
      <c r="M239" s="30" t="s">
        <v>880</v>
      </c>
      <c r="N239" s="14" t="s">
        <v>37</v>
      </c>
      <c r="O239" s="15"/>
      <c r="P239" s="15"/>
      <c r="Q239" s="15"/>
      <c r="R239" s="15"/>
      <c r="S239" s="15"/>
      <c r="T239" s="15"/>
      <c r="U239" s="15"/>
      <c r="V239" s="15"/>
      <c r="W239" s="15"/>
      <c r="X239" s="15"/>
      <c r="Y239" s="11"/>
      <c r="Z239" s="11"/>
      <c r="AA239" s="11"/>
      <c r="AB239" s="11"/>
      <c r="AC239" s="11"/>
      <c r="AD239" s="11"/>
    </row>
    <row r="240" hidden="1">
      <c r="A240" s="26"/>
      <c r="B240" s="37">
        <v>46206.0</v>
      </c>
      <c r="C240" s="10" t="s">
        <v>28</v>
      </c>
      <c r="D240" s="28" t="str">
        <f t="shared" si="11"/>
        <v>TTCTDTTH_20</v>
      </c>
      <c r="E240" s="45"/>
      <c r="F240" s="20"/>
      <c r="G240" s="20" t="s">
        <v>881</v>
      </c>
      <c r="H240" s="20" t="s">
        <v>882</v>
      </c>
      <c r="I240" s="20" t="s">
        <v>801</v>
      </c>
      <c r="J240" s="20" t="s">
        <v>883</v>
      </c>
      <c r="K240" s="20" t="s">
        <v>884</v>
      </c>
      <c r="L240" s="20" t="s">
        <v>884</v>
      </c>
      <c r="M240" s="8" t="s">
        <v>885</v>
      </c>
      <c r="N240" s="10" t="s">
        <v>37</v>
      </c>
      <c r="O240" s="9"/>
      <c r="P240" s="9"/>
      <c r="Q240" s="9"/>
      <c r="R240" s="9"/>
      <c r="S240" s="9"/>
      <c r="T240" s="9"/>
      <c r="U240" s="9"/>
      <c r="V240" s="9"/>
      <c r="W240" s="9"/>
      <c r="X240" s="9"/>
      <c r="Y240" s="11"/>
      <c r="Z240" s="11"/>
      <c r="AA240" s="11"/>
      <c r="AB240" s="11"/>
      <c r="AC240" s="11"/>
      <c r="AD240" s="11"/>
    </row>
    <row r="241" hidden="1">
      <c r="A241" s="27"/>
      <c r="B241" s="36">
        <v>46206.0</v>
      </c>
      <c r="C241" s="14" t="s">
        <v>28</v>
      </c>
      <c r="D241" s="29" t="str">
        <f t="shared" si="11"/>
        <v>TTCTDTTH_21</v>
      </c>
      <c r="E241" s="44"/>
      <c r="F241" s="16"/>
      <c r="G241" s="16" t="s">
        <v>886</v>
      </c>
      <c r="H241" s="16" t="s">
        <v>59</v>
      </c>
      <c r="I241" s="16" t="s">
        <v>801</v>
      </c>
      <c r="J241" s="16" t="s">
        <v>887</v>
      </c>
      <c r="K241" s="16" t="s">
        <v>888</v>
      </c>
      <c r="L241" s="16" t="s">
        <v>888</v>
      </c>
      <c r="M241" s="30" t="s">
        <v>889</v>
      </c>
      <c r="N241" s="14" t="s">
        <v>37</v>
      </c>
      <c r="O241" s="15"/>
      <c r="P241" s="15"/>
      <c r="Q241" s="15"/>
      <c r="R241" s="15"/>
      <c r="S241" s="15"/>
      <c r="T241" s="15"/>
      <c r="U241" s="15"/>
      <c r="V241" s="15"/>
      <c r="W241" s="15"/>
      <c r="X241" s="15"/>
      <c r="Y241" s="11"/>
      <c r="Z241" s="11"/>
      <c r="AA241" s="11"/>
      <c r="AB241" s="11"/>
      <c r="AC241" s="11"/>
      <c r="AD241" s="11"/>
    </row>
    <row r="242" hidden="1">
      <c r="A242" s="26"/>
      <c r="B242" s="37">
        <v>46206.0</v>
      </c>
      <c r="C242" s="10" t="s">
        <v>28</v>
      </c>
      <c r="D242" s="28" t="str">
        <f t="shared" si="11"/>
        <v>TTCTDTTH_22</v>
      </c>
      <c r="E242" s="45"/>
      <c r="F242" s="20"/>
      <c r="G242" s="20" t="s">
        <v>890</v>
      </c>
      <c r="H242" s="20" t="s">
        <v>801</v>
      </c>
      <c r="I242" s="20" t="s">
        <v>801</v>
      </c>
      <c r="J242" s="20" t="s">
        <v>891</v>
      </c>
      <c r="K242" s="20" t="s">
        <v>892</v>
      </c>
      <c r="L242" s="20" t="s">
        <v>892</v>
      </c>
      <c r="M242" s="8" t="s">
        <v>893</v>
      </c>
      <c r="N242" s="10" t="s">
        <v>37</v>
      </c>
      <c r="O242" s="9"/>
      <c r="P242" s="9"/>
      <c r="Q242" s="9"/>
      <c r="R242" s="9"/>
      <c r="S242" s="9"/>
      <c r="T242" s="9"/>
      <c r="U242" s="9"/>
      <c r="V242" s="9"/>
      <c r="W242" s="9"/>
      <c r="X242" s="9"/>
      <c r="Y242" s="11"/>
      <c r="Z242" s="11"/>
      <c r="AA242" s="11"/>
      <c r="AB242" s="11"/>
      <c r="AC242" s="11"/>
      <c r="AD242" s="11"/>
    </row>
    <row r="243" hidden="1">
      <c r="A243" s="27"/>
      <c r="B243" s="36">
        <v>46206.0</v>
      </c>
      <c r="C243" s="14" t="s">
        <v>28</v>
      </c>
      <c r="D243" s="29" t="str">
        <f t="shared" si="11"/>
        <v>TTCTDTTH_23</v>
      </c>
      <c r="E243" s="44"/>
      <c r="F243" s="16"/>
      <c r="G243" s="16" t="s">
        <v>894</v>
      </c>
      <c r="H243" s="16" t="s">
        <v>801</v>
      </c>
      <c r="I243" s="16" t="s">
        <v>801</v>
      </c>
      <c r="J243" s="16" t="s">
        <v>895</v>
      </c>
      <c r="K243" s="16" t="s">
        <v>896</v>
      </c>
      <c r="L243" s="16" t="s">
        <v>896</v>
      </c>
      <c r="M243" s="30" t="s">
        <v>897</v>
      </c>
      <c r="N243" s="14" t="s">
        <v>37</v>
      </c>
      <c r="O243" s="15"/>
      <c r="P243" s="15"/>
      <c r="Q243" s="15"/>
      <c r="R243" s="15"/>
      <c r="S243" s="15"/>
      <c r="T243" s="15"/>
      <c r="U243" s="15"/>
      <c r="V243" s="15"/>
      <c r="W243" s="15"/>
      <c r="X243" s="15"/>
      <c r="Y243" s="11"/>
      <c r="Z243" s="11"/>
      <c r="AA243" s="11"/>
      <c r="AB243" s="11"/>
      <c r="AC243" s="11"/>
      <c r="AD243" s="11"/>
    </row>
    <row r="244" hidden="1">
      <c r="A244" s="26"/>
      <c r="B244" s="10">
        <v>21.0</v>
      </c>
      <c r="C244" s="10" t="s">
        <v>28</v>
      </c>
      <c r="D244" s="28"/>
      <c r="E244" s="28" t="s">
        <v>898</v>
      </c>
      <c r="F244" s="28" t="s">
        <v>899</v>
      </c>
      <c r="G244" s="28" t="s">
        <v>900</v>
      </c>
      <c r="H244" s="10"/>
      <c r="I244" s="9"/>
      <c r="J244" s="9"/>
      <c r="K244" s="9"/>
      <c r="L244" s="9"/>
      <c r="M244" s="9"/>
      <c r="N244" s="10"/>
      <c r="O244" s="9"/>
      <c r="P244" s="9"/>
      <c r="Q244" s="9"/>
      <c r="R244" s="9"/>
      <c r="S244" s="9"/>
      <c r="T244" s="9"/>
      <c r="U244" s="9"/>
      <c r="V244" s="9"/>
      <c r="W244" s="9"/>
      <c r="X244" s="9"/>
      <c r="Y244" s="11"/>
      <c r="Z244" s="11"/>
      <c r="AA244" s="11"/>
      <c r="AB244" s="11"/>
      <c r="AC244" s="11"/>
      <c r="AD244" s="11"/>
    </row>
    <row r="245" hidden="1">
      <c r="A245" s="27"/>
      <c r="B245" s="36">
        <v>46206.0</v>
      </c>
      <c r="C245" s="14" t="s">
        <v>28</v>
      </c>
      <c r="D245" s="29" t="str">
        <f t="shared" ref="D245:D265" si="12">IF(G245&lt;&gt;"","TKCTDTTH_"&amp;TEXT(COUNTIF($G$245:G245,"&lt;&gt;"),"00"),"")</f>
        <v>TKCTDTTH_01</v>
      </c>
      <c r="E245" s="44"/>
      <c r="F245" s="16"/>
      <c r="G245" s="16" t="s">
        <v>901</v>
      </c>
      <c r="H245" s="16" t="s">
        <v>902</v>
      </c>
      <c r="I245" s="16" t="s">
        <v>903</v>
      </c>
      <c r="J245" s="16" t="s">
        <v>904</v>
      </c>
      <c r="K245" s="16" t="s">
        <v>905</v>
      </c>
      <c r="L245" s="16" t="s">
        <v>905</v>
      </c>
      <c r="M245" s="30" t="s">
        <v>906</v>
      </c>
      <c r="N245" s="14" t="s">
        <v>37</v>
      </c>
      <c r="O245" s="15"/>
      <c r="P245" s="15"/>
      <c r="Q245" s="15"/>
      <c r="R245" s="15"/>
      <c r="S245" s="15"/>
      <c r="T245" s="15"/>
      <c r="U245" s="15"/>
      <c r="V245" s="15"/>
      <c r="W245" s="15"/>
      <c r="X245" s="15"/>
      <c r="Y245" s="11"/>
      <c r="Z245" s="11"/>
      <c r="AA245" s="11"/>
      <c r="AB245" s="11"/>
      <c r="AC245" s="11"/>
      <c r="AD245" s="11"/>
    </row>
    <row r="246" hidden="1">
      <c r="A246" s="26"/>
      <c r="B246" s="37">
        <v>46206.0</v>
      </c>
      <c r="C246" s="10" t="s">
        <v>28</v>
      </c>
      <c r="D246" s="28" t="str">
        <f t="shared" si="12"/>
        <v>TKCTDTTH_02</v>
      </c>
      <c r="E246" s="45"/>
      <c r="F246" s="20"/>
      <c r="G246" s="20" t="s">
        <v>907</v>
      </c>
      <c r="H246" s="20" t="s">
        <v>908</v>
      </c>
      <c r="I246" s="20" t="s">
        <v>909</v>
      </c>
      <c r="J246" s="20" t="s">
        <v>910</v>
      </c>
      <c r="K246" s="20" t="s">
        <v>911</v>
      </c>
      <c r="L246" s="20" t="s">
        <v>911</v>
      </c>
      <c r="M246" s="8" t="s">
        <v>912</v>
      </c>
      <c r="N246" s="10" t="s">
        <v>37</v>
      </c>
      <c r="O246" s="9"/>
      <c r="P246" s="9"/>
      <c r="Q246" s="9"/>
      <c r="R246" s="9"/>
      <c r="S246" s="9"/>
      <c r="T246" s="9"/>
      <c r="U246" s="9"/>
      <c r="V246" s="9"/>
      <c r="W246" s="9"/>
      <c r="X246" s="9"/>
      <c r="Y246" s="11"/>
      <c r="Z246" s="11"/>
      <c r="AA246" s="11"/>
      <c r="AB246" s="11"/>
      <c r="AC246" s="11"/>
      <c r="AD246" s="11"/>
    </row>
    <row r="247" hidden="1">
      <c r="A247" s="27"/>
      <c r="B247" s="36">
        <v>46206.0</v>
      </c>
      <c r="C247" s="14" t="s">
        <v>28</v>
      </c>
      <c r="D247" s="29" t="str">
        <f t="shared" si="12"/>
        <v>TKCTDTTH_03</v>
      </c>
      <c r="E247" s="44"/>
      <c r="F247" s="16"/>
      <c r="G247" s="16" t="s">
        <v>913</v>
      </c>
      <c r="H247" s="16" t="s">
        <v>914</v>
      </c>
      <c r="I247" s="16" t="s">
        <v>915</v>
      </c>
      <c r="J247" s="16" t="s">
        <v>916</v>
      </c>
      <c r="K247" s="16" t="s">
        <v>917</v>
      </c>
      <c r="L247" s="16" t="s">
        <v>917</v>
      </c>
      <c r="M247" s="30" t="s">
        <v>918</v>
      </c>
      <c r="N247" s="14" t="s">
        <v>37</v>
      </c>
      <c r="O247" s="15"/>
      <c r="P247" s="15"/>
      <c r="Q247" s="15"/>
      <c r="R247" s="15"/>
      <c r="S247" s="15"/>
      <c r="T247" s="15"/>
      <c r="U247" s="15"/>
      <c r="V247" s="15"/>
      <c r="W247" s="15"/>
      <c r="X247" s="15"/>
      <c r="Y247" s="11"/>
      <c r="Z247" s="11"/>
      <c r="AA247" s="11"/>
      <c r="AB247" s="11"/>
      <c r="AC247" s="11"/>
      <c r="AD247" s="11"/>
    </row>
    <row r="248" hidden="1">
      <c r="A248" s="26"/>
      <c r="B248" s="37">
        <v>46206.0</v>
      </c>
      <c r="C248" s="10" t="s">
        <v>28</v>
      </c>
      <c r="D248" s="28" t="str">
        <f t="shared" si="12"/>
        <v>TKCTDTTH_04</v>
      </c>
      <c r="E248" s="45"/>
      <c r="F248" s="20"/>
      <c r="G248" s="20" t="s">
        <v>919</v>
      </c>
      <c r="H248" s="20" t="s">
        <v>914</v>
      </c>
      <c r="I248" s="20" t="s">
        <v>920</v>
      </c>
      <c r="J248" s="20" t="s">
        <v>921</v>
      </c>
      <c r="K248" s="20" t="s">
        <v>922</v>
      </c>
      <c r="L248" s="20" t="s">
        <v>922</v>
      </c>
      <c r="M248" s="8" t="s">
        <v>923</v>
      </c>
      <c r="N248" s="10" t="s">
        <v>37</v>
      </c>
      <c r="O248" s="9"/>
      <c r="P248" s="9"/>
      <c r="Q248" s="9"/>
      <c r="R248" s="9"/>
      <c r="S248" s="9"/>
      <c r="T248" s="9"/>
      <c r="U248" s="9"/>
      <c r="V248" s="9"/>
      <c r="W248" s="9"/>
      <c r="X248" s="9"/>
      <c r="Y248" s="11"/>
      <c r="Z248" s="11"/>
      <c r="AA248" s="11"/>
      <c r="AB248" s="11"/>
      <c r="AC248" s="11"/>
      <c r="AD248" s="11"/>
    </row>
    <row r="249" hidden="1">
      <c r="A249" s="27"/>
      <c r="B249" s="36">
        <v>46206.0</v>
      </c>
      <c r="C249" s="14" t="s">
        <v>28</v>
      </c>
      <c r="D249" s="29" t="str">
        <f t="shared" si="12"/>
        <v>TKCTDTTH_05</v>
      </c>
      <c r="E249" s="44"/>
      <c r="F249" s="16"/>
      <c r="G249" s="16" t="s">
        <v>924</v>
      </c>
      <c r="H249" s="16" t="s">
        <v>914</v>
      </c>
      <c r="I249" s="16" t="s">
        <v>925</v>
      </c>
      <c r="J249" s="16" t="s">
        <v>926</v>
      </c>
      <c r="K249" s="16" t="s">
        <v>927</v>
      </c>
      <c r="L249" s="16" t="s">
        <v>927</v>
      </c>
      <c r="M249" s="30" t="s">
        <v>928</v>
      </c>
      <c r="N249" s="14" t="s">
        <v>37</v>
      </c>
      <c r="O249" s="15"/>
      <c r="P249" s="15"/>
      <c r="Q249" s="15"/>
      <c r="R249" s="15"/>
      <c r="S249" s="15"/>
      <c r="T249" s="15"/>
      <c r="U249" s="15"/>
      <c r="V249" s="15"/>
      <c r="W249" s="15"/>
      <c r="X249" s="15"/>
      <c r="Y249" s="11"/>
      <c r="Z249" s="11"/>
      <c r="AA249" s="11"/>
      <c r="AB249" s="11"/>
      <c r="AC249" s="11"/>
      <c r="AD249" s="11"/>
    </row>
    <row r="250" hidden="1">
      <c r="A250" s="26"/>
      <c r="B250" s="37">
        <v>46206.0</v>
      </c>
      <c r="C250" s="10" t="s">
        <v>28</v>
      </c>
      <c r="D250" s="28" t="str">
        <f t="shared" si="12"/>
        <v>TKCTDTTH_06</v>
      </c>
      <c r="E250" s="45"/>
      <c r="F250" s="20"/>
      <c r="G250" s="20" t="s">
        <v>929</v>
      </c>
      <c r="H250" s="20" t="s">
        <v>930</v>
      </c>
      <c r="I250" s="20" t="s">
        <v>931</v>
      </c>
      <c r="J250" s="20" t="s">
        <v>425</v>
      </c>
      <c r="K250" s="20" t="s">
        <v>932</v>
      </c>
      <c r="L250" s="20" t="s">
        <v>932</v>
      </c>
      <c r="M250" s="8" t="s">
        <v>933</v>
      </c>
      <c r="N250" s="10" t="s">
        <v>37</v>
      </c>
      <c r="O250" s="9"/>
      <c r="P250" s="9"/>
      <c r="Q250" s="9"/>
      <c r="R250" s="9"/>
      <c r="S250" s="9"/>
      <c r="T250" s="9"/>
      <c r="U250" s="9"/>
      <c r="V250" s="9"/>
      <c r="W250" s="9"/>
      <c r="X250" s="9"/>
      <c r="Y250" s="11"/>
      <c r="Z250" s="11"/>
      <c r="AA250" s="11"/>
      <c r="AB250" s="11"/>
      <c r="AC250" s="11"/>
      <c r="AD250" s="11"/>
    </row>
    <row r="251" hidden="1">
      <c r="A251" s="27"/>
      <c r="B251" s="36">
        <v>46206.0</v>
      </c>
      <c r="C251" s="14" t="s">
        <v>28</v>
      </c>
      <c r="D251" s="29" t="str">
        <f t="shared" si="12"/>
        <v>TKCTDTTH_07</v>
      </c>
      <c r="E251" s="44"/>
      <c r="F251" s="16"/>
      <c r="G251" s="16" t="s">
        <v>934</v>
      </c>
      <c r="H251" s="16" t="s">
        <v>801</v>
      </c>
      <c r="I251" s="16" t="s">
        <v>935</v>
      </c>
      <c r="J251" s="16" t="s">
        <v>936</v>
      </c>
      <c r="K251" s="16" t="s">
        <v>937</v>
      </c>
      <c r="L251" s="16" t="s">
        <v>937</v>
      </c>
      <c r="M251" s="30" t="s">
        <v>938</v>
      </c>
      <c r="N251" s="14" t="s">
        <v>37</v>
      </c>
      <c r="O251" s="15"/>
      <c r="P251" s="15"/>
      <c r="Q251" s="15"/>
      <c r="R251" s="15"/>
      <c r="S251" s="15"/>
      <c r="T251" s="15"/>
      <c r="U251" s="15"/>
      <c r="V251" s="15"/>
      <c r="W251" s="15"/>
      <c r="X251" s="15"/>
      <c r="Y251" s="11"/>
      <c r="Z251" s="11"/>
      <c r="AA251" s="11"/>
      <c r="AB251" s="11"/>
      <c r="AC251" s="11"/>
      <c r="AD251" s="11"/>
    </row>
    <row r="252" hidden="1">
      <c r="A252" s="26"/>
      <c r="B252" s="37">
        <v>46206.0</v>
      </c>
      <c r="C252" s="10" t="s">
        <v>28</v>
      </c>
      <c r="D252" s="28" t="str">
        <f t="shared" si="12"/>
        <v>TKCTDTTH_08</v>
      </c>
      <c r="E252" s="45"/>
      <c r="F252" s="20"/>
      <c r="G252" s="20" t="s">
        <v>939</v>
      </c>
      <c r="H252" s="20" t="s">
        <v>940</v>
      </c>
      <c r="I252" s="20" t="s">
        <v>801</v>
      </c>
      <c r="J252" s="20" t="s">
        <v>941</v>
      </c>
      <c r="K252" s="20" t="s">
        <v>942</v>
      </c>
      <c r="L252" s="20" t="s">
        <v>942</v>
      </c>
      <c r="M252" s="8" t="s">
        <v>943</v>
      </c>
      <c r="N252" s="10" t="s">
        <v>37</v>
      </c>
      <c r="O252" s="9"/>
      <c r="P252" s="9"/>
      <c r="Q252" s="9"/>
      <c r="R252" s="9"/>
      <c r="S252" s="9"/>
      <c r="T252" s="9"/>
      <c r="U252" s="9"/>
      <c r="V252" s="9"/>
      <c r="W252" s="9"/>
      <c r="X252" s="9"/>
      <c r="Y252" s="11"/>
      <c r="Z252" s="11"/>
      <c r="AA252" s="11"/>
      <c r="AB252" s="11"/>
      <c r="AC252" s="11"/>
      <c r="AD252" s="11"/>
    </row>
    <row r="253" hidden="1">
      <c r="A253" s="27"/>
      <c r="B253" s="36">
        <v>46206.0</v>
      </c>
      <c r="C253" s="14" t="s">
        <v>28</v>
      </c>
      <c r="D253" s="29" t="str">
        <f t="shared" si="12"/>
        <v>TKCTDTTH_09</v>
      </c>
      <c r="E253" s="44"/>
      <c r="F253" s="16"/>
      <c r="G253" s="16" t="s">
        <v>944</v>
      </c>
      <c r="H253" s="16" t="s">
        <v>945</v>
      </c>
      <c r="I253" s="16" t="s">
        <v>826</v>
      </c>
      <c r="J253" s="16" t="s">
        <v>946</v>
      </c>
      <c r="K253" s="16" t="s">
        <v>947</v>
      </c>
      <c r="L253" s="16" t="s">
        <v>947</v>
      </c>
      <c r="M253" s="30" t="s">
        <v>948</v>
      </c>
      <c r="N253" s="14" t="s">
        <v>37</v>
      </c>
      <c r="O253" s="15"/>
      <c r="P253" s="15"/>
      <c r="Q253" s="15"/>
      <c r="R253" s="15"/>
      <c r="S253" s="15"/>
      <c r="T253" s="15"/>
      <c r="U253" s="15"/>
      <c r="V253" s="15"/>
      <c r="W253" s="15"/>
      <c r="X253" s="15"/>
      <c r="Y253" s="11"/>
      <c r="Z253" s="11"/>
      <c r="AA253" s="11"/>
      <c r="AB253" s="11"/>
      <c r="AC253" s="11"/>
      <c r="AD253" s="11"/>
    </row>
    <row r="254" hidden="1">
      <c r="A254" s="26"/>
      <c r="B254" s="37">
        <v>46206.0</v>
      </c>
      <c r="C254" s="10" t="s">
        <v>28</v>
      </c>
      <c r="D254" s="28" t="str">
        <f t="shared" si="12"/>
        <v>TKCTDTTH_10</v>
      </c>
      <c r="E254" s="45"/>
      <c r="F254" s="20"/>
      <c r="G254" s="20" t="s">
        <v>949</v>
      </c>
      <c r="H254" s="20" t="s">
        <v>801</v>
      </c>
      <c r="I254" s="20">
        <v>46023.0</v>
      </c>
      <c r="J254" s="20" t="s">
        <v>950</v>
      </c>
      <c r="K254" s="20" t="s">
        <v>951</v>
      </c>
      <c r="L254" s="20" t="s">
        <v>951</v>
      </c>
      <c r="M254" s="8" t="s">
        <v>952</v>
      </c>
      <c r="N254" s="10" t="s">
        <v>37</v>
      </c>
      <c r="O254" s="9"/>
      <c r="P254" s="9"/>
      <c r="Q254" s="9"/>
      <c r="R254" s="9"/>
      <c r="S254" s="9"/>
      <c r="T254" s="9"/>
      <c r="U254" s="9"/>
      <c r="V254" s="9"/>
      <c r="W254" s="9"/>
      <c r="X254" s="9"/>
      <c r="Y254" s="11"/>
      <c r="Z254" s="11"/>
      <c r="AA254" s="11"/>
      <c r="AB254" s="11"/>
      <c r="AC254" s="11"/>
      <c r="AD254" s="11"/>
    </row>
    <row r="255" hidden="1">
      <c r="A255" s="27"/>
      <c r="B255" s="36">
        <v>46206.0</v>
      </c>
      <c r="C255" s="14" t="s">
        <v>28</v>
      </c>
      <c r="D255" s="29" t="str">
        <f t="shared" si="12"/>
        <v>TKCTDTTH_11</v>
      </c>
      <c r="E255" s="44"/>
      <c r="F255" s="16"/>
      <c r="G255" s="16" t="s">
        <v>953</v>
      </c>
      <c r="H255" s="16" t="s">
        <v>801</v>
      </c>
      <c r="I255" s="16">
        <v>46387.0</v>
      </c>
      <c r="J255" s="16" t="s">
        <v>954</v>
      </c>
      <c r="K255" s="16" t="s">
        <v>955</v>
      </c>
      <c r="L255" s="16" t="s">
        <v>955</v>
      </c>
      <c r="M255" s="30" t="s">
        <v>956</v>
      </c>
      <c r="N255" s="14" t="s">
        <v>37</v>
      </c>
      <c r="O255" s="15"/>
      <c r="P255" s="15"/>
      <c r="Q255" s="15"/>
      <c r="R255" s="15"/>
      <c r="S255" s="15"/>
      <c r="T255" s="15"/>
      <c r="U255" s="15"/>
      <c r="V255" s="15"/>
      <c r="W255" s="15"/>
      <c r="X255" s="15"/>
      <c r="Y255" s="11"/>
      <c r="Z255" s="11"/>
      <c r="AA255" s="11"/>
      <c r="AB255" s="11"/>
      <c r="AC255" s="11"/>
      <c r="AD255" s="11"/>
    </row>
    <row r="256" hidden="1">
      <c r="A256" s="26"/>
      <c r="B256" s="37">
        <v>46206.0</v>
      </c>
      <c r="C256" s="10" t="s">
        <v>28</v>
      </c>
      <c r="D256" s="28" t="str">
        <f t="shared" si="12"/>
        <v>TKCTDTTH_12</v>
      </c>
      <c r="E256" s="45"/>
      <c r="F256" s="20"/>
      <c r="G256" s="20" t="s">
        <v>957</v>
      </c>
      <c r="H256" s="20" t="s">
        <v>459</v>
      </c>
      <c r="I256" s="20" t="s">
        <v>958</v>
      </c>
      <c r="J256" s="20" t="s">
        <v>959</v>
      </c>
      <c r="K256" s="20" t="s">
        <v>960</v>
      </c>
      <c r="L256" s="20" t="s">
        <v>960</v>
      </c>
      <c r="M256" s="8" t="s">
        <v>961</v>
      </c>
      <c r="N256" s="10" t="s">
        <v>37</v>
      </c>
      <c r="O256" s="9"/>
      <c r="P256" s="9"/>
      <c r="Q256" s="9"/>
      <c r="R256" s="9"/>
      <c r="S256" s="9"/>
      <c r="T256" s="9"/>
      <c r="U256" s="9"/>
      <c r="V256" s="9"/>
      <c r="W256" s="9"/>
      <c r="X256" s="9"/>
      <c r="Y256" s="11"/>
      <c r="Z256" s="11"/>
      <c r="AA256" s="11"/>
      <c r="AB256" s="11"/>
      <c r="AC256" s="11"/>
      <c r="AD256" s="11"/>
    </row>
    <row r="257" hidden="1">
      <c r="A257" s="27"/>
      <c r="B257" s="36">
        <v>46206.0</v>
      </c>
      <c r="C257" s="14" t="s">
        <v>28</v>
      </c>
      <c r="D257" s="29" t="str">
        <f t="shared" si="12"/>
        <v>TKCTDTTH_13</v>
      </c>
      <c r="E257" s="44"/>
      <c r="F257" s="16"/>
      <c r="G257" s="16" t="s">
        <v>962</v>
      </c>
      <c r="H257" s="16" t="s">
        <v>963</v>
      </c>
      <c r="I257" s="16">
        <v>46023.0</v>
      </c>
      <c r="J257" s="16" t="s">
        <v>964</v>
      </c>
      <c r="K257" s="16" t="s">
        <v>965</v>
      </c>
      <c r="L257" s="16" t="s">
        <v>965</v>
      </c>
      <c r="M257" s="30" t="s">
        <v>966</v>
      </c>
      <c r="N257" s="14" t="s">
        <v>37</v>
      </c>
      <c r="O257" s="15"/>
      <c r="P257" s="15"/>
      <c r="Q257" s="15"/>
      <c r="R257" s="15"/>
      <c r="S257" s="15"/>
      <c r="T257" s="15"/>
      <c r="U257" s="15"/>
      <c r="V257" s="15"/>
      <c r="W257" s="15"/>
      <c r="X257" s="15"/>
      <c r="Y257" s="11"/>
      <c r="Z257" s="11"/>
      <c r="AA257" s="11"/>
      <c r="AB257" s="11"/>
      <c r="AC257" s="11"/>
      <c r="AD257" s="11"/>
    </row>
    <row r="258" hidden="1">
      <c r="A258" s="26"/>
      <c r="B258" s="37">
        <v>46206.0</v>
      </c>
      <c r="C258" s="10" t="s">
        <v>28</v>
      </c>
      <c r="D258" s="28" t="str">
        <f t="shared" si="12"/>
        <v>TKCTDTTH_14</v>
      </c>
      <c r="E258" s="45"/>
      <c r="F258" s="20"/>
      <c r="G258" s="20" t="s">
        <v>967</v>
      </c>
      <c r="H258" s="20" t="s">
        <v>968</v>
      </c>
      <c r="I258" s="20">
        <v>46387.0</v>
      </c>
      <c r="J258" s="20" t="s">
        <v>969</v>
      </c>
      <c r="K258" s="20" t="s">
        <v>970</v>
      </c>
      <c r="L258" s="20" t="s">
        <v>970</v>
      </c>
      <c r="M258" s="8" t="s">
        <v>971</v>
      </c>
      <c r="N258" s="10" t="s">
        <v>37</v>
      </c>
      <c r="O258" s="9"/>
      <c r="P258" s="9"/>
      <c r="Q258" s="9"/>
      <c r="R258" s="9"/>
      <c r="S258" s="9"/>
      <c r="T258" s="9"/>
      <c r="U258" s="9"/>
      <c r="V258" s="9"/>
      <c r="W258" s="9"/>
      <c r="X258" s="9"/>
      <c r="Y258" s="11"/>
      <c r="Z258" s="11"/>
      <c r="AA258" s="11"/>
      <c r="AB258" s="11"/>
      <c r="AC258" s="11"/>
      <c r="AD258" s="11"/>
    </row>
    <row r="259" hidden="1">
      <c r="A259" s="27"/>
      <c r="B259" s="36">
        <v>46206.0</v>
      </c>
      <c r="C259" s="14" t="s">
        <v>28</v>
      </c>
      <c r="D259" s="29" t="str">
        <f t="shared" si="12"/>
        <v>TKCTDTTH_15</v>
      </c>
      <c r="E259" s="44"/>
      <c r="F259" s="16"/>
      <c r="G259" s="16" t="s">
        <v>972</v>
      </c>
      <c r="H259" s="16" t="s">
        <v>801</v>
      </c>
      <c r="I259" s="16" t="s">
        <v>973</v>
      </c>
      <c r="J259" s="16" t="s">
        <v>974</v>
      </c>
      <c r="K259" s="16" t="s">
        <v>975</v>
      </c>
      <c r="L259" s="16" t="s">
        <v>975</v>
      </c>
      <c r="M259" s="30" t="s">
        <v>976</v>
      </c>
      <c r="N259" s="14" t="s">
        <v>37</v>
      </c>
      <c r="O259" s="15"/>
      <c r="P259" s="15"/>
      <c r="Q259" s="15"/>
      <c r="R259" s="15"/>
      <c r="S259" s="15"/>
      <c r="T259" s="15"/>
      <c r="U259" s="15"/>
      <c r="V259" s="15"/>
      <c r="W259" s="15"/>
      <c r="X259" s="15"/>
      <c r="Y259" s="11"/>
      <c r="Z259" s="11"/>
      <c r="AA259" s="11"/>
      <c r="AB259" s="11"/>
      <c r="AC259" s="11"/>
      <c r="AD259" s="11"/>
    </row>
    <row r="260" hidden="1">
      <c r="A260" s="26"/>
      <c r="B260" s="37">
        <v>46206.0</v>
      </c>
      <c r="C260" s="10" t="s">
        <v>28</v>
      </c>
      <c r="D260" s="28" t="str">
        <f t="shared" si="12"/>
        <v>TKCTDTTH_16</v>
      </c>
      <c r="E260" s="45"/>
      <c r="F260" s="20"/>
      <c r="G260" s="20" t="s">
        <v>977</v>
      </c>
      <c r="H260" s="20" t="s">
        <v>978</v>
      </c>
      <c r="I260" s="20" t="s">
        <v>979</v>
      </c>
      <c r="J260" s="20" t="s">
        <v>980</v>
      </c>
      <c r="K260" s="20" t="s">
        <v>981</v>
      </c>
      <c r="L260" s="20" t="s">
        <v>981</v>
      </c>
      <c r="M260" s="8" t="s">
        <v>982</v>
      </c>
      <c r="N260" s="10" t="s">
        <v>37</v>
      </c>
      <c r="O260" s="9"/>
      <c r="P260" s="9"/>
      <c r="Q260" s="9"/>
      <c r="R260" s="9"/>
      <c r="S260" s="9"/>
      <c r="T260" s="9"/>
      <c r="U260" s="9"/>
      <c r="V260" s="9"/>
      <c r="W260" s="9"/>
      <c r="X260" s="9"/>
      <c r="Y260" s="11"/>
      <c r="Z260" s="11"/>
      <c r="AA260" s="11"/>
      <c r="AB260" s="11"/>
      <c r="AC260" s="11"/>
      <c r="AD260" s="11"/>
    </row>
    <row r="261" hidden="1">
      <c r="A261" s="27"/>
      <c r="B261" s="36">
        <v>46206.0</v>
      </c>
      <c r="C261" s="14" t="s">
        <v>28</v>
      </c>
      <c r="D261" s="29" t="str">
        <f t="shared" si="12"/>
        <v>TKCTDTTH_17</v>
      </c>
      <c r="E261" s="44"/>
      <c r="F261" s="16"/>
      <c r="G261" s="16" t="s">
        <v>983</v>
      </c>
      <c r="H261" s="16" t="s">
        <v>914</v>
      </c>
      <c r="I261" s="16"/>
      <c r="J261" s="16" t="s">
        <v>984</v>
      </c>
      <c r="K261" s="16" t="s">
        <v>985</v>
      </c>
      <c r="L261" s="16" t="s">
        <v>985</v>
      </c>
      <c r="M261" s="30" t="s">
        <v>986</v>
      </c>
      <c r="N261" s="14" t="s">
        <v>37</v>
      </c>
      <c r="O261" s="15"/>
      <c r="P261" s="15"/>
      <c r="Q261" s="15"/>
      <c r="R261" s="15"/>
      <c r="S261" s="15"/>
      <c r="T261" s="15"/>
      <c r="U261" s="15"/>
      <c r="V261" s="15"/>
      <c r="W261" s="15"/>
      <c r="X261" s="15"/>
      <c r="Y261" s="11"/>
      <c r="Z261" s="11"/>
      <c r="AA261" s="11"/>
      <c r="AB261" s="11"/>
      <c r="AC261" s="11"/>
      <c r="AD261" s="11"/>
    </row>
    <row r="262" hidden="1">
      <c r="A262" s="26"/>
      <c r="B262" s="37">
        <v>46206.0</v>
      </c>
      <c r="C262" s="10" t="s">
        <v>28</v>
      </c>
      <c r="D262" s="28" t="str">
        <f t="shared" si="12"/>
        <v>TKCTDTTH_18</v>
      </c>
      <c r="E262" s="45"/>
      <c r="F262" s="20"/>
      <c r="G262" s="20" t="s">
        <v>987</v>
      </c>
      <c r="H262" s="20" t="s">
        <v>801</v>
      </c>
      <c r="I262" s="20" t="s">
        <v>988</v>
      </c>
      <c r="J262" s="20" t="s">
        <v>989</v>
      </c>
      <c r="K262" s="20" t="s">
        <v>990</v>
      </c>
      <c r="L262" s="20" t="s">
        <v>990</v>
      </c>
      <c r="M262" s="8" t="s">
        <v>991</v>
      </c>
      <c r="N262" s="10" t="s">
        <v>37</v>
      </c>
      <c r="O262" s="9"/>
      <c r="P262" s="9"/>
      <c r="Q262" s="9"/>
      <c r="R262" s="9"/>
      <c r="S262" s="9"/>
      <c r="T262" s="9"/>
      <c r="U262" s="9"/>
      <c r="V262" s="9"/>
      <c r="W262" s="9"/>
      <c r="X262" s="9"/>
      <c r="Y262" s="11"/>
      <c r="Z262" s="11"/>
      <c r="AA262" s="11"/>
      <c r="AB262" s="11"/>
      <c r="AC262" s="11"/>
      <c r="AD262" s="11"/>
    </row>
    <row r="263" hidden="1">
      <c r="A263" s="27"/>
      <c r="B263" s="36">
        <v>46206.0</v>
      </c>
      <c r="C263" s="14" t="s">
        <v>28</v>
      </c>
      <c r="D263" s="29" t="str">
        <f t="shared" si="12"/>
        <v>TKCTDTTH_19</v>
      </c>
      <c r="E263" s="44"/>
      <c r="F263" s="16"/>
      <c r="G263" s="16" t="s">
        <v>992</v>
      </c>
      <c r="H263" s="16" t="s">
        <v>993</v>
      </c>
      <c r="I263" s="16" t="s">
        <v>801</v>
      </c>
      <c r="J263" s="16" t="s">
        <v>994</v>
      </c>
      <c r="K263" s="16" t="s">
        <v>995</v>
      </c>
      <c r="L263" s="16" t="s">
        <v>995</v>
      </c>
      <c r="M263" s="30" t="s">
        <v>996</v>
      </c>
      <c r="N263" s="14" t="s">
        <v>37</v>
      </c>
      <c r="O263" s="15"/>
      <c r="P263" s="15"/>
      <c r="Q263" s="15"/>
      <c r="R263" s="15"/>
      <c r="S263" s="15"/>
      <c r="T263" s="15"/>
      <c r="U263" s="15"/>
      <c r="V263" s="15"/>
      <c r="W263" s="15"/>
      <c r="X263" s="15"/>
      <c r="Y263" s="11"/>
      <c r="Z263" s="11"/>
      <c r="AA263" s="11"/>
      <c r="AB263" s="11"/>
      <c r="AC263" s="11"/>
      <c r="AD263" s="11"/>
    </row>
    <row r="264" hidden="1">
      <c r="A264" s="26"/>
      <c r="B264" s="37">
        <v>46206.0</v>
      </c>
      <c r="C264" s="10" t="s">
        <v>28</v>
      </c>
      <c r="D264" s="28" t="str">
        <f t="shared" si="12"/>
        <v>TKCTDTTH_20</v>
      </c>
      <c r="E264" s="45"/>
      <c r="F264" s="20"/>
      <c r="G264" s="20" t="s">
        <v>997</v>
      </c>
      <c r="H264" s="20" t="s">
        <v>435</v>
      </c>
      <c r="I264" s="20" t="s">
        <v>826</v>
      </c>
      <c r="J264" s="20" t="s">
        <v>998</v>
      </c>
      <c r="K264" s="20" t="s">
        <v>999</v>
      </c>
      <c r="L264" s="20" t="s">
        <v>999</v>
      </c>
      <c r="M264" s="8" t="s">
        <v>1000</v>
      </c>
      <c r="N264" s="10" t="s">
        <v>37</v>
      </c>
      <c r="O264" s="9"/>
      <c r="P264" s="9"/>
      <c r="Q264" s="9"/>
      <c r="R264" s="9"/>
      <c r="S264" s="9"/>
      <c r="T264" s="9"/>
      <c r="U264" s="9"/>
      <c r="V264" s="9"/>
      <c r="W264" s="9"/>
      <c r="X264" s="9"/>
      <c r="Y264" s="11"/>
      <c r="Z264" s="11"/>
      <c r="AA264" s="11"/>
      <c r="AB264" s="11"/>
      <c r="AC264" s="11"/>
      <c r="AD264" s="11"/>
    </row>
    <row r="265" hidden="1">
      <c r="A265" s="27"/>
      <c r="B265" s="36">
        <v>46206.0</v>
      </c>
      <c r="C265" s="14" t="s">
        <v>28</v>
      </c>
      <c r="D265" s="29" t="str">
        <f t="shared" si="12"/>
        <v>TKCTDTTH_21</v>
      </c>
      <c r="E265" s="44"/>
      <c r="F265" s="16"/>
      <c r="G265" s="16" t="s">
        <v>1001</v>
      </c>
      <c r="H265" s="16" t="s">
        <v>1002</v>
      </c>
      <c r="I265" s="16" t="s">
        <v>801</v>
      </c>
      <c r="J265" s="16" t="s">
        <v>1003</v>
      </c>
      <c r="K265" s="16" t="s">
        <v>1004</v>
      </c>
      <c r="L265" s="16" t="s">
        <v>1004</v>
      </c>
      <c r="M265" s="30" t="s">
        <v>1005</v>
      </c>
      <c r="N265" s="14" t="s">
        <v>37</v>
      </c>
      <c r="O265" s="15"/>
      <c r="P265" s="15"/>
      <c r="Q265" s="15"/>
      <c r="R265" s="15"/>
      <c r="S265" s="15"/>
      <c r="T265" s="15"/>
      <c r="U265" s="15"/>
      <c r="V265" s="15"/>
      <c r="W265" s="15"/>
      <c r="X265" s="15"/>
      <c r="Y265" s="11"/>
      <c r="Z265" s="11"/>
      <c r="AA265" s="11"/>
      <c r="AB265" s="11"/>
      <c r="AC265" s="11"/>
      <c r="AD265" s="11"/>
    </row>
    <row r="266" hidden="1">
      <c r="A266" s="26"/>
      <c r="B266" s="10">
        <v>22.0</v>
      </c>
      <c r="C266" s="10" t="s">
        <v>28</v>
      </c>
      <c r="D266" s="28"/>
      <c r="E266" s="28" t="s">
        <v>1006</v>
      </c>
      <c r="F266" s="28" t="s">
        <v>30</v>
      </c>
      <c r="G266" s="28" t="s">
        <v>1007</v>
      </c>
      <c r="H266" s="10"/>
      <c r="I266" s="9"/>
      <c r="J266" s="9"/>
      <c r="K266" s="9"/>
      <c r="L266" s="9"/>
      <c r="M266" s="9"/>
      <c r="N266" s="10"/>
      <c r="O266" s="9"/>
      <c r="P266" s="9"/>
      <c r="Q266" s="9"/>
      <c r="R266" s="9"/>
      <c r="S266" s="9"/>
      <c r="T266" s="9"/>
      <c r="U266" s="9"/>
      <c r="V266" s="9"/>
      <c r="W266" s="9"/>
      <c r="X266" s="9"/>
      <c r="Y266" s="11"/>
      <c r="Z266" s="11"/>
      <c r="AA266" s="11"/>
      <c r="AB266" s="11"/>
      <c r="AC266" s="11"/>
      <c r="AD266" s="11"/>
    </row>
    <row r="267" hidden="1">
      <c r="A267" s="27"/>
      <c r="B267" s="36">
        <v>46206.0</v>
      </c>
      <c r="C267" s="14" t="s">
        <v>28</v>
      </c>
      <c r="D267" s="29" t="str">
        <f t="shared" ref="D267:D276" si="13">IF(G267&lt;&gt;"","QLDKDTTH_"&amp;TEXT(COUNTIF($G$267:G267,"&lt;&gt;"),"00"),"")</f>
        <v>QLDKDTTH_01</v>
      </c>
      <c r="E267" s="29"/>
      <c r="F267" s="29"/>
      <c r="G267" s="29" t="s">
        <v>1008</v>
      </c>
      <c r="H267" s="29" t="s">
        <v>1009</v>
      </c>
      <c r="I267" s="15"/>
      <c r="J267" s="15" t="s">
        <v>1010</v>
      </c>
      <c r="K267" s="15" t="s">
        <v>1011</v>
      </c>
      <c r="L267" s="15" t="s">
        <v>1011</v>
      </c>
      <c r="M267" s="30" t="s">
        <v>1012</v>
      </c>
      <c r="N267" s="14" t="s">
        <v>37</v>
      </c>
      <c r="O267" s="15"/>
      <c r="P267" s="15"/>
      <c r="Q267" s="15"/>
      <c r="R267" s="15"/>
      <c r="S267" s="15"/>
      <c r="T267" s="15"/>
      <c r="U267" s="15"/>
      <c r="V267" s="15"/>
      <c r="W267" s="15"/>
      <c r="X267" s="15"/>
      <c r="Y267" s="11"/>
      <c r="Z267" s="11"/>
      <c r="AA267" s="11"/>
      <c r="AB267" s="11"/>
      <c r="AC267" s="11"/>
      <c r="AD267" s="11"/>
    </row>
    <row r="268" hidden="1">
      <c r="A268" s="26"/>
      <c r="B268" s="37">
        <v>46206.0</v>
      </c>
      <c r="C268" s="10" t="s">
        <v>28</v>
      </c>
      <c r="D268" s="28" t="str">
        <f t="shared" si="13"/>
        <v>QLDKDTTH_02</v>
      </c>
      <c r="E268" s="28"/>
      <c r="F268" s="28"/>
      <c r="G268" s="28" t="s">
        <v>1013</v>
      </c>
      <c r="H268" s="28" t="s">
        <v>1009</v>
      </c>
      <c r="I268" s="9"/>
      <c r="J268" s="9" t="s">
        <v>1014</v>
      </c>
      <c r="K268" s="9" t="s">
        <v>1015</v>
      </c>
      <c r="L268" s="9" t="s">
        <v>1015</v>
      </c>
      <c r="M268" s="8" t="s">
        <v>1016</v>
      </c>
      <c r="N268" s="10" t="s">
        <v>37</v>
      </c>
      <c r="O268" s="9"/>
      <c r="P268" s="9"/>
      <c r="Q268" s="9"/>
      <c r="R268" s="9"/>
      <c r="S268" s="9"/>
      <c r="T268" s="9"/>
      <c r="U268" s="9"/>
      <c r="V268" s="9"/>
      <c r="W268" s="9"/>
      <c r="X268" s="9"/>
      <c r="Y268" s="11"/>
      <c r="Z268" s="11"/>
      <c r="AA268" s="11"/>
      <c r="AB268" s="11"/>
      <c r="AC268" s="11"/>
      <c r="AD268" s="11"/>
    </row>
    <row r="269" hidden="1">
      <c r="A269" s="27"/>
      <c r="B269" s="36">
        <v>46206.0</v>
      </c>
      <c r="C269" s="14" t="s">
        <v>28</v>
      </c>
      <c r="D269" s="29" t="str">
        <f t="shared" si="13"/>
        <v>QLDKDTTH_03</v>
      </c>
      <c r="E269" s="29"/>
      <c r="F269" s="29"/>
      <c r="G269" s="29" t="s">
        <v>1017</v>
      </c>
      <c r="H269" s="29" t="s">
        <v>1009</v>
      </c>
      <c r="I269" s="15"/>
      <c r="J269" s="15" t="s">
        <v>1018</v>
      </c>
      <c r="K269" s="15" t="s">
        <v>1019</v>
      </c>
      <c r="L269" s="15" t="s">
        <v>1019</v>
      </c>
      <c r="M269" s="30" t="s">
        <v>1020</v>
      </c>
      <c r="N269" s="14" t="s">
        <v>37</v>
      </c>
      <c r="O269" s="15"/>
      <c r="P269" s="15"/>
      <c r="Q269" s="15"/>
      <c r="R269" s="15"/>
      <c r="S269" s="15"/>
      <c r="T269" s="15"/>
      <c r="U269" s="15"/>
      <c r="V269" s="15"/>
      <c r="W269" s="15"/>
      <c r="X269" s="15"/>
      <c r="Y269" s="11"/>
      <c r="Z269" s="11"/>
      <c r="AA269" s="11"/>
      <c r="AB269" s="11"/>
      <c r="AC269" s="11"/>
      <c r="AD269" s="11"/>
    </row>
    <row r="270">
      <c r="A270" s="26"/>
      <c r="B270" s="37">
        <v>46206.0</v>
      </c>
      <c r="C270" s="10" t="s">
        <v>28</v>
      </c>
      <c r="D270" s="28" t="str">
        <f t="shared" si="13"/>
        <v>QLDKDTTH_04</v>
      </c>
      <c r="E270" s="28"/>
      <c r="F270" s="28"/>
      <c r="G270" s="28" t="s">
        <v>1021</v>
      </c>
      <c r="H270" s="28" t="s">
        <v>1009</v>
      </c>
      <c r="I270" s="9"/>
      <c r="J270" s="9" t="s">
        <v>1022</v>
      </c>
      <c r="K270" s="9" t="s">
        <v>1023</v>
      </c>
      <c r="L270" s="9" t="s">
        <v>1024</v>
      </c>
      <c r="M270" s="8" t="s">
        <v>1025</v>
      </c>
      <c r="N270" s="10" t="s">
        <v>64</v>
      </c>
      <c r="O270" s="9"/>
      <c r="P270" s="22" t="s">
        <v>65</v>
      </c>
      <c r="Q270" s="23" t="s">
        <v>37</v>
      </c>
      <c r="R270" s="9"/>
      <c r="S270" s="9"/>
      <c r="T270" s="9"/>
      <c r="U270" s="9"/>
      <c r="V270" s="9"/>
      <c r="W270" s="9"/>
      <c r="X270" s="9"/>
      <c r="Y270" s="11"/>
      <c r="Z270" s="11"/>
      <c r="AA270" s="11"/>
      <c r="AB270" s="11"/>
      <c r="AC270" s="11"/>
      <c r="AD270" s="11"/>
    </row>
    <row r="271" hidden="1">
      <c r="A271" s="27"/>
      <c r="B271" s="36">
        <v>46206.0</v>
      </c>
      <c r="C271" s="14" t="s">
        <v>28</v>
      </c>
      <c r="D271" s="29" t="str">
        <f t="shared" si="13"/>
        <v>QLDKDTTH_05</v>
      </c>
      <c r="E271" s="29"/>
      <c r="F271" s="29"/>
      <c r="G271" s="29" t="s">
        <v>1026</v>
      </c>
      <c r="H271" s="29" t="s">
        <v>1027</v>
      </c>
      <c r="I271" s="15"/>
      <c r="J271" s="15" t="s">
        <v>1028</v>
      </c>
      <c r="K271" s="15" t="s">
        <v>1029</v>
      </c>
      <c r="L271" s="15"/>
      <c r="M271" s="15"/>
      <c r="N271" s="14" t="s">
        <v>208</v>
      </c>
      <c r="O271" s="15" t="s">
        <v>1030</v>
      </c>
      <c r="P271" s="15"/>
      <c r="Q271" s="15"/>
      <c r="R271" s="15"/>
      <c r="S271" s="15"/>
      <c r="T271" s="15"/>
      <c r="U271" s="15"/>
      <c r="V271" s="15"/>
      <c r="W271" s="15"/>
      <c r="X271" s="15"/>
      <c r="Y271" s="11"/>
      <c r="Z271" s="11"/>
      <c r="AA271" s="11"/>
      <c r="AB271" s="11"/>
      <c r="AC271" s="11"/>
      <c r="AD271" s="11"/>
    </row>
    <row r="272" hidden="1">
      <c r="A272" s="26"/>
      <c r="B272" s="37">
        <v>46206.0</v>
      </c>
      <c r="C272" s="10" t="s">
        <v>28</v>
      </c>
      <c r="D272" s="28" t="str">
        <f t="shared" si="13"/>
        <v>QLDKDTTH_06</v>
      </c>
      <c r="E272" s="28"/>
      <c r="F272" s="28"/>
      <c r="G272" s="28" t="s">
        <v>1031</v>
      </c>
      <c r="H272" s="28" t="s">
        <v>1032</v>
      </c>
      <c r="I272" s="9"/>
      <c r="J272" s="9" t="s">
        <v>1028</v>
      </c>
      <c r="K272" s="9" t="s">
        <v>1033</v>
      </c>
      <c r="L272" s="9"/>
      <c r="M272" s="9"/>
      <c r="N272" s="10" t="s">
        <v>208</v>
      </c>
      <c r="O272" s="9" t="s">
        <v>1030</v>
      </c>
      <c r="P272" s="9"/>
      <c r="Q272" s="9"/>
      <c r="R272" s="9"/>
      <c r="S272" s="9"/>
      <c r="T272" s="9"/>
      <c r="U272" s="9"/>
      <c r="V272" s="9"/>
      <c r="W272" s="9"/>
      <c r="X272" s="9"/>
      <c r="Y272" s="11"/>
      <c r="Z272" s="11"/>
      <c r="AA272" s="11"/>
      <c r="AB272" s="11"/>
      <c r="AC272" s="11"/>
      <c r="AD272" s="11"/>
    </row>
    <row r="273">
      <c r="A273" s="27"/>
      <c r="B273" s="36">
        <v>46206.0</v>
      </c>
      <c r="C273" s="14" t="s">
        <v>28</v>
      </c>
      <c r="D273" s="29" t="str">
        <f t="shared" si="13"/>
        <v>QLDKDTTH_07</v>
      </c>
      <c r="E273" s="29"/>
      <c r="F273" s="29"/>
      <c r="G273" s="29" t="s">
        <v>1034</v>
      </c>
      <c r="H273" s="29" t="s">
        <v>1035</v>
      </c>
      <c r="I273" s="15"/>
      <c r="J273" s="15" t="s">
        <v>1036</v>
      </c>
      <c r="K273" s="15" t="s">
        <v>1037</v>
      </c>
      <c r="L273" s="15" t="s">
        <v>1038</v>
      </c>
      <c r="M273" s="17" t="s">
        <v>1039</v>
      </c>
      <c r="N273" s="14" t="s">
        <v>64</v>
      </c>
      <c r="O273" s="15"/>
      <c r="P273" s="24" t="s">
        <v>65</v>
      </c>
      <c r="Q273" s="25" t="s">
        <v>37</v>
      </c>
      <c r="R273" s="15"/>
      <c r="S273" s="15"/>
      <c r="T273" s="15"/>
      <c r="U273" s="15"/>
      <c r="V273" s="15"/>
      <c r="W273" s="15"/>
      <c r="X273" s="15"/>
      <c r="Y273" s="11"/>
      <c r="Z273" s="11"/>
      <c r="AA273" s="11"/>
      <c r="AB273" s="11"/>
      <c r="AC273" s="11"/>
      <c r="AD273" s="11"/>
    </row>
    <row r="274" hidden="1">
      <c r="A274" s="26"/>
      <c r="B274" s="37">
        <v>46206.0</v>
      </c>
      <c r="C274" s="10" t="s">
        <v>28</v>
      </c>
      <c r="D274" s="28" t="str">
        <f t="shared" si="13"/>
        <v>QLDKDTTH_08</v>
      </c>
      <c r="E274" s="28"/>
      <c r="F274" s="28"/>
      <c r="G274" s="28" t="s">
        <v>1040</v>
      </c>
      <c r="H274" s="28" t="s">
        <v>1035</v>
      </c>
      <c r="I274" s="9"/>
      <c r="J274" s="9" t="s">
        <v>1041</v>
      </c>
      <c r="K274" s="9" t="s">
        <v>1042</v>
      </c>
      <c r="L274" s="9"/>
      <c r="M274" s="9"/>
      <c r="N274" s="10" t="s">
        <v>208</v>
      </c>
      <c r="O274" s="9" t="s">
        <v>1030</v>
      </c>
      <c r="P274" s="9"/>
      <c r="Q274" s="9"/>
      <c r="R274" s="9"/>
      <c r="S274" s="9"/>
      <c r="T274" s="9"/>
      <c r="U274" s="9"/>
      <c r="V274" s="9"/>
      <c r="W274" s="9"/>
      <c r="X274" s="9"/>
      <c r="Y274" s="11"/>
      <c r="Z274" s="11"/>
      <c r="AA274" s="11"/>
      <c r="AB274" s="11"/>
      <c r="AC274" s="11"/>
      <c r="AD274" s="11"/>
    </row>
    <row r="275" hidden="1">
      <c r="A275" s="27"/>
      <c r="B275" s="36">
        <v>46206.0</v>
      </c>
      <c r="C275" s="14" t="s">
        <v>28</v>
      </c>
      <c r="D275" s="29" t="str">
        <f t="shared" si="13"/>
        <v>QLDKDTTH_09</v>
      </c>
      <c r="E275" s="29"/>
      <c r="F275" s="29"/>
      <c r="G275" s="29" t="s">
        <v>1043</v>
      </c>
      <c r="H275" s="29" t="s">
        <v>1035</v>
      </c>
      <c r="I275" s="15"/>
      <c r="J275" s="15" t="s">
        <v>1036</v>
      </c>
      <c r="K275" s="15" t="s">
        <v>1044</v>
      </c>
      <c r="L275" s="15" t="s">
        <v>1044</v>
      </c>
      <c r="M275" s="17" t="s">
        <v>1045</v>
      </c>
      <c r="N275" s="14" t="s">
        <v>37</v>
      </c>
      <c r="O275" s="15"/>
      <c r="P275" s="15"/>
      <c r="Q275" s="15"/>
      <c r="R275" s="15"/>
      <c r="S275" s="15"/>
      <c r="T275" s="15"/>
      <c r="U275" s="15"/>
      <c r="V275" s="15"/>
      <c r="W275" s="15"/>
      <c r="X275" s="15"/>
      <c r="Y275" s="11"/>
      <c r="Z275" s="11"/>
      <c r="AA275" s="11"/>
      <c r="AB275" s="11"/>
      <c r="AC275" s="11"/>
      <c r="AD275" s="11"/>
    </row>
    <row r="276">
      <c r="A276" s="26"/>
      <c r="B276" s="10"/>
      <c r="C276" s="10"/>
      <c r="D276" s="28" t="str">
        <f t="shared" si="13"/>
        <v/>
      </c>
      <c r="E276" s="28"/>
      <c r="F276" s="28"/>
      <c r="G276" s="28"/>
      <c r="H276" s="46"/>
      <c r="I276" s="11"/>
      <c r="J276" s="11"/>
      <c r="K276" s="11"/>
      <c r="L276" s="11"/>
      <c r="M276" s="11"/>
      <c r="N276" s="46"/>
      <c r="O276" s="11"/>
      <c r="P276" s="11"/>
      <c r="Q276" s="46"/>
      <c r="R276" s="11"/>
      <c r="S276" s="11"/>
      <c r="T276" s="11"/>
      <c r="U276" s="11"/>
      <c r="V276" s="11"/>
      <c r="W276" s="11"/>
      <c r="X276" s="11"/>
      <c r="Y276" s="11"/>
      <c r="Z276" s="11"/>
      <c r="AA276" s="11"/>
      <c r="AB276" s="11"/>
      <c r="AC276" s="11"/>
      <c r="AD276" s="11"/>
    </row>
    <row r="277">
      <c r="A277" s="26"/>
      <c r="B277" s="10"/>
      <c r="C277" s="10"/>
      <c r="D277" s="9"/>
      <c r="E277" s="9"/>
      <c r="F277" s="9"/>
      <c r="G277" s="9"/>
      <c r="H277" s="11"/>
      <c r="I277" s="11"/>
      <c r="J277" s="11"/>
      <c r="K277" s="11"/>
      <c r="L277" s="11"/>
      <c r="M277" s="11"/>
      <c r="N277" s="46"/>
      <c r="O277" s="11"/>
      <c r="P277" s="11"/>
      <c r="Q277" s="46"/>
      <c r="R277" s="11"/>
      <c r="S277" s="11"/>
      <c r="T277" s="11"/>
      <c r="U277" s="11"/>
      <c r="V277" s="11"/>
      <c r="W277" s="11"/>
      <c r="X277" s="11"/>
      <c r="Y277" s="11"/>
      <c r="Z277" s="11"/>
      <c r="AA277" s="11"/>
      <c r="AB277" s="11"/>
      <c r="AC277" s="11"/>
      <c r="AD277" s="11"/>
    </row>
    <row r="278">
      <c r="A278" s="47"/>
      <c r="B278" s="46"/>
      <c r="C278" s="46"/>
      <c r="D278" s="11"/>
      <c r="E278" s="11"/>
      <c r="F278" s="11"/>
      <c r="G278" s="11"/>
      <c r="H278" s="11"/>
      <c r="I278" s="11"/>
      <c r="J278" s="11"/>
      <c r="K278" s="11"/>
      <c r="L278" s="11"/>
      <c r="M278" s="11"/>
      <c r="N278" s="46"/>
      <c r="O278" s="11"/>
      <c r="P278" s="11"/>
      <c r="Q278" s="46"/>
      <c r="R278" s="11"/>
      <c r="S278" s="11"/>
      <c r="T278" s="11"/>
      <c r="U278" s="11"/>
      <c r="V278" s="11"/>
      <c r="W278" s="11"/>
      <c r="X278" s="11"/>
      <c r="Y278" s="11"/>
      <c r="Z278" s="11"/>
      <c r="AA278" s="11"/>
      <c r="AB278" s="11"/>
      <c r="AC278" s="11"/>
      <c r="AD278" s="11"/>
    </row>
    <row r="279">
      <c r="A279" s="47"/>
      <c r="B279" s="46"/>
      <c r="C279" s="46"/>
      <c r="D279" s="11"/>
      <c r="E279" s="11"/>
      <c r="F279" s="11"/>
      <c r="G279" s="11"/>
      <c r="H279" s="11"/>
      <c r="I279" s="11"/>
      <c r="J279" s="11"/>
      <c r="K279" s="11"/>
      <c r="L279" s="11"/>
      <c r="M279" s="11"/>
      <c r="N279" s="46"/>
      <c r="O279" s="11"/>
      <c r="P279" s="11"/>
      <c r="Q279" s="46"/>
      <c r="R279" s="11"/>
      <c r="S279" s="11"/>
      <c r="T279" s="11"/>
      <c r="U279" s="11"/>
      <c r="V279" s="11"/>
      <c r="W279" s="11"/>
      <c r="X279" s="11"/>
      <c r="Y279" s="11"/>
      <c r="Z279" s="11"/>
      <c r="AA279" s="11"/>
      <c r="AB279" s="11"/>
      <c r="AC279" s="11"/>
      <c r="AD279" s="11"/>
    </row>
    <row r="280">
      <c r="A280" s="47"/>
      <c r="B280" s="46"/>
      <c r="C280" s="46"/>
      <c r="D280" s="11"/>
      <c r="E280" s="11"/>
      <c r="F280" s="11"/>
      <c r="G280" s="11"/>
      <c r="H280" s="11"/>
      <c r="I280" s="11"/>
      <c r="J280" s="11"/>
      <c r="K280" s="11"/>
      <c r="L280" s="11"/>
      <c r="M280" s="11"/>
      <c r="N280" s="46"/>
      <c r="O280" s="11"/>
      <c r="P280" s="11"/>
      <c r="Q280" s="46"/>
      <c r="R280" s="11"/>
      <c r="S280" s="11"/>
      <c r="T280" s="11"/>
      <c r="U280" s="11"/>
      <c r="V280" s="11"/>
      <c r="W280" s="11"/>
      <c r="X280" s="11"/>
      <c r="Y280" s="11"/>
      <c r="Z280" s="11"/>
      <c r="AA280" s="11"/>
      <c r="AB280" s="11"/>
      <c r="AC280" s="11"/>
      <c r="AD280" s="11"/>
    </row>
    <row r="281">
      <c r="A281" s="47"/>
      <c r="B281" s="46"/>
      <c r="C281" s="46"/>
      <c r="D281" s="11"/>
      <c r="E281" s="11"/>
      <c r="F281" s="11"/>
      <c r="G281" s="11"/>
      <c r="H281" s="11"/>
      <c r="I281" s="11"/>
      <c r="J281" s="11"/>
      <c r="K281" s="11"/>
      <c r="L281" s="11"/>
      <c r="M281" s="11"/>
      <c r="N281" s="46"/>
      <c r="O281" s="11"/>
      <c r="P281" s="11"/>
      <c r="Q281" s="46"/>
      <c r="R281" s="11"/>
      <c r="S281" s="11"/>
      <c r="T281" s="11"/>
      <c r="U281" s="11"/>
      <c r="V281" s="11"/>
      <c r="W281" s="11"/>
      <c r="X281" s="11"/>
      <c r="Y281" s="11"/>
      <c r="Z281" s="11"/>
      <c r="AA281" s="11"/>
      <c r="AB281" s="11"/>
      <c r="AC281" s="11"/>
      <c r="AD281" s="11"/>
    </row>
    <row r="282">
      <c r="A282" s="47"/>
      <c r="B282" s="46"/>
      <c r="C282" s="46"/>
      <c r="D282" s="11"/>
      <c r="E282" s="11"/>
      <c r="F282" s="11"/>
      <c r="G282" s="11"/>
      <c r="H282" s="11"/>
      <c r="I282" s="11"/>
      <c r="J282" s="11"/>
      <c r="K282" s="11"/>
      <c r="L282" s="11"/>
      <c r="M282" s="11"/>
      <c r="N282" s="46"/>
      <c r="O282" s="11"/>
      <c r="P282" s="11"/>
      <c r="Q282" s="46"/>
      <c r="R282" s="11"/>
      <c r="S282" s="11"/>
      <c r="T282" s="11"/>
      <c r="U282" s="11"/>
      <c r="V282" s="11"/>
      <c r="W282" s="11"/>
      <c r="X282" s="11"/>
      <c r="Y282" s="11"/>
      <c r="Z282" s="11"/>
      <c r="AA282" s="11"/>
      <c r="AB282" s="11"/>
      <c r="AC282" s="11"/>
      <c r="AD282" s="11"/>
    </row>
    <row r="283">
      <c r="A283" s="47"/>
      <c r="B283" s="46"/>
      <c r="C283" s="46"/>
      <c r="D283" s="11"/>
      <c r="E283" s="11"/>
      <c r="F283" s="11"/>
      <c r="G283" s="11"/>
      <c r="H283" s="11"/>
      <c r="I283" s="11"/>
      <c r="J283" s="11"/>
      <c r="K283" s="11"/>
      <c r="L283" s="11"/>
      <c r="M283" s="11"/>
      <c r="N283" s="46"/>
      <c r="O283" s="11"/>
      <c r="P283" s="11"/>
      <c r="Q283" s="46"/>
      <c r="R283" s="11"/>
      <c r="S283" s="11"/>
      <c r="T283" s="11"/>
      <c r="U283" s="11"/>
      <c r="V283" s="11"/>
      <c r="W283" s="11"/>
      <c r="X283" s="11"/>
      <c r="Y283" s="11"/>
      <c r="Z283" s="11"/>
      <c r="AA283" s="11"/>
      <c r="AB283" s="11"/>
      <c r="AC283" s="11"/>
      <c r="AD283" s="11"/>
    </row>
    <row r="284">
      <c r="A284" s="47"/>
      <c r="B284" s="46"/>
      <c r="C284" s="46"/>
      <c r="D284" s="11"/>
      <c r="E284" s="11"/>
      <c r="F284" s="11"/>
      <c r="G284" s="11"/>
      <c r="H284" s="11"/>
      <c r="I284" s="11"/>
      <c r="J284" s="11"/>
      <c r="K284" s="11"/>
      <c r="L284" s="11"/>
      <c r="M284" s="11"/>
      <c r="N284" s="46"/>
      <c r="O284" s="11"/>
      <c r="P284" s="11"/>
      <c r="Q284" s="46"/>
      <c r="R284" s="11"/>
      <c r="S284" s="11"/>
      <c r="T284" s="11"/>
      <c r="U284" s="11"/>
      <c r="V284" s="11"/>
      <c r="W284" s="11"/>
      <c r="X284" s="11"/>
      <c r="Y284" s="11"/>
      <c r="Z284" s="11"/>
      <c r="AA284" s="11"/>
      <c r="AB284" s="11"/>
      <c r="AC284" s="11"/>
      <c r="AD284" s="11"/>
    </row>
    <row r="285">
      <c r="A285" s="47"/>
      <c r="B285" s="46"/>
      <c r="C285" s="46"/>
      <c r="D285" s="11"/>
      <c r="E285" s="11"/>
      <c r="F285" s="11"/>
      <c r="G285" s="11"/>
      <c r="H285" s="11"/>
      <c r="I285" s="11"/>
      <c r="J285" s="11"/>
      <c r="K285" s="11"/>
      <c r="L285" s="11"/>
      <c r="M285" s="11"/>
      <c r="N285" s="46"/>
      <c r="O285" s="11"/>
      <c r="P285" s="11"/>
      <c r="Q285" s="46"/>
      <c r="R285" s="11"/>
      <c r="S285" s="11"/>
      <c r="T285" s="11"/>
      <c r="U285" s="11"/>
      <c r="V285" s="11"/>
      <c r="W285" s="11"/>
      <c r="X285" s="11"/>
      <c r="Y285" s="11"/>
      <c r="Z285" s="11"/>
      <c r="AA285" s="11"/>
      <c r="AB285" s="11"/>
      <c r="AC285" s="11"/>
      <c r="AD285" s="11"/>
    </row>
    <row r="286">
      <c r="A286" s="47"/>
      <c r="B286" s="46"/>
      <c r="C286" s="46"/>
      <c r="D286" s="11"/>
      <c r="E286" s="11"/>
      <c r="F286" s="11"/>
      <c r="G286" s="11"/>
      <c r="H286" s="11"/>
      <c r="I286" s="11"/>
      <c r="J286" s="11"/>
      <c r="K286" s="11"/>
      <c r="L286" s="11"/>
      <c r="M286" s="11"/>
      <c r="N286" s="46"/>
      <c r="O286" s="11"/>
      <c r="P286" s="11"/>
      <c r="Q286" s="46"/>
      <c r="R286" s="11"/>
      <c r="S286" s="11"/>
      <c r="T286" s="11"/>
      <c r="U286" s="11"/>
      <c r="V286" s="11"/>
      <c r="W286" s="11"/>
      <c r="X286" s="11"/>
      <c r="Y286" s="11"/>
      <c r="Z286" s="11"/>
      <c r="AA286" s="11"/>
      <c r="AB286" s="11"/>
      <c r="AC286" s="11"/>
      <c r="AD286" s="11"/>
    </row>
    <row r="287">
      <c r="A287" s="47"/>
      <c r="B287" s="46"/>
      <c r="C287" s="46"/>
      <c r="D287" s="11"/>
      <c r="E287" s="11"/>
      <c r="F287" s="11"/>
      <c r="G287" s="11"/>
      <c r="H287" s="11"/>
      <c r="I287" s="11"/>
      <c r="J287" s="11"/>
      <c r="K287" s="11"/>
      <c r="L287" s="11"/>
      <c r="M287" s="11"/>
      <c r="N287" s="46"/>
      <c r="O287" s="11"/>
      <c r="P287" s="11"/>
      <c r="Q287" s="46"/>
      <c r="R287" s="11"/>
      <c r="S287" s="11"/>
      <c r="T287" s="11"/>
      <c r="U287" s="11"/>
      <c r="V287" s="11"/>
      <c r="W287" s="11"/>
      <c r="X287" s="11"/>
      <c r="Y287" s="11"/>
      <c r="Z287" s="11"/>
      <c r="AA287" s="11"/>
      <c r="AB287" s="11"/>
      <c r="AC287" s="11"/>
      <c r="AD287" s="11"/>
    </row>
    <row r="288">
      <c r="A288" s="47"/>
      <c r="B288" s="46"/>
      <c r="C288" s="46"/>
      <c r="D288" s="11"/>
      <c r="E288" s="11"/>
      <c r="F288" s="11"/>
      <c r="G288" s="11"/>
      <c r="H288" s="11"/>
      <c r="I288" s="11"/>
      <c r="J288" s="11"/>
      <c r="K288" s="11"/>
      <c r="L288" s="11"/>
      <c r="M288" s="11"/>
      <c r="N288" s="46"/>
      <c r="O288" s="11"/>
      <c r="P288" s="11"/>
      <c r="Q288" s="46"/>
      <c r="R288" s="11"/>
      <c r="S288" s="11"/>
      <c r="T288" s="11"/>
      <c r="U288" s="11"/>
      <c r="V288" s="11"/>
      <c r="W288" s="11"/>
      <c r="X288" s="11"/>
      <c r="Y288" s="11"/>
      <c r="Z288" s="11"/>
      <c r="AA288" s="11"/>
      <c r="AB288" s="11"/>
      <c r="AC288" s="11"/>
      <c r="AD288" s="11"/>
    </row>
    <row r="289">
      <c r="A289" s="47"/>
      <c r="B289" s="46"/>
      <c r="C289" s="46"/>
      <c r="D289" s="11"/>
      <c r="E289" s="11"/>
      <c r="F289" s="11"/>
      <c r="G289" s="11"/>
      <c r="H289" s="11"/>
      <c r="I289" s="11"/>
      <c r="J289" s="11"/>
      <c r="K289" s="11"/>
      <c r="L289" s="11"/>
      <c r="M289" s="11"/>
      <c r="N289" s="46"/>
      <c r="O289" s="11"/>
      <c r="P289" s="11"/>
      <c r="Q289" s="46"/>
      <c r="R289" s="11"/>
      <c r="S289" s="11"/>
      <c r="T289" s="11"/>
      <c r="U289" s="11"/>
      <c r="V289" s="11"/>
      <c r="W289" s="11"/>
      <c r="X289" s="11"/>
      <c r="Y289" s="11"/>
      <c r="Z289" s="11"/>
      <c r="AA289" s="11"/>
      <c r="AB289" s="11"/>
      <c r="AC289" s="11"/>
      <c r="AD289" s="11"/>
    </row>
    <row r="290">
      <c r="A290" s="47"/>
      <c r="B290" s="46"/>
      <c r="C290" s="46"/>
      <c r="D290" s="11"/>
      <c r="E290" s="11"/>
      <c r="F290" s="11"/>
      <c r="G290" s="11"/>
      <c r="H290" s="11"/>
      <c r="I290" s="11"/>
      <c r="J290" s="11"/>
      <c r="K290" s="11"/>
      <c r="L290" s="11"/>
      <c r="M290" s="11"/>
      <c r="N290" s="46"/>
      <c r="O290" s="11"/>
      <c r="P290" s="11"/>
      <c r="Q290" s="46"/>
      <c r="R290" s="11"/>
      <c r="S290" s="11"/>
      <c r="T290" s="11"/>
      <c r="U290" s="11"/>
      <c r="V290" s="11"/>
      <c r="W290" s="11"/>
      <c r="X290" s="11"/>
      <c r="Y290" s="11"/>
      <c r="Z290" s="11"/>
      <c r="AA290" s="11"/>
      <c r="AB290" s="11"/>
      <c r="AC290" s="11"/>
      <c r="AD290" s="11"/>
    </row>
    <row r="291">
      <c r="A291" s="47"/>
      <c r="B291" s="46"/>
      <c r="C291" s="46"/>
      <c r="D291" s="11"/>
      <c r="E291" s="11"/>
      <c r="F291" s="11"/>
      <c r="G291" s="11"/>
      <c r="H291" s="11"/>
      <c r="I291" s="11"/>
      <c r="J291" s="11"/>
      <c r="K291" s="11"/>
      <c r="L291" s="11"/>
      <c r="M291" s="11"/>
      <c r="N291" s="46"/>
      <c r="O291" s="11"/>
      <c r="P291" s="11"/>
      <c r="Q291" s="46"/>
      <c r="R291" s="11"/>
      <c r="S291" s="11"/>
      <c r="T291" s="11"/>
      <c r="U291" s="11"/>
      <c r="V291" s="11"/>
      <c r="W291" s="11"/>
      <c r="X291" s="11"/>
      <c r="Y291" s="11"/>
      <c r="Z291" s="11"/>
      <c r="AA291" s="11"/>
      <c r="AB291" s="11"/>
      <c r="AC291" s="11"/>
      <c r="AD291" s="11"/>
    </row>
    <row r="292">
      <c r="A292" s="47"/>
      <c r="B292" s="46"/>
      <c r="C292" s="46"/>
      <c r="D292" s="11"/>
      <c r="E292" s="11"/>
      <c r="F292" s="11"/>
      <c r="G292" s="11"/>
      <c r="H292" s="11"/>
      <c r="I292" s="11"/>
      <c r="J292" s="11"/>
      <c r="K292" s="11"/>
      <c r="L292" s="11"/>
      <c r="M292" s="11"/>
      <c r="N292" s="46"/>
      <c r="O292" s="11"/>
      <c r="P292" s="11"/>
      <c r="Q292" s="46"/>
      <c r="R292" s="11"/>
      <c r="S292" s="11"/>
      <c r="T292" s="11"/>
      <c r="U292" s="11"/>
      <c r="V292" s="11"/>
      <c r="W292" s="11"/>
      <c r="X292" s="11"/>
      <c r="Y292" s="11"/>
      <c r="Z292" s="11"/>
      <c r="AA292" s="11"/>
      <c r="AB292" s="11"/>
      <c r="AC292" s="11"/>
      <c r="AD292" s="11"/>
    </row>
    <row r="293">
      <c r="A293" s="47"/>
      <c r="B293" s="46"/>
      <c r="C293" s="46"/>
      <c r="D293" s="11"/>
      <c r="E293" s="11"/>
      <c r="F293" s="11"/>
      <c r="G293" s="11"/>
      <c r="H293" s="11"/>
      <c r="I293" s="11"/>
      <c r="J293" s="11"/>
      <c r="K293" s="11"/>
      <c r="L293" s="11"/>
      <c r="M293" s="11"/>
      <c r="N293" s="46"/>
      <c r="O293" s="11"/>
      <c r="P293" s="11"/>
      <c r="Q293" s="46"/>
      <c r="R293" s="11"/>
      <c r="S293" s="11"/>
      <c r="T293" s="11"/>
      <c r="U293" s="11"/>
      <c r="V293" s="11"/>
      <c r="W293" s="11"/>
      <c r="X293" s="11"/>
      <c r="Y293" s="11"/>
      <c r="Z293" s="11"/>
      <c r="AA293" s="11"/>
      <c r="AB293" s="11"/>
      <c r="AC293" s="11"/>
      <c r="AD293" s="11"/>
    </row>
    <row r="294">
      <c r="A294" s="47"/>
      <c r="B294" s="46"/>
      <c r="C294" s="46"/>
      <c r="D294" s="11"/>
      <c r="E294" s="11"/>
      <c r="F294" s="11"/>
      <c r="G294" s="11"/>
      <c r="H294" s="11"/>
      <c r="I294" s="11"/>
      <c r="J294" s="11"/>
      <c r="K294" s="11"/>
      <c r="L294" s="11"/>
      <c r="M294" s="11"/>
      <c r="N294" s="46"/>
      <c r="O294" s="11"/>
      <c r="P294" s="11"/>
      <c r="Q294" s="46"/>
      <c r="R294" s="11"/>
      <c r="S294" s="11"/>
      <c r="T294" s="11"/>
      <c r="U294" s="11"/>
      <c r="V294" s="11"/>
      <c r="W294" s="11"/>
      <c r="X294" s="11"/>
      <c r="Y294" s="11"/>
      <c r="Z294" s="11"/>
      <c r="AA294" s="11"/>
      <c r="AB294" s="11"/>
      <c r="AC294" s="11"/>
      <c r="AD294" s="11"/>
    </row>
    <row r="295">
      <c r="A295" s="47"/>
      <c r="B295" s="46"/>
      <c r="C295" s="46"/>
      <c r="D295" s="11"/>
      <c r="E295" s="11"/>
      <c r="F295" s="11"/>
      <c r="G295" s="11"/>
      <c r="H295" s="11"/>
      <c r="I295" s="11"/>
      <c r="J295" s="11"/>
      <c r="K295" s="11"/>
      <c r="L295" s="11"/>
      <c r="M295" s="11"/>
      <c r="N295" s="46"/>
      <c r="O295" s="11"/>
      <c r="P295" s="11"/>
      <c r="Q295" s="46"/>
      <c r="R295" s="11"/>
      <c r="S295" s="11"/>
      <c r="T295" s="11"/>
      <c r="U295" s="11"/>
      <c r="V295" s="11"/>
      <c r="W295" s="11"/>
      <c r="X295" s="11"/>
      <c r="Y295" s="11"/>
      <c r="Z295" s="11"/>
      <c r="AA295" s="11"/>
      <c r="AB295" s="11"/>
      <c r="AC295" s="11"/>
      <c r="AD295" s="11"/>
    </row>
    <row r="296">
      <c r="A296" s="47"/>
      <c r="B296" s="46"/>
      <c r="C296" s="46"/>
      <c r="D296" s="11"/>
      <c r="E296" s="11"/>
      <c r="F296" s="11"/>
      <c r="G296" s="11"/>
      <c r="H296" s="11"/>
      <c r="I296" s="11"/>
      <c r="J296" s="11"/>
      <c r="K296" s="11"/>
      <c r="L296" s="11"/>
      <c r="M296" s="11"/>
      <c r="N296" s="46"/>
      <c r="O296" s="11"/>
      <c r="P296" s="11"/>
      <c r="Q296" s="46"/>
      <c r="R296" s="11"/>
      <c r="S296" s="11"/>
      <c r="T296" s="11"/>
      <c r="U296" s="11"/>
      <c r="V296" s="11"/>
      <c r="W296" s="11"/>
      <c r="X296" s="11"/>
      <c r="Y296" s="11"/>
      <c r="Z296" s="11"/>
      <c r="AA296" s="11"/>
      <c r="AB296" s="11"/>
      <c r="AC296" s="11"/>
      <c r="AD296" s="11"/>
    </row>
    <row r="297">
      <c r="A297" s="47"/>
      <c r="B297" s="46"/>
      <c r="C297" s="46"/>
      <c r="D297" s="11"/>
      <c r="E297" s="11"/>
      <c r="F297" s="11"/>
      <c r="G297" s="11"/>
      <c r="H297" s="11"/>
      <c r="I297" s="11"/>
      <c r="J297" s="11"/>
      <c r="K297" s="11"/>
      <c r="L297" s="11"/>
      <c r="M297" s="11"/>
      <c r="N297" s="46"/>
      <c r="O297" s="11"/>
      <c r="P297" s="11"/>
      <c r="Q297" s="46"/>
      <c r="R297" s="11"/>
      <c r="S297" s="11"/>
      <c r="T297" s="11"/>
      <c r="U297" s="11"/>
      <c r="V297" s="11"/>
      <c r="W297" s="11"/>
      <c r="X297" s="11"/>
      <c r="Y297" s="11"/>
      <c r="Z297" s="11"/>
      <c r="AA297" s="11"/>
      <c r="AB297" s="11"/>
      <c r="AC297" s="11"/>
      <c r="AD297" s="11"/>
    </row>
    <row r="298">
      <c r="A298" s="47"/>
      <c r="B298" s="46"/>
      <c r="C298" s="46"/>
      <c r="D298" s="11"/>
      <c r="E298" s="11"/>
      <c r="F298" s="11"/>
      <c r="G298" s="11"/>
      <c r="H298" s="11"/>
      <c r="I298" s="11"/>
      <c r="J298" s="11"/>
      <c r="K298" s="11"/>
      <c r="L298" s="11"/>
      <c r="M298" s="11"/>
      <c r="N298" s="46"/>
      <c r="O298" s="11"/>
      <c r="P298" s="11"/>
      <c r="Q298" s="46"/>
      <c r="R298" s="11"/>
      <c r="S298" s="11"/>
      <c r="T298" s="11"/>
      <c r="U298" s="11"/>
      <c r="V298" s="11"/>
      <c r="W298" s="11"/>
      <c r="X298" s="11"/>
      <c r="Y298" s="11"/>
      <c r="Z298" s="11"/>
      <c r="AA298" s="11"/>
      <c r="AB298" s="11"/>
      <c r="AC298" s="11"/>
      <c r="AD298" s="11"/>
    </row>
    <row r="299">
      <c r="A299" s="47"/>
      <c r="B299" s="46"/>
      <c r="C299" s="46"/>
      <c r="D299" s="11"/>
      <c r="E299" s="11"/>
      <c r="F299" s="11"/>
      <c r="G299" s="11"/>
      <c r="H299" s="11"/>
      <c r="I299" s="11"/>
      <c r="J299" s="11"/>
      <c r="K299" s="11"/>
      <c r="L299" s="11"/>
      <c r="M299" s="11"/>
      <c r="N299" s="46"/>
      <c r="O299" s="11"/>
      <c r="P299" s="11"/>
      <c r="Q299" s="46"/>
      <c r="R299" s="11"/>
      <c r="S299" s="11"/>
      <c r="T299" s="11"/>
      <c r="U299" s="11"/>
      <c r="V299" s="11"/>
      <c r="W299" s="11"/>
      <c r="X299" s="11"/>
      <c r="Y299" s="11"/>
      <c r="Z299" s="11"/>
      <c r="AA299" s="11"/>
      <c r="AB299" s="11"/>
      <c r="AC299" s="11"/>
      <c r="AD299" s="11"/>
    </row>
    <row r="300">
      <c r="A300" s="47"/>
      <c r="B300" s="46"/>
      <c r="C300" s="46"/>
      <c r="D300" s="11"/>
      <c r="E300" s="11"/>
      <c r="F300" s="11"/>
      <c r="G300" s="11"/>
      <c r="H300" s="11"/>
      <c r="I300" s="11"/>
      <c r="J300" s="11"/>
      <c r="K300" s="11"/>
      <c r="L300" s="11"/>
      <c r="M300" s="11"/>
      <c r="N300" s="46"/>
      <c r="O300" s="11"/>
      <c r="P300" s="11"/>
      <c r="Q300" s="46"/>
      <c r="R300" s="11"/>
      <c r="S300" s="11"/>
      <c r="T300" s="11"/>
      <c r="U300" s="11"/>
      <c r="V300" s="11"/>
      <c r="W300" s="11"/>
      <c r="X300" s="11"/>
      <c r="Y300" s="11"/>
      <c r="Z300" s="11"/>
      <c r="AA300" s="11"/>
      <c r="AB300" s="11"/>
      <c r="AC300" s="11"/>
      <c r="AD300" s="11"/>
    </row>
    <row r="301">
      <c r="A301" s="47"/>
      <c r="B301" s="46"/>
      <c r="C301" s="46"/>
      <c r="D301" s="11"/>
      <c r="E301" s="11"/>
      <c r="F301" s="11"/>
      <c r="G301" s="11"/>
      <c r="H301" s="11"/>
      <c r="I301" s="11"/>
      <c r="J301" s="11"/>
      <c r="K301" s="11"/>
      <c r="L301" s="11"/>
      <c r="M301" s="11"/>
      <c r="N301" s="46"/>
      <c r="O301" s="11"/>
      <c r="P301" s="11"/>
      <c r="Q301" s="46"/>
      <c r="R301" s="11"/>
      <c r="S301" s="11"/>
      <c r="T301" s="11"/>
      <c r="U301" s="11"/>
      <c r="V301" s="11"/>
      <c r="W301" s="11"/>
      <c r="X301" s="11"/>
      <c r="Y301" s="11"/>
      <c r="Z301" s="11"/>
      <c r="AA301" s="11"/>
      <c r="AB301" s="11"/>
      <c r="AC301" s="11"/>
      <c r="AD301" s="11"/>
    </row>
    <row r="302">
      <c r="A302" s="47"/>
      <c r="B302" s="46"/>
      <c r="C302" s="46"/>
      <c r="D302" s="11"/>
      <c r="E302" s="11"/>
      <c r="F302" s="11"/>
      <c r="G302" s="11"/>
      <c r="H302" s="11"/>
      <c r="I302" s="11"/>
      <c r="J302" s="11"/>
      <c r="K302" s="11"/>
      <c r="L302" s="11"/>
      <c r="M302" s="11"/>
      <c r="N302" s="46"/>
      <c r="O302" s="11"/>
      <c r="P302" s="11"/>
      <c r="Q302" s="46"/>
      <c r="R302" s="11"/>
      <c r="S302" s="11"/>
      <c r="T302" s="11"/>
      <c r="U302" s="11"/>
      <c r="V302" s="11"/>
      <c r="W302" s="11"/>
      <c r="X302" s="11"/>
      <c r="Y302" s="11"/>
      <c r="Z302" s="11"/>
      <c r="AA302" s="11"/>
      <c r="AB302" s="11"/>
      <c r="AC302" s="11"/>
      <c r="AD302" s="11"/>
    </row>
    <row r="303">
      <c r="A303" s="47"/>
      <c r="B303" s="46"/>
      <c r="C303" s="46"/>
      <c r="D303" s="11"/>
      <c r="E303" s="11"/>
      <c r="F303" s="11"/>
      <c r="G303" s="11"/>
      <c r="H303" s="11"/>
      <c r="I303" s="11"/>
      <c r="J303" s="11"/>
      <c r="K303" s="11"/>
      <c r="L303" s="11"/>
      <c r="M303" s="11"/>
      <c r="N303" s="46"/>
      <c r="O303" s="11"/>
      <c r="P303" s="11"/>
      <c r="Q303" s="46"/>
      <c r="R303" s="11"/>
      <c r="S303" s="11"/>
      <c r="T303" s="11"/>
      <c r="U303" s="11"/>
      <c r="V303" s="11"/>
      <c r="W303" s="11"/>
      <c r="X303" s="11"/>
      <c r="Y303" s="11"/>
      <c r="Z303" s="11"/>
      <c r="AA303" s="11"/>
      <c r="AB303" s="11"/>
      <c r="AC303" s="11"/>
      <c r="AD303" s="11"/>
    </row>
    <row r="304">
      <c r="A304" s="47"/>
      <c r="B304" s="46"/>
      <c r="C304" s="46"/>
      <c r="D304" s="11"/>
      <c r="E304" s="11"/>
      <c r="F304" s="11"/>
      <c r="G304" s="11"/>
      <c r="H304" s="11"/>
      <c r="I304" s="11"/>
      <c r="J304" s="11"/>
      <c r="K304" s="11"/>
      <c r="L304" s="11"/>
      <c r="M304" s="11"/>
      <c r="N304" s="46"/>
      <c r="O304" s="11"/>
      <c r="P304" s="11"/>
      <c r="Q304" s="46"/>
      <c r="R304" s="11"/>
      <c r="S304" s="11"/>
      <c r="T304" s="11"/>
      <c r="U304" s="11"/>
      <c r="V304" s="11"/>
      <c r="W304" s="11"/>
      <c r="X304" s="11"/>
      <c r="Y304" s="11"/>
      <c r="Z304" s="11"/>
      <c r="AA304" s="11"/>
      <c r="AB304" s="11"/>
      <c r="AC304" s="11"/>
      <c r="AD304" s="11"/>
    </row>
    <row r="305">
      <c r="A305" s="47"/>
      <c r="B305" s="46"/>
      <c r="C305" s="46"/>
      <c r="D305" s="11"/>
      <c r="E305" s="11"/>
      <c r="F305" s="11"/>
      <c r="G305" s="11"/>
      <c r="H305" s="11"/>
      <c r="I305" s="11"/>
      <c r="J305" s="11"/>
      <c r="K305" s="11"/>
      <c r="L305" s="11"/>
      <c r="M305" s="11"/>
      <c r="N305" s="46"/>
      <c r="O305" s="11"/>
      <c r="P305" s="11"/>
      <c r="Q305" s="46"/>
      <c r="R305" s="11"/>
      <c r="S305" s="11"/>
      <c r="T305" s="11"/>
      <c r="U305" s="11"/>
      <c r="V305" s="11"/>
      <c r="W305" s="11"/>
      <c r="X305" s="11"/>
      <c r="Y305" s="11"/>
      <c r="Z305" s="11"/>
      <c r="AA305" s="11"/>
      <c r="AB305" s="11"/>
      <c r="AC305" s="11"/>
      <c r="AD305" s="11"/>
    </row>
    <row r="306">
      <c r="A306" s="47"/>
      <c r="B306" s="46"/>
      <c r="C306" s="46"/>
      <c r="D306" s="11"/>
      <c r="E306" s="11"/>
      <c r="F306" s="11"/>
      <c r="G306" s="11"/>
      <c r="H306" s="11"/>
      <c r="I306" s="11"/>
      <c r="J306" s="11"/>
      <c r="K306" s="11"/>
      <c r="L306" s="11"/>
      <c r="M306" s="11"/>
      <c r="N306" s="46"/>
      <c r="O306" s="11"/>
      <c r="P306" s="11"/>
      <c r="Q306" s="46"/>
      <c r="R306" s="11"/>
      <c r="S306" s="11"/>
      <c r="T306" s="11"/>
      <c r="U306" s="11"/>
      <c r="V306" s="11"/>
      <c r="W306" s="11"/>
      <c r="X306" s="11"/>
      <c r="Y306" s="11"/>
      <c r="Z306" s="11"/>
      <c r="AA306" s="11"/>
      <c r="AB306" s="11"/>
      <c r="AC306" s="11"/>
      <c r="AD306" s="11"/>
    </row>
    <row r="307">
      <c r="A307" s="47"/>
      <c r="B307" s="46"/>
      <c r="C307" s="46"/>
      <c r="D307" s="11"/>
      <c r="E307" s="11"/>
      <c r="F307" s="11"/>
      <c r="G307" s="11"/>
      <c r="H307" s="11"/>
      <c r="I307" s="11"/>
      <c r="J307" s="11"/>
      <c r="K307" s="11"/>
      <c r="L307" s="11"/>
      <c r="M307" s="11"/>
      <c r="N307" s="46"/>
      <c r="O307" s="11"/>
      <c r="P307" s="11"/>
      <c r="Q307" s="46"/>
      <c r="R307" s="11"/>
      <c r="S307" s="11"/>
      <c r="T307" s="11"/>
      <c r="U307" s="11"/>
      <c r="V307" s="11"/>
      <c r="W307" s="11"/>
      <c r="X307" s="11"/>
      <c r="Y307" s="11"/>
      <c r="Z307" s="11"/>
      <c r="AA307" s="11"/>
      <c r="AB307" s="11"/>
      <c r="AC307" s="11"/>
      <c r="AD307" s="11"/>
    </row>
    <row r="308">
      <c r="A308" s="47"/>
      <c r="B308" s="46"/>
      <c r="C308" s="46"/>
      <c r="D308" s="11"/>
      <c r="E308" s="11"/>
      <c r="F308" s="11"/>
      <c r="G308" s="11"/>
      <c r="H308" s="11"/>
      <c r="I308" s="11"/>
      <c r="J308" s="11"/>
      <c r="K308" s="11"/>
      <c r="L308" s="11"/>
      <c r="M308" s="11"/>
      <c r="N308" s="46"/>
      <c r="O308" s="11"/>
      <c r="P308" s="11"/>
      <c r="Q308" s="46"/>
      <c r="R308" s="11"/>
      <c r="S308" s="11"/>
      <c r="T308" s="11"/>
      <c r="U308" s="11"/>
      <c r="V308" s="11"/>
      <c r="W308" s="11"/>
      <c r="X308" s="11"/>
      <c r="Y308" s="11"/>
      <c r="Z308" s="11"/>
      <c r="AA308" s="11"/>
      <c r="AB308" s="11"/>
      <c r="AC308" s="11"/>
      <c r="AD308" s="11"/>
    </row>
    <row r="309">
      <c r="A309" s="47"/>
      <c r="B309" s="46"/>
      <c r="C309" s="46"/>
      <c r="D309" s="11"/>
      <c r="E309" s="11"/>
      <c r="F309" s="11"/>
      <c r="G309" s="11"/>
      <c r="H309" s="11"/>
      <c r="I309" s="11"/>
      <c r="J309" s="11"/>
      <c r="K309" s="11"/>
      <c r="L309" s="11"/>
      <c r="M309" s="11"/>
      <c r="N309" s="46"/>
      <c r="O309" s="11"/>
      <c r="P309" s="11"/>
      <c r="Q309" s="46"/>
      <c r="R309" s="11"/>
      <c r="S309" s="11"/>
      <c r="T309" s="11"/>
      <c r="U309" s="11"/>
      <c r="V309" s="11"/>
      <c r="W309" s="11"/>
      <c r="X309" s="11"/>
      <c r="Y309" s="11"/>
      <c r="Z309" s="11"/>
      <c r="AA309" s="11"/>
      <c r="AB309" s="11"/>
      <c r="AC309" s="11"/>
      <c r="AD309" s="11"/>
    </row>
    <row r="310">
      <c r="A310" s="47"/>
      <c r="B310" s="46"/>
      <c r="C310" s="46"/>
      <c r="D310" s="11"/>
      <c r="E310" s="11"/>
      <c r="F310" s="11"/>
      <c r="G310" s="11"/>
      <c r="H310" s="11"/>
      <c r="I310" s="11"/>
      <c r="J310" s="11"/>
      <c r="K310" s="11"/>
      <c r="L310" s="11"/>
      <c r="M310" s="11"/>
      <c r="N310" s="46"/>
      <c r="O310" s="11"/>
      <c r="P310" s="11"/>
      <c r="Q310" s="46"/>
      <c r="R310" s="11"/>
      <c r="S310" s="11"/>
      <c r="T310" s="11"/>
      <c r="U310" s="11"/>
      <c r="V310" s="11"/>
      <c r="W310" s="11"/>
      <c r="X310" s="11"/>
      <c r="Y310" s="11"/>
      <c r="Z310" s="11"/>
      <c r="AA310" s="11"/>
      <c r="AB310" s="11"/>
      <c r="AC310" s="11"/>
      <c r="AD310" s="11"/>
    </row>
    <row r="311">
      <c r="A311" s="47"/>
      <c r="B311" s="46"/>
      <c r="C311" s="46"/>
      <c r="D311" s="11"/>
      <c r="E311" s="11"/>
      <c r="F311" s="11"/>
      <c r="G311" s="11"/>
      <c r="H311" s="11"/>
      <c r="I311" s="11"/>
      <c r="J311" s="11"/>
      <c r="K311" s="11"/>
      <c r="L311" s="11"/>
      <c r="M311" s="11"/>
      <c r="N311" s="46"/>
      <c r="O311" s="11"/>
      <c r="P311" s="11"/>
      <c r="Q311" s="46"/>
      <c r="R311" s="11"/>
      <c r="S311" s="11"/>
      <c r="T311" s="11"/>
      <c r="U311" s="11"/>
      <c r="V311" s="11"/>
      <c r="W311" s="11"/>
      <c r="X311" s="11"/>
      <c r="Y311" s="11"/>
      <c r="Z311" s="11"/>
      <c r="AA311" s="11"/>
      <c r="AB311" s="11"/>
      <c r="AC311" s="11"/>
      <c r="AD311" s="11"/>
    </row>
    <row r="312">
      <c r="A312" s="47"/>
      <c r="B312" s="46"/>
      <c r="C312" s="46"/>
      <c r="D312" s="11"/>
      <c r="E312" s="11"/>
      <c r="F312" s="11"/>
      <c r="G312" s="11"/>
      <c r="H312" s="11"/>
      <c r="I312" s="11"/>
      <c r="J312" s="11"/>
      <c r="K312" s="11"/>
      <c r="L312" s="11"/>
      <c r="M312" s="11"/>
      <c r="N312" s="46"/>
      <c r="O312" s="11"/>
      <c r="P312" s="11"/>
      <c r="Q312" s="46"/>
      <c r="R312" s="11"/>
      <c r="S312" s="11"/>
      <c r="T312" s="11"/>
      <c r="U312" s="11"/>
      <c r="V312" s="11"/>
      <c r="W312" s="11"/>
      <c r="X312" s="11"/>
      <c r="Y312" s="11"/>
      <c r="Z312" s="11"/>
      <c r="AA312" s="11"/>
      <c r="AB312" s="11"/>
      <c r="AC312" s="11"/>
      <c r="AD312" s="11"/>
    </row>
    <row r="313">
      <c r="A313" s="47"/>
      <c r="B313" s="46"/>
      <c r="C313" s="46"/>
      <c r="D313" s="11"/>
      <c r="E313" s="11"/>
      <c r="F313" s="11"/>
      <c r="G313" s="11"/>
      <c r="H313" s="11"/>
      <c r="I313" s="11"/>
      <c r="J313" s="11"/>
      <c r="K313" s="11"/>
      <c r="L313" s="11"/>
      <c r="M313" s="11"/>
      <c r="N313" s="46"/>
      <c r="O313" s="11"/>
      <c r="P313" s="11"/>
      <c r="Q313" s="46"/>
      <c r="R313" s="11"/>
      <c r="S313" s="11"/>
      <c r="T313" s="11"/>
      <c r="U313" s="11"/>
      <c r="V313" s="11"/>
      <c r="W313" s="11"/>
      <c r="X313" s="11"/>
      <c r="Y313" s="11"/>
      <c r="Z313" s="11"/>
      <c r="AA313" s="11"/>
      <c r="AB313" s="11"/>
      <c r="AC313" s="11"/>
      <c r="AD313" s="11"/>
    </row>
    <row r="314">
      <c r="A314" s="47"/>
      <c r="B314" s="46"/>
      <c r="C314" s="46"/>
      <c r="D314" s="11"/>
      <c r="E314" s="11"/>
      <c r="F314" s="11"/>
      <c r="G314" s="11"/>
      <c r="H314" s="11"/>
      <c r="I314" s="11"/>
      <c r="J314" s="11"/>
      <c r="K314" s="11"/>
      <c r="L314" s="11"/>
      <c r="M314" s="11"/>
      <c r="N314" s="46"/>
      <c r="O314" s="11"/>
      <c r="P314" s="11"/>
      <c r="Q314" s="46"/>
      <c r="R314" s="11"/>
      <c r="S314" s="11"/>
      <c r="T314" s="11"/>
      <c r="U314" s="11"/>
      <c r="V314" s="11"/>
      <c r="W314" s="11"/>
      <c r="X314" s="11"/>
      <c r="Y314" s="11"/>
      <c r="Z314" s="11"/>
      <c r="AA314" s="11"/>
      <c r="AB314" s="11"/>
      <c r="AC314" s="11"/>
      <c r="AD314" s="11"/>
    </row>
    <row r="315">
      <c r="A315" s="47"/>
      <c r="B315" s="46"/>
      <c r="C315" s="46"/>
      <c r="D315" s="11"/>
      <c r="E315" s="11"/>
      <c r="F315" s="11"/>
      <c r="G315" s="11"/>
      <c r="H315" s="11"/>
      <c r="I315" s="11"/>
      <c r="J315" s="11"/>
      <c r="K315" s="11"/>
      <c r="L315" s="11"/>
      <c r="M315" s="11"/>
      <c r="N315" s="46"/>
      <c r="O315" s="11"/>
      <c r="P315" s="11"/>
      <c r="Q315" s="46"/>
      <c r="R315" s="11"/>
      <c r="S315" s="11"/>
      <c r="T315" s="11"/>
      <c r="U315" s="11"/>
      <c r="V315" s="11"/>
      <c r="W315" s="11"/>
      <c r="X315" s="11"/>
      <c r="Y315" s="11"/>
      <c r="Z315" s="11"/>
      <c r="AA315" s="11"/>
      <c r="AB315" s="11"/>
      <c r="AC315" s="11"/>
      <c r="AD315" s="11"/>
    </row>
    <row r="316">
      <c r="A316" s="47"/>
      <c r="B316" s="46"/>
      <c r="C316" s="46"/>
      <c r="D316" s="11"/>
      <c r="E316" s="11"/>
      <c r="F316" s="11"/>
      <c r="G316" s="11"/>
      <c r="H316" s="11"/>
      <c r="I316" s="11"/>
      <c r="J316" s="11"/>
      <c r="K316" s="11"/>
      <c r="L316" s="11"/>
      <c r="M316" s="11"/>
      <c r="N316" s="46"/>
      <c r="O316" s="11"/>
      <c r="P316" s="11"/>
      <c r="Q316" s="46"/>
      <c r="R316" s="11"/>
      <c r="S316" s="11"/>
      <c r="T316" s="11"/>
      <c r="U316" s="11"/>
      <c r="V316" s="11"/>
      <c r="W316" s="11"/>
      <c r="X316" s="11"/>
      <c r="Y316" s="11"/>
      <c r="Z316" s="11"/>
      <c r="AA316" s="11"/>
      <c r="AB316" s="11"/>
      <c r="AC316" s="11"/>
      <c r="AD316" s="11"/>
    </row>
    <row r="317">
      <c r="A317" s="47"/>
      <c r="B317" s="46"/>
      <c r="C317" s="46"/>
      <c r="D317" s="11"/>
      <c r="E317" s="11"/>
      <c r="F317" s="11"/>
      <c r="G317" s="11"/>
      <c r="H317" s="11"/>
      <c r="I317" s="11"/>
      <c r="J317" s="11"/>
      <c r="K317" s="11"/>
      <c r="L317" s="11"/>
      <c r="M317" s="11"/>
      <c r="N317" s="46"/>
      <c r="O317" s="11"/>
      <c r="P317" s="11"/>
      <c r="Q317" s="46"/>
      <c r="R317" s="11"/>
      <c r="S317" s="11"/>
      <c r="T317" s="11"/>
      <c r="U317" s="11"/>
      <c r="V317" s="11"/>
      <c r="W317" s="11"/>
      <c r="X317" s="11"/>
      <c r="Y317" s="11"/>
      <c r="Z317" s="11"/>
      <c r="AA317" s="11"/>
      <c r="AB317" s="11"/>
      <c r="AC317" s="11"/>
      <c r="AD317" s="11"/>
    </row>
    <row r="318">
      <c r="A318" s="47"/>
      <c r="B318" s="46"/>
      <c r="C318" s="46"/>
      <c r="D318" s="11"/>
      <c r="E318" s="11"/>
      <c r="F318" s="11"/>
      <c r="G318" s="11"/>
      <c r="H318" s="11"/>
      <c r="I318" s="11"/>
      <c r="J318" s="11"/>
      <c r="K318" s="11"/>
      <c r="L318" s="11"/>
      <c r="M318" s="11"/>
      <c r="N318" s="46"/>
      <c r="O318" s="11"/>
      <c r="P318" s="11"/>
      <c r="Q318" s="46"/>
      <c r="R318" s="11"/>
      <c r="S318" s="11"/>
      <c r="T318" s="11"/>
      <c r="U318" s="11"/>
      <c r="V318" s="11"/>
      <c r="W318" s="11"/>
      <c r="X318" s="11"/>
      <c r="Y318" s="11"/>
      <c r="Z318" s="11"/>
      <c r="AA318" s="11"/>
      <c r="AB318" s="11"/>
      <c r="AC318" s="11"/>
      <c r="AD318" s="11"/>
    </row>
    <row r="319">
      <c r="A319" s="47"/>
      <c r="B319" s="46"/>
      <c r="C319" s="46"/>
      <c r="D319" s="11"/>
      <c r="E319" s="11"/>
      <c r="F319" s="11"/>
      <c r="G319" s="11"/>
      <c r="H319" s="11"/>
      <c r="I319" s="11"/>
      <c r="J319" s="11"/>
      <c r="K319" s="11"/>
      <c r="L319" s="11"/>
      <c r="M319" s="11"/>
      <c r="N319" s="46"/>
      <c r="O319" s="11"/>
      <c r="P319" s="11"/>
      <c r="Q319" s="46"/>
      <c r="R319" s="11"/>
      <c r="S319" s="11"/>
      <c r="T319" s="11"/>
      <c r="U319" s="11"/>
      <c r="V319" s="11"/>
      <c r="W319" s="11"/>
      <c r="X319" s="11"/>
      <c r="Y319" s="11"/>
      <c r="Z319" s="11"/>
      <c r="AA319" s="11"/>
      <c r="AB319" s="11"/>
      <c r="AC319" s="11"/>
      <c r="AD319" s="11"/>
    </row>
    <row r="320">
      <c r="A320" s="47"/>
      <c r="B320" s="46"/>
      <c r="C320" s="46"/>
      <c r="D320" s="11"/>
      <c r="E320" s="11"/>
      <c r="F320" s="11"/>
      <c r="G320" s="11"/>
      <c r="H320" s="11"/>
      <c r="I320" s="11"/>
      <c r="J320" s="11"/>
      <c r="K320" s="11"/>
      <c r="L320" s="11"/>
      <c r="M320" s="11"/>
      <c r="N320" s="46"/>
      <c r="O320" s="11"/>
      <c r="P320" s="11"/>
      <c r="Q320" s="46"/>
      <c r="R320" s="11"/>
      <c r="S320" s="11"/>
      <c r="T320" s="11"/>
      <c r="U320" s="11"/>
      <c r="V320" s="11"/>
      <c r="W320" s="11"/>
      <c r="X320" s="11"/>
      <c r="Y320" s="11"/>
      <c r="Z320" s="11"/>
      <c r="AA320" s="11"/>
      <c r="AB320" s="11"/>
      <c r="AC320" s="11"/>
      <c r="AD320" s="11"/>
    </row>
    <row r="321">
      <c r="A321" s="47"/>
      <c r="B321" s="46"/>
      <c r="C321" s="46"/>
      <c r="D321" s="11"/>
      <c r="E321" s="11"/>
      <c r="F321" s="11"/>
      <c r="G321" s="11"/>
      <c r="H321" s="11"/>
      <c r="I321" s="11"/>
      <c r="J321" s="11"/>
      <c r="K321" s="11"/>
      <c r="L321" s="11"/>
      <c r="M321" s="11"/>
      <c r="N321" s="46"/>
      <c r="O321" s="11"/>
      <c r="P321" s="11"/>
      <c r="Q321" s="46"/>
      <c r="R321" s="11"/>
      <c r="S321" s="11"/>
      <c r="T321" s="11"/>
      <c r="U321" s="11"/>
      <c r="V321" s="11"/>
      <c r="W321" s="11"/>
      <c r="X321" s="11"/>
      <c r="Y321" s="11"/>
      <c r="Z321" s="11"/>
      <c r="AA321" s="11"/>
      <c r="AB321" s="11"/>
      <c r="AC321" s="11"/>
      <c r="AD321" s="11"/>
    </row>
    <row r="322">
      <c r="A322" s="47"/>
      <c r="B322" s="46"/>
      <c r="C322" s="46"/>
      <c r="D322" s="11"/>
      <c r="E322" s="11"/>
      <c r="F322" s="11"/>
      <c r="G322" s="11"/>
      <c r="H322" s="11"/>
      <c r="I322" s="11"/>
      <c r="J322" s="11"/>
      <c r="K322" s="11"/>
      <c r="L322" s="11"/>
      <c r="M322" s="11"/>
      <c r="N322" s="46"/>
      <c r="O322" s="11"/>
      <c r="P322" s="11"/>
      <c r="Q322" s="46"/>
      <c r="R322" s="11"/>
      <c r="S322" s="11"/>
      <c r="T322" s="11"/>
      <c r="U322" s="11"/>
      <c r="V322" s="11"/>
      <c r="W322" s="11"/>
      <c r="X322" s="11"/>
      <c r="Y322" s="11"/>
      <c r="Z322" s="11"/>
      <c r="AA322" s="11"/>
      <c r="AB322" s="11"/>
      <c r="AC322" s="11"/>
      <c r="AD322" s="11"/>
    </row>
    <row r="323">
      <c r="A323" s="47"/>
      <c r="B323" s="46"/>
      <c r="C323" s="46"/>
      <c r="D323" s="11"/>
      <c r="E323" s="11"/>
      <c r="F323" s="11"/>
      <c r="G323" s="11"/>
      <c r="H323" s="11"/>
      <c r="I323" s="11"/>
      <c r="J323" s="11"/>
      <c r="K323" s="11"/>
      <c r="L323" s="11"/>
      <c r="M323" s="11"/>
      <c r="N323" s="46"/>
      <c r="O323" s="11"/>
      <c r="P323" s="11"/>
      <c r="Q323" s="46"/>
      <c r="R323" s="11"/>
      <c r="S323" s="11"/>
      <c r="T323" s="11"/>
      <c r="U323" s="11"/>
      <c r="V323" s="11"/>
      <c r="W323" s="11"/>
      <c r="X323" s="11"/>
      <c r="Y323" s="11"/>
      <c r="Z323" s="11"/>
      <c r="AA323" s="11"/>
      <c r="AB323" s="11"/>
      <c r="AC323" s="11"/>
      <c r="AD323" s="11"/>
    </row>
    <row r="324">
      <c r="A324" s="47"/>
      <c r="B324" s="46"/>
      <c r="C324" s="46"/>
      <c r="D324" s="11"/>
      <c r="E324" s="11"/>
      <c r="F324" s="11"/>
      <c r="G324" s="11"/>
      <c r="H324" s="11"/>
      <c r="I324" s="11"/>
      <c r="J324" s="11"/>
      <c r="K324" s="11"/>
      <c r="L324" s="11"/>
      <c r="M324" s="11"/>
      <c r="N324" s="46"/>
      <c r="O324" s="11"/>
      <c r="P324" s="11"/>
      <c r="Q324" s="46"/>
      <c r="R324" s="11"/>
      <c r="S324" s="11"/>
      <c r="T324" s="11"/>
      <c r="U324" s="11"/>
      <c r="V324" s="11"/>
      <c r="W324" s="11"/>
      <c r="X324" s="11"/>
      <c r="Y324" s="11"/>
      <c r="Z324" s="11"/>
      <c r="AA324" s="11"/>
      <c r="AB324" s="11"/>
      <c r="AC324" s="11"/>
      <c r="AD324" s="11"/>
    </row>
    <row r="325">
      <c r="A325" s="47"/>
      <c r="B325" s="46"/>
      <c r="C325" s="46"/>
      <c r="D325" s="11"/>
      <c r="E325" s="11"/>
      <c r="F325" s="11"/>
      <c r="G325" s="11"/>
      <c r="H325" s="11"/>
      <c r="I325" s="11"/>
      <c r="J325" s="11"/>
      <c r="K325" s="11"/>
      <c r="L325" s="11"/>
      <c r="M325" s="11"/>
      <c r="N325" s="46"/>
      <c r="O325" s="11"/>
      <c r="P325" s="11"/>
      <c r="Q325" s="46"/>
      <c r="R325" s="11"/>
      <c r="S325" s="11"/>
      <c r="T325" s="11"/>
      <c r="U325" s="11"/>
      <c r="V325" s="11"/>
      <c r="W325" s="11"/>
      <c r="X325" s="11"/>
      <c r="Y325" s="11"/>
      <c r="Z325" s="11"/>
      <c r="AA325" s="11"/>
      <c r="AB325" s="11"/>
      <c r="AC325" s="11"/>
      <c r="AD325" s="11"/>
    </row>
    <row r="326">
      <c r="A326" s="47"/>
      <c r="B326" s="46"/>
      <c r="C326" s="46"/>
      <c r="D326" s="11"/>
      <c r="E326" s="11"/>
      <c r="F326" s="11"/>
      <c r="G326" s="11"/>
      <c r="H326" s="11"/>
      <c r="I326" s="11"/>
      <c r="J326" s="11"/>
      <c r="K326" s="11"/>
      <c r="L326" s="11"/>
      <c r="M326" s="11"/>
      <c r="N326" s="46"/>
      <c r="O326" s="11"/>
      <c r="P326" s="11"/>
      <c r="Q326" s="46"/>
      <c r="R326" s="11"/>
      <c r="S326" s="11"/>
      <c r="T326" s="11"/>
      <c r="U326" s="11"/>
      <c r="V326" s="11"/>
      <c r="W326" s="11"/>
      <c r="X326" s="11"/>
      <c r="Y326" s="11"/>
      <c r="Z326" s="11"/>
      <c r="AA326" s="11"/>
      <c r="AB326" s="11"/>
      <c r="AC326" s="11"/>
      <c r="AD326" s="11"/>
    </row>
    <row r="327">
      <c r="A327" s="47"/>
      <c r="B327" s="46"/>
      <c r="C327" s="46"/>
      <c r="D327" s="11"/>
      <c r="E327" s="11"/>
      <c r="F327" s="11"/>
      <c r="G327" s="11"/>
      <c r="H327" s="11"/>
      <c r="I327" s="11"/>
      <c r="J327" s="11"/>
      <c r="K327" s="11"/>
      <c r="L327" s="11"/>
      <c r="M327" s="11"/>
      <c r="N327" s="46"/>
      <c r="O327" s="11"/>
      <c r="P327" s="11"/>
      <c r="Q327" s="46"/>
      <c r="R327" s="11"/>
      <c r="S327" s="11"/>
      <c r="T327" s="11"/>
      <c r="U327" s="11"/>
      <c r="V327" s="11"/>
      <c r="W327" s="11"/>
      <c r="X327" s="11"/>
      <c r="Y327" s="11"/>
      <c r="Z327" s="11"/>
      <c r="AA327" s="11"/>
      <c r="AB327" s="11"/>
      <c r="AC327" s="11"/>
      <c r="AD327" s="11"/>
    </row>
    <row r="328">
      <c r="A328" s="47"/>
      <c r="B328" s="46"/>
      <c r="C328" s="46"/>
      <c r="D328" s="11"/>
      <c r="E328" s="11"/>
      <c r="F328" s="11"/>
      <c r="G328" s="11"/>
      <c r="H328" s="11"/>
      <c r="I328" s="11"/>
      <c r="J328" s="11"/>
      <c r="K328" s="11"/>
      <c r="L328" s="11"/>
      <c r="M328" s="11"/>
      <c r="N328" s="46"/>
      <c r="O328" s="11"/>
      <c r="P328" s="11"/>
      <c r="Q328" s="46"/>
      <c r="R328" s="11"/>
      <c r="S328" s="11"/>
      <c r="T328" s="11"/>
      <c r="U328" s="11"/>
      <c r="V328" s="11"/>
      <c r="W328" s="11"/>
      <c r="X328" s="11"/>
      <c r="Y328" s="11"/>
      <c r="Z328" s="11"/>
      <c r="AA328" s="11"/>
      <c r="AB328" s="11"/>
      <c r="AC328" s="11"/>
      <c r="AD328" s="11"/>
    </row>
    <row r="329">
      <c r="A329" s="47"/>
      <c r="B329" s="46"/>
      <c r="C329" s="46"/>
      <c r="D329" s="11"/>
      <c r="E329" s="11"/>
      <c r="F329" s="11"/>
      <c r="G329" s="11"/>
      <c r="H329" s="11"/>
      <c r="I329" s="11"/>
      <c r="J329" s="11"/>
      <c r="K329" s="11"/>
      <c r="L329" s="11"/>
      <c r="M329" s="11"/>
      <c r="N329" s="46"/>
      <c r="O329" s="11"/>
      <c r="P329" s="11"/>
      <c r="Q329" s="46"/>
      <c r="R329" s="11"/>
      <c r="S329" s="11"/>
      <c r="T329" s="11"/>
      <c r="U329" s="11"/>
      <c r="V329" s="11"/>
      <c r="W329" s="11"/>
      <c r="X329" s="11"/>
      <c r="Y329" s="11"/>
      <c r="Z329" s="11"/>
      <c r="AA329" s="11"/>
      <c r="AB329" s="11"/>
      <c r="AC329" s="11"/>
      <c r="AD329" s="11"/>
    </row>
    <row r="330">
      <c r="A330" s="47"/>
      <c r="B330" s="46"/>
      <c r="C330" s="46"/>
      <c r="D330" s="11"/>
      <c r="E330" s="11"/>
      <c r="F330" s="11"/>
      <c r="G330" s="11"/>
      <c r="H330" s="11"/>
      <c r="I330" s="11"/>
      <c r="J330" s="11"/>
      <c r="K330" s="11"/>
      <c r="L330" s="11"/>
      <c r="M330" s="11"/>
      <c r="N330" s="46"/>
      <c r="O330" s="11"/>
      <c r="P330" s="11"/>
      <c r="Q330" s="46"/>
      <c r="R330" s="11"/>
      <c r="S330" s="11"/>
      <c r="T330" s="11"/>
      <c r="U330" s="11"/>
      <c r="V330" s="11"/>
      <c r="W330" s="11"/>
      <c r="X330" s="11"/>
      <c r="Y330" s="11"/>
      <c r="Z330" s="11"/>
      <c r="AA330" s="11"/>
      <c r="AB330" s="11"/>
      <c r="AC330" s="11"/>
      <c r="AD330" s="11"/>
    </row>
    <row r="331">
      <c r="A331" s="47"/>
      <c r="B331" s="46"/>
      <c r="C331" s="46"/>
      <c r="D331" s="11"/>
      <c r="E331" s="11"/>
      <c r="F331" s="11"/>
      <c r="G331" s="11"/>
      <c r="H331" s="11"/>
      <c r="I331" s="11"/>
      <c r="J331" s="11"/>
      <c r="K331" s="11"/>
      <c r="L331" s="11"/>
      <c r="M331" s="11"/>
      <c r="N331" s="46"/>
      <c r="O331" s="11"/>
      <c r="P331" s="11"/>
      <c r="Q331" s="46"/>
      <c r="R331" s="11"/>
      <c r="S331" s="11"/>
      <c r="T331" s="11"/>
      <c r="U331" s="11"/>
      <c r="V331" s="11"/>
      <c r="W331" s="11"/>
      <c r="X331" s="11"/>
      <c r="Y331" s="11"/>
      <c r="Z331" s="11"/>
      <c r="AA331" s="11"/>
      <c r="AB331" s="11"/>
      <c r="AC331" s="11"/>
      <c r="AD331" s="11"/>
    </row>
    <row r="332">
      <c r="A332" s="47"/>
      <c r="B332" s="46"/>
      <c r="C332" s="46"/>
      <c r="D332" s="11"/>
      <c r="E332" s="11"/>
      <c r="F332" s="11"/>
      <c r="G332" s="11"/>
      <c r="H332" s="11"/>
      <c r="I332" s="11"/>
      <c r="J332" s="11"/>
      <c r="K332" s="11"/>
      <c r="L332" s="11"/>
      <c r="M332" s="11"/>
      <c r="N332" s="46"/>
      <c r="O332" s="11"/>
      <c r="P332" s="11"/>
      <c r="Q332" s="46"/>
      <c r="R332" s="11"/>
      <c r="S332" s="11"/>
      <c r="T332" s="11"/>
      <c r="U332" s="11"/>
      <c r="V332" s="11"/>
      <c r="W332" s="11"/>
      <c r="X332" s="11"/>
      <c r="Y332" s="11"/>
      <c r="Z332" s="11"/>
      <c r="AA332" s="11"/>
      <c r="AB332" s="11"/>
      <c r="AC332" s="11"/>
      <c r="AD332" s="11"/>
    </row>
    <row r="333">
      <c r="A333" s="47"/>
      <c r="B333" s="46"/>
      <c r="C333" s="46"/>
      <c r="D333" s="11"/>
      <c r="E333" s="11"/>
      <c r="F333" s="11"/>
      <c r="G333" s="11"/>
      <c r="H333" s="11"/>
      <c r="I333" s="11"/>
      <c r="J333" s="11"/>
      <c r="K333" s="11"/>
      <c r="L333" s="11"/>
      <c r="M333" s="11"/>
      <c r="N333" s="46"/>
      <c r="O333" s="11"/>
      <c r="P333" s="11"/>
      <c r="Q333" s="46"/>
      <c r="R333" s="11"/>
      <c r="S333" s="11"/>
      <c r="T333" s="11"/>
      <c r="U333" s="11"/>
      <c r="V333" s="11"/>
      <c r="W333" s="11"/>
      <c r="X333" s="11"/>
      <c r="Y333" s="11"/>
      <c r="Z333" s="11"/>
      <c r="AA333" s="11"/>
      <c r="AB333" s="11"/>
      <c r="AC333" s="11"/>
      <c r="AD333" s="11"/>
    </row>
    <row r="334">
      <c r="A334" s="47"/>
      <c r="B334" s="46"/>
      <c r="C334" s="46"/>
      <c r="D334" s="11"/>
      <c r="E334" s="11"/>
      <c r="F334" s="11"/>
      <c r="G334" s="11"/>
      <c r="H334" s="11"/>
      <c r="I334" s="11"/>
      <c r="J334" s="11"/>
      <c r="K334" s="11"/>
      <c r="L334" s="11"/>
      <c r="M334" s="11"/>
      <c r="N334" s="46"/>
      <c r="O334" s="11"/>
      <c r="P334" s="11"/>
      <c r="Q334" s="46"/>
      <c r="R334" s="11"/>
      <c r="S334" s="11"/>
      <c r="T334" s="11"/>
      <c r="U334" s="11"/>
      <c r="V334" s="11"/>
      <c r="W334" s="11"/>
      <c r="X334" s="11"/>
      <c r="Y334" s="11"/>
      <c r="Z334" s="11"/>
      <c r="AA334" s="11"/>
      <c r="AB334" s="11"/>
      <c r="AC334" s="11"/>
      <c r="AD334" s="11"/>
    </row>
    <row r="335">
      <c r="A335" s="47"/>
      <c r="B335" s="46"/>
      <c r="C335" s="46"/>
      <c r="D335" s="11"/>
      <c r="E335" s="11"/>
      <c r="F335" s="11"/>
      <c r="G335" s="11"/>
      <c r="H335" s="11"/>
      <c r="I335" s="11"/>
      <c r="J335" s="11"/>
      <c r="K335" s="11"/>
      <c r="L335" s="11"/>
      <c r="M335" s="11"/>
      <c r="N335" s="46"/>
      <c r="O335" s="11"/>
      <c r="P335" s="11"/>
      <c r="Q335" s="46"/>
      <c r="R335" s="11"/>
      <c r="S335" s="11"/>
      <c r="T335" s="11"/>
      <c r="U335" s="11"/>
      <c r="V335" s="11"/>
      <c r="W335" s="11"/>
      <c r="X335" s="11"/>
      <c r="Y335" s="11"/>
      <c r="Z335" s="11"/>
      <c r="AA335" s="11"/>
      <c r="AB335" s="11"/>
      <c r="AC335" s="11"/>
      <c r="AD335" s="11"/>
    </row>
    <row r="336">
      <c r="A336" s="47"/>
      <c r="B336" s="46"/>
      <c r="C336" s="46"/>
      <c r="D336" s="11"/>
      <c r="E336" s="11"/>
      <c r="F336" s="11"/>
      <c r="G336" s="11"/>
      <c r="H336" s="11"/>
      <c r="I336" s="11"/>
      <c r="J336" s="11"/>
      <c r="K336" s="11"/>
      <c r="L336" s="11"/>
      <c r="M336" s="11"/>
      <c r="N336" s="46"/>
      <c r="O336" s="11"/>
      <c r="P336" s="11"/>
      <c r="Q336" s="46"/>
      <c r="R336" s="11"/>
      <c r="S336" s="11"/>
      <c r="T336" s="11"/>
      <c r="U336" s="11"/>
      <c r="V336" s="11"/>
      <c r="W336" s="11"/>
      <c r="X336" s="11"/>
      <c r="Y336" s="11"/>
      <c r="Z336" s="11"/>
      <c r="AA336" s="11"/>
      <c r="AB336" s="11"/>
      <c r="AC336" s="11"/>
      <c r="AD336" s="11"/>
    </row>
    <row r="337">
      <c r="A337" s="47"/>
      <c r="B337" s="46"/>
      <c r="C337" s="46"/>
      <c r="D337" s="11"/>
      <c r="E337" s="11"/>
      <c r="F337" s="11"/>
      <c r="G337" s="11"/>
      <c r="H337" s="11"/>
      <c r="I337" s="11"/>
      <c r="J337" s="11"/>
      <c r="K337" s="11"/>
      <c r="L337" s="11"/>
      <c r="M337" s="11"/>
      <c r="N337" s="46"/>
      <c r="O337" s="11"/>
      <c r="P337" s="11"/>
      <c r="Q337" s="46"/>
      <c r="R337" s="11"/>
      <c r="S337" s="11"/>
      <c r="T337" s="11"/>
      <c r="U337" s="11"/>
      <c r="V337" s="11"/>
      <c r="W337" s="11"/>
      <c r="X337" s="11"/>
      <c r="Y337" s="11"/>
      <c r="Z337" s="11"/>
      <c r="AA337" s="11"/>
      <c r="AB337" s="11"/>
      <c r="AC337" s="11"/>
      <c r="AD337" s="11"/>
    </row>
    <row r="338">
      <c r="A338" s="47"/>
      <c r="B338" s="46"/>
      <c r="C338" s="46"/>
      <c r="D338" s="11"/>
      <c r="E338" s="11"/>
      <c r="F338" s="11"/>
      <c r="G338" s="11"/>
      <c r="H338" s="11"/>
      <c r="I338" s="11"/>
      <c r="J338" s="11"/>
      <c r="K338" s="11"/>
      <c r="L338" s="11"/>
      <c r="M338" s="11"/>
      <c r="N338" s="46"/>
      <c r="O338" s="11"/>
      <c r="P338" s="11"/>
      <c r="Q338" s="46"/>
      <c r="R338" s="11"/>
      <c r="S338" s="11"/>
      <c r="T338" s="11"/>
      <c r="U338" s="11"/>
      <c r="V338" s="11"/>
      <c r="W338" s="11"/>
      <c r="X338" s="11"/>
      <c r="Y338" s="11"/>
      <c r="Z338" s="11"/>
      <c r="AA338" s="11"/>
      <c r="AB338" s="11"/>
      <c r="AC338" s="11"/>
      <c r="AD338" s="11"/>
    </row>
    <row r="339">
      <c r="A339" s="47"/>
      <c r="B339" s="46"/>
      <c r="C339" s="46"/>
      <c r="D339" s="11"/>
      <c r="E339" s="11"/>
      <c r="F339" s="11"/>
      <c r="G339" s="11"/>
      <c r="H339" s="11"/>
      <c r="I339" s="11"/>
      <c r="J339" s="11"/>
      <c r="K339" s="11"/>
      <c r="L339" s="11"/>
      <c r="M339" s="11"/>
      <c r="N339" s="46"/>
      <c r="O339" s="11"/>
      <c r="P339" s="11"/>
      <c r="Q339" s="46"/>
      <c r="R339" s="11"/>
      <c r="S339" s="11"/>
      <c r="T339" s="11"/>
      <c r="U339" s="11"/>
      <c r="V339" s="11"/>
      <c r="W339" s="11"/>
      <c r="X339" s="11"/>
      <c r="Y339" s="11"/>
      <c r="Z339" s="11"/>
      <c r="AA339" s="11"/>
      <c r="AB339" s="11"/>
      <c r="AC339" s="11"/>
      <c r="AD339" s="11"/>
    </row>
    <row r="340">
      <c r="A340" s="47"/>
      <c r="B340" s="46"/>
      <c r="C340" s="46"/>
      <c r="D340" s="11"/>
      <c r="E340" s="11"/>
      <c r="F340" s="11"/>
      <c r="G340" s="11"/>
      <c r="H340" s="11"/>
      <c r="I340" s="11"/>
      <c r="J340" s="11"/>
      <c r="K340" s="11"/>
      <c r="L340" s="11"/>
      <c r="M340" s="11"/>
      <c r="N340" s="46"/>
      <c r="O340" s="11"/>
      <c r="P340" s="11"/>
      <c r="Q340" s="46"/>
      <c r="R340" s="11"/>
      <c r="S340" s="11"/>
      <c r="T340" s="11"/>
      <c r="U340" s="11"/>
      <c r="V340" s="11"/>
      <c r="W340" s="11"/>
      <c r="X340" s="11"/>
      <c r="Y340" s="11"/>
      <c r="Z340" s="11"/>
      <c r="AA340" s="11"/>
      <c r="AB340" s="11"/>
      <c r="AC340" s="11"/>
      <c r="AD340" s="11"/>
    </row>
    <row r="341">
      <c r="A341" s="47"/>
      <c r="B341" s="46"/>
      <c r="C341" s="46"/>
      <c r="D341" s="11"/>
      <c r="E341" s="11"/>
      <c r="F341" s="11"/>
      <c r="G341" s="11"/>
      <c r="H341" s="11"/>
      <c r="I341" s="11"/>
      <c r="J341" s="11"/>
      <c r="K341" s="11"/>
      <c r="L341" s="11"/>
      <c r="M341" s="11"/>
      <c r="N341" s="46"/>
      <c r="O341" s="11"/>
      <c r="P341" s="11"/>
      <c r="Q341" s="46"/>
      <c r="R341" s="11"/>
      <c r="S341" s="11"/>
      <c r="T341" s="11"/>
      <c r="U341" s="11"/>
      <c r="V341" s="11"/>
      <c r="W341" s="11"/>
      <c r="X341" s="11"/>
      <c r="Y341" s="11"/>
      <c r="Z341" s="11"/>
      <c r="AA341" s="11"/>
      <c r="AB341" s="11"/>
      <c r="AC341" s="11"/>
      <c r="AD341" s="11"/>
    </row>
    <row r="342">
      <c r="A342" s="47"/>
      <c r="B342" s="46"/>
      <c r="C342" s="46"/>
      <c r="D342" s="11"/>
      <c r="E342" s="11"/>
      <c r="F342" s="11"/>
      <c r="G342" s="11"/>
      <c r="H342" s="11"/>
      <c r="I342" s="11"/>
      <c r="J342" s="11"/>
      <c r="K342" s="11"/>
      <c r="L342" s="11"/>
      <c r="M342" s="11"/>
      <c r="N342" s="46"/>
      <c r="O342" s="11"/>
      <c r="P342" s="11"/>
      <c r="Q342" s="46"/>
      <c r="R342" s="11"/>
      <c r="S342" s="11"/>
      <c r="T342" s="11"/>
      <c r="U342" s="11"/>
      <c r="V342" s="11"/>
      <c r="W342" s="11"/>
      <c r="X342" s="11"/>
      <c r="Y342" s="11"/>
      <c r="Z342" s="11"/>
      <c r="AA342" s="11"/>
      <c r="AB342" s="11"/>
      <c r="AC342" s="11"/>
      <c r="AD342" s="11"/>
    </row>
    <row r="343">
      <c r="A343" s="47"/>
      <c r="B343" s="46"/>
      <c r="C343" s="46"/>
      <c r="D343" s="11"/>
      <c r="E343" s="11"/>
      <c r="F343" s="11"/>
      <c r="G343" s="11"/>
      <c r="H343" s="11"/>
      <c r="I343" s="11"/>
      <c r="J343" s="11"/>
      <c r="K343" s="11"/>
      <c r="L343" s="11"/>
      <c r="M343" s="11"/>
      <c r="N343" s="46"/>
      <c r="O343" s="11"/>
      <c r="P343" s="11"/>
      <c r="Q343" s="46"/>
      <c r="R343" s="11"/>
      <c r="S343" s="11"/>
      <c r="T343" s="11"/>
      <c r="U343" s="11"/>
      <c r="V343" s="11"/>
      <c r="W343" s="11"/>
      <c r="X343" s="11"/>
      <c r="Y343" s="11"/>
      <c r="Z343" s="11"/>
      <c r="AA343" s="11"/>
      <c r="AB343" s="11"/>
      <c r="AC343" s="11"/>
      <c r="AD343" s="11"/>
    </row>
    <row r="344">
      <c r="A344" s="47"/>
      <c r="B344" s="46"/>
      <c r="C344" s="46"/>
      <c r="D344" s="11"/>
      <c r="E344" s="11"/>
      <c r="F344" s="11"/>
      <c r="G344" s="11"/>
      <c r="H344" s="11"/>
      <c r="I344" s="11"/>
      <c r="J344" s="11"/>
      <c r="K344" s="11"/>
      <c r="L344" s="11"/>
      <c r="M344" s="11"/>
      <c r="N344" s="46"/>
      <c r="O344" s="11"/>
      <c r="P344" s="11"/>
      <c r="Q344" s="46"/>
      <c r="R344" s="11"/>
      <c r="S344" s="11"/>
      <c r="T344" s="11"/>
      <c r="U344" s="11"/>
      <c r="V344" s="11"/>
      <c r="W344" s="11"/>
      <c r="X344" s="11"/>
      <c r="Y344" s="11"/>
      <c r="Z344" s="11"/>
      <c r="AA344" s="11"/>
      <c r="AB344" s="11"/>
      <c r="AC344" s="11"/>
      <c r="AD344" s="11"/>
    </row>
    <row r="345">
      <c r="A345" s="47"/>
      <c r="B345" s="46"/>
      <c r="C345" s="46"/>
      <c r="D345" s="11"/>
      <c r="E345" s="11"/>
      <c r="F345" s="11"/>
      <c r="G345" s="11"/>
      <c r="H345" s="11"/>
      <c r="I345" s="11"/>
      <c r="J345" s="11"/>
      <c r="K345" s="11"/>
      <c r="L345" s="11"/>
      <c r="M345" s="11"/>
      <c r="N345" s="46"/>
      <c r="O345" s="11"/>
      <c r="P345" s="11"/>
      <c r="Q345" s="46"/>
      <c r="R345" s="11"/>
      <c r="S345" s="11"/>
      <c r="T345" s="11"/>
      <c r="U345" s="11"/>
      <c r="V345" s="11"/>
      <c r="W345" s="11"/>
      <c r="X345" s="11"/>
      <c r="Y345" s="11"/>
      <c r="Z345" s="11"/>
      <c r="AA345" s="11"/>
      <c r="AB345" s="11"/>
      <c r="AC345" s="11"/>
      <c r="AD345" s="11"/>
    </row>
    <row r="346">
      <c r="A346" s="47"/>
      <c r="B346" s="46"/>
      <c r="C346" s="46"/>
      <c r="D346" s="11"/>
      <c r="E346" s="11"/>
      <c r="F346" s="11"/>
      <c r="G346" s="11"/>
      <c r="H346" s="11"/>
      <c r="I346" s="11"/>
      <c r="J346" s="11"/>
      <c r="K346" s="11"/>
      <c r="L346" s="11"/>
      <c r="M346" s="11"/>
      <c r="N346" s="46"/>
      <c r="O346" s="11"/>
      <c r="P346" s="11"/>
      <c r="Q346" s="46"/>
      <c r="R346" s="11"/>
      <c r="S346" s="11"/>
      <c r="T346" s="11"/>
      <c r="U346" s="11"/>
      <c r="V346" s="11"/>
      <c r="W346" s="11"/>
      <c r="X346" s="11"/>
      <c r="Y346" s="11"/>
      <c r="Z346" s="11"/>
      <c r="AA346" s="11"/>
      <c r="AB346" s="11"/>
      <c r="AC346" s="11"/>
      <c r="AD346" s="11"/>
    </row>
    <row r="347">
      <c r="A347" s="47"/>
      <c r="B347" s="46"/>
      <c r="C347" s="46"/>
      <c r="D347" s="11"/>
      <c r="E347" s="11"/>
      <c r="F347" s="11"/>
      <c r="G347" s="11"/>
      <c r="H347" s="11"/>
      <c r="I347" s="11"/>
      <c r="J347" s="11"/>
      <c r="K347" s="11"/>
      <c r="L347" s="11"/>
      <c r="M347" s="11"/>
      <c r="N347" s="46"/>
      <c r="O347" s="11"/>
      <c r="P347" s="11"/>
      <c r="Q347" s="46"/>
      <c r="R347" s="11"/>
      <c r="S347" s="11"/>
      <c r="T347" s="11"/>
      <c r="U347" s="11"/>
      <c r="V347" s="11"/>
      <c r="W347" s="11"/>
      <c r="X347" s="11"/>
      <c r="Y347" s="11"/>
      <c r="Z347" s="11"/>
      <c r="AA347" s="11"/>
      <c r="AB347" s="11"/>
      <c r="AC347" s="11"/>
      <c r="AD347" s="11"/>
    </row>
    <row r="348">
      <c r="A348" s="47"/>
      <c r="B348" s="46"/>
      <c r="C348" s="46"/>
      <c r="D348" s="11"/>
      <c r="E348" s="11"/>
      <c r="F348" s="11"/>
      <c r="G348" s="11"/>
      <c r="H348" s="11"/>
      <c r="I348" s="11"/>
      <c r="J348" s="11"/>
      <c r="K348" s="11"/>
      <c r="L348" s="11"/>
      <c r="M348" s="11"/>
      <c r="N348" s="46"/>
      <c r="O348" s="11"/>
      <c r="P348" s="11"/>
      <c r="Q348" s="46"/>
      <c r="R348" s="11"/>
      <c r="S348" s="11"/>
      <c r="T348" s="11"/>
      <c r="U348" s="11"/>
      <c r="V348" s="11"/>
      <c r="W348" s="11"/>
      <c r="X348" s="11"/>
      <c r="Y348" s="11"/>
      <c r="Z348" s="11"/>
      <c r="AA348" s="11"/>
      <c r="AB348" s="11"/>
      <c r="AC348" s="11"/>
      <c r="AD348" s="11"/>
    </row>
    <row r="349">
      <c r="A349" s="47"/>
      <c r="B349" s="46"/>
      <c r="C349" s="46"/>
      <c r="D349" s="11"/>
      <c r="E349" s="11"/>
      <c r="F349" s="11"/>
      <c r="G349" s="11"/>
      <c r="H349" s="11"/>
      <c r="I349" s="11"/>
      <c r="J349" s="11"/>
      <c r="K349" s="11"/>
      <c r="L349" s="11"/>
      <c r="M349" s="11"/>
      <c r="N349" s="46"/>
      <c r="O349" s="11"/>
      <c r="P349" s="11"/>
      <c r="Q349" s="46"/>
      <c r="R349" s="11"/>
      <c r="S349" s="11"/>
      <c r="T349" s="11"/>
      <c r="U349" s="11"/>
      <c r="V349" s="11"/>
      <c r="W349" s="11"/>
      <c r="X349" s="11"/>
      <c r="Y349" s="11"/>
      <c r="Z349" s="11"/>
      <c r="AA349" s="11"/>
      <c r="AB349" s="11"/>
      <c r="AC349" s="11"/>
      <c r="AD349" s="11"/>
    </row>
    <row r="350">
      <c r="A350" s="47"/>
      <c r="B350" s="46"/>
      <c r="C350" s="46"/>
      <c r="D350" s="11"/>
      <c r="E350" s="11"/>
      <c r="F350" s="11"/>
      <c r="G350" s="11"/>
      <c r="H350" s="11"/>
      <c r="I350" s="11"/>
      <c r="J350" s="11"/>
      <c r="K350" s="11"/>
      <c r="L350" s="11"/>
      <c r="M350" s="11"/>
      <c r="N350" s="46"/>
      <c r="O350" s="11"/>
      <c r="P350" s="11"/>
      <c r="Q350" s="46"/>
      <c r="R350" s="11"/>
      <c r="S350" s="11"/>
      <c r="T350" s="11"/>
      <c r="U350" s="11"/>
      <c r="V350" s="11"/>
      <c r="W350" s="11"/>
      <c r="X350" s="11"/>
      <c r="Y350" s="11"/>
      <c r="Z350" s="11"/>
      <c r="AA350" s="11"/>
      <c r="AB350" s="11"/>
      <c r="AC350" s="11"/>
      <c r="AD350" s="11"/>
    </row>
    <row r="351">
      <c r="A351" s="47"/>
      <c r="B351" s="46"/>
      <c r="C351" s="46"/>
      <c r="D351" s="11"/>
      <c r="E351" s="11"/>
      <c r="F351" s="11"/>
      <c r="G351" s="11"/>
      <c r="H351" s="11"/>
      <c r="I351" s="11"/>
      <c r="J351" s="11"/>
      <c r="K351" s="11"/>
      <c r="L351" s="11"/>
      <c r="M351" s="11"/>
      <c r="N351" s="46"/>
      <c r="O351" s="11"/>
      <c r="P351" s="11"/>
      <c r="Q351" s="46"/>
      <c r="R351" s="11"/>
      <c r="S351" s="11"/>
      <c r="T351" s="11"/>
      <c r="U351" s="11"/>
      <c r="V351" s="11"/>
      <c r="W351" s="11"/>
      <c r="X351" s="11"/>
      <c r="Y351" s="11"/>
      <c r="Z351" s="11"/>
      <c r="AA351" s="11"/>
      <c r="AB351" s="11"/>
      <c r="AC351" s="11"/>
      <c r="AD351" s="11"/>
    </row>
    <row r="352">
      <c r="A352" s="47"/>
      <c r="B352" s="46"/>
      <c r="C352" s="46"/>
      <c r="D352" s="11"/>
      <c r="E352" s="11"/>
      <c r="F352" s="11"/>
      <c r="G352" s="11"/>
      <c r="H352" s="11"/>
      <c r="I352" s="11"/>
      <c r="J352" s="11"/>
      <c r="K352" s="11"/>
      <c r="L352" s="11"/>
      <c r="M352" s="11"/>
      <c r="N352" s="46"/>
      <c r="O352" s="11"/>
      <c r="P352" s="11"/>
      <c r="Q352" s="46"/>
      <c r="R352" s="11"/>
      <c r="S352" s="11"/>
      <c r="T352" s="11"/>
      <c r="U352" s="11"/>
      <c r="V352" s="11"/>
      <c r="W352" s="11"/>
      <c r="X352" s="11"/>
      <c r="Y352" s="11"/>
      <c r="Z352" s="11"/>
      <c r="AA352" s="11"/>
      <c r="AB352" s="11"/>
      <c r="AC352" s="11"/>
      <c r="AD352" s="11"/>
    </row>
    <row r="353">
      <c r="A353" s="47"/>
      <c r="B353" s="46"/>
      <c r="C353" s="46"/>
      <c r="D353" s="11"/>
      <c r="E353" s="11"/>
      <c r="F353" s="11"/>
      <c r="G353" s="11"/>
      <c r="H353" s="11"/>
      <c r="I353" s="11"/>
      <c r="J353" s="11"/>
      <c r="K353" s="11"/>
      <c r="L353" s="11"/>
      <c r="M353" s="11"/>
      <c r="N353" s="46"/>
      <c r="O353" s="11"/>
      <c r="P353" s="11"/>
      <c r="Q353" s="46"/>
      <c r="R353" s="11"/>
      <c r="S353" s="11"/>
      <c r="T353" s="11"/>
      <c r="U353" s="11"/>
      <c r="V353" s="11"/>
      <c r="W353" s="11"/>
      <c r="X353" s="11"/>
      <c r="Y353" s="11"/>
      <c r="Z353" s="11"/>
      <c r="AA353" s="11"/>
      <c r="AB353" s="11"/>
      <c r="AC353" s="11"/>
      <c r="AD353" s="11"/>
    </row>
    <row r="354">
      <c r="A354" s="47"/>
      <c r="B354" s="46"/>
      <c r="C354" s="46"/>
      <c r="D354" s="11"/>
      <c r="E354" s="11"/>
      <c r="F354" s="11"/>
      <c r="G354" s="11"/>
      <c r="H354" s="11"/>
      <c r="I354" s="11"/>
      <c r="J354" s="11"/>
      <c r="K354" s="11"/>
      <c r="L354" s="11"/>
      <c r="M354" s="11"/>
      <c r="N354" s="46"/>
      <c r="O354" s="11"/>
      <c r="P354" s="11"/>
      <c r="Q354" s="46"/>
      <c r="R354" s="11"/>
      <c r="S354" s="11"/>
      <c r="T354" s="11"/>
      <c r="U354" s="11"/>
      <c r="V354" s="11"/>
      <c r="W354" s="11"/>
      <c r="X354" s="11"/>
      <c r="Y354" s="11"/>
      <c r="Z354" s="11"/>
      <c r="AA354" s="11"/>
      <c r="AB354" s="11"/>
      <c r="AC354" s="11"/>
      <c r="AD354" s="11"/>
    </row>
    <row r="355">
      <c r="A355" s="47"/>
      <c r="B355" s="46"/>
      <c r="C355" s="46"/>
      <c r="D355" s="11"/>
      <c r="E355" s="11"/>
      <c r="F355" s="11"/>
      <c r="G355" s="11"/>
      <c r="H355" s="11"/>
      <c r="I355" s="11"/>
      <c r="J355" s="11"/>
      <c r="K355" s="11"/>
      <c r="L355" s="11"/>
      <c r="M355" s="11"/>
      <c r="N355" s="46"/>
      <c r="O355" s="11"/>
      <c r="P355" s="11"/>
      <c r="Q355" s="46"/>
      <c r="R355" s="11"/>
      <c r="S355" s="11"/>
      <c r="T355" s="11"/>
      <c r="U355" s="11"/>
      <c r="V355" s="11"/>
      <c r="W355" s="11"/>
      <c r="X355" s="11"/>
      <c r="Y355" s="11"/>
      <c r="Z355" s="11"/>
      <c r="AA355" s="11"/>
      <c r="AB355" s="11"/>
      <c r="AC355" s="11"/>
      <c r="AD355" s="11"/>
    </row>
    <row r="356" ht="15.75" customHeight="1">
      <c r="A356" s="47"/>
      <c r="B356" s="46"/>
      <c r="C356" s="46"/>
      <c r="D356" s="11"/>
      <c r="E356" s="11"/>
      <c r="F356" s="11"/>
      <c r="G356" s="11"/>
      <c r="H356" s="11"/>
      <c r="I356" s="11"/>
      <c r="J356" s="11"/>
      <c r="K356" s="11"/>
      <c r="L356" s="11"/>
      <c r="M356" s="11"/>
      <c r="N356" s="46"/>
      <c r="O356" s="11"/>
      <c r="P356" s="11"/>
      <c r="Q356" s="46"/>
      <c r="R356" s="11"/>
      <c r="S356" s="11"/>
      <c r="T356" s="11"/>
      <c r="U356" s="11"/>
      <c r="V356" s="11"/>
      <c r="W356" s="11"/>
      <c r="X356" s="11"/>
      <c r="Y356" s="11"/>
      <c r="Z356" s="11"/>
      <c r="AA356" s="11"/>
      <c r="AB356" s="11"/>
      <c r="AC356" s="11"/>
      <c r="AD356" s="11"/>
    </row>
    <row r="357" ht="15.75" customHeight="1">
      <c r="A357" s="47"/>
      <c r="B357" s="46"/>
      <c r="C357" s="46"/>
      <c r="D357" s="11"/>
      <c r="E357" s="11"/>
      <c r="F357" s="11"/>
      <c r="G357" s="11"/>
      <c r="H357" s="11"/>
      <c r="I357" s="11"/>
      <c r="J357" s="11"/>
      <c r="K357" s="11"/>
      <c r="L357" s="11"/>
      <c r="M357" s="11"/>
      <c r="N357" s="46"/>
      <c r="O357" s="11"/>
      <c r="P357" s="11"/>
      <c r="Q357" s="46"/>
      <c r="R357" s="11"/>
      <c r="S357" s="11"/>
      <c r="T357" s="11"/>
      <c r="U357" s="11"/>
      <c r="V357" s="11"/>
      <c r="W357" s="11"/>
      <c r="X357" s="11"/>
      <c r="Y357" s="11"/>
      <c r="Z357" s="11"/>
      <c r="AA357" s="11"/>
      <c r="AB357" s="11"/>
      <c r="AC357" s="11"/>
      <c r="AD357" s="11"/>
    </row>
    <row r="358" ht="15.75" customHeight="1">
      <c r="A358" s="47"/>
      <c r="B358" s="46"/>
      <c r="C358" s="46"/>
      <c r="D358" s="11"/>
      <c r="E358" s="11"/>
      <c r="F358" s="11"/>
      <c r="G358" s="11"/>
      <c r="H358" s="11"/>
      <c r="I358" s="11"/>
      <c r="J358" s="11"/>
      <c r="K358" s="11"/>
      <c r="L358" s="11"/>
      <c r="M358" s="11"/>
      <c r="N358" s="46"/>
      <c r="O358" s="11"/>
      <c r="P358" s="11"/>
      <c r="Q358" s="46"/>
      <c r="R358" s="11"/>
      <c r="S358" s="11"/>
      <c r="T358" s="11"/>
      <c r="U358" s="11"/>
      <c r="V358" s="11"/>
      <c r="W358" s="11"/>
      <c r="X358" s="11"/>
      <c r="Y358" s="11"/>
      <c r="Z358" s="11"/>
      <c r="AA358" s="11"/>
      <c r="AB358" s="11"/>
      <c r="AC358" s="11"/>
      <c r="AD358" s="11"/>
    </row>
    <row r="359" ht="15.75" customHeight="1">
      <c r="A359" s="47"/>
      <c r="B359" s="46"/>
      <c r="C359" s="46"/>
      <c r="D359" s="11"/>
      <c r="E359" s="11"/>
      <c r="F359" s="11"/>
      <c r="G359" s="11"/>
      <c r="H359" s="11"/>
      <c r="I359" s="11"/>
      <c r="J359" s="11"/>
      <c r="K359" s="11"/>
      <c r="L359" s="11"/>
      <c r="M359" s="11"/>
      <c r="N359" s="46"/>
      <c r="O359" s="11"/>
      <c r="P359" s="11"/>
      <c r="Q359" s="46"/>
      <c r="R359" s="11"/>
      <c r="S359" s="11"/>
      <c r="T359" s="11"/>
      <c r="U359" s="11"/>
      <c r="V359" s="11"/>
      <c r="W359" s="11"/>
      <c r="X359" s="11"/>
      <c r="Y359" s="11"/>
      <c r="Z359" s="11"/>
      <c r="AA359" s="11"/>
      <c r="AB359" s="11"/>
      <c r="AC359" s="11"/>
      <c r="AD359" s="11"/>
    </row>
    <row r="360" ht="15.75" customHeight="1">
      <c r="A360" s="47"/>
      <c r="B360" s="46"/>
      <c r="C360" s="46"/>
      <c r="D360" s="11"/>
      <c r="E360" s="11"/>
      <c r="F360" s="11"/>
      <c r="G360" s="11"/>
      <c r="H360" s="11"/>
      <c r="I360" s="11"/>
      <c r="J360" s="11"/>
      <c r="K360" s="11"/>
      <c r="L360" s="11"/>
      <c r="M360" s="11"/>
      <c r="N360" s="46"/>
      <c r="O360" s="11"/>
      <c r="P360" s="11"/>
      <c r="Q360" s="46"/>
      <c r="R360" s="11"/>
      <c r="S360" s="11"/>
      <c r="T360" s="11"/>
      <c r="U360" s="11"/>
      <c r="V360" s="11"/>
      <c r="W360" s="11"/>
      <c r="X360" s="11"/>
      <c r="Y360" s="11"/>
      <c r="Z360" s="11"/>
      <c r="AA360" s="11"/>
      <c r="AB360" s="11"/>
      <c r="AC360" s="11"/>
      <c r="AD360" s="11"/>
    </row>
    <row r="361" ht="15.75" customHeight="1">
      <c r="A361" s="47"/>
      <c r="B361" s="46"/>
      <c r="C361" s="46"/>
      <c r="D361" s="11"/>
      <c r="E361" s="11"/>
      <c r="F361" s="11"/>
      <c r="G361" s="11"/>
      <c r="H361" s="11"/>
      <c r="I361" s="11"/>
      <c r="J361" s="11"/>
      <c r="K361" s="11"/>
      <c r="L361" s="11"/>
      <c r="M361" s="11"/>
      <c r="N361" s="46"/>
      <c r="O361" s="11"/>
      <c r="P361" s="11"/>
      <c r="Q361" s="46"/>
      <c r="R361" s="11"/>
      <c r="S361" s="11"/>
      <c r="T361" s="11"/>
      <c r="U361" s="11"/>
      <c r="V361" s="11"/>
      <c r="W361" s="11"/>
      <c r="X361" s="11"/>
      <c r="Y361" s="11"/>
      <c r="Z361" s="11"/>
      <c r="AA361" s="11"/>
      <c r="AB361" s="11"/>
      <c r="AC361" s="11"/>
      <c r="AD361" s="11"/>
    </row>
    <row r="362" ht="15.75" customHeight="1">
      <c r="A362" s="47"/>
      <c r="B362" s="46"/>
      <c r="C362" s="46"/>
      <c r="D362" s="11"/>
      <c r="E362" s="11"/>
      <c r="F362" s="11"/>
      <c r="G362" s="11"/>
      <c r="H362" s="11"/>
      <c r="I362" s="11"/>
      <c r="J362" s="11"/>
      <c r="K362" s="11"/>
      <c r="L362" s="11"/>
      <c r="M362" s="11"/>
      <c r="N362" s="46"/>
      <c r="O362" s="11"/>
      <c r="P362" s="11"/>
      <c r="Q362" s="46"/>
      <c r="R362" s="11"/>
      <c r="S362" s="11"/>
      <c r="T362" s="11"/>
      <c r="U362" s="11"/>
      <c r="V362" s="11"/>
      <c r="W362" s="11"/>
      <c r="X362" s="11"/>
      <c r="Y362" s="11"/>
      <c r="Z362" s="11"/>
      <c r="AA362" s="11"/>
      <c r="AB362" s="11"/>
      <c r="AC362" s="11"/>
      <c r="AD362" s="11"/>
    </row>
    <row r="363" ht="15.75" customHeight="1">
      <c r="A363" s="47"/>
      <c r="B363" s="46"/>
      <c r="C363" s="46"/>
      <c r="D363" s="11"/>
      <c r="E363" s="11"/>
      <c r="F363" s="11"/>
      <c r="G363" s="11"/>
      <c r="H363" s="11"/>
      <c r="I363" s="11"/>
      <c r="J363" s="11"/>
      <c r="K363" s="11"/>
      <c r="L363" s="11"/>
      <c r="M363" s="11"/>
      <c r="N363" s="46"/>
      <c r="O363" s="11"/>
      <c r="P363" s="11"/>
      <c r="Q363" s="46"/>
      <c r="R363" s="11"/>
      <c r="S363" s="11"/>
      <c r="T363" s="11"/>
      <c r="U363" s="11"/>
      <c r="V363" s="11"/>
      <c r="W363" s="11"/>
      <c r="X363" s="11"/>
      <c r="Y363" s="11"/>
      <c r="Z363" s="11"/>
      <c r="AA363" s="11"/>
      <c r="AB363" s="11"/>
      <c r="AC363" s="11"/>
      <c r="AD363" s="11"/>
    </row>
    <row r="364" ht="15.75" customHeight="1">
      <c r="A364" s="47"/>
      <c r="B364" s="46"/>
      <c r="C364" s="46"/>
      <c r="D364" s="11"/>
      <c r="E364" s="11"/>
      <c r="F364" s="11"/>
      <c r="G364" s="11"/>
      <c r="H364" s="11"/>
      <c r="I364" s="11"/>
      <c r="J364" s="11"/>
      <c r="K364" s="11"/>
      <c r="L364" s="11"/>
      <c r="M364" s="11"/>
      <c r="N364" s="46"/>
      <c r="O364" s="11"/>
      <c r="P364" s="11"/>
      <c r="Q364" s="46"/>
      <c r="R364" s="11"/>
      <c r="S364" s="11"/>
      <c r="T364" s="11"/>
      <c r="U364" s="11"/>
      <c r="V364" s="11"/>
      <c r="W364" s="11"/>
      <c r="X364" s="11"/>
      <c r="Y364" s="11"/>
      <c r="Z364" s="11"/>
      <c r="AA364" s="11"/>
      <c r="AB364" s="11"/>
      <c r="AC364" s="11"/>
      <c r="AD364" s="11"/>
    </row>
    <row r="365" ht="15.75" customHeight="1">
      <c r="A365" s="47"/>
      <c r="B365" s="46"/>
      <c r="C365" s="46"/>
      <c r="D365" s="11"/>
      <c r="E365" s="11"/>
      <c r="F365" s="11"/>
      <c r="G365" s="11"/>
      <c r="H365" s="11"/>
      <c r="I365" s="11"/>
      <c r="J365" s="11"/>
      <c r="K365" s="11"/>
      <c r="L365" s="11"/>
      <c r="M365" s="11"/>
      <c r="N365" s="46"/>
      <c r="O365" s="11"/>
      <c r="P365" s="11"/>
      <c r="Q365" s="46"/>
      <c r="R365" s="11"/>
      <c r="S365" s="11"/>
      <c r="T365" s="11"/>
      <c r="U365" s="11"/>
      <c r="V365" s="11"/>
      <c r="W365" s="11"/>
      <c r="X365" s="11"/>
      <c r="Y365" s="11"/>
      <c r="Z365" s="11"/>
      <c r="AA365" s="11"/>
      <c r="AB365" s="11"/>
      <c r="AC365" s="11"/>
      <c r="AD365" s="11"/>
    </row>
    <row r="366" ht="15.75" customHeight="1">
      <c r="A366" s="47"/>
      <c r="B366" s="46"/>
      <c r="C366" s="46"/>
      <c r="D366" s="11"/>
      <c r="E366" s="11"/>
      <c r="F366" s="11"/>
      <c r="G366" s="11"/>
      <c r="H366" s="11"/>
      <c r="I366" s="11"/>
      <c r="J366" s="11"/>
      <c r="K366" s="11"/>
      <c r="L366" s="11"/>
      <c r="M366" s="11"/>
      <c r="N366" s="46"/>
      <c r="O366" s="11"/>
      <c r="P366" s="11"/>
      <c r="Q366" s="46"/>
      <c r="R366" s="11"/>
      <c r="S366" s="11"/>
      <c r="T366" s="11"/>
      <c r="U366" s="11"/>
      <c r="V366" s="11"/>
      <c r="W366" s="11"/>
      <c r="X366" s="11"/>
      <c r="Y366" s="11"/>
      <c r="Z366" s="11"/>
      <c r="AA366" s="11"/>
      <c r="AB366" s="11"/>
      <c r="AC366" s="11"/>
      <c r="AD366" s="11"/>
    </row>
    <row r="367" ht="15.75" customHeight="1">
      <c r="A367" s="47"/>
      <c r="B367" s="46"/>
      <c r="C367" s="46"/>
      <c r="D367" s="11"/>
      <c r="E367" s="11"/>
      <c r="F367" s="11"/>
      <c r="G367" s="11"/>
      <c r="H367" s="11"/>
      <c r="I367" s="11"/>
      <c r="J367" s="11"/>
      <c r="K367" s="11"/>
      <c r="L367" s="11"/>
      <c r="M367" s="11"/>
      <c r="N367" s="46"/>
      <c r="O367" s="11"/>
      <c r="P367" s="11"/>
      <c r="Q367" s="46"/>
      <c r="R367" s="11"/>
      <c r="S367" s="11"/>
      <c r="T367" s="11"/>
      <c r="U367" s="11"/>
      <c r="V367" s="11"/>
      <c r="W367" s="11"/>
      <c r="X367" s="11"/>
      <c r="Y367" s="11"/>
      <c r="Z367" s="11"/>
      <c r="AA367" s="11"/>
      <c r="AB367" s="11"/>
      <c r="AC367" s="11"/>
      <c r="AD367" s="11"/>
    </row>
    <row r="368" ht="15.75" customHeight="1">
      <c r="A368" s="47"/>
      <c r="B368" s="46"/>
      <c r="C368" s="46"/>
      <c r="D368" s="11"/>
      <c r="E368" s="11"/>
      <c r="F368" s="11"/>
      <c r="G368" s="11"/>
      <c r="H368" s="11"/>
      <c r="I368" s="11"/>
      <c r="J368" s="11"/>
      <c r="K368" s="11"/>
      <c r="L368" s="11"/>
      <c r="M368" s="11"/>
      <c r="N368" s="46"/>
      <c r="O368" s="11"/>
      <c r="P368" s="11"/>
      <c r="Q368" s="46"/>
      <c r="R368" s="11"/>
      <c r="S368" s="11"/>
      <c r="T368" s="11"/>
      <c r="U368" s="11"/>
      <c r="V368" s="11"/>
      <c r="W368" s="11"/>
      <c r="X368" s="11"/>
      <c r="Y368" s="11"/>
      <c r="Z368" s="11"/>
      <c r="AA368" s="11"/>
      <c r="AB368" s="11"/>
      <c r="AC368" s="11"/>
      <c r="AD368" s="11"/>
    </row>
    <row r="369" ht="15.75" customHeight="1">
      <c r="A369" s="47"/>
      <c r="B369" s="46"/>
      <c r="C369" s="46"/>
      <c r="D369" s="11"/>
      <c r="E369" s="11"/>
      <c r="F369" s="11"/>
      <c r="G369" s="11"/>
      <c r="H369" s="11"/>
      <c r="I369" s="11"/>
      <c r="J369" s="11"/>
      <c r="K369" s="11"/>
      <c r="L369" s="11"/>
      <c r="M369" s="11"/>
      <c r="N369" s="46"/>
      <c r="O369" s="11"/>
      <c r="P369" s="11"/>
      <c r="Q369" s="46"/>
      <c r="R369" s="11"/>
      <c r="S369" s="11"/>
      <c r="T369" s="11"/>
      <c r="U369" s="11"/>
      <c r="V369" s="11"/>
      <c r="W369" s="11"/>
      <c r="X369" s="11"/>
      <c r="Y369" s="11"/>
      <c r="Z369" s="11"/>
      <c r="AA369" s="11"/>
      <c r="AB369" s="11"/>
      <c r="AC369" s="11"/>
      <c r="AD369" s="11"/>
    </row>
    <row r="370" ht="15.75" customHeight="1">
      <c r="A370" s="47"/>
      <c r="B370" s="46"/>
      <c r="C370" s="46"/>
      <c r="D370" s="11"/>
      <c r="E370" s="11"/>
      <c r="F370" s="11"/>
      <c r="G370" s="11"/>
      <c r="H370" s="11"/>
      <c r="I370" s="11"/>
      <c r="J370" s="11"/>
      <c r="K370" s="11"/>
      <c r="L370" s="11"/>
      <c r="M370" s="11"/>
      <c r="N370" s="46"/>
      <c r="O370" s="11"/>
      <c r="P370" s="11"/>
      <c r="Q370" s="46"/>
      <c r="R370" s="11"/>
      <c r="S370" s="11"/>
      <c r="T370" s="11"/>
      <c r="U370" s="11"/>
      <c r="V370" s="11"/>
      <c r="W370" s="11"/>
      <c r="X370" s="11"/>
      <c r="Y370" s="11"/>
      <c r="Z370" s="11"/>
      <c r="AA370" s="11"/>
      <c r="AB370" s="11"/>
      <c r="AC370" s="11"/>
      <c r="AD370" s="11"/>
    </row>
    <row r="371" ht="15.75" customHeight="1">
      <c r="A371" s="47"/>
      <c r="B371" s="46"/>
      <c r="C371" s="46"/>
      <c r="D371" s="11"/>
      <c r="E371" s="11"/>
      <c r="F371" s="11"/>
      <c r="G371" s="11"/>
      <c r="H371" s="11"/>
      <c r="I371" s="11"/>
      <c r="J371" s="11"/>
      <c r="K371" s="11"/>
      <c r="L371" s="11"/>
      <c r="M371" s="11"/>
      <c r="N371" s="46"/>
      <c r="O371" s="11"/>
      <c r="P371" s="11"/>
      <c r="Q371" s="46"/>
      <c r="R371" s="11"/>
      <c r="S371" s="11"/>
      <c r="T371" s="11"/>
      <c r="U371" s="11"/>
      <c r="V371" s="11"/>
      <c r="W371" s="11"/>
      <c r="X371" s="11"/>
      <c r="Y371" s="11"/>
      <c r="Z371" s="11"/>
      <c r="AA371" s="11"/>
      <c r="AB371" s="11"/>
      <c r="AC371" s="11"/>
      <c r="AD371" s="11"/>
    </row>
    <row r="372" ht="15.75" customHeight="1">
      <c r="A372" s="47"/>
      <c r="B372" s="46"/>
      <c r="C372" s="46"/>
      <c r="D372" s="11"/>
      <c r="E372" s="11"/>
      <c r="F372" s="11"/>
      <c r="G372" s="11"/>
      <c r="H372" s="11"/>
      <c r="I372" s="11"/>
      <c r="J372" s="11"/>
      <c r="K372" s="11"/>
      <c r="L372" s="11"/>
      <c r="M372" s="11"/>
      <c r="N372" s="46"/>
      <c r="O372" s="11"/>
      <c r="P372" s="11"/>
      <c r="Q372" s="46"/>
      <c r="R372" s="11"/>
      <c r="S372" s="11"/>
      <c r="T372" s="11"/>
      <c r="U372" s="11"/>
      <c r="V372" s="11"/>
      <c r="W372" s="11"/>
      <c r="X372" s="11"/>
      <c r="Y372" s="11"/>
      <c r="Z372" s="11"/>
      <c r="AA372" s="11"/>
      <c r="AB372" s="11"/>
      <c r="AC372" s="11"/>
      <c r="AD372" s="11"/>
    </row>
    <row r="373" ht="15.75" customHeight="1">
      <c r="A373" s="47"/>
      <c r="B373" s="46"/>
      <c r="C373" s="46"/>
      <c r="D373" s="11"/>
      <c r="E373" s="11"/>
      <c r="F373" s="11"/>
      <c r="G373" s="11"/>
      <c r="H373" s="11"/>
      <c r="I373" s="11"/>
      <c r="J373" s="11"/>
      <c r="K373" s="11"/>
      <c r="L373" s="11"/>
      <c r="M373" s="11"/>
      <c r="N373" s="46"/>
      <c r="O373" s="11"/>
      <c r="P373" s="11"/>
      <c r="Q373" s="46"/>
      <c r="R373" s="11"/>
      <c r="S373" s="11"/>
      <c r="T373" s="11"/>
      <c r="U373" s="11"/>
      <c r="V373" s="11"/>
      <c r="W373" s="11"/>
      <c r="X373" s="11"/>
      <c r="Y373" s="11"/>
      <c r="Z373" s="11"/>
      <c r="AA373" s="11"/>
      <c r="AB373" s="11"/>
      <c r="AC373" s="11"/>
      <c r="AD373" s="11"/>
    </row>
    <row r="374" ht="15.75" customHeight="1">
      <c r="A374" s="47"/>
      <c r="B374" s="46"/>
      <c r="C374" s="46"/>
      <c r="D374" s="11"/>
      <c r="E374" s="11"/>
      <c r="F374" s="11"/>
      <c r="G374" s="11"/>
      <c r="H374" s="11"/>
      <c r="I374" s="11"/>
      <c r="J374" s="11"/>
      <c r="K374" s="11"/>
      <c r="L374" s="11"/>
      <c r="M374" s="11"/>
      <c r="N374" s="46"/>
      <c r="O374" s="11"/>
      <c r="P374" s="11"/>
      <c r="Q374" s="46"/>
      <c r="R374" s="11"/>
      <c r="S374" s="11"/>
      <c r="T374" s="11"/>
      <c r="U374" s="11"/>
      <c r="V374" s="11"/>
      <c r="W374" s="11"/>
      <c r="X374" s="11"/>
      <c r="Y374" s="11"/>
      <c r="Z374" s="11"/>
      <c r="AA374" s="11"/>
      <c r="AB374" s="11"/>
      <c r="AC374" s="11"/>
      <c r="AD374" s="11"/>
    </row>
    <row r="375" ht="15.75" customHeight="1">
      <c r="A375" s="47"/>
      <c r="B375" s="46"/>
      <c r="C375" s="46"/>
      <c r="D375" s="11"/>
      <c r="E375" s="11"/>
      <c r="F375" s="11"/>
      <c r="G375" s="11"/>
      <c r="H375" s="11"/>
      <c r="I375" s="11"/>
      <c r="J375" s="11"/>
      <c r="K375" s="11"/>
      <c r="L375" s="11"/>
      <c r="M375" s="11"/>
      <c r="N375" s="46"/>
      <c r="O375" s="11"/>
      <c r="P375" s="11"/>
      <c r="Q375" s="46"/>
      <c r="R375" s="11"/>
      <c r="S375" s="11"/>
      <c r="T375" s="11"/>
      <c r="U375" s="11"/>
      <c r="V375" s="11"/>
      <c r="W375" s="11"/>
      <c r="X375" s="11"/>
      <c r="Y375" s="11"/>
      <c r="Z375" s="11"/>
      <c r="AA375" s="11"/>
      <c r="AB375" s="11"/>
      <c r="AC375" s="11"/>
      <c r="AD375" s="11"/>
    </row>
    <row r="376" ht="15.75" customHeight="1">
      <c r="A376" s="47"/>
      <c r="B376" s="46"/>
      <c r="C376" s="46"/>
      <c r="D376" s="11"/>
      <c r="E376" s="11"/>
      <c r="F376" s="11"/>
      <c r="G376" s="11"/>
      <c r="H376" s="11"/>
      <c r="I376" s="11"/>
      <c r="J376" s="11"/>
      <c r="K376" s="11"/>
      <c r="L376" s="11"/>
      <c r="M376" s="11"/>
      <c r="N376" s="46"/>
      <c r="O376" s="11"/>
      <c r="P376" s="11"/>
      <c r="Q376" s="46"/>
      <c r="R376" s="11"/>
      <c r="S376" s="11"/>
      <c r="T376" s="11"/>
      <c r="U376" s="11"/>
      <c r="V376" s="11"/>
      <c r="W376" s="11"/>
      <c r="X376" s="11"/>
      <c r="Y376" s="11"/>
      <c r="Z376" s="11"/>
      <c r="AA376" s="11"/>
      <c r="AB376" s="11"/>
      <c r="AC376" s="11"/>
      <c r="AD376" s="11"/>
    </row>
    <row r="377" ht="15.75" customHeight="1">
      <c r="A377" s="47"/>
      <c r="B377" s="46"/>
      <c r="C377" s="46"/>
      <c r="D377" s="11"/>
      <c r="E377" s="11"/>
      <c r="F377" s="11"/>
      <c r="G377" s="11"/>
      <c r="H377" s="11"/>
      <c r="I377" s="11"/>
      <c r="J377" s="11"/>
      <c r="K377" s="11"/>
      <c r="L377" s="11"/>
      <c r="M377" s="11"/>
      <c r="N377" s="46"/>
      <c r="O377" s="11"/>
      <c r="P377" s="11"/>
      <c r="Q377" s="46"/>
      <c r="R377" s="11"/>
      <c r="S377" s="11"/>
      <c r="T377" s="11"/>
      <c r="U377" s="11"/>
      <c r="V377" s="11"/>
      <c r="W377" s="11"/>
      <c r="X377" s="11"/>
      <c r="Y377" s="11"/>
      <c r="Z377" s="11"/>
      <c r="AA377" s="11"/>
      <c r="AB377" s="11"/>
      <c r="AC377" s="11"/>
      <c r="AD377" s="11"/>
    </row>
    <row r="378" ht="15.75" customHeight="1">
      <c r="A378" s="47"/>
      <c r="B378" s="46"/>
      <c r="C378" s="46"/>
      <c r="D378" s="11"/>
      <c r="E378" s="11"/>
      <c r="F378" s="11"/>
      <c r="G378" s="11"/>
      <c r="H378" s="11"/>
      <c r="I378" s="11"/>
      <c r="J378" s="11"/>
      <c r="K378" s="11"/>
      <c r="L378" s="11"/>
      <c r="M378" s="11"/>
      <c r="N378" s="46"/>
      <c r="O378" s="11"/>
      <c r="P378" s="11"/>
      <c r="Q378" s="46"/>
      <c r="R378" s="11"/>
      <c r="S378" s="11"/>
      <c r="T378" s="11"/>
      <c r="U378" s="11"/>
      <c r="V378" s="11"/>
      <c r="W378" s="11"/>
      <c r="X378" s="11"/>
      <c r="Y378" s="11"/>
      <c r="Z378" s="11"/>
      <c r="AA378" s="11"/>
      <c r="AB378" s="11"/>
      <c r="AC378" s="11"/>
      <c r="AD378" s="11"/>
    </row>
    <row r="379" ht="15.75" customHeight="1">
      <c r="A379" s="47"/>
      <c r="B379" s="46"/>
      <c r="C379" s="46"/>
      <c r="D379" s="11"/>
      <c r="E379" s="11"/>
      <c r="F379" s="11"/>
      <c r="G379" s="11"/>
      <c r="H379" s="11"/>
      <c r="I379" s="11"/>
      <c r="J379" s="11"/>
      <c r="K379" s="11"/>
      <c r="L379" s="11"/>
      <c r="M379" s="11"/>
      <c r="N379" s="46"/>
      <c r="O379" s="11"/>
      <c r="P379" s="11"/>
      <c r="Q379" s="46"/>
      <c r="R379" s="11"/>
      <c r="S379" s="11"/>
      <c r="T379" s="11"/>
      <c r="U379" s="11"/>
      <c r="V379" s="11"/>
      <c r="W379" s="11"/>
      <c r="X379" s="11"/>
      <c r="Y379" s="11"/>
      <c r="Z379" s="11"/>
      <c r="AA379" s="11"/>
      <c r="AB379" s="11"/>
      <c r="AC379" s="11"/>
      <c r="AD379" s="11"/>
    </row>
    <row r="380" ht="15.75" customHeight="1">
      <c r="A380" s="47"/>
      <c r="B380" s="46"/>
      <c r="C380" s="46"/>
      <c r="D380" s="11"/>
      <c r="E380" s="11"/>
      <c r="F380" s="11"/>
      <c r="G380" s="11"/>
      <c r="H380" s="11"/>
      <c r="I380" s="11"/>
      <c r="J380" s="11"/>
      <c r="K380" s="11"/>
      <c r="L380" s="11"/>
      <c r="M380" s="11"/>
      <c r="N380" s="46"/>
      <c r="O380" s="11"/>
      <c r="P380" s="11"/>
      <c r="Q380" s="46"/>
      <c r="R380" s="11"/>
      <c r="S380" s="11"/>
      <c r="T380" s="11"/>
      <c r="U380" s="11"/>
      <c r="V380" s="11"/>
      <c r="W380" s="11"/>
      <c r="X380" s="11"/>
      <c r="Y380" s="11"/>
      <c r="Z380" s="11"/>
      <c r="AA380" s="11"/>
      <c r="AB380" s="11"/>
      <c r="AC380" s="11"/>
      <c r="AD380" s="11"/>
    </row>
    <row r="381" ht="15.75" customHeight="1">
      <c r="A381" s="47"/>
      <c r="B381" s="46"/>
      <c r="C381" s="46"/>
      <c r="D381" s="11"/>
      <c r="E381" s="11"/>
      <c r="F381" s="11"/>
      <c r="G381" s="11"/>
      <c r="H381" s="11"/>
      <c r="I381" s="11"/>
      <c r="J381" s="11"/>
      <c r="K381" s="11"/>
      <c r="L381" s="11"/>
      <c r="M381" s="11"/>
      <c r="N381" s="46"/>
      <c r="O381" s="11"/>
      <c r="P381" s="11"/>
      <c r="Q381" s="46"/>
      <c r="R381" s="11"/>
      <c r="S381" s="11"/>
      <c r="T381" s="11"/>
      <c r="U381" s="11"/>
      <c r="V381" s="11"/>
      <c r="W381" s="11"/>
      <c r="X381" s="11"/>
      <c r="Y381" s="11"/>
      <c r="Z381" s="11"/>
      <c r="AA381" s="11"/>
      <c r="AB381" s="11"/>
      <c r="AC381" s="11"/>
      <c r="AD381" s="11"/>
    </row>
    <row r="382" ht="15.75" customHeight="1">
      <c r="A382" s="47"/>
      <c r="B382" s="46"/>
      <c r="C382" s="46"/>
      <c r="D382" s="11"/>
      <c r="E382" s="11"/>
      <c r="F382" s="11"/>
      <c r="G382" s="11"/>
      <c r="H382" s="11"/>
      <c r="I382" s="11"/>
      <c r="J382" s="11"/>
      <c r="K382" s="11"/>
      <c r="L382" s="11"/>
      <c r="M382" s="11"/>
      <c r="N382" s="46"/>
      <c r="O382" s="11"/>
      <c r="P382" s="11"/>
      <c r="Q382" s="46"/>
      <c r="R382" s="11"/>
      <c r="S382" s="11"/>
      <c r="T382" s="11"/>
      <c r="U382" s="11"/>
      <c r="V382" s="11"/>
      <c r="W382" s="11"/>
      <c r="X382" s="11"/>
      <c r="Y382" s="11"/>
      <c r="Z382" s="11"/>
      <c r="AA382" s="11"/>
      <c r="AB382" s="11"/>
      <c r="AC382" s="11"/>
      <c r="AD382" s="11"/>
    </row>
    <row r="383" ht="15.75" customHeight="1">
      <c r="A383" s="47"/>
      <c r="B383" s="46"/>
      <c r="C383" s="46"/>
      <c r="D383" s="11"/>
      <c r="E383" s="11"/>
      <c r="F383" s="11"/>
      <c r="G383" s="11"/>
      <c r="H383" s="11"/>
      <c r="I383" s="11"/>
      <c r="J383" s="11"/>
      <c r="K383" s="11"/>
      <c r="L383" s="11"/>
      <c r="M383" s="11"/>
      <c r="N383" s="46"/>
      <c r="O383" s="11"/>
      <c r="P383" s="11"/>
      <c r="Q383" s="46"/>
      <c r="R383" s="11"/>
      <c r="S383" s="11"/>
      <c r="T383" s="11"/>
      <c r="U383" s="11"/>
      <c r="V383" s="11"/>
      <c r="W383" s="11"/>
      <c r="X383" s="11"/>
      <c r="Y383" s="11"/>
      <c r="Z383" s="11"/>
      <c r="AA383" s="11"/>
      <c r="AB383" s="11"/>
      <c r="AC383" s="11"/>
      <c r="AD383" s="11"/>
    </row>
    <row r="384" ht="15.75" customHeight="1">
      <c r="A384" s="47"/>
      <c r="B384" s="46"/>
      <c r="C384" s="46"/>
      <c r="D384" s="11"/>
      <c r="E384" s="11"/>
      <c r="F384" s="11"/>
      <c r="G384" s="11"/>
      <c r="H384" s="11"/>
      <c r="I384" s="11"/>
      <c r="J384" s="11"/>
      <c r="K384" s="11"/>
      <c r="L384" s="11"/>
      <c r="M384" s="11"/>
      <c r="N384" s="46"/>
      <c r="O384" s="11"/>
      <c r="P384" s="11"/>
      <c r="Q384" s="46"/>
      <c r="R384" s="11"/>
      <c r="S384" s="11"/>
      <c r="T384" s="11"/>
      <c r="U384" s="11"/>
      <c r="V384" s="11"/>
      <c r="W384" s="11"/>
      <c r="X384" s="11"/>
      <c r="Y384" s="11"/>
      <c r="Z384" s="11"/>
      <c r="AA384" s="11"/>
      <c r="AB384" s="11"/>
      <c r="AC384" s="11"/>
      <c r="AD384" s="11"/>
    </row>
    <row r="385" ht="15.75" customHeight="1">
      <c r="A385" s="47"/>
      <c r="B385" s="46"/>
      <c r="C385" s="46"/>
      <c r="D385" s="11"/>
      <c r="E385" s="11"/>
      <c r="F385" s="11"/>
      <c r="G385" s="11"/>
      <c r="H385" s="11"/>
      <c r="I385" s="11"/>
      <c r="J385" s="11"/>
      <c r="K385" s="11"/>
      <c r="L385" s="11"/>
      <c r="M385" s="11"/>
      <c r="N385" s="46"/>
      <c r="O385" s="11"/>
      <c r="P385" s="11"/>
      <c r="Q385" s="46"/>
      <c r="R385" s="11"/>
      <c r="S385" s="11"/>
      <c r="T385" s="11"/>
      <c r="U385" s="11"/>
      <c r="V385" s="11"/>
      <c r="W385" s="11"/>
      <c r="X385" s="11"/>
      <c r="Y385" s="11"/>
      <c r="Z385" s="11"/>
      <c r="AA385" s="11"/>
      <c r="AB385" s="11"/>
      <c r="AC385" s="11"/>
      <c r="AD385" s="11"/>
    </row>
    <row r="386" ht="15.75" customHeight="1">
      <c r="A386" s="47"/>
      <c r="B386" s="46"/>
      <c r="C386" s="46"/>
      <c r="D386" s="11"/>
      <c r="E386" s="11"/>
      <c r="F386" s="11"/>
      <c r="G386" s="11"/>
      <c r="H386" s="11"/>
      <c r="I386" s="11"/>
      <c r="J386" s="11"/>
      <c r="K386" s="11"/>
      <c r="L386" s="11"/>
      <c r="M386" s="11"/>
      <c r="N386" s="46"/>
      <c r="O386" s="11"/>
      <c r="P386" s="11"/>
      <c r="Q386" s="46"/>
      <c r="R386" s="11"/>
      <c r="S386" s="11"/>
      <c r="T386" s="11"/>
      <c r="U386" s="11"/>
      <c r="V386" s="11"/>
      <c r="W386" s="11"/>
      <c r="X386" s="11"/>
      <c r="Y386" s="11"/>
      <c r="Z386" s="11"/>
      <c r="AA386" s="11"/>
      <c r="AB386" s="11"/>
      <c r="AC386" s="11"/>
      <c r="AD386" s="11"/>
    </row>
    <row r="387" ht="15.75" customHeight="1">
      <c r="A387" s="47"/>
      <c r="B387" s="46"/>
      <c r="C387" s="46"/>
      <c r="D387" s="11"/>
      <c r="E387" s="11"/>
      <c r="F387" s="11"/>
      <c r="G387" s="11"/>
      <c r="H387" s="11"/>
      <c r="I387" s="11"/>
      <c r="J387" s="11"/>
      <c r="K387" s="11"/>
      <c r="L387" s="11"/>
      <c r="M387" s="11"/>
      <c r="N387" s="46"/>
      <c r="O387" s="11"/>
      <c r="P387" s="11"/>
      <c r="Q387" s="46"/>
      <c r="R387" s="11"/>
      <c r="S387" s="11"/>
      <c r="T387" s="11"/>
      <c r="U387" s="11"/>
      <c r="V387" s="11"/>
      <c r="W387" s="11"/>
      <c r="X387" s="11"/>
      <c r="Y387" s="11"/>
      <c r="Z387" s="11"/>
      <c r="AA387" s="11"/>
      <c r="AB387" s="11"/>
      <c r="AC387" s="11"/>
      <c r="AD387" s="11"/>
    </row>
    <row r="388" ht="15.75" customHeight="1">
      <c r="A388" s="47"/>
      <c r="B388" s="46"/>
      <c r="C388" s="46"/>
      <c r="D388" s="11"/>
      <c r="E388" s="11"/>
      <c r="F388" s="11"/>
      <c r="G388" s="11"/>
      <c r="H388" s="11"/>
      <c r="I388" s="11"/>
      <c r="J388" s="11"/>
      <c r="K388" s="11"/>
      <c r="L388" s="11"/>
      <c r="M388" s="11"/>
      <c r="N388" s="46"/>
      <c r="O388" s="11"/>
      <c r="P388" s="11"/>
      <c r="Q388" s="46"/>
      <c r="R388" s="11"/>
      <c r="S388" s="11"/>
      <c r="T388" s="11"/>
      <c r="U388" s="11"/>
      <c r="V388" s="11"/>
      <c r="W388" s="11"/>
      <c r="X388" s="11"/>
      <c r="Y388" s="11"/>
      <c r="Z388" s="11"/>
      <c r="AA388" s="11"/>
      <c r="AB388" s="11"/>
      <c r="AC388" s="11"/>
      <c r="AD388" s="11"/>
    </row>
    <row r="389" ht="15.75" customHeight="1">
      <c r="A389" s="47"/>
      <c r="B389" s="46"/>
      <c r="C389" s="46"/>
      <c r="D389" s="11"/>
      <c r="E389" s="11"/>
      <c r="F389" s="11"/>
      <c r="G389" s="11"/>
      <c r="H389" s="11"/>
      <c r="I389" s="11"/>
      <c r="J389" s="11"/>
      <c r="K389" s="11"/>
      <c r="L389" s="11"/>
      <c r="M389" s="11"/>
      <c r="N389" s="46"/>
      <c r="O389" s="11"/>
      <c r="P389" s="11"/>
      <c r="Q389" s="46"/>
      <c r="R389" s="11"/>
      <c r="S389" s="11"/>
      <c r="T389" s="11"/>
      <c r="U389" s="11"/>
      <c r="V389" s="11"/>
      <c r="W389" s="11"/>
      <c r="X389" s="11"/>
      <c r="Y389" s="11"/>
      <c r="Z389" s="11"/>
      <c r="AA389" s="11"/>
      <c r="AB389" s="11"/>
      <c r="AC389" s="11"/>
      <c r="AD389" s="11"/>
    </row>
    <row r="390" ht="15.75" customHeight="1">
      <c r="A390" s="47"/>
      <c r="B390" s="46"/>
      <c r="C390" s="46"/>
      <c r="D390" s="11"/>
      <c r="E390" s="11"/>
      <c r="F390" s="11"/>
      <c r="G390" s="11"/>
      <c r="H390" s="11"/>
      <c r="I390" s="11"/>
      <c r="J390" s="11"/>
      <c r="K390" s="11"/>
      <c r="L390" s="11"/>
      <c r="M390" s="11"/>
      <c r="N390" s="46"/>
      <c r="O390" s="11"/>
      <c r="P390" s="11"/>
      <c r="Q390" s="46"/>
      <c r="R390" s="11"/>
      <c r="S390" s="11"/>
      <c r="T390" s="11"/>
      <c r="U390" s="11"/>
      <c r="V390" s="11"/>
      <c r="W390" s="11"/>
      <c r="X390" s="11"/>
      <c r="Y390" s="11"/>
      <c r="Z390" s="11"/>
      <c r="AA390" s="11"/>
      <c r="AB390" s="11"/>
      <c r="AC390" s="11"/>
      <c r="AD390" s="11"/>
    </row>
    <row r="391" ht="15.75" customHeight="1">
      <c r="A391" s="47"/>
      <c r="B391" s="46"/>
      <c r="C391" s="46"/>
      <c r="D391" s="11"/>
      <c r="E391" s="11"/>
      <c r="F391" s="11"/>
      <c r="G391" s="11"/>
      <c r="H391" s="11"/>
      <c r="I391" s="11"/>
      <c r="J391" s="11"/>
      <c r="K391" s="11"/>
      <c r="L391" s="11"/>
      <c r="M391" s="11"/>
      <c r="N391" s="46"/>
      <c r="O391" s="11"/>
      <c r="P391" s="11"/>
      <c r="Q391" s="46"/>
      <c r="R391" s="11"/>
      <c r="S391" s="11"/>
      <c r="T391" s="11"/>
      <c r="U391" s="11"/>
      <c r="V391" s="11"/>
      <c r="W391" s="11"/>
      <c r="X391" s="11"/>
      <c r="Y391" s="11"/>
      <c r="Z391" s="11"/>
      <c r="AA391" s="11"/>
      <c r="AB391" s="11"/>
      <c r="AC391" s="11"/>
      <c r="AD391" s="11"/>
    </row>
    <row r="392" ht="15.75" customHeight="1">
      <c r="A392" s="47"/>
      <c r="B392" s="46"/>
      <c r="C392" s="46"/>
      <c r="D392" s="11"/>
      <c r="E392" s="11"/>
      <c r="F392" s="11"/>
      <c r="G392" s="11"/>
      <c r="H392" s="11"/>
      <c r="I392" s="11"/>
      <c r="J392" s="11"/>
      <c r="K392" s="11"/>
      <c r="L392" s="11"/>
      <c r="M392" s="11"/>
      <c r="N392" s="46"/>
      <c r="O392" s="11"/>
      <c r="P392" s="11"/>
      <c r="Q392" s="46"/>
      <c r="R392" s="11"/>
      <c r="S392" s="11"/>
      <c r="T392" s="11"/>
      <c r="U392" s="11"/>
      <c r="V392" s="11"/>
      <c r="W392" s="11"/>
      <c r="X392" s="11"/>
      <c r="Y392" s="11"/>
      <c r="Z392" s="11"/>
      <c r="AA392" s="11"/>
      <c r="AB392" s="11"/>
      <c r="AC392" s="11"/>
      <c r="AD392" s="11"/>
    </row>
    <row r="393" ht="15.75" customHeight="1">
      <c r="A393" s="47"/>
      <c r="B393" s="46"/>
      <c r="C393" s="46"/>
      <c r="D393" s="11"/>
      <c r="E393" s="11"/>
      <c r="F393" s="11"/>
      <c r="G393" s="11"/>
      <c r="H393" s="11"/>
      <c r="I393" s="11"/>
      <c r="J393" s="11"/>
      <c r="K393" s="11"/>
      <c r="L393" s="11"/>
      <c r="M393" s="11"/>
      <c r="N393" s="46"/>
      <c r="O393" s="11"/>
      <c r="P393" s="11"/>
      <c r="Q393" s="46"/>
      <c r="R393" s="11"/>
      <c r="S393" s="11"/>
      <c r="T393" s="11"/>
      <c r="U393" s="11"/>
      <c r="V393" s="11"/>
      <c r="W393" s="11"/>
      <c r="X393" s="11"/>
      <c r="Y393" s="11"/>
      <c r="Z393" s="11"/>
      <c r="AA393" s="11"/>
      <c r="AB393" s="11"/>
      <c r="AC393" s="11"/>
      <c r="AD393" s="11"/>
    </row>
    <row r="394" ht="15.75" customHeight="1">
      <c r="A394" s="47"/>
      <c r="B394" s="46"/>
      <c r="C394" s="46"/>
      <c r="D394" s="11"/>
      <c r="E394" s="11"/>
      <c r="F394" s="11"/>
      <c r="G394" s="11"/>
      <c r="H394" s="11"/>
      <c r="I394" s="11"/>
      <c r="J394" s="11"/>
      <c r="K394" s="11"/>
      <c r="L394" s="11"/>
      <c r="M394" s="11"/>
      <c r="N394" s="46"/>
      <c r="O394" s="11"/>
      <c r="P394" s="11"/>
      <c r="Q394" s="46"/>
      <c r="R394" s="11"/>
      <c r="S394" s="11"/>
      <c r="T394" s="11"/>
      <c r="U394" s="11"/>
      <c r="V394" s="11"/>
      <c r="W394" s="11"/>
      <c r="X394" s="11"/>
      <c r="Y394" s="11"/>
      <c r="Z394" s="11"/>
      <c r="AA394" s="11"/>
      <c r="AB394" s="11"/>
      <c r="AC394" s="11"/>
      <c r="AD394" s="11"/>
    </row>
    <row r="395" ht="15.75" customHeight="1">
      <c r="A395" s="47"/>
      <c r="B395" s="46"/>
      <c r="C395" s="46"/>
      <c r="D395" s="11"/>
      <c r="E395" s="11"/>
      <c r="F395" s="11"/>
      <c r="G395" s="11"/>
      <c r="H395" s="11"/>
      <c r="I395" s="11"/>
      <c r="J395" s="11"/>
      <c r="K395" s="11"/>
      <c r="L395" s="11"/>
      <c r="M395" s="11"/>
      <c r="N395" s="46"/>
      <c r="O395" s="11"/>
      <c r="P395" s="11"/>
      <c r="Q395" s="46"/>
      <c r="R395" s="11"/>
      <c r="S395" s="11"/>
      <c r="T395" s="11"/>
      <c r="U395" s="11"/>
      <c r="V395" s="11"/>
      <c r="W395" s="11"/>
      <c r="X395" s="11"/>
      <c r="Y395" s="11"/>
      <c r="Z395" s="11"/>
      <c r="AA395" s="11"/>
      <c r="AB395" s="11"/>
      <c r="AC395" s="11"/>
      <c r="AD395" s="11"/>
    </row>
    <row r="396" ht="15.75" customHeight="1">
      <c r="A396" s="47"/>
      <c r="B396" s="46"/>
      <c r="C396" s="46"/>
      <c r="D396" s="11"/>
      <c r="E396" s="11"/>
      <c r="F396" s="11"/>
      <c r="G396" s="11"/>
      <c r="H396" s="11"/>
      <c r="I396" s="11"/>
      <c r="J396" s="11"/>
      <c r="K396" s="11"/>
      <c r="L396" s="11"/>
      <c r="M396" s="11"/>
      <c r="N396" s="46"/>
      <c r="O396" s="11"/>
      <c r="P396" s="11"/>
      <c r="Q396" s="46"/>
      <c r="R396" s="11"/>
      <c r="S396" s="11"/>
      <c r="T396" s="11"/>
      <c r="U396" s="11"/>
      <c r="V396" s="11"/>
      <c r="W396" s="11"/>
      <c r="X396" s="11"/>
      <c r="Y396" s="11"/>
      <c r="Z396" s="11"/>
      <c r="AA396" s="11"/>
      <c r="AB396" s="11"/>
      <c r="AC396" s="11"/>
      <c r="AD396" s="11"/>
    </row>
    <row r="397" ht="15.75" customHeight="1">
      <c r="A397" s="47"/>
      <c r="B397" s="46"/>
      <c r="C397" s="46"/>
      <c r="D397" s="11"/>
      <c r="E397" s="11"/>
      <c r="F397" s="11"/>
      <c r="G397" s="11"/>
      <c r="H397" s="11"/>
      <c r="I397" s="11"/>
      <c r="J397" s="11"/>
      <c r="K397" s="11"/>
      <c r="L397" s="11"/>
      <c r="M397" s="11"/>
      <c r="N397" s="46"/>
      <c r="O397" s="11"/>
      <c r="P397" s="11"/>
      <c r="Q397" s="46"/>
      <c r="R397" s="11"/>
      <c r="S397" s="11"/>
      <c r="T397" s="11"/>
      <c r="U397" s="11"/>
      <c r="V397" s="11"/>
      <c r="W397" s="11"/>
      <c r="X397" s="11"/>
      <c r="Y397" s="11"/>
      <c r="Z397" s="11"/>
      <c r="AA397" s="11"/>
      <c r="AB397" s="11"/>
      <c r="AC397" s="11"/>
      <c r="AD397" s="11"/>
    </row>
    <row r="398" ht="15.75" customHeight="1">
      <c r="A398" s="47"/>
      <c r="B398" s="46"/>
      <c r="C398" s="46"/>
      <c r="D398" s="11"/>
      <c r="E398" s="11"/>
      <c r="F398" s="11"/>
      <c r="G398" s="11"/>
      <c r="H398" s="11"/>
      <c r="I398" s="11"/>
      <c r="J398" s="11"/>
      <c r="K398" s="11"/>
      <c r="L398" s="11"/>
      <c r="M398" s="11"/>
      <c r="N398" s="46"/>
      <c r="O398" s="11"/>
      <c r="P398" s="11"/>
      <c r="Q398" s="46"/>
      <c r="R398" s="11"/>
      <c r="S398" s="11"/>
      <c r="T398" s="11"/>
      <c r="U398" s="11"/>
      <c r="V398" s="11"/>
      <c r="W398" s="11"/>
      <c r="X398" s="11"/>
      <c r="Y398" s="11"/>
      <c r="Z398" s="11"/>
      <c r="AA398" s="11"/>
      <c r="AB398" s="11"/>
      <c r="AC398" s="11"/>
      <c r="AD398" s="11"/>
    </row>
    <row r="399" ht="15.75" customHeight="1">
      <c r="A399" s="47"/>
      <c r="B399" s="46"/>
      <c r="C399" s="46"/>
      <c r="D399" s="11"/>
      <c r="E399" s="11"/>
      <c r="F399" s="11"/>
      <c r="G399" s="11"/>
      <c r="H399" s="11"/>
      <c r="I399" s="11"/>
      <c r="J399" s="11"/>
      <c r="K399" s="11"/>
      <c r="L399" s="11"/>
      <c r="M399" s="11"/>
      <c r="N399" s="46"/>
      <c r="O399" s="11"/>
      <c r="P399" s="11"/>
      <c r="Q399" s="46"/>
      <c r="R399" s="11"/>
      <c r="S399" s="11"/>
      <c r="T399" s="11"/>
      <c r="U399" s="11"/>
      <c r="V399" s="11"/>
      <c r="W399" s="11"/>
      <c r="X399" s="11"/>
      <c r="Y399" s="11"/>
      <c r="Z399" s="11"/>
      <c r="AA399" s="11"/>
      <c r="AB399" s="11"/>
      <c r="AC399" s="11"/>
      <c r="AD399" s="11"/>
    </row>
    <row r="400" ht="15.75" customHeight="1">
      <c r="A400" s="47"/>
      <c r="B400" s="46"/>
      <c r="C400" s="46"/>
      <c r="D400" s="11"/>
      <c r="E400" s="11"/>
      <c r="F400" s="11"/>
      <c r="G400" s="11"/>
      <c r="H400" s="11"/>
      <c r="I400" s="11"/>
      <c r="J400" s="11"/>
      <c r="K400" s="11"/>
      <c r="L400" s="11"/>
      <c r="M400" s="11"/>
      <c r="N400" s="46"/>
      <c r="O400" s="11"/>
      <c r="P400" s="11"/>
      <c r="Q400" s="46"/>
      <c r="R400" s="11"/>
      <c r="S400" s="11"/>
      <c r="T400" s="11"/>
      <c r="U400" s="11"/>
      <c r="V400" s="11"/>
      <c r="W400" s="11"/>
      <c r="X400" s="11"/>
      <c r="Y400" s="11"/>
      <c r="Z400" s="11"/>
      <c r="AA400" s="11"/>
      <c r="AB400" s="11"/>
      <c r="AC400" s="11"/>
      <c r="AD400" s="11"/>
    </row>
    <row r="401" ht="15.75" customHeight="1">
      <c r="A401" s="47"/>
      <c r="B401" s="46"/>
      <c r="C401" s="46"/>
      <c r="D401" s="11"/>
      <c r="E401" s="11"/>
      <c r="F401" s="11"/>
      <c r="G401" s="11"/>
      <c r="H401" s="11"/>
      <c r="I401" s="11"/>
      <c r="J401" s="11"/>
      <c r="K401" s="11"/>
      <c r="L401" s="11"/>
      <c r="M401" s="11"/>
      <c r="N401" s="46"/>
      <c r="O401" s="11"/>
      <c r="P401" s="11"/>
      <c r="Q401" s="46"/>
      <c r="R401" s="11"/>
      <c r="S401" s="11"/>
      <c r="T401" s="11"/>
      <c r="U401" s="11"/>
      <c r="V401" s="11"/>
      <c r="W401" s="11"/>
      <c r="X401" s="11"/>
      <c r="Y401" s="11"/>
      <c r="Z401" s="11"/>
      <c r="AA401" s="11"/>
      <c r="AB401" s="11"/>
      <c r="AC401" s="11"/>
      <c r="AD401" s="11"/>
    </row>
    <row r="402" ht="15.75" customHeight="1">
      <c r="A402" s="47"/>
      <c r="B402" s="46"/>
      <c r="C402" s="46"/>
      <c r="D402" s="11"/>
      <c r="E402" s="11"/>
      <c r="F402" s="11"/>
      <c r="G402" s="11"/>
      <c r="H402" s="11"/>
      <c r="I402" s="11"/>
      <c r="J402" s="11"/>
      <c r="K402" s="11"/>
      <c r="L402" s="11"/>
      <c r="M402" s="11"/>
      <c r="N402" s="46"/>
      <c r="O402" s="11"/>
      <c r="P402" s="11"/>
      <c r="Q402" s="46"/>
      <c r="R402" s="11"/>
      <c r="S402" s="11"/>
      <c r="T402" s="11"/>
      <c r="U402" s="11"/>
      <c r="V402" s="11"/>
      <c r="W402" s="11"/>
      <c r="X402" s="11"/>
      <c r="Y402" s="11"/>
      <c r="Z402" s="11"/>
      <c r="AA402" s="11"/>
      <c r="AB402" s="11"/>
      <c r="AC402" s="11"/>
      <c r="AD402" s="11"/>
    </row>
    <row r="403" ht="15.75" customHeight="1">
      <c r="A403" s="47"/>
      <c r="B403" s="46"/>
      <c r="C403" s="46"/>
      <c r="D403" s="11"/>
      <c r="E403" s="11"/>
      <c r="F403" s="11"/>
      <c r="G403" s="11"/>
      <c r="H403" s="11"/>
      <c r="I403" s="11"/>
      <c r="J403" s="11"/>
      <c r="K403" s="11"/>
      <c r="L403" s="11"/>
      <c r="M403" s="11"/>
      <c r="N403" s="46"/>
      <c r="O403" s="11"/>
      <c r="P403" s="11"/>
      <c r="Q403" s="46"/>
      <c r="R403" s="11"/>
      <c r="S403" s="11"/>
      <c r="T403" s="11"/>
      <c r="U403" s="11"/>
      <c r="V403" s="11"/>
      <c r="W403" s="11"/>
      <c r="X403" s="11"/>
      <c r="Y403" s="11"/>
      <c r="Z403" s="11"/>
      <c r="AA403" s="11"/>
      <c r="AB403" s="11"/>
      <c r="AC403" s="11"/>
      <c r="AD403" s="11"/>
    </row>
    <row r="404" ht="15.75" customHeight="1">
      <c r="A404" s="47"/>
      <c r="B404" s="46"/>
      <c r="C404" s="46"/>
      <c r="D404" s="11"/>
      <c r="E404" s="11"/>
      <c r="F404" s="11"/>
      <c r="G404" s="11"/>
      <c r="H404" s="11"/>
      <c r="I404" s="11"/>
      <c r="J404" s="11"/>
      <c r="K404" s="11"/>
      <c r="L404" s="11"/>
      <c r="M404" s="11"/>
      <c r="N404" s="46"/>
      <c r="O404" s="11"/>
      <c r="P404" s="11"/>
      <c r="Q404" s="46"/>
      <c r="R404" s="11"/>
      <c r="S404" s="11"/>
      <c r="T404" s="11"/>
      <c r="U404" s="11"/>
      <c r="V404" s="11"/>
      <c r="W404" s="11"/>
      <c r="X404" s="11"/>
      <c r="Y404" s="11"/>
      <c r="Z404" s="11"/>
      <c r="AA404" s="11"/>
      <c r="AB404" s="11"/>
      <c r="AC404" s="11"/>
      <c r="AD404" s="11"/>
    </row>
    <row r="405" ht="15.75" customHeight="1">
      <c r="A405" s="47"/>
      <c r="B405" s="46"/>
      <c r="C405" s="46"/>
      <c r="D405" s="11"/>
      <c r="E405" s="11"/>
      <c r="F405" s="11"/>
      <c r="G405" s="11"/>
      <c r="H405" s="11"/>
      <c r="I405" s="11"/>
      <c r="J405" s="11"/>
      <c r="K405" s="11"/>
      <c r="L405" s="11"/>
      <c r="M405" s="11"/>
      <c r="N405" s="46"/>
      <c r="O405" s="11"/>
      <c r="P405" s="11"/>
      <c r="Q405" s="46"/>
      <c r="R405" s="11"/>
      <c r="S405" s="11"/>
      <c r="T405" s="11"/>
      <c r="U405" s="11"/>
      <c r="V405" s="11"/>
      <c r="W405" s="11"/>
      <c r="X405" s="11"/>
      <c r="Y405" s="11"/>
      <c r="Z405" s="11"/>
      <c r="AA405" s="11"/>
      <c r="AB405" s="11"/>
      <c r="AC405" s="11"/>
      <c r="AD405" s="11"/>
    </row>
    <row r="406" ht="15.75" customHeight="1">
      <c r="A406" s="47"/>
      <c r="B406" s="46"/>
      <c r="C406" s="46"/>
      <c r="D406" s="11"/>
      <c r="E406" s="11"/>
      <c r="F406" s="11"/>
      <c r="G406" s="11"/>
      <c r="H406" s="11"/>
      <c r="I406" s="11"/>
      <c r="J406" s="11"/>
      <c r="K406" s="11"/>
      <c r="L406" s="11"/>
      <c r="M406" s="11"/>
      <c r="N406" s="46"/>
      <c r="O406" s="11"/>
      <c r="P406" s="11"/>
      <c r="Q406" s="46"/>
      <c r="R406" s="11"/>
      <c r="S406" s="11"/>
      <c r="T406" s="11"/>
      <c r="U406" s="11"/>
      <c r="V406" s="11"/>
      <c r="W406" s="11"/>
      <c r="X406" s="11"/>
      <c r="Y406" s="11"/>
      <c r="Z406" s="11"/>
      <c r="AA406" s="11"/>
      <c r="AB406" s="11"/>
      <c r="AC406" s="11"/>
      <c r="AD406" s="11"/>
    </row>
    <row r="407" ht="15.75" customHeight="1">
      <c r="A407" s="47"/>
      <c r="B407" s="46"/>
      <c r="C407" s="46"/>
      <c r="D407" s="11"/>
      <c r="E407" s="11"/>
      <c r="F407" s="11"/>
      <c r="G407" s="11"/>
      <c r="H407" s="11"/>
      <c r="I407" s="11"/>
      <c r="J407" s="11"/>
      <c r="K407" s="11"/>
      <c r="L407" s="11"/>
      <c r="M407" s="11"/>
      <c r="N407" s="46"/>
      <c r="O407" s="11"/>
      <c r="P407" s="11"/>
      <c r="Q407" s="46"/>
      <c r="R407" s="11"/>
      <c r="S407" s="11"/>
      <c r="T407" s="11"/>
      <c r="U407" s="11"/>
      <c r="V407" s="11"/>
      <c r="W407" s="11"/>
      <c r="X407" s="11"/>
      <c r="Y407" s="11"/>
      <c r="Z407" s="11"/>
      <c r="AA407" s="11"/>
      <c r="AB407" s="11"/>
      <c r="AC407" s="11"/>
      <c r="AD407" s="11"/>
    </row>
    <row r="408" ht="15.75" customHeight="1">
      <c r="A408" s="47"/>
      <c r="B408" s="46"/>
      <c r="C408" s="46"/>
      <c r="D408" s="11"/>
      <c r="E408" s="11"/>
      <c r="F408" s="11"/>
      <c r="G408" s="11"/>
      <c r="H408" s="11"/>
      <c r="I408" s="11"/>
      <c r="J408" s="11"/>
      <c r="K408" s="11"/>
      <c r="L408" s="11"/>
      <c r="M408" s="11"/>
      <c r="N408" s="46"/>
      <c r="O408" s="11"/>
      <c r="P408" s="11"/>
      <c r="Q408" s="46"/>
      <c r="R408" s="11"/>
      <c r="S408" s="11"/>
      <c r="T408" s="11"/>
      <c r="U408" s="11"/>
      <c r="V408" s="11"/>
      <c r="W408" s="11"/>
      <c r="X408" s="11"/>
      <c r="Y408" s="11"/>
      <c r="Z408" s="11"/>
      <c r="AA408" s="11"/>
      <c r="AB408" s="11"/>
      <c r="AC408" s="11"/>
      <c r="AD408" s="11"/>
    </row>
    <row r="409" ht="15.75" customHeight="1">
      <c r="A409" s="47"/>
      <c r="B409" s="46"/>
      <c r="C409" s="46"/>
      <c r="D409" s="11"/>
      <c r="E409" s="11"/>
      <c r="F409" s="11"/>
      <c r="G409" s="11"/>
      <c r="H409" s="11"/>
      <c r="I409" s="11"/>
      <c r="J409" s="11"/>
      <c r="K409" s="11"/>
      <c r="L409" s="11"/>
      <c r="M409" s="11"/>
      <c r="N409" s="46"/>
      <c r="O409" s="11"/>
      <c r="P409" s="11"/>
      <c r="Q409" s="46"/>
      <c r="R409" s="11"/>
      <c r="S409" s="11"/>
      <c r="T409" s="11"/>
      <c r="U409" s="11"/>
      <c r="V409" s="11"/>
      <c r="W409" s="11"/>
      <c r="X409" s="11"/>
      <c r="Y409" s="11"/>
      <c r="Z409" s="11"/>
      <c r="AA409" s="11"/>
      <c r="AB409" s="11"/>
      <c r="AC409" s="11"/>
      <c r="AD409" s="11"/>
    </row>
    <row r="410" ht="15.75" customHeight="1">
      <c r="A410" s="47"/>
      <c r="B410" s="46"/>
      <c r="C410" s="46"/>
      <c r="D410" s="11"/>
      <c r="E410" s="11"/>
      <c r="F410" s="11"/>
      <c r="G410" s="11"/>
      <c r="H410" s="11"/>
      <c r="I410" s="11"/>
      <c r="J410" s="11"/>
      <c r="K410" s="11"/>
      <c r="L410" s="11"/>
      <c r="M410" s="11"/>
      <c r="N410" s="46"/>
      <c r="O410" s="11"/>
      <c r="P410" s="11"/>
      <c r="Q410" s="46"/>
      <c r="R410" s="11"/>
      <c r="S410" s="11"/>
      <c r="T410" s="11"/>
      <c r="U410" s="11"/>
      <c r="V410" s="11"/>
      <c r="W410" s="11"/>
      <c r="X410" s="11"/>
      <c r="Y410" s="11"/>
      <c r="Z410" s="11"/>
      <c r="AA410" s="11"/>
      <c r="AB410" s="11"/>
      <c r="AC410" s="11"/>
      <c r="AD410" s="11"/>
    </row>
    <row r="411" ht="15.75" customHeight="1">
      <c r="A411" s="47"/>
      <c r="B411" s="46"/>
      <c r="C411" s="46"/>
      <c r="D411" s="11"/>
      <c r="E411" s="11"/>
      <c r="F411" s="11"/>
      <c r="G411" s="11"/>
      <c r="H411" s="11"/>
      <c r="I411" s="11"/>
      <c r="J411" s="11"/>
      <c r="K411" s="11"/>
      <c r="L411" s="11"/>
      <c r="M411" s="11"/>
      <c r="N411" s="46"/>
      <c r="O411" s="11"/>
      <c r="P411" s="11"/>
      <c r="Q411" s="46"/>
      <c r="R411" s="11"/>
      <c r="S411" s="11"/>
      <c r="T411" s="11"/>
      <c r="U411" s="11"/>
      <c r="V411" s="11"/>
      <c r="W411" s="11"/>
      <c r="X411" s="11"/>
      <c r="Y411" s="11"/>
      <c r="Z411" s="11"/>
      <c r="AA411" s="11"/>
      <c r="AB411" s="11"/>
      <c r="AC411" s="11"/>
      <c r="AD411" s="11"/>
    </row>
    <row r="412" ht="15.75" customHeight="1">
      <c r="A412" s="47"/>
      <c r="B412" s="46"/>
      <c r="C412" s="46"/>
      <c r="D412" s="11"/>
      <c r="E412" s="11"/>
      <c r="F412" s="11"/>
      <c r="G412" s="11"/>
      <c r="H412" s="11"/>
      <c r="I412" s="11"/>
      <c r="J412" s="11"/>
      <c r="K412" s="11"/>
      <c r="L412" s="11"/>
      <c r="M412" s="11"/>
      <c r="N412" s="46"/>
      <c r="O412" s="11"/>
      <c r="P412" s="11"/>
      <c r="Q412" s="46"/>
      <c r="R412" s="11"/>
      <c r="S412" s="11"/>
      <c r="T412" s="11"/>
      <c r="U412" s="11"/>
      <c r="V412" s="11"/>
      <c r="W412" s="11"/>
      <c r="X412" s="11"/>
      <c r="Y412" s="11"/>
      <c r="Z412" s="11"/>
      <c r="AA412" s="11"/>
      <c r="AB412" s="11"/>
      <c r="AC412" s="11"/>
      <c r="AD412" s="11"/>
    </row>
    <row r="413" ht="15.75" customHeight="1">
      <c r="A413" s="47"/>
      <c r="B413" s="46"/>
      <c r="C413" s="46"/>
      <c r="D413" s="11"/>
      <c r="E413" s="11"/>
      <c r="F413" s="11"/>
      <c r="G413" s="11"/>
      <c r="H413" s="11"/>
      <c r="I413" s="11"/>
      <c r="J413" s="11"/>
      <c r="K413" s="11"/>
      <c r="L413" s="11"/>
      <c r="M413" s="11"/>
      <c r="N413" s="46"/>
      <c r="O413" s="11"/>
      <c r="P413" s="11"/>
      <c r="Q413" s="46"/>
      <c r="R413" s="11"/>
      <c r="S413" s="11"/>
      <c r="T413" s="11"/>
      <c r="U413" s="11"/>
      <c r="V413" s="11"/>
      <c r="W413" s="11"/>
      <c r="X413" s="11"/>
      <c r="Y413" s="11"/>
      <c r="Z413" s="11"/>
      <c r="AA413" s="11"/>
      <c r="AB413" s="11"/>
      <c r="AC413" s="11"/>
      <c r="AD413" s="11"/>
    </row>
    <row r="414" ht="15.75" customHeight="1">
      <c r="A414" s="47"/>
      <c r="B414" s="46"/>
      <c r="C414" s="46"/>
      <c r="D414" s="11"/>
      <c r="E414" s="11"/>
      <c r="F414" s="11"/>
      <c r="G414" s="11"/>
      <c r="H414" s="11"/>
      <c r="I414" s="11"/>
      <c r="J414" s="11"/>
      <c r="K414" s="11"/>
      <c r="L414" s="11"/>
      <c r="M414" s="11"/>
      <c r="N414" s="46"/>
      <c r="O414" s="11"/>
      <c r="P414" s="11"/>
      <c r="Q414" s="46"/>
      <c r="R414" s="11"/>
      <c r="S414" s="11"/>
      <c r="T414" s="11"/>
      <c r="U414" s="11"/>
      <c r="V414" s="11"/>
      <c r="W414" s="11"/>
      <c r="X414" s="11"/>
      <c r="Y414" s="11"/>
      <c r="Z414" s="11"/>
      <c r="AA414" s="11"/>
      <c r="AB414" s="11"/>
      <c r="AC414" s="11"/>
      <c r="AD414" s="11"/>
    </row>
    <row r="415" ht="15.75" customHeight="1">
      <c r="A415" s="47"/>
      <c r="B415" s="46"/>
      <c r="C415" s="46"/>
      <c r="D415" s="11"/>
      <c r="E415" s="11"/>
      <c r="F415" s="11"/>
      <c r="G415" s="11"/>
      <c r="H415" s="11"/>
      <c r="I415" s="11"/>
      <c r="J415" s="11"/>
      <c r="K415" s="11"/>
      <c r="L415" s="11"/>
      <c r="M415" s="11"/>
      <c r="N415" s="46"/>
      <c r="O415" s="11"/>
      <c r="P415" s="11"/>
      <c r="Q415" s="46"/>
      <c r="R415" s="11"/>
      <c r="S415" s="11"/>
      <c r="T415" s="11"/>
      <c r="U415" s="11"/>
      <c r="V415" s="11"/>
      <c r="W415" s="11"/>
      <c r="X415" s="11"/>
      <c r="Y415" s="11"/>
      <c r="Z415" s="11"/>
      <c r="AA415" s="11"/>
      <c r="AB415" s="11"/>
      <c r="AC415" s="11"/>
      <c r="AD415" s="11"/>
    </row>
    <row r="416" ht="15.75" customHeight="1">
      <c r="A416" s="47"/>
      <c r="B416" s="46"/>
      <c r="C416" s="46"/>
      <c r="D416" s="11"/>
      <c r="E416" s="11"/>
      <c r="F416" s="11"/>
      <c r="G416" s="11"/>
      <c r="H416" s="11"/>
      <c r="I416" s="11"/>
      <c r="J416" s="11"/>
      <c r="K416" s="11"/>
      <c r="L416" s="11"/>
      <c r="M416" s="11"/>
      <c r="N416" s="46"/>
      <c r="O416" s="11"/>
      <c r="P416" s="11"/>
      <c r="Q416" s="46"/>
      <c r="R416" s="11"/>
      <c r="S416" s="11"/>
      <c r="T416" s="11"/>
      <c r="U416" s="11"/>
      <c r="V416" s="11"/>
      <c r="W416" s="11"/>
      <c r="X416" s="11"/>
      <c r="Y416" s="11"/>
      <c r="Z416" s="11"/>
      <c r="AA416" s="11"/>
      <c r="AB416" s="11"/>
      <c r="AC416" s="11"/>
      <c r="AD416" s="11"/>
    </row>
    <row r="417" ht="15.75" customHeight="1">
      <c r="A417" s="47"/>
      <c r="B417" s="46"/>
      <c r="C417" s="46"/>
      <c r="D417" s="11"/>
      <c r="E417" s="11"/>
      <c r="F417" s="11"/>
      <c r="G417" s="11"/>
      <c r="H417" s="11"/>
      <c r="I417" s="11"/>
      <c r="J417" s="11"/>
      <c r="K417" s="11"/>
      <c r="L417" s="11"/>
      <c r="M417" s="11"/>
      <c r="N417" s="46"/>
      <c r="O417" s="11"/>
      <c r="P417" s="11"/>
      <c r="Q417" s="46"/>
      <c r="R417" s="11"/>
      <c r="S417" s="11"/>
      <c r="T417" s="11"/>
      <c r="U417" s="11"/>
      <c r="V417" s="11"/>
      <c r="W417" s="11"/>
      <c r="X417" s="11"/>
      <c r="Y417" s="11"/>
      <c r="Z417" s="11"/>
      <c r="AA417" s="11"/>
      <c r="AB417" s="11"/>
      <c r="AC417" s="11"/>
      <c r="AD417" s="11"/>
    </row>
    <row r="418" ht="15.75" customHeight="1">
      <c r="A418" s="47"/>
      <c r="B418" s="46"/>
      <c r="C418" s="46"/>
      <c r="D418" s="11"/>
      <c r="E418" s="11"/>
      <c r="F418" s="11"/>
      <c r="G418" s="11"/>
      <c r="H418" s="11"/>
      <c r="I418" s="11"/>
      <c r="J418" s="11"/>
      <c r="K418" s="11"/>
      <c r="L418" s="11"/>
      <c r="M418" s="11"/>
      <c r="N418" s="46"/>
      <c r="O418" s="11"/>
      <c r="P418" s="11"/>
      <c r="Q418" s="46"/>
      <c r="R418" s="11"/>
      <c r="S418" s="11"/>
      <c r="T418" s="11"/>
      <c r="U418" s="11"/>
      <c r="V418" s="11"/>
      <c r="W418" s="11"/>
      <c r="X418" s="11"/>
      <c r="Y418" s="11"/>
      <c r="Z418" s="11"/>
      <c r="AA418" s="11"/>
      <c r="AB418" s="11"/>
      <c r="AC418" s="11"/>
      <c r="AD418" s="11"/>
    </row>
    <row r="419" ht="15.75" customHeight="1">
      <c r="A419" s="47"/>
      <c r="B419" s="46"/>
      <c r="C419" s="46"/>
      <c r="D419" s="11"/>
      <c r="E419" s="11"/>
      <c r="F419" s="11"/>
      <c r="G419" s="11"/>
      <c r="H419" s="11"/>
      <c r="I419" s="11"/>
      <c r="J419" s="11"/>
      <c r="K419" s="11"/>
      <c r="L419" s="11"/>
      <c r="M419" s="11"/>
      <c r="N419" s="46"/>
      <c r="O419" s="11"/>
      <c r="P419" s="11"/>
      <c r="Q419" s="46"/>
      <c r="R419" s="11"/>
      <c r="S419" s="11"/>
      <c r="T419" s="11"/>
      <c r="U419" s="11"/>
      <c r="V419" s="11"/>
      <c r="W419" s="11"/>
      <c r="X419" s="11"/>
      <c r="Y419" s="11"/>
      <c r="Z419" s="11"/>
      <c r="AA419" s="11"/>
      <c r="AB419" s="11"/>
      <c r="AC419" s="11"/>
      <c r="AD419" s="11"/>
    </row>
    <row r="420" ht="15.75" customHeight="1">
      <c r="A420" s="47"/>
      <c r="B420" s="46"/>
      <c r="C420" s="46"/>
      <c r="D420" s="11"/>
      <c r="E420" s="11"/>
      <c r="F420" s="11"/>
      <c r="G420" s="11"/>
      <c r="H420" s="11"/>
      <c r="I420" s="11"/>
      <c r="J420" s="11"/>
      <c r="K420" s="11"/>
      <c r="L420" s="11"/>
      <c r="M420" s="11"/>
      <c r="N420" s="46"/>
      <c r="O420" s="11"/>
      <c r="P420" s="11"/>
      <c r="Q420" s="46"/>
      <c r="R420" s="11"/>
      <c r="S420" s="11"/>
      <c r="T420" s="11"/>
      <c r="U420" s="11"/>
      <c r="V420" s="11"/>
      <c r="W420" s="11"/>
      <c r="X420" s="11"/>
      <c r="Y420" s="11"/>
      <c r="Z420" s="11"/>
      <c r="AA420" s="11"/>
      <c r="AB420" s="11"/>
      <c r="AC420" s="11"/>
      <c r="AD420" s="11"/>
    </row>
    <row r="421" ht="15.75" customHeight="1">
      <c r="A421" s="47"/>
      <c r="B421" s="46"/>
      <c r="C421" s="46"/>
      <c r="D421" s="11"/>
      <c r="E421" s="11"/>
      <c r="F421" s="11"/>
      <c r="G421" s="11"/>
      <c r="H421" s="11"/>
      <c r="I421" s="11"/>
      <c r="J421" s="11"/>
      <c r="K421" s="11"/>
      <c r="L421" s="11"/>
      <c r="M421" s="11"/>
      <c r="N421" s="46"/>
      <c r="O421" s="11"/>
      <c r="P421" s="11"/>
      <c r="Q421" s="46"/>
      <c r="R421" s="11"/>
      <c r="S421" s="11"/>
      <c r="T421" s="11"/>
      <c r="U421" s="11"/>
      <c r="V421" s="11"/>
      <c r="W421" s="11"/>
      <c r="X421" s="11"/>
      <c r="Y421" s="11"/>
      <c r="Z421" s="11"/>
      <c r="AA421" s="11"/>
      <c r="AB421" s="11"/>
      <c r="AC421" s="11"/>
      <c r="AD421" s="11"/>
    </row>
    <row r="422" ht="15.75" customHeight="1">
      <c r="A422" s="47"/>
      <c r="B422" s="46"/>
      <c r="C422" s="46"/>
      <c r="D422" s="11"/>
      <c r="E422" s="11"/>
      <c r="F422" s="11"/>
      <c r="G422" s="11"/>
      <c r="H422" s="11"/>
      <c r="I422" s="11"/>
      <c r="J422" s="11"/>
      <c r="K422" s="11"/>
      <c r="L422" s="11"/>
      <c r="M422" s="11"/>
      <c r="N422" s="46"/>
      <c r="O422" s="11"/>
      <c r="P422" s="11"/>
      <c r="Q422" s="46"/>
      <c r="R422" s="11"/>
      <c r="S422" s="11"/>
      <c r="T422" s="11"/>
      <c r="U422" s="11"/>
      <c r="V422" s="11"/>
      <c r="W422" s="11"/>
      <c r="X422" s="11"/>
      <c r="Y422" s="11"/>
      <c r="Z422" s="11"/>
      <c r="AA422" s="11"/>
      <c r="AB422" s="11"/>
      <c r="AC422" s="11"/>
      <c r="AD422" s="11"/>
    </row>
    <row r="423" ht="15.75" customHeight="1">
      <c r="A423" s="47"/>
      <c r="B423" s="46"/>
      <c r="C423" s="46"/>
      <c r="D423" s="11"/>
      <c r="E423" s="11"/>
      <c r="F423" s="11"/>
      <c r="G423" s="11"/>
      <c r="H423" s="11"/>
      <c r="I423" s="11"/>
      <c r="J423" s="11"/>
      <c r="K423" s="11"/>
      <c r="L423" s="11"/>
      <c r="M423" s="11"/>
      <c r="N423" s="46"/>
      <c r="O423" s="11"/>
      <c r="P423" s="11"/>
      <c r="Q423" s="46"/>
      <c r="R423" s="11"/>
      <c r="S423" s="11"/>
      <c r="T423" s="11"/>
      <c r="U423" s="11"/>
      <c r="V423" s="11"/>
      <c r="W423" s="11"/>
      <c r="X423" s="11"/>
      <c r="Y423" s="11"/>
      <c r="Z423" s="11"/>
      <c r="AA423" s="11"/>
      <c r="AB423" s="11"/>
      <c r="AC423" s="11"/>
      <c r="AD423" s="11"/>
    </row>
    <row r="424" ht="15.75" customHeight="1">
      <c r="A424" s="47"/>
      <c r="B424" s="46"/>
      <c r="C424" s="46"/>
      <c r="D424" s="11"/>
      <c r="E424" s="11"/>
      <c r="F424" s="11"/>
      <c r="G424" s="11"/>
      <c r="H424" s="11"/>
      <c r="I424" s="11"/>
      <c r="J424" s="11"/>
      <c r="K424" s="11"/>
      <c r="L424" s="11"/>
      <c r="M424" s="11"/>
      <c r="N424" s="46"/>
      <c r="O424" s="11"/>
      <c r="P424" s="11"/>
      <c r="Q424" s="46"/>
      <c r="R424" s="11"/>
      <c r="S424" s="11"/>
      <c r="T424" s="11"/>
      <c r="U424" s="11"/>
      <c r="V424" s="11"/>
      <c r="W424" s="11"/>
      <c r="X424" s="11"/>
      <c r="Y424" s="11"/>
      <c r="Z424" s="11"/>
      <c r="AA424" s="11"/>
      <c r="AB424" s="11"/>
      <c r="AC424" s="11"/>
      <c r="AD424" s="11"/>
    </row>
    <row r="425" ht="15.75" customHeight="1">
      <c r="A425" s="47"/>
      <c r="B425" s="46"/>
      <c r="C425" s="46"/>
      <c r="D425" s="11"/>
      <c r="E425" s="11"/>
      <c r="F425" s="11"/>
      <c r="G425" s="11"/>
      <c r="H425" s="11"/>
      <c r="I425" s="11"/>
      <c r="J425" s="11"/>
      <c r="K425" s="11"/>
      <c r="L425" s="11"/>
      <c r="M425" s="11"/>
      <c r="N425" s="46"/>
      <c r="O425" s="11"/>
      <c r="P425" s="11"/>
      <c r="Q425" s="46"/>
      <c r="R425" s="11"/>
      <c r="S425" s="11"/>
      <c r="T425" s="11"/>
      <c r="U425" s="11"/>
      <c r="V425" s="11"/>
      <c r="W425" s="11"/>
      <c r="X425" s="11"/>
      <c r="Y425" s="11"/>
      <c r="Z425" s="11"/>
      <c r="AA425" s="11"/>
      <c r="AB425" s="11"/>
      <c r="AC425" s="11"/>
      <c r="AD425" s="11"/>
    </row>
    <row r="426" ht="15.75" customHeight="1">
      <c r="A426" s="47"/>
      <c r="B426" s="46"/>
      <c r="C426" s="46"/>
      <c r="D426" s="11"/>
      <c r="E426" s="11"/>
      <c r="F426" s="11"/>
      <c r="G426" s="11"/>
      <c r="H426" s="11"/>
      <c r="I426" s="11"/>
      <c r="J426" s="11"/>
      <c r="K426" s="11"/>
      <c r="L426" s="11"/>
      <c r="M426" s="11"/>
      <c r="N426" s="46"/>
      <c r="O426" s="11"/>
      <c r="P426" s="11"/>
      <c r="Q426" s="46"/>
      <c r="R426" s="11"/>
      <c r="S426" s="11"/>
      <c r="T426" s="11"/>
      <c r="U426" s="11"/>
      <c r="V426" s="11"/>
      <c r="W426" s="11"/>
      <c r="X426" s="11"/>
      <c r="Y426" s="11"/>
      <c r="Z426" s="11"/>
      <c r="AA426" s="11"/>
      <c r="AB426" s="11"/>
      <c r="AC426" s="11"/>
      <c r="AD426" s="11"/>
    </row>
    <row r="427" ht="15.75" customHeight="1">
      <c r="A427" s="47"/>
      <c r="B427" s="46"/>
      <c r="C427" s="46"/>
      <c r="D427" s="11"/>
      <c r="E427" s="11"/>
      <c r="F427" s="11"/>
      <c r="G427" s="11"/>
      <c r="H427" s="11"/>
      <c r="I427" s="11"/>
      <c r="J427" s="11"/>
      <c r="K427" s="11"/>
      <c r="L427" s="11"/>
      <c r="M427" s="11"/>
      <c r="N427" s="46"/>
      <c r="O427" s="11"/>
      <c r="P427" s="11"/>
      <c r="Q427" s="46"/>
      <c r="R427" s="11"/>
      <c r="S427" s="11"/>
      <c r="T427" s="11"/>
      <c r="U427" s="11"/>
      <c r="V427" s="11"/>
      <c r="W427" s="11"/>
      <c r="X427" s="11"/>
      <c r="Y427" s="11"/>
      <c r="Z427" s="11"/>
      <c r="AA427" s="11"/>
      <c r="AB427" s="11"/>
      <c r="AC427" s="11"/>
      <c r="AD427" s="11"/>
    </row>
    <row r="428" ht="15.75" customHeight="1">
      <c r="A428" s="47"/>
      <c r="B428" s="46"/>
      <c r="C428" s="46"/>
      <c r="D428" s="11"/>
      <c r="E428" s="11"/>
      <c r="F428" s="11"/>
      <c r="G428" s="11"/>
      <c r="H428" s="11"/>
      <c r="I428" s="11"/>
      <c r="J428" s="11"/>
      <c r="K428" s="11"/>
      <c r="L428" s="11"/>
      <c r="M428" s="11"/>
      <c r="N428" s="46"/>
      <c r="O428" s="11"/>
      <c r="P428" s="11"/>
      <c r="Q428" s="46"/>
      <c r="R428" s="11"/>
      <c r="S428" s="11"/>
      <c r="T428" s="11"/>
      <c r="U428" s="11"/>
      <c r="V428" s="11"/>
      <c r="W428" s="11"/>
      <c r="X428" s="11"/>
      <c r="Y428" s="11"/>
      <c r="Z428" s="11"/>
      <c r="AA428" s="11"/>
      <c r="AB428" s="11"/>
      <c r="AC428" s="11"/>
      <c r="AD428" s="11"/>
    </row>
    <row r="429" ht="15.75" customHeight="1">
      <c r="A429" s="47"/>
      <c r="B429" s="46"/>
      <c r="C429" s="46"/>
      <c r="D429" s="11"/>
      <c r="E429" s="11"/>
      <c r="F429" s="11"/>
      <c r="G429" s="11"/>
      <c r="H429" s="11"/>
      <c r="I429" s="11"/>
      <c r="J429" s="11"/>
      <c r="K429" s="11"/>
      <c r="L429" s="11"/>
      <c r="M429" s="11"/>
      <c r="N429" s="46"/>
      <c r="O429" s="11"/>
      <c r="P429" s="11"/>
      <c r="Q429" s="46"/>
      <c r="R429" s="11"/>
      <c r="S429" s="11"/>
      <c r="T429" s="11"/>
      <c r="U429" s="11"/>
      <c r="V429" s="11"/>
      <c r="W429" s="11"/>
      <c r="X429" s="11"/>
      <c r="Y429" s="11"/>
      <c r="Z429" s="11"/>
      <c r="AA429" s="11"/>
      <c r="AB429" s="11"/>
      <c r="AC429" s="11"/>
      <c r="AD429" s="11"/>
    </row>
    <row r="430" ht="15.75" customHeight="1">
      <c r="A430" s="47"/>
      <c r="B430" s="46"/>
      <c r="C430" s="46"/>
      <c r="D430" s="11"/>
      <c r="E430" s="11"/>
      <c r="F430" s="11"/>
      <c r="G430" s="11"/>
      <c r="H430" s="11"/>
      <c r="I430" s="11"/>
      <c r="J430" s="11"/>
      <c r="K430" s="11"/>
      <c r="L430" s="11"/>
      <c r="M430" s="11"/>
      <c r="N430" s="46"/>
      <c r="O430" s="11"/>
      <c r="P430" s="11"/>
      <c r="Q430" s="46"/>
      <c r="R430" s="11"/>
      <c r="S430" s="11"/>
      <c r="T430" s="11"/>
      <c r="U430" s="11"/>
      <c r="V430" s="11"/>
      <c r="W430" s="11"/>
      <c r="X430" s="11"/>
      <c r="Y430" s="11"/>
      <c r="Z430" s="11"/>
      <c r="AA430" s="11"/>
      <c r="AB430" s="11"/>
      <c r="AC430" s="11"/>
      <c r="AD430" s="11"/>
    </row>
    <row r="431" ht="15.75" customHeight="1">
      <c r="A431" s="47"/>
      <c r="B431" s="46"/>
      <c r="C431" s="46"/>
      <c r="D431" s="11"/>
      <c r="E431" s="11"/>
      <c r="F431" s="11"/>
      <c r="G431" s="11"/>
      <c r="H431" s="11"/>
      <c r="I431" s="11"/>
      <c r="J431" s="11"/>
      <c r="K431" s="11"/>
      <c r="L431" s="11"/>
      <c r="M431" s="11"/>
      <c r="N431" s="46"/>
      <c r="O431" s="11"/>
      <c r="P431" s="11"/>
      <c r="Q431" s="46"/>
      <c r="R431" s="11"/>
      <c r="S431" s="11"/>
      <c r="T431" s="11"/>
      <c r="U431" s="11"/>
      <c r="V431" s="11"/>
      <c r="W431" s="11"/>
      <c r="X431" s="11"/>
      <c r="Y431" s="11"/>
      <c r="Z431" s="11"/>
      <c r="AA431" s="11"/>
      <c r="AB431" s="11"/>
      <c r="AC431" s="11"/>
      <c r="AD431" s="11"/>
    </row>
    <row r="432" ht="15.75" customHeight="1">
      <c r="A432" s="47"/>
      <c r="B432" s="46"/>
      <c r="C432" s="46"/>
      <c r="D432" s="11"/>
      <c r="E432" s="11"/>
      <c r="F432" s="11"/>
      <c r="G432" s="11"/>
      <c r="H432" s="11"/>
      <c r="I432" s="11"/>
      <c r="J432" s="11"/>
      <c r="K432" s="11"/>
      <c r="L432" s="11"/>
      <c r="M432" s="11"/>
      <c r="N432" s="46"/>
      <c r="O432" s="11"/>
      <c r="P432" s="11"/>
      <c r="Q432" s="46"/>
      <c r="R432" s="11"/>
      <c r="S432" s="11"/>
      <c r="T432" s="11"/>
      <c r="U432" s="11"/>
      <c r="V432" s="11"/>
      <c r="W432" s="11"/>
      <c r="X432" s="11"/>
      <c r="Y432" s="11"/>
      <c r="Z432" s="11"/>
      <c r="AA432" s="11"/>
      <c r="AB432" s="11"/>
      <c r="AC432" s="11"/>
      <c r="AD432" s="11"/>
    </row>
    <row r="433" ht="15.75" customHeight="1">
      <c r="A433" s="47"/>
      <c r="B433" s="46"/>
      <c r="C433" s="46"/>
      <c r="D433" s="11"/>
      <c r="E433" s="11"/>
      <c r="F433" s="11"/>
      <c r="G433" s="11"/>
      <c r="H433" s="11"/>
      <c r="I433" s="11"/>
      <c r="J433" s="11"/>
      <c r="K433" s="11"/>
      <c r="L433" s="11"/>
      <c r="M433" s="11"/>
      <c r="N433" s="46"/>
      <c r="O433" s="11"/>
      <c r="P433" s="11"/>
      <c r="Q433" s="46"/>
      <c r="R433" s="11"/>
      <c r="S433" s="11"/>
      <c r="T433" s="11"/>
      <c r="U433" s="11"/>
      <c r="V433" s="11"/>
      <c r="W433" s="11"/>
      <c r="X433" s="11"/>
      <c r="Y433" s="11"/>
      <c r="Z433" s="11"/>
      <c r="AA433" s="11"/>
      <c r="AB433" s="11"/>
      <c r="AC433" s="11"/>
      <c r="AD433" s="11"/>
    </row>
    <row r="434" ht="15.75" customHeight="1">
      <c r="A434" s="47"/>
      <c r="B434" s="46"/>
      <c r="C434" s="46"/>
      <c r="D434" s="11"/>
      <c r="E434" s="11"/>
      <c r="F434" s="11"/>
      <c r="G434" s="11"/>
      <c r="H434" s="11"/>
      <c r="I434" s="11"/>
      <c r="J434" s="11"/>
      <c r="K434" s="11"/>
      <c r="L434" s="11"/>
      <c r="M434" s="11"/>
      <c r="N434" s="46"/>
      <c r="O434" s="11"/>
      <c r="P434" s="11"/>
      <c r="Q434" s="46"/>
      <c r="R434" s="11"/>
      <c r="S434" s="11"/>
      <c r="T434" s="11"/>
      <c r="U434" s="11"/>
      <c r="V434" s="11"/>
      <c r="W434" s="11"/>
      <c r="X434" s="11"/>
      <c r="Y434" s="11"/>
      <c r="Z434" s="11"/>
      <c r="AA434" s="11"/>
      <c r="AB434" s="11"/>
      <c r="AC434" s="11"/>
      <c r="AD434" s="11"/>
    </row>
    <row r="435" ht="15.75" customHeight="1">
      <c r="A435" s="47"/>
      <c r="B435" s="46"/>
      <c r="C435" s="46"/>
      <c r="D435" s="11"/>
      <c r="E435" s="11"/>
      <c r="F435" s="11"/>
      <c r="G435" s="11"/>
      <c r="H435" s="11"/>
      <c r="I435" s="11"/>
      <c r="J435" s="11"/>
      <c r="K435" s="11"/>
      <c r="L435" s="11"/>
      <c r="M435" s="11"/>
      <c r="N435" s="46"/>
      <c r="O435" s="11"/>
      <c r="P435" s="11"/>
      <c r="Q435" s="46"/>
      <c r="R435" s="11"/>
      <c r="S435" s="11"/>
      <c r="T435" s="11"/>
      <c r="U435" s="11"/>
      <c r="V435" s="11"/>
      <c r="W435" s="11"/>
      <c r="X435" s="11"/>
      <c r="Y435" s="11"/>
      <c r="Z435" s="11"/>
      <c r="AA435" s="11"/>
      <c r="AB435" s="11"/>
      <c r="AC435" s="11"/>
      <c r="AD435" s="11"/>
    </row>
    <row r="436" ht="15.75" customHeight="1">
      <c r="A436" s="47"/>
      <c r="B436" s="46"/>
      <c r="C436" s="46"/>
      <c r="D436" s="11"/>
      <c r="E436" s="11"/>
      <c r="F436" s="11"/>
      <c r="G436" s="11"/>
      <c r="H436" s="11"/>
      <c r="I436" s="11"/>
      <c r="J436" s="11"/>
      <c r="K436" s="11"/>
      <c r="L436" s="11"/>
      <c r="M436" s="11"/>
      <c r="N436" s="46"/>
      <c r="O436" s="11"/>
      <c r="P436" s="11"/>
      <c r="Q436" s="46"/>
      <c r="R436" s="11"/>
      <c r="S436" s="11"/>
      <c r="T436" s="11"/>
      <c r="U436" s="11"/>
      <c r="V436" s="11"/>
      <c r="W436" s="11"/>
      <c r="X436" s="11"/>
      <c r="Y436" s="11"/>
      <c r="Z436" s="11"/>
      <c r="AA436" s="11"/>
      <c r="AB436" s="11"/>
      <c r="AC436" s="11"/>
      <c r="AD436" s="11"/>
    </row>
    <row r="437" ht="15.75" customHeight="1">
      <c r="A437" s="47"/>
      <c r="B437" s="46"/>
      <c r="C437" s="46"/>
      <c r="D437" s="11"/>
      <c r="E437" s="11"/>
      <c r="F437" s="11"/>
      <c r="G437" s="11"/>
      <c r="H437" s="11"/>
      <c r="I437" s="11"/>
      <c r="J437" s="11"/>
      <c r="K437" s="11"/>
      <c r="L437" s="11"/>
      <c r="M437" s="11"/>
      <c r="N437" s="46"/>
      <c r="O437" s="11"/>
      <c r="P437" s="11"/>
      <c r="Q437" s="46"/>
      <c r="R437" s="11"/>
      <c r="S437" s="11"/>
      <c r="T437" s="11"/>
      <c r="U437" s="11"/>
      <c r="V437" s="11"/>
      <c r="W437" s="11"/>
      <c r="X437" s="11"/>
      <c r="Y437" s="11"/>
      <c r="Z437" s="11"/>
      <c r="AA437" s="11"/>
      <c r="AB437" s="11"/>
      <c r="AC437" s="11"/>
      <c r="AD437" s="11"/>
    </row>
    <row r="438" ht="15.75" customHeight="1">
      <c r="A438" s="47"/>
      <c r="B438" s="46"/>
      <c r="C438" s="46"/>
      <c r="D438" s="11"/>
      <c r="E438" s="11"/>
      <c r="F438" s="11"/>
      <c r="G438" s="11"/>
      <c r="H438" s="11"/>
      <c r="I438" s="11"/>
      <c r="J438" s="11"/>
      <c r="K438" s="11"/>
      <c r="L438" s="11"/>
      <c r="M438" s="11"/>
      <c r="N438" s="46"/>
      <c r="O438" s="11"/>
      <c r="P438" s="11"/>
      <c r="Q438" s="46"/>
      <c r="R438" s="11"/>
      <c r="S438" s="11"/>
      <c r="T438" s="11"/>
      <c r="U438" s="11"/>
      <c r="V438" s="11"/>
      <c r="W438" s="11"/>
      <c r="X438" s="11"/>
      <c r="Y438" s="11"/>
      <c r="Z438" s="11"/>
      <c r="AA438" s="11"/>
      <c r="AB438" s="11"/>
      <c r="AC438" s="11"/>
      <c r="AD438" s="11"/>
    </row>
    <row r="439" ht="15.75" customHeight="1">
      <c r="A439" s="47"/>
      <c r="B439" s="46"/>
      <c r="C439" s="46"/>
      <c r="D439" s="11"/>
      <c r="E439" s="11"/>
      <c r="F439" s="11"/>
      <c r="G439" s="11"/>
      <c r="H439" s="11"/>
      <c r="I439" s="11"/>
      <c r="J439" s="11"/>
      <c r="K439" s="11"/>
      <c r="L439" s="11"/>
      <c r="M439" s="11"/>
      <c r="N439" s="46"/>
      <c r="O439" s="11"/>
      <c r="P439" s="11"/>
      <c r="Q439" s="46"/>
      <c r="R439" s="11"/>
      <c r="S439" s="11"/>
      <c r="T439" s="11"/>
      <c r="U439" s="11"/>
      <c r="V439" s="11"/>
      <c r="W439" s="11"/>
      <c r="X439" s="11"/>
      <c r="Y439" s="11"/>
      <c r="Z439" s="11"/>
      <c r="AA439" s="11"/>
      <c r="AB439" s="11"/>
      <c r="AC439" s="11"/>
      <c r="AD439" s="11"/>
    </row>
    <row r="440" ht="15.75" customHeight="1">
      <c r="A440" s="47"/>
      <c r="B440" s="46"/>
      <c r="C440" s="46"/>
      <c r="D440" s="11"/>
      <c r="E440" s="11"/>
      <c r="F440" s="11"/>
      <c r="G440" s="11"/>
      <c r="H440" s="11"/>
      <c r="I440" s="11"/>
      <c r="J440" s="11"/>
      <c r="K440" s="11"/>
      <c r="L440" s="11"/>
      <c r="M440" s="11"/>
      <c r="N440" s="46"/>
      <c r="O440" s="11"/>
      <c r="P440" s="11"/>
      <c r="Q440" s="46"/>
      <c r="R440" s="11"/>
      <c r="S440" s="11"/>
      <c r="T440" s="11"/>
      <c r="U440" s="11"/>
      <c r="V440" s="11"/>
      <c r="W440" s="11"/>
      <c r="X440" s="11"/>
      <c r="Y440" s="11"/>
      <c r="Z440" s="11"/>
      <c r="AA440" s="11"/>
      <c r="AB440" s="11"/>
      <c r="AC440" s="11"/>
      <c r="AD440" s="11"/>
    </row>
    <row r="441" ht="15.75" customHeight="1">
      <c r="A441" s="47"/>
      <c r="B441" s="46"/>
      <c r="C441" s="46"/>
      <c r="D441" s="11"/>
      <c r="E441" s="11"/>
      <c r="F441" s="11"/>
      <c r="G441" s="11"/>
      <c r="H441" s="11"/>
      <c r="I441" s="11"/>
      <c r="J441" s="11"/>
      <c r="K441" s="11"/>
      <c r="L441" s="11"/>
      <c r="M441" s="11"/>
      <c r="N441" s="46"/>
      <c r="O441" s="11"/>
      <c r="P441" s="11"/>
      <c r="Q441" s="46"/>
      <c r="R441" s="11"/>
      <c r="S441" s="11"/>
      <c r="T441" s="11"/>
      <c r="U441" s="11"/>
      <c r="V441" s="11"/>
      <c r="W441" s="11"/>
      <c r="X441" s="11"/>
      <c r="Y441" s="11"/>
      <c r="Z441" s="11"/>
      <c r="AA441" s="11"/>
      <c r="AB441" s="11"/>
      <c r="AC441" s="11"/>
      <c r="AD441" s="11"/>
    </row>
    <row r="442" ht="15.75" customHeight="1">
      <c r="A442" s="47"/>
      <c r="B442" s="46"/>
      <c r="C442" s="46"/>
      <c r="D442" s="11"/>
      <c r="E442" s="11"/>
      <c r="F442" s="11"/>
      <c r="G442" s="11"/>
      <c r="H442" s="11"/>
      <c r="I442" s="11"/>
      <c r="J442" s="11"/>
      <c r="K442" s="11"/>
      <c r="L442" s="11"/>
      <c r="M442" s="11"/>
      <c r="N442" s="46"/>
      <c r="O442" s="11"/>
      <c r="P442" s="11"/>
      <c r="Q442" s="46"/>
      <c r="R442" s="11"/>
      <c r="S442" s="11"/>
      <c r="T442" s="11"/>
      <c r="U442" s="11"/>
      <c r="V442" s="11"/>
      <c r="W442" s="11"/>
      <c r="X442" s="11"/>
      <c r="Y442" s="11"/>
      <c r="Z442" s="11"/>
      <c r="AA442" s="11"/>
      <c r="AB442" s="11"/>
      <c r="AC442" s="11"/>
      <c r="AD442" s="11"/>
    </row>
    <row r="443" ht="15.75" customHeight="1">
      <c r="A443" s="47"/>
      <c r="B443" s="46"/>
      <c r="C443" s="46"/>
      <c r="D443" s="11"/>
      <c r="E443" s="11"/>
      <c r="F443" s="11"/>
      <c r="G443" s="11"/>
      <c r="H443" s="11"/>
      <c r="I443" s="11"/>
      <c r="J443" s="11"/>
      <c r="K443" s="11"/>
      <c r="L443" s="11"/>
      <c r="M443" s="11"/>
      <c r="N443" s="46"/>
      <c r="O443" s="11"/>
      <c r="P443" s="11"/>
      <c r="Q443" s="46"/>
      <c r="R443" s="11"/>
      <c r="S443" s="11"/>
      <c r="T443" s="11"/>
      <c r="U443" s="11"/>
      <c r="V443" s="11"/>
      <c r="W443" s="11"/>
      <c r="X443" s="11"/>
      <c r="Y443" s="11"/>
      <c r="Z443" s="11"/>
      <c r="AA443" s="11"/>
      <c r="AB443" s="11"/>
      <c r="AC443" s="11"/>
      <c r="AD443" s="11"/>
    </row>
    <row r="444" ht="15.75" customHeight="1">
      <c r="A444" s="47"/>
      <c r="B444" s="46"/>
      <c r="C444" s="46"/>
      <c r="D444" s="11"/>
      <c r="E444" s="11"/>
      <c r="F444" s="11"/>
      <c r="G444" s="11"/>
      <c r="H444" s="11"/>
      <c r="I444" s="11"/>
      <c r="J444" s="11"/>
      <c r="K444" s="11"/>
      <c r="L444" s="11"/>
      <c r="M444" s="11"/>
      <c r="N444" s="46"/>
      <c r="O444" s="11"/>
      <c r="P444" s="11"/>
      <c r="Q444" s="46"/>
      <c r="R444" s="11"/>
      <c r="S444" s="11"/>
      <c r="T444" s="11"/>
      <c r="U444" s="11"/>
      <c r="V444" s="11"/>
      <c r="W444" s="11"/>
      <c r="X444" s="11"/>
      <c r="Y444" s="11"/>
      <c r="Z444" s="11"/>
      <c r="AA444" s="11"/>
      <c r="AB444" s="11"/>
      <c r="AC444" s="11"/>
      <c r="AD444" s="11"/>
    </row>
    <row r="445" ht="15.75" customHeight="1">
      <c r="A445" s="47"/>
      <c r="B445" s="46"/>
      <c r="C445" s="46"/>
      <c r="D445" s="11"/>
      <c r="E445" s="11"/>
      <c r="F445" s="11"/>
      <c r="G445" s="11"/>
      <c r="H445" s="11"/>
      <c r="I445" s="11"/>
      <c r="J445" s="11"/>
      <c r="K445" s="11"/>
      <c r="L445" s="11"/>
      <c r="M445" s="11"/>
      <c r="N445" s="46"/>
      <c r="O445" s="11"/>
      <c r="P445" s="11"/>
      <c r="Q445" s="46"/>
      <c r="R445" s="11"/>
      <c r="S445" s="11"/>
      <c r="T445" s="11"/>
      <c r="U445" s="11"/>
      <c r="V445" s="11"/>
      <c r="W445" s="11"/>
      <c r="X445" s="11"/>
      <c r="Y445" s="11"/>
      <c r="Z445" s="11"/>
      <c r="AA445" s="11"/>
      <c r="AB445" s="11"/>
      <c r="AC445" s="11"/>
      <c r="AD445" s="11"/>
    </row>
    <row r="446" ht="15.75" customHeight="1">
      <c r="A446" s="47"/>
      <c r="B446" s="46"/>
      <c r="C446" s="46"/>
      <c r="D446" s="11"/>
      <c r="E446" s="11"/>
      <c r="F446" s="11"/>
      <c r="G446" s="11"/>
      <c r="H446" s="11"/>
      <c r="I446" s="11"/>
      <c r="J446" s="11"/>
      <c r="K446" s="11"/>
      <c r="L446" s="11"/>
      <c r="M446" s="11"/>
      <c r="N446" s="46"/>
      <c r="O446" s="11"/>
      <c r="P446" s="11"/>
      <c r="Q446" s="46"/>
      <c r="R446" s="11"/>
      <c r="S446" s="11"/>
      <c r="T446" s="11"/>
      <c r="U446" s="11"/>
      <c r="V446" s="11"/>
      <c r="W446" s="11"/>
      <c r="X446" s="11"/>
      <c r="Y446" s="11"/>
      <c r="Z446" s="11"/>
      <c r="AA446" s="11"/>
      <c r="AB446" s="11"/>
      <c r="AC446" s="11"/>
      <c r="AD446" s="11"/>
    </row>
    <row r="447" ht="15.75" customHeight="1">
      <c r="A447" s="47"/>
      <c r="B447" s="46"/>
      <c r="C447" s="46"/>
      <c r="D447" s="11"/>
      <c r="E447" s="11"/>
      <c r="F447" s="11"/>
      <c r="G447" s="11"/>
      <c r="H447" s="11"/>
      <c r="I447" s="11"/>
      <c r="J447" s="11"/>
      <c r="K447" s="11"/>
      <c r="L447" s="11"/>
      <c r="M447" s="11"/>
      <c r="N447" s="46"/>
      <c r="O447" s="11"/>
      <c r="P447" s="11"/>
      <c r="Q447" s="46"/>
      <c r="R447" s="11"/>
      <c r="S447" s="11"/>
      <c r="T447" s="11"/>
      <c r="U447" s="11"/>
      <c r="V447" s="11"/>
      <c r="W447" s="11"/>
      <c r="X447" s="11"/>
      <c r="Y447" s="11"/>
      <c r="Z447" s="11"/>
      <c r="AA447" s="11"/>
      <c r="AB447" s="11"/>
      <c r="AC447" s="11"/>
      <c r="AD447" s="11"/>
    </row>
  </sheetData>
  <autoFilter ref="$A$1:$X$275">
    <filterColumn colId="13">
      <filters>
        <filter val="Fail"/>
      </filters>
    </filterColumn>
  </autoFilter>
  <customSheetViews>
    <customSheetView guid="{8CB6F74A-B712-4829-851B-571B65408413}" filter="1" showAutoFilter="1">
      <autoFilter ref="$A$1:$X$275">
        <filterColumn colId="13">
          <filters>
            <filter val="Fail"/>
          </filters>
        </filterColumn>
      </autoFilter>
    </customSheetView>
    <customSheetView guid="{066F75C6-1F8A-4704-9F06-25444D1797D3}" filter="1" showAutoFilter="1">
      <autoFilter ref="$A$1:$X$275"/>
    </customSheetView>
  </customSheetViews>
  <dataValidations>
    <dataValidation type="list" allowBlank="1" showErrorMessage="1" sqref="P2:Q276 W2:W276">
      <formula1>"BA confirm,Reopen,InProcess,Pass,Reject,dev done"</formula1>
    </dataValidation>
    <dataValidation type="list" allowBlank="1" sqref="C2:C275">
      <formula1>"Tuần 1,Tuần 2,Tuần 3,Tuần 4"</formula1>
    </dataValidation>
    <dataValidation type="list" allowBlank="1" showErrorMessage="1" sqref="N2:N276 U2:U276">
      <formula1>"Pass,Fail,N/R"</formula1>
    </dataValidation>
  </dataValidations>
  <hyperlinks>
    <hyperlink r:id="rId1" ref="G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46"/>
    <hyperlink r:id="rId38" ref="M47"/>
    <hyperlink r:id="rId39" ref="M98"/>
    <hyperlink r:id="rId40" ref="M99"/>
    <hyperlink r:id="rId41" ref="M100"/>
    <hyperlink r:id="rId42" ref="M101"/>
    <hyperlink r:id="rId43" ref="M102"/>
    <hyperlink r:id="rId44" ref="M103"/>
    <hyperlink r:id="rId45" ref="M104"/>
    <hyperlink r:id="rId46" ref="M105"/>
    <hyperlink r:id="rId47" ref="M106"/>
    <hyperlink r:id="rId48" ref="M107"/>
    <hyperlink r:id="rId49" ref="M108"/>
    <hyperlink r:id="rId50" ref="M109"/>
    <hyperlink r:id="rId51" ref="M110"/>
    <hyperlink r:id="rId52" ref="M111"/>
    <hyperlink r:id="rId53" ref="M112"/>
    <hyperlink r:id="rId54" ref="M113"/>
    <hyperlink r:id="rId55" ref="M114"/>
    <hyperlink r:id="rId56" ref="M115"/>
    <hyperlink r:id="rId57" ref="M116"/>
    <hyperlink r:id="rId58" ref="M117"/>
    <hyperlink r:id="rId59" ref="M118"/>
    <hyperlink r:id="rId60" ref="M119"/>
    <hyperlink r:id="rId61" ref="M120"/>
    <hyperlink r:id="rId62" ref="M121"/>
    <hyperlink r:id="rId63" ref="M122"/>
    <hyperlink r:id="rId64" ref="M123"/>
    <hyperlink r:id="rId65" ref="M124"/>
    <hyperlink r:id="rId66" ref="M125"/>
    <hyperlink r:id="rId67" ref="M126"/>
    <hyperlink r:id="rId68" ref="M127"/>
    <hyperlink r:id="rId69" ref="M128"/>
    <hyperlink r:id="rId70" ref="M129"/>
    <hyperlink r:id="rId71" ref="M131"/>
    <hyperlink r:id="rId72" ref="M132"/>
    <hyperlink r:id="rId73" ref="M133"/>
    <hyperlink r:id="rId74" ref="M134"/>
    <hyperlink r:id="rId75" ref="M135"/>
    <hyperlink r:id="rId76" ref="M136"/>
    <hyperlink r:id="rId77" ref="M138"/>
    <hyperlink r:id="rId78" ref="M139"/>
    <hyperlink r:id="rId79" ref="M140"/>
    <hyperlink r:id="rId80" ref="M141"/>
    <hyperlink r:id="rId81" ref="M142"/>
    <hyperlink r:id="rId82" ref="M143"/>
    <hyperlink r:id="rId83" ref="M144"/>
    <hyperlink r:id="rId84" ref="M145"/>
    <hyperlink r:id="rId85" ref="M146"/>
    <hyperlink r:id="rId86" ref="M148"/>
    <hyperlink r:id="rId87" ref="M149"/>
    <hyperlink r:id="rId88" ref="M150"/>
    <hyperlink r:id="rId89" ref="M151"/>
    <hyperlink r:id="rId90" ref="M152"/>
    <hyperlink r:id="rId91" ref="M153"/>
    <hyperlink r:id="rId92" ref="M154"/>
    <hyperlink r:id="rId93" ref="M155"/>
    <hyperlink r:id="rId94" ref="M156"/>
    <hyperlink r:id="rId95" ref="M157"/>
    <hyperlink r:id="rId96" ref="M158"/>
    <hyperlink r:id="rId97" ref="M159"/>
    <hyperlink r:id="rId98" ref="M161"/>
    <hyperlink r:id="rId99" ref="M162"/>
    <hyperlink r:id="rId100" ref="M163"/>
    <hyperlink r:id="rId101" ref="M164"/>
    <hyperlink r:id="rId102" ref="M165"/>
    <hyperlink r:id="rId103" ref="M166"/>
    <hyperlink r:id="rId104" ref="M167"/>
    <hyperlink r:id="rId105" ref="M168"/>
    <hyperlink r:id="rId106" ref="M170"/>
    <hyperlink r:id="rId107" ref="M171"/>
    <hyperlink r:id="rId108" ref="M172"/>
    <hyperlink r:id="rId109" ref="M173"/>
    <hyperlink r:id="rId110" ref="M174"/>
    <hyperlink r:id="rId111" ref="M175"/>
    <hyperlink r:id="rId112" ref="M176"/>
    <hyperlink r:id="rId113" ref="M177"/>
    <hyperlink r:id="rId114" ref="M178"/>
    <hyperlink r:id="rId115" ref="M179"/>
    <hyperlink r:id="rId116" ref="M180"/>
    <hyperlink r:id="rId117" ref="M181"/>
    <hyperlink r:id="rId118" ref="M183"/>
    <hyperlink r:id="rId119" ref="M184"/>
    <hyperlink r:id="rId120" ref="M185"/>
    <hyperlink r:id="rId121" ref="M186"/>
    <hyperlink r:id="rId122" ref="M187"/>
    <hyperlink r:id="rId123" ref="M188"/>
    <hyperlink r:id="rId124" ref="M189"/>
    <hyperlink r:id="rId125" ref="M190"/>
    <hyperlink r:id="rId126" ref="M191"/>
    <hyperlink r:id="rId127" ref="M192"/>
    <hyperlink r:id="rId128" ref="M193"/>
    <hyperlink r:id="rId129" ref="M196"/>
    <hyperlink r:id="rId130" ref="M197"/>
    <hyperlink r:id="rId131" ref="M198"/>
    <hyperlink r:id="rId132" ref="M199"/>
    <hyperlink r:id="rId133" ref="M200"/>
    <hyperlink r:id="rId134" ref="M201"/>
    <hyperlink r:id="rId135" ref="M202"/>
    <hyperlink r:id="rId136" ref="M203"/>
    <hyperlink r:id="rId137" ref="M204"/>
    <hyperlink r:id="rId138" ref="M205"/>
    <hyperlink r:id="rId139" ref="M207"/>
    <hyperlink r:id="rId140" ref="M208"/>
    <hyperlink r:id="rId141" ref="M209"/>
    <hyperlink r:id="rId142" ref="M210"/>
    <hyperlink r:id="rId143" ref="M211"/>
    <hyperlink r:id="rId144" ref="M212"/>
    <hyperlink r:id="rId145" ref="M213"/>
    <hyperlink r:id="rId146" ref="M214"/>
    <hyperlink r:id="rId147" ref="M215"/>
    <hyperlink r:id="rId148" ref="M216"/>
    <hyperlink r:id="rId149" ref="M217"/>
    <hyperlink r:id="rId150" ref="M218"/>
    <hyperlink r:id="rId151" ref="M221"/>
    <hyperlink r:id="rId152" ref="M222"/>
    <hyperlink r:id="rId153" ref="M223"/>
    <hyperlink r:id="rId154" ref="M224"/>
    <hyperlink r:id="rId155" ref="M225"/>
    <hyperlink r:id="rId156" ref="M226"/>
    <hyperlink r:id="rId157" ref="M227"/>
    <hyperlink r:id="rId158" ref="M228"/>
    <hyperlink r:id="rId159" ref="M229"/>
    <hyperlink r:id="rId160" ref="M230"/>
    <hyperlink r:id="rId161" ref="M231"/>
    <hyperlink r:id="rId162" ref="M232"/>
    <hyperlink r:id="rId163" ref="M233"/>
    <hyperlink r:id="rId164" ref="M234"/>
    <hyperlink r:id="rId165" ref="M235"/>
    <hyperlink r:id="rId166" ref="M238"/>
    <hyperlink r:id="rId167" ref="M239"/>
    <hyperlink r:id="rId168" ref="M240"/>
    <hyperlink r:id="rId169" ref="M241"/>
    <hyperlink r:id="rId170" ref="M242"/>
    <hyperlink r:id="rId171" ref="M243"/>
    <hyperlink r:id="rId172" ref="M245"/>
    <hyperlink r:id="rId173" ref="M246"/>
    <hyperlink r:id="rId174" ref="M247"/>
    <hyperlink r:id="rId175" ref="M248"/>
    <hyperlink r:id="rId176" ref="M249"/>
    <hyperlink r:id="rId177" ref="M250"/>
    <hyperlink r:id="rId178" ref="M251"/>
    <hyperlink r:id="rId179" ref="M252"/>
    <hyperlink r:id="rId180" ref="M253"/>
    <hyperlink r:id="rId181" ref="M254"/>
    <hyperlink r:id="rId182" ref="M255"/>
    <hyperlink r:id="rId183" ref="M256"/>
    <hyperlink r:id="rId184" ref="M257"/>
    <hyperlink r:id="rId185" ref="M258"/>
    <hyperlink r:id="rId186" ref="M259"/>
    <hyperlink r:id="rId187" ref="M260"/>
    <hyperlink r:id="rId188" ref="M261"/>
    <hyperlink r:id="rId189" ref="M262"/>
    <hyperlink r:id="rId190" ref="M263"/>
    <hyperlink r:id="rId191" ref="M264"/>
    <hyperlink r:id="rId192" ref="M265"/>
    <hyperlink r:id="rId193" ref="M267"/>
    <hyperlink r:id="rId194" ref="M268"/>
    <hyperlink r:id="rId195" ref="M269"/>
    <hyperlink r:id="rId196" ref="M270"/>
    <hyperlink r:id="rId197" ref="M273"/>
    <hyperlink r:id="rId198" ref="M275"/>
  </hyperlinks>
  <drawing r:id="rId1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17.75"/>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17.0"/>
    <col customWidth="1" min="16" max="16" width="17.63"/>
    <col customWidth="1" min="17" max="17" width="14.38"/>
    <col customWidth="1" min="18" max="18" width="33.63"/>
  </cols>
  <sheetData>
    <row r="1">
      <c r="A1" s="48" t="s">
        <v>1046</v>
      </c>
      <c r="B1" s="49" t="s">
        <v>1</v>
      </c>
      <c r="C1" s="49" t="s">
        <v>2</v>
      </c>
      <c r="D1" s="49" t="s">
        <v>3</v>
      </c>
      <c r="E1" s="49" t="s">
        <v>4</v>
      </c>
      <c r="F1" s="50" t="s">
        <v>5</v>
      </c>
      <c r="G1" s="49" t="s">
        <v>6</v>
      </c>
      <c r="H1" s="49" t="s">
        <v>7</v>
      </c>
      <c r="I1" s="49" t="s">
        <v>8</v>
      </c>
      <c r="J1" s="49" t="s">
        <v>9</v>
      </c>
      <c r="K1" s="49" t="s">
        <v>10</v>
      </c>
      <c r="L1" s="49" t="s">
        <v>11</v>
      </c>
      <c r="M1" s="49" t="s">
        <v>12</v>
      </c>
      <c r="N1" s="49" t="s">
        <v>13</v>
      </c>
      <c r="O1" s="49" t="s">
        <v>14</v>
      </c>
      <c r="P1" s="50" t="s">
        <v>15</v>
      </c>
      <c r="Q1" s="50" t="s">
        <v>16</v>
      </c>
      <c r="R1" s="50" t="s">
        <v>17</v>
      </c>
      <c r="S1" s="49" t="s">
        <v>18</v>
      </c>
      <c r="T1" s="49" t="s">
        <v>19</v>
      </c>
      <c r="U1" s="49" t="s">
        <v>20</v>
      </c>
      <c r="V1" s="49" t="s">
        <v>21</v>
      </c>
      <c r="W1" s="49" t="s">
        <v>22</v>
      </c>
      <c r="X1" s="49" t="s">
        <v>23</v>
      </c>
      <c r="Y1" s="51"/>
      <c r="Z1" s="51"/>
      <c r="AA1" s="51"/>
      <c r="AB1" s="52"/>
      <c r="AC1" s="51"/>
      <c r="AD1" s="52"/>
    </row>
    <row r="2">
      <c r="A2" s="53"/>
      <c r="B2" s="54">
        <v>46209.0</v>
      </c>
      <c r="C2" s="55" t="s">
        <v>1047</v>
      </c>
      <c r="D2" s="56" t="s">
        <v>1048</v>
      </c>
      <c r="E2" s="57"/>
      <c r="F2" s="57"/>
      <c r="G2" s="58" t="s">
        <v>1049</v>
      </c>
      <c r="H2" s="55" t="s">
        <v>1050</v>
      </c>
      <c r="I2" s="59"/>
      <c r="J2" s="55" t="s">
        <v>1051</v>
      </c>
      <c r="K2" s="55" t="s">
        <v>1052</v>
      </c>
      <c r="L2" s="55" t="s">
        <v>1053</v>
      </c>
      <c r="M2" s="60" t="s">
        <v>1054</v>
      </c>
      <c r="N2" s="61" t="s">
        <v>64</v>
      </c>
      <c r="O2" s="62"/>
      <c r="P2" s="63" t="s">
        <v>649</v>
      </c>
      <c r="Q2" s="63" t="s">
        <v>649</v>
      </c>
      <c r="R2" s="64" t="s">
        <v>1055</v>
      </c>
      <c r="S2" s="65"/>
      <c r="T2" s="65"/>
      <c r="U2" s="65"/>
      <c r="V2" s="65"/>
      <c r="W2" s="65"/>
      <c r="X2" s="65"/>
    </row>
    <row r="3">
      <c r="A3" s="53"/>
      <c r="B3" s="54">
        <v>46209.0</v>
      </c>
      <c r="C3" s="55" t="s">
        <v>1047</v>
      </c>
      <c r="D3" s="56" t="s">
        <v>1056</v>
      </c>
      <c r="E3" s="57"/>
      <c r="F3" s="57"/>
      <c r="G3" s="58" t="s">
        <v>1057</v>
      </c>
      <c r="H3" s="55" t="s">
        <v>1050</v>
      </c>
      <c r="I3" s="59"/>
      <c r="J3" s="55" t="s">
        <v>1058</v>
      </c>
      <c r="K3" s="55" t="s">
        <v>1059</v>
      </c>
      <c r="L3" s="55" t="s">
        <v>1060</v>
      </c>
      <c r="M3" s="66" t="s">
        <v>1061</v>
      </c>
      <c r="N3" s="61" t="s">
        <v>64</v>
      </c>
      <c r="O3" s="62"/>
      <c r="P3" s="63" t="s">
        <v>65</v>
      </c>
      <c r="Q3" s="63" t="s">
        <v>37</v>
      </c>
      <c r="R3" s="64" t="s">
        <v>1062</v>
      </c>
      <c r="S3" s="65"/>
      <c r="T3" s="65"/>
      <c r="U3" s="65"/>
      <c r="V3" s="65"/>
      <c r="W3" s="65"/>
      <c r="X3" s="65"/>
    </row>
    <row r="4">
      <c r="A4" s="67"/>
      <c r="B4" s="68">
        <v>24.0</v>
      </c>
      <c r="C4" s="55" t="s">
        <v>1047</v>
      </c>
      <c r="D4" s="69" t="s">
        <v>1063</v>
      </c>
      <c r="E4" s="68" t="s">
        <v>1064</v>
      </c>
      <c r="F4" s="68" t="s">
        <v>30</v>
      </c>
      <c r="G4" s="70" t="s">
        <v>1065</v>
      </c>
      <c r="H4" s="55" t="s">
        <v>1066</v>
      </c>
      <c r="I4" s="59"/>
      <c r="J4" s="55" t="s">
        <v>1067</v>
      </c>
      <c r="K4" s="55" t="s">
        <v>1068</v>
      </c>
      <c r="L4" s="55" t="s">
        <v>1069</v>
      </c>
      <c r="M4" s="60" t="s">
        <v>1070</v>
      </c>
      <c r="N4" s="61" t="s">
        <v>64</v>
      </c>
      <c r="O4" s="62"/>
      <c r="P4" s="63" t="s">
        <v>65</v>
      </c>
      <c r="Q4" s="63" t="s">
        <v>37</v>
      </c>
      <c r="R4" s="64" t="s">
        <v>1071</v>
      </c>
      <c r="S4" s="65"/>
      <c r="T4" s="65"/>
      <c r="U4" s="65"/>
      <c r="V4" s="65"/>
      <c r="W4" s="65"/>
      <c r="X4" s="65"/>
    </row>
    <row r="5">
      <c r="A5" s="53"/>
      <c r="B5" s="54">
        <v>46209.0</v>
      </c>
      <c r="C5" s="55" t="s">
        <v>1047</v>
      </c>
      <c r="D5" s="56" t="s">
        <v>1072</v>
      </c>
      <c r="E5" s="57"/>
      <c r="F5" s="57"/>
      <c r="G5" s="58" t="s">
        <v>1073</v>
      </c>
      <c r="H5" s="58" t="s">
        <v>1073</v>
      </c>
      <c r="I5" s="59"/>
      <c r="J5" s="55" t="s">
        <v>1074</v>
      </c>
      <c r="K5" s="55" t="s">
        <v>1075</v>
      </c>
      <c r="L5" s="55" t="s">
        <v>1076</v>
      </c>
      <c r="M5" s="60" t="s">
        <v>1077</v>
      </c>
      <c r="N5" s="61" t="s">
        <v>64</v>
      </c>
      <c r="O5" s="62"/>
      <c r="P5" s="63" t="s">
        <v>65</v>
      </c>
      <c r="Q5" s="63" t="s">
        <v>37</v>
      </c>
      <c r="R5" s="64" t="s">
        <v>1078</v>
      </c>
      <c r="S5" s="65"/>
      <c r="T5" s="65"/>
      <c r="U5" s="65"/>
      <c r="V5" s="65"/>
      <c r="W5" s="65"/>
      <c r="X5" s="65"/>
    </row>
    <row r="6">
      <c r="A6" s="53"/>
      <c r="B6" s="54">
        <v>46209.0</v>
      </c>
      <c r="C6" s="55" t="s">
        <v>1047</v>
      </c>
      <c r="D6" s="56" t="s">
        <v>1079</v>
      </c>
      <c r="E6" s="57"/>
      <c r="F6" s="57"/>
      <c r="G6" s="58" t="s">
        <v>1080</v>
      </c>
      <c r="H6" s="55" t="s">
        <v>1081</v>
      </c>
      <c r="I6" s="59"/>
      <c r="J6" s="55" t="s">
        <v>1082</v>
      </c>
      <c r="K6" s="55" t="s">
        <v>1083</v>
      </c>
      <c r="L6" s="55" t="s">
        <v>1084</v>
      </c>
      <c r="M6" s="60" t="s">
        <v>1085</v>
      </c>
      <c r="N6" s="61" t="s">
        <v>64</v>
      </c>
      <c r="O6" s="62"/>
      <c r="P6" s="63" t="s">
        <v>65</v>
      </c>
      <c r="Q6" s="63" t="s">
        <v>37</v>
      </c>
      <c r="R6" s="64" t="s">
        <v>1086</v>
      </c>
      <c r="S6" s="65"/>
      <c r="T6" s="65"/>
      <c r="U6" s="65"/>
      <c r="V6" s="65"/>
      <c r="W6" s="65"/>
      <c r="X6" s="65"/>
    </row>
    <row r="7">
      <c r="A7" s="67"/>
      <c r="B7" s="68">
        <v>25.0</v>
      </c>
      <c r="C7" s="55" t="s">
        <v>1047</v>
      </c>
      <c r="D7" s="69" t="s">
        <v>1087</v>
      </c>
      <c r="E7" s="68" t="s">
        <v>1088</v>
      </c>
      <c r="F7" s="68" t="s">
        <v>30</v>
      </c>
      <c r="G7" s="70" t="s">
        <v>1089</v>
      </c>
      <c r="H7" s="55" t="s">
        <v>1090</v>
      </c>
      <c r="I7" s="59"/>
      <c r="J7" s="55" t="s">
        <v>1091</v>
      </c>
      <c r="K7" s="55" t="s">
        <v>1089</v>
      </c>
      <c r="L7" s="55" t="s">
        <v>1092</v>
      </c>
      <c r="M7" s="60" t="s">
        <v>1093</v>
      </c>
      <c r="N7" s="61" t="s">
        <v>64</v>
      </c>
      <c r="O7" s="62"/>
      <c r="P7" s="63" t="s">
        <v>65</v>
      </c>
      <c r="Q7" s="63" t="s">
        <v>37</v>
      </c>
      <c r="R7" s="64" t="s">
        <v>1094</v>
      </c>
      <c r="S7" s="65"/>
      <c r="T7" s="65"/>
      <c r="U7" s="65"/>
      <c r="V7" s="65"/>
      <c r="W7" s="65"/>
      <c r="X7" s="65"/>
    </row>
    <row r="8">
      <c r="A8" s="53"/>
      <c r="B8" s="54">
        <v>46209.0</v>
      </c>
      <c r="C8" s="55" t="s">
        <v>1047</v>
      </c>
      <c r="D8" s="56" t="s">
        <v>1095</v>
      </c>
      <c r="E8" s="57"/>
      <c r="F8" s="57"/>
      <c r="G8" s="58" t="s">
        <v>1096</v>
      </c>
      <c r="H8" s="55" t="s">
        <v>1090</v>
      </c>
      <c r="I8" s="59"/>
      <c r="J8" s="55" t="s">
        <v>1097</v>
      </c>
      <c r="K8" s="55" t="s">
        <v>1098</v>
      </c>
      <c r="L8" s="55" t="s">
        <v>1099</v>
      </c>
      <c r="M8" s="71" t="s">
        <v>1100</v>
      </c>
      <c r="N8" s="61" t="s">
        <v>64</v>
      </c>
      <c r="O8" s="62"/>
      <c r="P8" s="63" t="s">
        <v>65</v>
      </c>
      <c r="Q8" s="63" t="s">
        <v>37</v>
      </c>
      <c r="R8" s="64" t="s">
        <v>1101</v>
      </c>
      <c r="S8" s="65"/>
      <c r="T8" s="65"/>
      <c r="U8" s="65"/>
      <c r="V8" s="65"/>
      <c r="W8" s="72" t="s">
        <v>1102</v>
      </c>
      <c r="X8" s="72" t="s">
        <v>1102</v>
      </c>
    </row>
    <row r="9">
      <c r="A9" s="53"/>
      <c r="B9" s="54">
        <v>46209.0</v>
      </c>
      <c r="C9" s="55" t="s">
        <v>1047</v>
      </c>
      <c r="D9" s="56" t="s">
        <v>1103</v>
      </c>
      <c r="E9" s="57"/>
      <c r="F9" s="57"/>
      <c r="G9" s="58" t="s">
        <v>1104</v>
      </c>
      <c r="H9" s="55" t="s">
        <v>1090</v>
      </c>
      <c r="I9" s="59"/>
      <c r="J9" s="55" t="s">
        <v>1105</v>
      </c>
      <c r="K9" s="55" t="s">
        <v>1106</v>
      </c>
      <c r="L9" s="55" t="s">
        <v>1107</v>
      </c>
      <c r="M9" s="71" t="s">
        <v>1108</v>
      </c>
      <c r="N9" s="61" t="s">
        <v>64</v>
      </c>
      <c r="O9" s="62"/>
      <c r="P9" s="63" t="s">
        <v>649</v>
      </c>
      <c r="Q9" s="63" t="s">
        <v>649</v>
      </c>
      <c r="R9" s="64" t="s">
        <v>1109</v>
      </c>
      <c r="S9" s="65"/>
      <c r="T9" s="65"/>
      <c r="U9" s="65"/>
      <c r="V9" s="65"/>
      <c r="W9" s="65"/>
      <c r="X9" s="65"/>
    </row>
    <row r="10">
      <c r="A10" s="53"/>
      <c r="B10" s="54">
        <v>46209.0</v>
      </c>
      <c r="C10" s="55" t="s">
        <v>1047</v>
      </c>
      <c r="D10" s="56" t="s">
        <v>1110</v>
      </c>
      <c r="E10" s="57"/>
      <c r="F10" s="57"/>
      <c r="G10" s="58" t="s">
        <v>1111</v>
      </c>
      <c r="H10" s="55" t="s">
        <v>1090</v>
      </c>
      <c r="I10" s="59"/>
      <c r="J10" s="55" t="s">
        <v>1112</v>
      </c>
      <c r="K10" s="55" t="s">
        <v>1113</v>
      </c>
      <c r="L10" s="55" t="s">
        <v>1114</v>
      </c>
      <c r="M10" s="71" t="s">
        <v>1115</v>
      </c>
      <c r="N10" s="61" t="s">
        <v>64</v>
      </c>
      <c r="O10" s="62"/>
      <c r="P10" s="63" t="s">
        <v>65</v>
      </c>
      <c r="Q10" s="63" t="s">
        <v>37</v>
      </c>
      <c r="R10" s="64" t="s">
        <v>1116</v>
      </c>
      <c r="S10" s="65"/>
      <c r="T10" s="65"/>
      <c r="U10" s="65"/>
      <c r="V10" s="65"/>
      <c r="W10" s="72" t="s">
        <v>1102</v>
      </c>
      <c r="X10" s="72" t="s">
        <v>1102</v>
      </c>
    </row>
    <row r="11">
      <c r="A11" s="67"/>
      <c r="B11" s="68">
        <v>27.0</v>
      </c>
      <c r="C11" s="55" t="s">
        <v>1047</v>
      </c>
      <c r="D11" s="69" t="s">
        <v>1117</v>
      </c>
      <c r="E11" s="68" t="s">
        <v>1118</v>
      </c>
      <c r="F11" s="68" t="s">
        <v>30</v>
      </c>
      <c r="G11" s="70" t="s">
        <v>1119</v>
      </c>
      <c r="H11" s="55" t="s">
        <v>1120</v>
      </c>
      <c r="I11" s="59"/>
      <c r="J11" s="55" t="s">
        <v>1121</v>
      </c>
      <c r="K11" s="55" t="s">
        <v>1122</v>
      </c>
      <c r="L11" s="55" t="s">
        <v>1099</v>
      </c>
      <c r="M11" s="60" t="s">
        <v>1123</v>
      </c>
      <c r="N11" s="61" t="s">
        <v>64</v>
      </c>
      <c r="O11" s="62"/>
      <c r="P11" s="63" t="s">
        <v>65</v>
      </c>
      <c r="Q11" s="63" t="s">
        <v>37</v>
      </c>
      <c r="R11" s="64" t="s">
        <v>1124</v>
      </c>
      <c r="S11" s="65"/>
      <c r="T11" s="65"/>
      <c r="U11" s="65"/>
      <c r="V11" s="65"/>
      <c r="W11" s="72" t="s">
        <v>1102</v>
      </c>
      <c r="X11" s="72" t="s">
        <v>1102</v>
      </c>
    </row>
    <row r="12">
      <c r="A12" s="53"/>
      <c r="B12" s="54">
        <v>46209.0</v>
      </c>
      <c r="C12" s="55" t="s">
        <v>1047</v>
      </c>
      <c r="D12" s="56" t="s">
        <v>1125</v>
      </c>
      <c r="E12" s="57"/>
      <c r="F12" s="57"/>
      <c r="G12" s="58" t="s">
        <v>1126</v>
      </c>
      <c r="H12" s="55" t="s">
        <v>1090</v>
      </c>
      <c r="I12" s="59"/>
      <c r="J12" s="55" t="s">
        <v>1127</v>
      </c>
      <c r="K12" s="55" t="s">
        <v>1128</v>
      </c>
      <c r="L12" s="55" t="s">
        <v>1129</v>
      </c>
      <c r="M12" s="60" t="s">
        <v>1130</v>
      </c>
      <c r="N12" s="61" t="s">
        <v>64</v>
      </c>
      <c r="O12" s="62"/>
      <c r="P12" s="63" t="s">
        <v>65</v>
      </c>
      <c r="Q12" s="63" t="s">
        <v>37</v>
      </c>
      <c r="R12" s="64" t="s">
        <v>1131</v>
      </c>
      <c r="S12" s="65"/>
      <c r="T12" s="65"/>
      <c r="U12" s="65"/>
      <c r="V12" s="65"/>
      <c r="W12" s="65"/>
      <c r="X12" s="65"/>
    </row>
    <row r="13">
      <c r="A13" s="53"/>
      <c r="B13" s="54">
        <v>46209.0</v>
      </c>
      <c r="C13" s="55" t="s">
        <v>1047</v>
      </c>
      <c r="D13" s="56" t="s">
        <v>1132</v>
      </c>
      <c r="E13" s="57"/>
      <c r="F13" s="57"/>
      <c r="G13" s="58" t="s">
        <v>1133</v>
      </c>
      <c r="H13" s="55" t="s">
        <v>1090</v>
      </c>
      <c r="I13" s="59"/>
      <c r="J13" s="55" t="s">
        <v>1134</v>
      </c>
      <c r="K13" s="55" t="s">
        <v>1135</v>
      </c>
      <c r="L13" s="55" t="s">
        <v>1136</v>
      </c>
      <c r="M13" s="71" t="s">
        <v>1137</v>
      </c>
      <c r="N13" s="61" t="s">
        <v>64</v>
      </c>
      <c r="O13" s="62"/>
      <c r="P13" s="63" t="s">
        <v>65</v>
      </c>
      <c r="Q13" s="63" t="s">
        <v>37</v>
      </c>
      <c r="R13" s="64" t="s">
        <v>1138</v>
      </c>
      <c r="S13" s="65"/>
      <c r="T13" s="65"/>
      <c r="U13" s="65"/>
      <c r="V13" s="65"/>
      <c r="W13" s="65"/>
      <c r="X13" s="65"/>
    </row>
    <row r="14">
      <c r="A14" s="53"/>
      <c r="B14" s="54">
        <v>46209.0</v>
      </c>
      <c r="C14" s="55" t="s">
        <v>1047</v>
      </c>
      <c r="D14" s="56" t="s">
        <v>1139</v>
      </c>
      <c r="E14" s="57"/>
      <c r="F14" s="57"/>
      <c r="G14" s="58" t="s">
        <v>1104</v>
      </c>
      <c r="H14" s="55" t="s">
        <v>1090</v>
      </c>
      <c r="I14" s="59"/>
      <c r="J14" s="55" t="s">
        <v>1140</v>
      </c>
      <c r="K14" s="55" t="s">
        <v>1141</v>
      </c>
      <c r="L14" s="55" t="s">
        <v>1142</v>
      </c>
      <c r="M14" s="71" t="s">
        <v>1143</v>
      </c>
      <c r="N14" s="61" t="s">
        <v>64</v>
      </c>
      <c r="O14" s="62"/>
      <c r="P14" s="63" t="s">
        <v>65</v>
      </c>
      <c r="Q14" s="63" t="s">
        <v>37</v>
      </c>
      <c r="R14" s="64" t="s">
        <v>1144</v>
      </c>
      <c r="S14" s="65"/>
      <c r="T14" s="65"/>
      <c r="U14" s="65"/>
      <c r="V14" s="65"/>
      <c r="W14" s="65"/>
      <c r="X14" s="65"/>
    </row>
    <row r="15">
      <c r="A15" s="53"/>
      <c r="B15" s="54">
        <v>46209.0</v>
      </c>
      <c r="C15" s="55" t="s">
        <v>1047</v>
      </c>
      <c r="D15" s="56" t="s">
        <v>1145</v>
      </c>
      <c r="E15" s="57"/>
      <c r="F15" s="57"/>
      <c r="G15" s="58" t="s">
        <v>1146</v>
      </c>
      <c r="H15" s="55" t="s">
        <v>1090</v>
      </c>
      <c r="I15" s="59"/>
      <c r="J15" s="55" t="s">
        <v>1147</v>
      </c>
      <c r="K15" s="55" t="s">
        <v>1148</v>
      </c>
      <c r="L15" s="55" t="s">
        <v>1149</v>
      </c>
      <c r="M15" s="71" t="s">
        <v>1150</v>
      </c>
      <c r="N15" s="61" t="s">
        <v>64</v>
      </c>
      <c r="O15" s="62"/>
      <c r="P15" s="63" t="s">
        <v>65</v>
      </c>
      <c r="Q15" s="63" t="s">
        <v>37</v>
      </c>
      <c r="R15" s="64" t="s">
        <v>1151</v>
      </c>
      <c r="S15" s="65"/>
      <c r="T15" s="65"/>
      <c r="U15" s="65"/>
      <c r="V15" s="65"/>
      <c r="W15" s="65"/>
      <c r="X15" s="65"/>
    </row>
    <row r="16">
      <c r="A16" s="53"/>
      <c r="B16" s="54">
        <v>46209.0</v>
      </c>
      <c r="C16" s="55" t="s">
        <v>1047</v>
      </c>
      <c r="D16" s="56" t="s">
        <v>1152</v>
      </c>
      <c r="E16" s="57"/>
      <c r="F16" s="57"/>
      <c r="G16" s="58" t="s">
        <v>1153</v>
      </c>
      <c r="H16" s="55" t="s">
        <v>1090</v>
      </c>
      <c r="I16" s="59"/>
      <c r="J16" s="55" t="s">
        <v>1154</v>
      </c>
      <c r="K16" s="55" t="s">
        <v>1155</v>
      </c>
      <c r="L16" s="55" t="s">
        <v>1156</v>
      </c>
      <c r="M16" s="71" t="s">
        <v>1157</v>
      </c>
      <c r="N16" s="61" t="s">
        <v>64</v>
      </c>
      <c r="O16" s="62"/>
      <c r="P16" s="63" t="s">
        <v>649</v>
      </c>
      <c r="Q16" s="63" t="s">
        <v>649</v>
      </c>
      <c r="R16" s="64" t="s">
        <v>1158</v>
      </c>
      <c r="S16" s="65"/>
      <c r="T16" s="65"/>
      <c r="U16" s="65"/>
      <c r="V16" s="65"/>
      <c r="W16" s="65"/>
      <c r="X16" s="65"/>
    </row>
    <row r="17">
      <c r="A17" s="53"/>
      <c r="B17" s="54">
        <v>46209.0</v>
      </c>
      <c r="C17" s="55" t="s">
        <v>1047</v>
      </c>
      <c r="D17" s="56" t="s">
        <v>1159</v>
      </c>
      <c r="E17" s="57"/>
      <c r="F17" s="57"/>
      <c r="G17" s="58" t="s">
        <v>1160</v>
      </c>
      <c r="H17" s="55" t="s">
        <v>1161</v>
      </c>
      <c r="I17" s="59"/>
      <c r="J17" s="55" t="s">
        <v>1162</v>
      </c>
      <c r="K17" s="55" t="s">
        <v>1163</v>
      </c>
      <c r="L17" s="55" t="s">
        <v>1164</v>
      </c>
      <c r="M17" s="71" t="s">
        <v>1165</v>
      </c>
      <c r="N17" s="61" t="s">
        <v>64</v>
      </c>
      <c r="O17" s="62"/>
      <c r="P17" s="63" t="s">
        <v>65</v>
      </c>
      <c r="Q17" s="63" t="s">
        <v>37</v>
      </c>
      <c r="R17" s="64" t="s">
        <v>1166</v>
      </c>
      <c r="S17" s="65"/>
      <c r="T17" s="65"/>
      <c r="U17" s="65"/>
      <c r="V17" s="65"/>
      <c r="W17" s="65"/>
      <c r="X17" s="65"/>
    </row>
    <row r="18">
      <c r="A18" s="53"/>
      <c r="B18" s="54">
        <v>46209.0</v>
      </c>
      <c r="C18" s="55" t="s">
        <v>1047</v>
      </c>
      <c r="D18" s="56" t="s">
        <v>1167</v>
      </c>
      <c r="E18" s="57"/>
      <c r="F18" s="57"/>
      <c r="G18" s="58" t="s">
        <v>1096</v>
      </c>
      <c r="H18" s="55" t="s">
        <v>1090</v>
      </c>
      <c r="I18" s="59"/>
      <c r="J18" s="55" t="s">
        <v>1168</v>
      </c>
      <c r="K18" s="55" t="s">
        <v>1169</v>
      </c>
      <c r="L18" s="55" t="s">
        <v>1170</v>
      </c>
      <c r="M18" s="73" t="s">
        <v>1171</v>
      </c>
      <c r="N18" s="61" t="s">
        <v>64</v>
      </c>
      <c r="O18" s="62"/>
      <c r="P18" s="63" t="s">
        <v>65</v>
      </c>
      <c r="Q18" s="63" t="s">
        <v>37</v>
      </c>
      <c r="R18" s="64" t="s">
        <v>1172</v>
      </c>
      <c r="S18" s="65"/>
      <c r="T18" s="65"/>
      <c r="U18" s="65"/>
      <c r="V18" s="65"/>
      <c r="W18" s="65"/>
      <c r="X18" s="65"/>
    </row>
    <row r="19">
      <c r="A19" s="53"/>
      <c r="B19" s="54">
        <v>46209.0</v>
      </c>
      <c r="C19" s="55" t="s">
        <v>1047</v>
      </c>
      <c r="D19" s="56" t="s">
        <v>1173</v>
      </c>
      <c r="E19" s="57"/>
      <c r="F19" s="57"/>
      <c r="G19" s="58" t="s">
        <v>1104</v>
      </c>
      <c r="H19" s="55" t="s">
        <v>1090</v>
      </c>
      <c r="I19" s="59"/>
      <c r="J19" s="55" t="s">
        <v>1174</v>
      </c>
      <c r="K19" s="55" t="s">
        <v>1141</v>
      </c>
      <c r="L19" s="55" t="s">
        <v>1175</v>
      </c>
      <c r="M19" s="73" t="s">
        <v>1176</v>
      </c>
      <c r="N19" s="61" t="s">
        <v>64</v>
      </c>
      <c r="O19" s="62"/>
      <c r="P19" s="63" t="s">
        <v>65</v>
      </c>
      <c r="Q19" s="63" t="s">
        <v>37</v>
      </c>
      <c r="R19" s="64" t="s">
        <v>1177</v>
      </c>
      <c r="S19" s="65"/>
      <c r="T19" s="65"/>
      <c r="U19" s="65"/>
      <c r="V19" s="65"/>
      <c r="W19" s="65"/>
      <c r="X19" s="65"/>
    </row>
    <row r="20">
      <c r="A20" s="53"/>
      <c r="B20" s="54">
        <v>46209.0</v>
      </c>
      <c r="C20" s="55" t="s">
        <v>1047</v>
      </c>
      <c r="D20" s="56" t="s">
        <v>1178</v>
      </c>
      <c r="E20" s="57"/>
      <c r="F20" s="57"/>
      <c r="G20" s="58" t="s">
        <v>1179</v>
      </c>
      <c r="H20" s="55" t="s">
        <v>1090</v>
      </c>
      <c r="I20" s="59"/>
      <c r="J20" s="55" t="s">
        <v>1180</v>
      </c>
      <c r="K20" s="55" t="s">
        <v>1181</v>
      </c>
      <c r="L20" s="55" t="s">
        <v>1182</v>
      </c>
      <c r="M20" s="73" t="s">
        <v>1183</v>
      </c>
      <c r="N20" s="61" t="s">
        <v>64</v>
      </c>
      <c r="O20" s="62"/>
      <c r="P20" s="63" t="s">
        <v>65</v>
      </c>
      <c r="Q20" s="63" t="s">
        <v>37</v>
      </c>
      <c r="R20" s="64" t="s">
        <v>1184</v>
      </c>
      <c r="S20" s="65"/>
      <c r="T20" s="65"/>
      <c r="U20" s="65"/>
      <c r="V20" s="65"/>
      <c r="W20" s="65"/>
      <c r="X20" s="65"/>
    </row>
    <row r="21">
      <c r="A21" s="53"/>
      <c r="B21" s="54">
        <v>46209.0</v>
      </c>
      <c r="C21" s="55" t="s">
        <v>1047</v>
      </c>
      <c r="D21" s="56" t="s">
        <v>1185</v>
      </c>
      <c r="E21" s="57"/>
      <c r="F21" s="57"/>
      <c r="G21" s="58" t="s">
        <v>1111</v>
      </c>
      <c r="H21" s="55" t="s">
        <v>1090</v>
      </c>
      <c r="I21" s="59"/>
      <c r="J21" s="55" t="s">
        <v>1186</v>
      </c>
      <c r="K21" s="55" t="s">
        <v>1187</v>
      </c>
      <c r="L21" s="55" t="s">
        <v>1188</v>
      </c>
      <c r="M21" s="73" t="s">
        <v>1189</v>
      </c>
      <c r="N21" s="61" t="s">
        <v>64</v>
      </c>
      <c r="O21" s="62"/>
      <c r="P21" s="63" t="s">
        <v>65</v>
      </c>
      <c r="Q21" s="63" t="s">
        <v>37</v>
      </c>
      <c r="R21" s="64" t="s">
        <v>1190</v>
      </c>
      <c r="S21" s="65"/>
      <c r="T21" s="65"/>
      <c r="U21" s="65"/>
      <c r="V21" s="65"/>
      <c r="W21" s="65"/>
      <c r="X21" s="65"/>
    </row>
    <row r="22">
      <c r="A22" s="53"/>
      <c r="B22" s="54">
        <v>46209.0</v>
      </c>
      <c r="C22" s="55" t="s">
        <v>1047</v>
      </c>
      <c r="D22" s="56" t="s">
        <v>1191</v>
      </c>
      <c r="E22" s="57"/>
      <c r="F22" s="57"/>
      <c r="G22" s="58" t="s">
        <v>1146</v>
      </c>
      <c r="H22" s="55" t="s">
        <v>1090</v>
      </c>
      <c r="I22" s="59"/>
      <c r="J22" s="55" t="s">
        <v>1192</v>
      </c>
      <c r="K22" s="55" t="s">
        <v>1193</v>
      </c>
      <c r="L22" s="55" t="s">
        <v>1194</v>
      </c>
      <c r="M22" s="73" t="s">
        <v>1195</v>
      </c>
      <c r="N22" s="61" t="s">
        <v>64</v>
      </c>
      <c r="O22" s="62"/>
      <c r="P22" s="63" t="s">
        <v>65</v>
      </c>
      <c r="Q22" s="63" t="s">
        <v>37</v>
      </c>
      <c r="R22" s="64" t="s">
        <v>1196</v>
      </c>
      <c r="S22" s="65"/>
      <c r="T22" s="65"/>
      <c r="U22" s="65"/>
      <c r="V22" s="65"/>
      <c r="W22" s="65"/>
      <c r="X22" s="65"/>
    </row>
    <row r="23">
      <c r="A23" s="53"/>
      <c r="B23" s="54">
        <v>46209.0</v>
      </c>
      <c r="C23" s="55" t="s">
        <v>1047</v>
      </c>
      <c r="D23" s="56" t="s">
        <v>1197</v>
      </c>
      <c r="E23" s="57"/>
      <c r="F23" s="57"/>
      <c r="G23" s="58" t="s">
        <v>1198</v>
      </c>
      <c r="H23" s="55" t="s">
        <v>1090</v>
      </c>
      <c r="I23" s="59"/>
      <c r="J23" s="55" t="s">
        <v>1199</v>
      </c>
      <c r="K23" s="55" t="s">
        <v>1200</v>
      </c>
      <c r="L23" s="55" t="s">
        <v>1201</v>
      </c>
      <c r="M23" s="73" t="s">
        <v>1202</v>
      </c>
      <c r="N23" s="61" t="s">
        <v>64</v>
      </c>
      <c r="O23" s="62"/>
      <c r="P23" s="63" t="s">
        <v>65</v>
      </c>
      <c r="Q23" s="63" t="s">
        <v>37</v>
      </c>
      <c r="R23" s="64" t="s">
        <v>1203</v>
      </c>
      <c r="S23" s="65"/>
      <c r="T23" s="65"/>
      <c r="U23" s="65"/>
      <c r="V23" s="65"/>
      <c r="W23" s="65"/>
      <c r="X23" s="65"/>
    </row>
    <row r="24">
      <c r="A24" s="53"/>
      <c r="B24" s="54">
        <v>46209.0</v>
      </c>
      <c r="C24" s="55" t="s">
        <v>1047</v>
      </c>
      <c r="D24" s="56" t="s">
        <v>1204</v>
      </c>
      <c r="E24" s="57"/>
      <c r="F24" s="57"/>
      <c r="G24" s="58" t="s">
        <v>1205</v>
      </c>
      <c r="H24" s="55" t="s">
        <v>1090</v>
      </c>
      <c r="I24" s="59"/>
      <c r="J24" s="55" t="s">
        <v>1206</v>
      </c>
      <c r="K24" s="55" t="s">
        <v>1181</v>
      </c>
      <c r="L24" s="55" t="s">
        <v>1207</v>
      </c>
      <c r="M24" s="73" t="s">
        <v>1208</v>
      </c>
      <c r="N24" s="61" t="s">
        <v>64</v>
      </c>
      <c r="O24" s="62"/>
      <c r="P24" s="63" t="s">
        <v>65</v>
      </c>
      <c r="Q24" s="63" t="s">
        <v>37</v>
      </c>
      <c r="R24" s="64" t="s">
        <v>1209</v>
      </c>
      <c r="S24" s="65"/>
      <c r="T24" s="65"/>
      <c r="U24" s="65"/>
      <c r="V24" s="65"/>
      <c r="W24" s="65"/>
      <c r="X24" s="65"/>
    </row>
    <row r="25">
      <c r="A25" s="53"/>
      <c r="B25" s="54">
        <v>46209.0</v>
      </c>
      <c r="C25" s="55" t="s">
        <v>1047</v>
      </c>
      <c r="D25" s="56" t="s">
        <v>1210</v>
      </c>
      <c r="E25" s="57"/>
      <c r="F25" s="57"/>
      <c r="G25" s="58" t="s">
        <v>1211</v>
      </c>
      <c r="H25" s="55" t="s">
        <v>1212</v>
      </c>
      <c r="I25" s="59"/>
      <c r="J25" s="55" t="s">
        <v>1213</v>
      </c>
      <c r="K25" s="55" t="s">
        <v>1214</v>
      </c>
      <c r="L25" s="55" t="s">
        <v>1215</v>
      </c>
      <c r="M25" s="73" t="s">
        <v>1216</v>
      </c>
      <c r="N25" s="61" t="s">
        <v>64</v>
      </c>
      <c r="O25" s="62"/>
      <c r="P25" s="63" t="s">
        <v>65</v>
      </c>
      <c r="Q25" s="63" t="s">
        <v>37</v>
      </c>
      <c r="R25" s="64" t="s">
        <v>1217</v>
      </c>
      <c r="S25" s="65"/>
      <c r="T25" s="65"/>
      <c r="U25" s="65"/>
      <c r="V25" s="65"/>
      <c r="W25" s="65"/>
      <c r="X25" s="65"/>
    </row>
    <row r="26">
      <c r="A26" s="53"/>
      <c r="B26" s="54">
        <v>46209.0</v>
      </c>
      <c r="C26" s="55" t="s">
        <v>1047</v>
      </c>
      <c r="D26" s="56" t="s">
        <v>1218</v>
      </c>
      <c r="E26" s="57"/>
      <c r="F26" s="57"/>
      <c r="G26" s="58" t="s">
        <v>1126</v>
      </c>
      <c r="H26" s="55" t="s">
        <v>1090</v>
      </c>
      <c r="I26" s="59"/>
      <c r="J26" s="55" t="s">
        <v>1219</v>
      </c>
      <c r="K26" s="55" t="s">
        <v>1128</v>
      </c>
      <c r="L26" s="55" t="s">
        <v>1220</v>
      </c>
      <c r="M26" s="74" t="s">
        <v>1221</v>
      </c>
      <c r="N26" s="61" t="s">
        <v>64</v>
      </c>
      <c r="O26" s="62"/>
      <c r="P26" s="63" t="s">
        <v>65</v>
      </c>
      <c r="Q26" s="63" t="s">
        <v>37</v>
      </c>
      <c r="R26" s="64" t="s">
        <v>1222</v>
      </c>
      <c r="S26" s="65"/>
      <c r="T26" s="65"/>
      <c r="U26" s="65"/>
      <c r="V26" s="65"/>
      <c r="W26" s="65"/>
      <c r="X26" s="65"/>
    </row>
    <row r="27">
      <c r="A27" s="53"/>
      <c r="B27" s="54">
        <v>46209.0</v>
      </c>
      <c r="C27" s="55" t="s">
        <v>1047</v>
      </c>
      <c r="D27" s="56" t="s">
        <v>1223</v>
      </c>
      <c r="E27" s="57"/>
      <c r="F27" s="57"/>
      <c r="G27" s="58" t="s">
        <v>1224</v>
      </c>
      <c r="H27" s="55" t="s">
        <v>1090</v>
      </c>
      <c r="I27" s="59"/>
      <c r="J27" s="55" t="s">
        <v>1225</v>
      </c>
      <c r="K27" s="55" t="s">
        <v>1226</v>
      </c>
      <c r="L27" s="55" t="s">
        <v>1227</v>
      </c>
      <c r="M27" s="74" t="s">
        <v>1228</v>
      </c>
      <c r="N27" s="61" t="s">
        <v>64</v>
      </c>
      <c r="O27" s="62"/>
      <c r="P27" s="63" t="s">
        <v>65</v>
      </c>
      <c r="Q27" s="63" t="s">
        <v>37</v>
      </c>
      <c r="R27" s="64" t="s">
        <v>1229</v>
      </c>
      <c r="S27" s="65"/>
      <c r="T27" s="65"/>
      <c r="U27" s="65"/>
      <c r="V27" s="65"/>
      <c r="W27" s="65"/>
      <c r="X27" s="65"/>
    </row>
    <row r="28">
      <c r="A28" s="53"/>
      <c r="B28" s="54">
        <v>46209.0</v>
      </c>
      <c r="C28" s="55" t="s">
        <v>1047</v>
      </c>
      <c r="D28" s="56" t="s">
        <v>1230</v>
      </c>
      <c r="E28" s="57"/>
      <c r="F28" s="57"/>
      <c r="G28" s="58" t="s">
        <v>1231</v>
      </c>
      <c r="H28" s="55" t="s">
        <v>1090</v>
      </c>
      <c r="I28" s="59"/>
      <c r="J28" s="55" t="s">
        <v>1232</v>
      </c>
      <c r="K28" s="55" t="s">
        <v>1233</v>
      </c>
      <c r="L28" s="55" t="s">
        <v>1234</v>
      </c>
      <c r="M28" s="74" t="s">
        <v>1235</v>
      </c>
      <c r="N28" s="61" t="s">
        <v>64</v>
      </c>
      <c r="O28" s="62"/>
      <c r="P28" s="63" t="s">
        <v>65</v>
      </c>
      <c r="Q28" s="63" t="s">
        <v>37</v>
      </c>
      <c r="R28" s="64" t="s">
        <v>1236</v>
      </c>
      <c r="S28" s="65"/>
      <c r="T28" s="65"/>
      <c r="U28" s="65"/>
      <c r="V28" s="65"/>
      <c r="W28" s="65"/>
      <c r="X28" s="65"/>
    </row>
    <row r="29">
      <c r="A29" s="53"/>
      <c r="B29" s="54">
        <v>46209.0</v>
      </c>
      <c r="C29" s="55" t="s">
        <v>1047</v>
      </c>
      <c r="D29" s="56" t="s">
        <v>1237</v>
      </c>
      <c r="E29" s="57"/>
      <c r="F29" s="57"/>
      <c r="G29" s="58" t="s">
        <v>1238</v>
      </c>
      <c r="H29" s="55" t="s">
        <v>1239</v>
      </c>
      <c r="I29" s="59"/>
      <c r="J29" s="55" t="s">
        <v>1240</v>
      </c>
      <c r="K29" s="55" t="s">
        <v>1241</v>
      </c>
      <c r="L29" s="55" t="s">
        <v>1242</v>
      </c>
      <c r="M29" s="74" t="s">
        <v>1243</v>
      </c>
      <c r="N29" s="61" t="s">
        <v>64</v>
      </c>
      <c r="O29" s="62"/>
      <c r="P29" s="63" t="s">
        <v>65</v>
      </c>
      <c r="Q29" s="63" t="s">
        <v>37</v>
      </c>
      <c r="R29" s="64" t="s">
        <v>1244</v>
      </c>
      <c r="S29" s="65"/>
      <c r="T29" s="65"/>
      <c r="U29" s="65"/>
      <c r="V29" s="65"/>
      <c r="W29" s="65"/>
      <c r="X29" s="65"/>
    </row>
    <row r="30">
      <c r="A30" s="53"/>
      <c r="B30" s="54">
        <v>46209.0</v>
      </c>
      <c r="C30" s="55" t="s">
        <v>1047</v>
      </c>
      <c r="D30" s="56" t="s">
        <v>1245</v>
      </c>
      <c r="E30" s="57"/>
      <c r="F30" s="57"/>
      <c r="G30" s="58" t="s">
        <v>1246</v>
      </c>
      <c r="H30" s="55" t="s">
        <v>1247</v>
      </c>
      <c r="I30" s="59"/>
      <c r="J30" s="55" t="s">
        <v>1248</v>
      </c>
      <c r="K30" s="55" t="s">
        <v>1249</v>
      </c>
      <c r="L30" s="55" t="s">
        <v>1250</v>
      </c>
      <c r="M30" s="74" t="s">
        <v>1251</v>
      </c>
      <c r="N30" s="61" t="s">
        <v>64</v>
      </c>
      <c r="O30" s="62"/>
      <c r="P30" s="63" t="s">
        <v>65</v>
      </c>
      <c r="Q30" s="63" t="s">
        <v>37</v>
      </c>
      <c r="R30" s="64" t="s">
        <v>1252</v>
      </c>
      <c r="S30" s="65"/>
      <c r="T30" s="65"/>
      <c r="U30" s="65"/>
      <c r="V30" s="65"/>
      <c r="W30" s="65"/>
      <c r="X30" s="65"/>
    </row>
    <row r="31">
      <c r="A31" s="53"/>
      <c r="B31" s="54">
        <v>46209.0</v>
      </c>
      <c r="C31" s="55" t="s">
        <v>1047</v>
      </c>
      <c r="D31" s="56" t="s">
        <v>1253</v>
      </c>
      <c r="E31" s="57"/>
      <c r="F31" s="57"/>
      <c r="G31" s="58" t="s">
        <v>1096</v>
      </c>
      <c r="H31" s="55" t="s">
        <v>1090</v>
      </c>
      <c r="I31" s="59"/>
      <c r="J31" s="55" t="s">
        <v>1254</v>
      </c>
      <c r="K31" s="55" t="s">
        <v>1169</v>
      </c>
      <c r="L31" s="55" t="s">
        <v>1099</v>
      </c>
      <c r="M31" s="74" t="s">
        <v>1255</v>
      </c>
      <c r="N31" s="61" t="s">
        <v>64</v>
      </c>
      <c r="O31" s="62"/>
      <c r="P31" s="63" t="s">
        <v>65</v>
      </c>
      <c r="Q31" s="63" t="s">
        <v>37</v>
      </c>
      <c r="R31" s="64" t="s">
        <v>1101</v>
      </c>
      <c r="S31" s="65"/>
      <c r="T31" s="65"/>
      <c r="U31" s="65"/>
      <c r="V31" s="65"/>
      <c r="W31" s="72" t="s">
        <v>1102</v>
      </c>
      <c r="X31" s="72" t="s">
        <v>1102</v>
      </c>
    </row>
    <row r="32">
      <c r="A32" s="53"/>
      <c r="B32" s="54">
        <v>46209.0</v>
      </c>
      <c r="C32" s="55" t="s">
        <v>1047</v>
      </c>
      <c r="D32" s="56" t="s">
        <v>1256</v>
      </c>
      <c r="E32" s="57"/>
      <c r="F32" s="57"/>
      <c r="G32" s="58" t="s">
        <v>1111</v>
      </c>
      <c r="H32" s="55" t="s">
        <v>1090</v>
      </c>
      <c r="I32" s="59"/>
      <c r="J32" s="55" t="s">
        <v>1257</v>
      </c>
      <c r="K32" s="55" t="s">
        <v>1258</v>
      </c>
      <c r="L32" s="55" t="s">
        <v>1259</v>
      </c>
      <c r="M32" s="74" t="s">
        <v>1260</v>
      </c>
      <c r="N32" s="61" t="s">
        <v>64</v>
      </c>
      <c r="O32" s="62"/>
      <c r="P32" s="63" t="s">
        <v>65</v>
      </c>
      <c r="Q32" s="63" t="s">
        <v>37</v>
      </c>
      <c r="R32" s="64" t="s">
        <v>1261</v>
      </c>
      <c r="S32" s="65"/>
      <c r="T32" s="65"/>
      <c r="U32" s="65"/>
      <c r="V32" s="65"/>
      <c r="W32" s="65"/>
      <c r="X32" s="65"/>
    </row>
    <row r="33">
      <c r="A33" s="67"/>
      <c r="B33" s="68">
        <v>37.0</v>
      </c>
      <c r="C33" s="55" t="s">
        <v>1047</v>
      </c>
      <c r="D33" s="69" t="s">
        <v>1262</v>
      </c>
      <c r="E33" s="68" t="s">
        <v>1263</v>
      </c>
      <c r="F33" s="68" t="s">
        <v>287</v>
      </c>
      <c r="G33" s="70" t="s">
        <v>1264</v>
      </c>
      <c r="H33" s="55" t="s">
        <v>1265</v>
      </c>
      <c r="I33" s="59"/>
      <c r="J33" s="55" t="s">
        <v>1266</v>
      </c>
      <c r="K33" s="55" t="s">
        <v>1267</v>
      </c>
      <c r="L33" s="55" t="s">
        <v>1268</v>
      </c>
      <c r="M33" s="60" t="s">
        <v>1269</v>
      </c>
      <c r="N33" s="61" t="s">
        <v>64</v>
      </c>
      <c r="O33" s="62"/>
      <c r="P33" s="63" t="s">
        <v>65</v>
      </c>
      <c r="Q33" s="63" t="s">
        <v>37</v>
      </c>
      <c r="R33" s="64" t="s">
        <v>1270</v>
      </c>
      <c r="S33" s="65"/>
      <c r="T33" s="65"/>
      <c r="U33" s="65"/>
      <c r="V33" s="65"/>
      <c r="W33" s="65"/>
      <c r="X33" s="65"/>
    </row>
    <row r="34">
      <c r="A34" s="75"/>
      <c r="B34" s="54">
        <v>46209.0</v>
      </c>
      <c r="C34" s="55" t="s">
        <v>1047</v>
      </c>
      <c r="D34" s="56" t="s">
        <v>1271</v>
      </c>
      <c r="E34" s="76"/>
      <c r="F34" s="76"/>
      <c r="G34" s="55" t="s">
        <v>1272</v>
      </c>
      <c r="H34" s="55" t="s">
        <v>1273</v>
      </c>
      <c r="I34" s="59"/>
      <c r="J34" s="55" t="s">
        <v>1274</v>
      </c>
      <c r="K34" s="55" t="s">
        <v>1275</v>
      </c>
      <c r="L34" s="55" t="s">
        <v>1268</v>
      </c>
      <c r="M34" s="60" t="s">
        <v>1276</v>
      </c>
      <c r="N34" s="61" t="s">
        <v>64</v>
      </c>
      <c r="O34" s="62"/>
      <c r="P34" s="63" t="s">
        <v>65</v>
      </c>
      <c r="Q34" s="63" t="s">
        <v>37</v>
      </c>
      <c r="R34" s="64" t="s">
        <v>1277</v>
      </c>
      <c r="S34" s="65"/>
      <c r="T34" s="65"/>
      <c r="U34" s="65"/>
      <c r="V34" s="65"/>
      <c r="W34" s="65"/>
      <c r="X34" s="65"/>
    </row>
    <row r="35">
      <c r="A35" s="67"/>
      <c r="B35" s="68">
        <v>38.0</v>
      </c>
      <c r="C35" s="55" t="s">
        <v>1047</v>
      </c>
      <c r="D35" s="69" t="s">
        <v>1278</v>
      </c>
      <c r="E35" s="68" t="s">
        <v>1279</v>
      </c>
      <c r="F35" s="68" t="s">
        <v>287</v>
      </c>
      <c r="G35" s="70" t="s">
        <v>1280</v>
      </c>
      <c r="H35" s="55" t="s">
        <v>1281</v>
      </c>
      <c r="I35" s="59"/>
      <c r="J35" s="55" t="s">
        <v>1282</v>
      </c>
      <c r="K35" s="55" t="s">
        <v>1283</v>
      </c>
      <c r="L35" s="55" t="s">
        <v>1284</v>
      </c>
      <c r="M35" s="60" t="s">
        <v>1285</v>
      </c>
      <c r="N35" s="61" t="s">
        <v>64</v>
      </c>
      <c r="O35" s="62"/>
      <c r="P35" s="63" t="s">
        <v>65</v>
      </c>
      <c r="Q35" s="63" t="s">
        <v>37</v>
      </c>
      <c r="R35" s="64" t="s">
        <v>1286</v>
      </c>
      <c r="S35" s="65"/>
      <c r="T35" s="65"/>
      <c r="U35" s="65"/>
      <c r="V35" s="65"/>
      <c r="W35" s="65"/>
      <c r="X35" s="65"/>
    </row>
    <row r="36">
      <c r="A36" s="53"/>
      <c r="B36" s="54">
        <v>46210.0</v>
      </c>
      <c r="C36" s="55" t="s">
        <v>1047</v>
      </c>
      <c r="D36" s="56" t="s">
        <v>1287</v>
      </c>
      <c r="E36" s="57"/>
      <c r="F36" s="57"/>
      <c r="G36" s="58" t="s">
        <v>1096</v>
      </c>
      <c r="H36" s="55" t="s">
        <v>1090</v>
      </c>
      <c r="I36" s="59"/>
      <c r="J36" s="55" t="s">
        <v>1288</v>
      </c>
      <c r="K36" s="55" t="s">
        <v>1289</v>
      </c>
      <c r="L36" s="55" t="s">
        <v>1290</v>
      </c>
      <c r="M36" s="77" t="s">
        <v>1291</v>
      </c>
      <c r="N36" s="61" t="s">
        <v>64</v>
      </c>
      <c r="O36" s="62"/>
      <c r="P36" s="63" t="s">
        <v>65</v>
      </c>
      <c r="Q36" s="63" t="s">
        <v>37</v>
      </c>
      <c r="R36" s="64" t="s">
        <v>1292</v>
      </c>
      <c r="S36" s="65"/>
      <c r="T36" s="65"/>
      <c r="U36" s="65"/>
      <c r="V36" s="65"/>
      <c r="W36" s="65"/>
      <c r="X36" s="65"/>
    </row>
    <row r="37">
      <c r="A37" s="53"/>
      <c r="B37" s="54">
        <v>46210.0</v>
      </c>
      <c r="C37" s="55" t="s">
        <v>1047</v>
      </c>
      <c r="D37" s="56" t="s">
        <v>1293</v>
      </c>
      <c r="E37" s="57"/>
      <c r="F37" s="57"/>
      <c r="G37" s="58" t="s">
        <v>1146</v>
      </c>
      <c r="H37" s="55" t="s">
        <v>1090</v>
      </c>
      <c r="I37" s="59"/>
      <c r="J37" s="55" t="s">
        <v>1294</v>
      </c>
      <c r="K37" s="55" t="s">
        <v>1295</v>
      </c>
      <c r="L37" s="55" t="s">
        <v>1296</v>
      </c>
      <c r="M37" s="74" t="s">
        <v>1297</v>
      </c>
      <c r="N37" s="61" t="s">
        <v>64</v>
      </c>
      <c r="O37" s="62"/>
      <c r="P37" s="63" t="s">
        <v>65</v>
      </c>
      <c r="Q37" s="63" t="s">
        <v>37</v>
      </c>
      <c r="R37" s="64" t="s">
        <v>1298</v>
      </c>
      <c r="S37" s="65"/>
      <c r="T37" s="65"/>
      <c r="U37" s="65"/>
      <c r="V37" s="65"/>
      <c r="W37" s="65"/>
      <c r="X37" s="65"/>
    </row>
    <row r="38">
      <c r="A38" s="53"/>
      <c r="B38" s="54">
        <v>46210.0</v>
      </c>
      <c r="C38" s="55" t="s">
        <v>1047</v>
      </c>
      <c r="D38" s="56" t="s">
        <v>1299</v>
      </c>
      <c r="E38" s="57"/>
      <c r="F38" s="57"/>
      <c r="G38" s="58" t="s">
        <v>1300</v>
      </c>
      <c r="H38" s="55" t="s">
        <v>1090</v>
      </c>
      <c r="I38" s="59"/>
      <c r="J38" s="55" t="s">
        <v>1301</v>
      </c>
      <c r="K38" s="55" t="s">
        <v>1302</v>
      </c>
      <c r="L38" s="55" t="s">
        <v>1303</v>
      </c>
      <c r="M38" s="74" t="s">
        <v>1304</v>
      </c>
      <c r="N38" s="61" t="s">
        <v>64</v>
      </c>
      <c r="O38" s="62"/>
      <c r="P38" s="63" t="s">
        <v>65</v>
      </c>
      <c r="Q38" s="63" t="s">
        <v>37</v>
      </c>
      <c r="R38" s="64" t="s">
        <v>1305</v>
      </c>
      <c r="S38" s="65"/>
      <c r="T38" s="65"/>
      <c r="U38" s="65"/>
      <c r="V38" s="65"/>
      <c r="W38" s="65"/>
      <c r="X38" s="65"/>
    </row>
    <row r="39">
      <c r="A39" s="53"/>
      <c r="B39" s="54">
        <v>46210.0</v>
      </c>
      <c r="C39" s="55" t="s">
        <v>1047</v>
      </c>
      <c r="D39" s="56" t="s">
        <v>1306</v>
      </c>
      <c r="E39" s="57"/>
      <c r="F39" s="57"/>
      <c r="G39" s="58" t="s">
        <v>1307</v>
      </c>
      <c r="H39" s="55" t="s">
        <v>1308</v>
      </c>
      <c r="I39" s="59"/>
      <c r="J39" s="55" t="s">
        <v>1309</v>
      </c>
      <c r="K39" s="55" t="s">
        <v>1310</v>
      </c>
      <c r="L39" s="55" t="s">
        <v>1311</v>
      </c>
      <c r="M39" s="74" t="s">
        <v>1312</v>
      </c>
      <c r="N39" s="61" t="s">
        <v>64</v>
      </c>
      <c r="O39" s="62"/>
      <c r="P39" s="63" t="s">
        <v>65</v>
      </c>
      <c r="Q39" s="63" t="s">
        <v>37</v>
      </c>
      <c r="R39" s="64" t="s">
        <v>1313</v>
      </c>
      <c r="S39" s="65"/>
      <c r="T39" s="65"/>
      <c r="U39" s="65"/>
      <c r="V39" s="65"/>
      <c r="W39" s="65"/>
      <c r="X39" s="65"/>
    </row>
    <row r="40">
      <c r="A40" s="53"/>
      <c r="B40" s="54">
        <v>46210.0</v>
      </c>
      <c r="C40" s="55" t="s">
        <v>1047</v>
      </c>
      <c r="D40" s="56" t="s">
        <v>1314</v>
      </c>
      <c r="E40" s="57"/>
      <c r="F40" s="57"/>
      <c r="G40" s="58" t="s">
        <v>1315</v>
      </c>
      <c r="H40" s="55" t="s">
        <v>1308</v>
      </c>
      <c r="I40" s="59"/>
      <c r="J40" s="55" t="s">
        <v>1316</v>
      </c>
      <c r="K40" s="55" t="s">
        <v>1317</v>
      </c>
      <c r="L40" s="55" t="s">
        <v>1311</v>
      </c>
      <c r="M40" s="74" t="s">
        <v>1318</v>
      </c>
      <c r="N40" s="61" t="s">
        <v>64</v>
      </c>
      <c r="O40" s="62"/>
      <c r="P40" s="63" t="s">
        <v>65</v>
      </c>
      <c r="Q40" s="63" t="s">
        <v>37</v>
      </c>
      <c r="R40" s="64" t="s">
        <v>1319</v>
      </c>
      <c r="S40" s="65"/>
      <c r="T40" s="65"/>
      <c r="U40" s="65"/>
      <c r="V40" s="65"/>
      <c r="W40" s="65"/>
      <c r="X40" s="65"/>
    </row>
    <row r="41">
      <c r="A41" s="53"/>
      <c r="B41" s="54">
        <v>46210.0</v>
      </c>
      <c r="C41" s="55" t="s">
        <v>1047</v>
      </c>
      <c r="D41" s="56" t="s">
        <v>1320</v>
      </c>
      <c r="E41" s="57"/>
      <c r="F41" s="57"/>
      <c r="G41" s="58" t="s">
        <v>1321</v>
      </c>
      <c r="H41" s="55" t="s">
        <v>1090</v>
      </c>
      <c r="I41" s="59"/>
      <c r="J41" s="55" t="s">
        <v>1322</v>
      </c>
      <c r="K41" s="55" t="s">
        <v>1323</v>
      </c>
      <c r="L41" s="55" t="s">
        <v>1324</v>
      </c>
      <c r="M41" s="76"/>
      <c r="N41" s="61" t="s">
        <v>64</v>
      </c>
      <c r="O41" s="62"/>
      <c r="P41" s="63" t="s">
        <v>65</v>
      </c>
      <c r="Q41" s="63" t="s">
        <v>37</v>
      </c>
      <c r="R41" s="64" t="s">
        <v>1325</v>
      </c>
      <c r="S41" s="65"/>
      <c r="T41" s="65"/>
      <c r="U41" s="65"/>
      <c r="V41" s="65"/>
      <c r="W41" s="65"/>
      <c r="X41" s="65"/>
    </row>
    <row r="42">
      <c r="A42" s="53"/>
      <c r="B42" s="54">
        <v>46210.0</v>
      </c>
      <c r="C42" s="55" t="s">
        <v>1047</v>
      </c>
      <c r="D42" s="56" t="s">
        <v>1326</v>
      </c>
      <c r="E42" s="57"/>
      <c r="F42" s="57"/>
      <c r="G42" s="58" t="s">
        <v>1327</v>
      </c>
      <c r="H42" s="55" t="s">
        <v>1090</v>
      </c>
      <c r="I42" s="59"/>
      <c r="J42" s="55" t="s">
        <v>1328</v>
      </c>
      <c r="K42" s="55" t="s">
        <v>1329</v>
      </c>
      <c r="L42" s="55" t="s">
        <v>1330</v>
      </c>
      <c r="M42" s="74" t="s">
        <v>1331</v>
      </c>
      <c r="N42" s="61" t="s">
        <v>64</v>
      </c>
      <c r="O42" s="78"/>
      <c r="P42" s="63" t="s">
        <v>65</v>
      </c>
      <c r="Q42" s="63" t="s">
        <v>37</v>
      </c>
      <c r="R42" s="64" t="s">
        <v>1332</v>
      </c>
      <c r="S42" s="65"/>
      <c r="T42" s="65"/>
      <c r="U42" s="65"/>
      <c r="V42" s="65"/>
      <c r="W42" s="65"/>
      <c r="X42" s="65"/>
    </row>
    <row r="43">
      <c r="A43" s="53"/>
      <c r="B43" s="54">
        <v>46210.0</v>
      </c>
      <c r="C43" s="55" t="s">
        <v>1047</v>
      </c>
      <c r="D43" s="56" t="s">
        <v>1333</v>
      </c>
      <c r="E43" s="57"/>
      <c r="F43" s="57"/>
      <c r="G43" s="58" t="s">
        <v>1334</v>
      </c>
      <c r="H43" s="55" t="s">
        <v>1090</v>
      </c>
      <c r="I43" s="59"/>
      <c r="J43" s="55" t="s">
        <v>1335</v>
      </c>
      <c r="K43" s="55" t="s">
        <v>1336</v>
      </c>
      <c r="L43" s="55" t="s">
        <v>1337</v>
      </c>
      <c r="M43" s="74" t="s">
        <v>1338</v>
      </c>
      <c r="N43" s="61" t="s">
        <v>64</v>
      </c>
      <c r="O43" s="62"/>
      <c r="P43" s="63" t="s">
        <v>65</v>
      </c>
      <c r="Q43" s="63" t="s">
        <v>37</v>
      </c>
      <c r="R43" s="64" t="s">
        <v>1339</v>
      </c>
      <c r="S43" s="65"/>
      <c r="T43" s="65"/>
      <c r="U43" s="65"/>
      <c r="V43" s="65"/>
      <c r="W43" s="65"/>
      <c r="X43" s="65"/>
    </row>
    <row r="44">
      <c r="A44" s="53"/>
      <c r="B44" s="54">
        <v>46210.0</v>
      </c>
      <c r="C44" s="55" t="s">
        <v>1047</v>
      </c>
      <c r="D44" s="56" t="s">
        <v>1340</v>
      </c>
      <c r="E44" s="57"/>
      <c r="F44" s="57"/>
      <c r="G44" s="58" t="s">
        <v>1341</v>
      </c>
      <c r="H44" s="55" t="s">
        <v>1090</v>
      </c>
      <c r="I44" s="59"/>
      <c r="J44" s="55" t="s">
        <v>1342</v>
      </c>
      <c r="K44" s="55" t="s">
        <v>1343</v>
      </c>
      <c r="L44" s="55" t="s">
        <v>1344</v>
      </c>
      <c r="M44" s="74" t="s">
        <v>1345</v>
      </c>
      <c r="N44" s="61" t="s">
        <v>64</v>
      </c>
      <c r="O44" s="62"/>
      <c r="P44" s="63" t="s">
        <v>65</v>
      </c>
      <c r="Q44" s="63" t="s">
        <v>37</v>
      </c>
      <c r="R44" s="64" t="s">
        <v>1346</v>
      </c>
      <c r="S44" s="65"/>
      <c r="T44" s="65"/>
      <c r="U44" s="65"/>
      <c r="V44" s="65"/>
      <c r="W44" s="65"/>
      <c r="X44" s="65"/>
    </row>
    <row r="45">
      <c r="A45" s="53"/>
      <c r="B45" s="54">
        <v>46210.0</v>
      </c>
      <c r="C45" s="55" t="s">
        <v>1047</v>
      </c>
      <c r="D45" s="56" t="s">
        <v>1347</v>
      </c>
      <c r="E45" s="57"/>
      <c r="F45" s="57"/>
      <c r="G45" s="58" t="s">
        <v>1348</v>
      </c>
      <c r="H45" s="55" t="s">
        <v>1090</v>
      </c>
      <c r="I45" s="59"/>
      <c r="J45" s="55" t="s">
        <v>1349</v>
      </c>
      <c r="K45" s="55" t="s">
        <v>1350</v>
      </c>
      <c r="L45" s="55" t="s">
        <v>1351</v>
      </c>
      <c r="M45" s="74" t="s">
        <v>1352</v>
      </c>
      <c r="N45" s="61" t="s">
        <v>64</v>
      </c>
      <c r="O45" s="62"/>
      <c r="P45" s="63" t="s">
        <v>65</v>
      </c>
      <c r="Q45" s="63" t="s">
        <v>37</v>
      </c>
      <c r="R45" s="64" t="s">
        <v>1353</v>
      </c>
      <c r="S45" s="65"/>
      <c r="T45" s="65"/>
      <c r="U45" s="65"/>
      <c r="V45" s="65"/>
      <c r="W45" s="65"/>
      <c r="X45" s="65"/>
    </row>
    <row r="46">
      <c r="A46" s="53"/>
      <c r="B46" s="54">
        <v>46210.0</v>
      </c>
      <c r="C46" s="55" t="s">
        <v>1047</v>
      </c>
      <c r="D46" s="56" t="s">
        <v>1354</v>
      </c>
      <c r="E46" s="57"/>
      <c r="F46" s="57"/>
      <c r="G46" s="58" t="s">
        <v>1355</v>
      </c>
      <c r="H46" s="55" t="s">
        <v>1356</v>
      </c>
      <c r="I46" s="59"/>
      <c r="J46" s="55" t="s">
        <v>1357</v>
      </c>
      <c r="K46" s="55" t="s">
        <v>1358</v>
      </c>
      <c r="L46" s="55" t="s">
        <v>1359</v>
      </c>
      <c r="M46" s="74" t="s">
        <v>1360</v>
      </c>
      <c r="N46" s="61" t="s">
        <v>64</v>
      </c>
      <c r="O46" s="62"/>
      <c r="P46" s="63" t="s">
        <v>65</v>
      </c>
      <c r="Q46" s="63" t="s">
        <v>37</v>
      </c>
      <c r="R46" s="64" t="s">
        <v>1361</v>
      </c>
      <c r="S46" s="65"/>
      <c r="T46" s="65"/>
      <c r="U46" s="65"/>
      <c r="V46" s="65"/>
      <c r="W46" s="65"/>
      <c r="X46" s="65"/>
    </row>
    <row r="47">
      <c r="A47" s="53"/>
      <c r="B47" s="54">
        <v>46210.0</v>
      </c>
      <c r="C47" s="55" t="s">
        <v>1047</v>
      </c>
      <c r="D47" s="56" t="s">
        <v>1362</v>
      </c>
      <c r="E47" s="57"/>
      <c r="F47" s="57"/>
      <c r="G47" s="58" t="s">
        <v>1363</v>
      </c>
      <c r="H47" s="55" t="s">
        <v>1356</v>
      </c>
      <c r="I47" s="59"/>
      <c r="J47" s="55" t="s">
        <v>1364</v>
      </c>
      <c r="K47" s="55" t="s">
        <v>1365</v>
      </c>
      <c r="L47" s="55" t="s">
        <v>1366</v>
      </c>
      <c r="M47" s="74" t="s">
        <v>1367</v>
      </c>
      <c r="N47" s="61" t="s">
        <v>64</v>
      </c>
      <c r="O47" s="62"/>
      <c r="P47" s="63" t="s">
        <v>65</v>
      </c>
      <c r="Q47" s="63" t="s">
        <v>37</v>
      </c>
      <c r="R47" s="64" t="s">
        <v>1368</v>
      </c>
      <c r="S47" s="65"/>
      <c r="T47" s="65"/>
      <c r="U47" s="65"/>
      <c r="V47" s="65"/>
      <c r="W47" s="65"/>
      <c r="X47" s="65"/>
    </row>
    <row r="48">
      <c r="A48" s="53"/>
      <c r="B48" s="54">
        <v>46210.0</v>
      </c>
      <c r="C48" s="55" t="s">
        <v>1047</v>
      </c>
      <c r="D48" s="56" t="s">
        <v>1369</v>
      </c>
      <c r="E48" s="57"/>
      <c r="F48" s="57"/>
      <c r="G48" s="58" t="s">
        <v>1370</v>
      </c>
      <c r="H48" s="55" t="s">
        <v>1371</v>
      </c>
      <c r="I48" s="59"/>
      <c r="J48" s="55" t="s">
        <v>1372</v>
      </c>
      <c r="K48" s="55" t="s">
        <v>1373</v>
      </c>
      <c r="L48" s="55" t="s">
        <v>1374</v>
      </c>
      <c r="M48" s="74" t="s">
        <v>1375</v>
      </c>
      <c r="N48" s="61" t="s">
        <v>64</v>
      </c>
      <c r="O48" s="62"/>
      <c r="P48" s="63" t="s">
        <v>649</v>
      </c>
      <c r="Q48" s="63" t="s">
        <v>649</v>
      </c>
      <c r="R48" s="64" t="s">
        <v>1376</v>
      </c>
      <c r="S48" s="65"/>
      <c r="T48" s="65"/>
      <c r="U48" s="65"/>
      <c r="V48" s="65"/>
      <c r="W48" s="65"/>
      <c r="X48" s="65"/>
    </row>
    <row r="49">
      <c r="A49" s="53"/>
      <c r="B49" s="54">
        <v>46210.0</v>
      </c>
      <c r="C49" s="55" t="s">
        <v>1047</v>
      </c>
      <c r="D49" s="56" t="s">
        <v>1377</v>
      </c>
      <c r="E49" s="57"/>
      <c r="F49" s="57"/>
      <c r="G49" s="58" t="s">
        <v>1378</v>
      </c>
      <c r="H49" s="55" t="s">
        <v>1090</v>
      </c>
      <c r="I49" s="59"/>
      <c r="J49" s="55" t="s">
        <v>1379</v>
      </c>
      <c r="K49" s="55" t="s">
        <v>1380</v>
      </c>
      <c r="L49" s="55" t="s">
        <v>1381</v>
      </c>
      <c r="M49" s="74" t="s">
        <v>1382</v>
      </c>
      <c r="N49" s="61" t="s">
        <v>64</v>
      </c>
      <c r="O49" s="62"/>
      <c r="P49" s="63" t="s">
        <v>65</v>
      </c>
      <c r="Q49" s="63" t="s">
        <v>37</v>
      </c>
      <c r="R49" s="64" t="s">
        <v>1383</v>
      </c>
      <c r="S49" s="65"/>
      <c r="T49" s="65"/>
      <c r="U49" s="65"/>
      <c r="V49" s="65"/>
      <c r="W49" s="65"/>
      <c r="X49" s="65"/>
    </row>
    <row r="50">
      <c r="A50" s="53"/>
      <c r="B50" s="54">
        <v>46210.0</v>
      </c>
      <c r="C50" s="55" t="s">
        <v>1047</v>
      </c>
      <c r="D50" s="56" t="s">
        <v>1384</v>
      </c>
      <c r="E50" s="57"/>
      <c r="F50" s="57"/>
      <c r="G50" s="58" t="s">
        <v>1385</v>
      </c>
      <c r="H50" s="55" t="s">
        <v>1120</v>
      </c>
      <c r="I50" s="59"/>
      <c r="J50" s="55" t="s">
        <v>1386</v>
      </c>
      <c r="K50" s="55" t="s">
        <v>1387</v>
      </c>
      <c r="L50" s="55" t="s">
        <v>1388</v>
      </c>
      <c r="M50" s="77" t="s">
        <v>1389</v>
      </c>
      <c r="N50" s="61" t="s">
        <v>64</v>
      </c>
      <c r="O50" s="62"/>
      <c r="P50" s="63" t="s">
        <v>65</v>
      </c>
      <c r="Q50" s="63" t="s">
        <v>37</v>
      </c>
      <c r="R50" s="64" t="s">
        <v>1390</v>
      </c>
      <c r="S50" s="65"/>
      <c r="T50" s="65"/>
      <c r="U50" s="65"/>
      <c r="V50" s="65"/>
      <c r="W50" s="65"/>
      <c r="X50" s="65"/>
    </row>
    <row r="51">
      <c r="A51" s="53"/>
      <c r="B51" s="54">
        <v>46210.0</v>
      </c>
      <c r="C51" s="55" t="s">
        <v>1047</v>
      </c>
      <c r="D51" s="56" t="s">
        <v>1391</v>
      </c>
      <c r="E51" s="57"/>
      <c r="F51" s="57"/>
      <c r="G51" s="58" t="s">
        <v>1224</v>
      </c>
      <c r="H51" s="55" t="s">
        <v>1120</v>
      </c>
      <c r="I51" s="59"/>
      <c r="J51" s="55" t="s">
        <v>1392</v>
      </c>
      <c r="K51" s="55" t="s">
        <v>1226</v>
      </c>
      <c r="L51" s="55" t="s">
        <v>1393</v>
      </c>
      <c r="M51" s="74" t="s">
        <v>1394</v>
      </c>
      <c r="N51" s="61" t="s">
        <v>64</v>
      </c>
      <c r="O51" s="62"/>
      <c r="P51" s="63" t="s">
        <v>65</v>
      </c>
      <c r="Q51" s="63" t="s">
        <v>37</v>
      </c>
      <c r="R51" s="64" t="s">
        <v>1395</v>
      </c>
      <c r="S51" s="65"/>
      <c r="T51" s="65"/>
      <c r="U51" s="65"/>
      <c r="V51" s="65"/>
      <c r="W51" s="65"/>
      <c r="X51" s="65"/>
    </row>
    <row r="52">
      <c r="A52" s="53"/>
      <c r="B52" s="54">
        <v>46211.0</v>
      </c>
      <c r="C52" s="55" t="s">
        <v>1047</v>
      </c>
      <c r="D52" s="56" t="s">
        <v>1396</v>
      </c>
      <c r="E52" s="57"/>
      <c r="F52" s="57"/>
      <c r="G52" s="58" t="s">
        <v>1397</v>
      </c>
      <c r="H52" s="55" t="s">
        <v>1066</v>
      </c>
      <c r="I52" s="59"/>
      <c r="J52" s="55" t="s">
        <v>1398</v>
      </c>
      <c r="K52" s="55" t="s">
        <v>1399</v>
      </c>
      <c r="L52" s="55" t="s">
        <v>1400</v>
      </c>
      <c r="M52" s="74" t="s">
        <v>1401</v>
      </c>
      <c r="N52" s="61" t="s">
        <v>64</v>
      </c>
      <c r="O52" s="62"/>
      <c r="P52" s="63" t="s">
        <v>65</v>
      </c>
      <c r="Q52" s="63" t="s">
        <v>37</v>
      </c>
      <c r="R52" s="64" t="s">
        <v>1402</v>
      </c>
      <c r="S52" s="65"/>
      <c r="T52" s="65"/>
      <c r="U52" s="65"/>
      <c r="V52" s="65"/>
      <c r="W52" s="65"/>
      <c r="X52" s="65"/>
    </row>
    <row r="53">
      <c r="A53" s="53"/>
      <c r="B53" s="54">
        <v>46211.0</v>
      </c>
      <c r="C53" s="55" t="s">
        <v>1047</v>
      </c>
      <c r="D53" s="56" t="s">
        <v>1403</v>
      </c>
      <c r="E53" s="57"/>
      <c r="F53" s="57"/>
      <c r="G53" s="58" t="s">
        <v>1404</v>
      </c>
      <c r="H53" s="55" t="s">
        <v>1066</v>
      </c>
      <c r="I53" s="59"/>
      <c r="J53" s="55" t="s">
        <v>1398</v>
      </c>
      <c r="K53" s="55" t="s">
        <v>1399</v>
      </c>
      <c r="L53" s="55" t="s">
        <v>1405</v>
      </c>
      <c r="M53" s="74" t="s">
        <v>1406</v>
      </c>
      <c r="N53" s="61" t="s">
        <v>64</v>
      </c>
      <c r="O53" s="62"/>
      <c r="P53" s="63" t="s">
        <v>65</v>
      </c>
      <c r="Q53" s="63" t="s">
        <v>37</v>
      </c>
      <c r="R53" s="64" t="s">
        <v>1407</v>
      </c>
      <c r="S53" s="65"/>
      <c r="T53" s="65"/>
      <c r="U53" s="65"/>
      <c r="V53" s="65"/>
      <c r="W53" s="65"/>
      <c r="X53" s="65"/>
    </row>
    <row r="54">
      <c r="A54" s="53"/>
      <c r="B54" s="54">
        <v>46211.0</v>
      </c>
      <c r="C54" s="55" t="s">
        <v>1047</v>
      </c>
      <c r="D54" s="56" t="s">
        <v>1408</v>
      </c>
      <c r="E54" s="57"/>
      <c r="F54" s="57"/>
      <c r="G54" s="58" t="s">
        <v>1409</v>
      </c>
      <c r="H54" s="55" t="s">
        <v>1090</v>
      </c>
      <c r="I54" s="59"/>
      <c r="J54" s="55" t="s">
        <v>1410</v>
      </c>
      <c r="K54" s="55" t="s">
        <v>1329</v>
      </c>
      <c r="L54" s="55" t="s">
        <v>1411</v>
      </c>
      <c r="M54" s="74" t="s">
        <v>1412</v>
      </c>
      <c r="N54" s="61" t="s">
        <v>64</v>
      </c>
      <c r="O54" s="62"/>
      <c r="P54" s="63" t="s">
        <v>65</v>
      </c>
      <c r="Q54" s="63" t="s">
        <v>37</v>
      </c>
      <c r="R54" s="64" t="s">
        <v>1413</v>
      </c>
      <c r="S54" s="65"/>
      <c r="T54" s="65"/>
      <c r="U54" s="65"/>
      <c r="V54" s="65"/>
      <c r="W54" s="65"/>
      <c r="X54" s="65"/>
    </row>
    <row r="55">
      <c r="A55" s="53"/>
      <c r="B55" s="54">
        <v>46211.0</v>
      </c>
      <c r="C55" s="55" t="s">
        <v>1047</v>
      </c>
      <c r="D55" s="56" t="s">
        <v>1414</v>
      </c>
      <c r="E55" s="57"/>
      <c r="F55" s="57"/>
      <c r="G55" s="58" t="s">
        <v>1415</v>
      </c>
      <c r="H55" s="55" t="s">
        <v>1090</v>
      </c>
      <c r="I55" s="59"/>
      <c r="J55" s="55" t="s">
        <v>1416</v>
      </c>
      <c r="K55" s="55" t="s">
        <v>1417</v>
      </c>
      <c r="L55" s="55" t="s">
        <v>1418</v>
      </c>
      <c r="M55" s="74" t="s">
        <v>1419</v>
      </c>
      <c r="N55" s="61" t="s">
        <v>64</v>
      </c>
      <c r="O55" s="62"/>
      <c r="P55" s="63" t="s">
        <v>65</v>
      </c>
      <c r="Q55" s="63" t="s">
        <v>37</v>
      </c>
      <c r="R55" s="64" t="s">
        <v>1420</v>
      </c>
      <c r="S55" s="65"/>
      <c r="T55" s="65"/>
      <c r="U55" s="65"/>
      <c r="V55" s="65"/>
      <c r="W55" s="65"/>
      <c r="X55" s="65"/>
    </row>
    <row r="56">
      <c r="A56" s="53"/>
      <c r="B56" s="54">
        <v>46211.0</v>
      </c>
      <c r="C56" s="55" t="s">
        <v>1047</v>
      </c>
      <c r="D56" s="56" t="s">
        <v>1421</v>
      </c>
      <c r="E56" s="57"/>
      <c r="F56" s="57"/>
      <c r="G56" s="58" t="s">
        <v>1422</v>
      </c>
      <c r="H56" s="55" t="s">
        <v>1090</v>
      </c>
      <c r="I56" s="59"/>
      <c r="J56" s="55" t="s">
        <v>1423</v>
      </c>
      <c r="K56" s="55" t="s">
        <v>1424</v>
      </c>
      <c r="L56" s="55" t="s">
        <v>1425</v>
      </c>
      <c r="M56" s="74" t="s">
        <v>1426</v>
      </c>
      <c r="N56" s="61" t="s">
        <v>64</v>
      </c>
      <c r="O56" s="62"/>
      <c r="P56" s="63" t="s">
        <v>65</v>
      </c>
      <c r="Q56" s="63" t="s">
        <v>37</v>
      </c>
      <c r="R56" s="64" t="s">
        <v>1427</v>
      </c>
      <c r="S56" s="65"/>
      <c r="T56" s="65"/>
      <c r="U56" s="65"/>
      <c r="V56" s="65"/>
      <c r="W56" s="65"/>
      <c r="X56" s="65"/>
    </row>
    <row r="57">
      <c r="A57" s="53"/>
      <c r="B57" s="54">
        <v>46210.0</v>
      </c>
      <c r="C57" s="55" t="s">
        <v>1047</v>
      </c>
      <c r="D57" s="56" t="s">
        <v>1428</v>
      </c>
      <c r="E57" s="57"/>
      <c r="F57" s="57"/>
      <c r="G57" s="58" t="s">
        <v>1429</v>
      </c>
      <c r="H57" s="55" t="s">
        <v>1120</v>
      </c>
      <c r="I57" s="59"/>
      <c r="J57" s="55" t="s">
        <v>1430</v>
      </c>
      <c r="K57" s="55" t="s">
        <v>1431</v>
      </c>
      <c r="L57" s="55" t="s">
        <v>1432</v>
      </c>
      <c r="M57" s="74" t="s">
        <v>1433</v>
      </c>
      <c r="N57" s="61" t="s">
        <v>64</v>
      </c>
      <c r="O57" s="62"/>
      <c r="P57" s="63" t="s">
        <v>65</v>
      </c>
      <c r="Q57" s="63" t="s">
        <v>37</v>
      </c>
      <c r="R57" s="64" t="s">
        <v>1434</v>
      </c>
      <c r="S57" s="65"/>
      <c r="T57" s="65"/>
      <c r="U57" s="65"/>
      <c r="V57" s="65"/>
      <c r="W57" s="65"/>
      <c r="X57" s="65"/>
    </row>
    <row r="58">
      <c r="A58" s="53"/>
      <c r="B58" s="54">
        <v>46210.0</v>
      </c>
      <c r="C58" s="55" t="s">
        <v>1047</v>
      </c>
      <c r="D58" s="56" t="s">
        <v>1435</v>
      </c>
      <c r="E58" s="57"/>
      <c r="F58" s="57"/>
      <c r="G58" s="58" t="s">
        <v>1436</v>
      </c>
      <c r="H58" s="55" t="s">
        <v>1120</v>
      </c>
      <c r="I58" s="59"/>
      <c r="J58" s="55" t="s">
        <v>1430</v>
      </c>
      <c r="K58" s="55" t="s">
        <v>1437</v>
      </c>
      <c r="L58" s="55" t="s">
        <v>1438</v>
      </c>
      <c r="M58" s="74" t="s">
        <v>1439</v>
      </c>
      <c r="N58" s="61" t="s">
        <v>64</v>
      </c>
      <c r="O58" s="62"/>
      <c r="P58" s="63" t="s">
        <v>65</v>
      </c>
      <c r="Q58" s="63" t="s">
        <v>37</v>
      </c>
      <c r="R58" s="64" t="s">
        <v>1440</v>
      </c>
      <c r="S58" s="65"/>
      <c r="T58" s="65"/>
      <c r="U58" s="65"/>
      <c r="V58" s="65"/>
      <c r="W58" s="65"/>
      <c r="X58" s="65"/>
    </row>
    <row r="59">
      <c r="A59" s="53"/>
      <c r="B59" s="54">
        <v>46210.0</v>
      </c>
      <c r="C59" s="55" t="s">
        <v>1047</v>
      </c>
      <c r="D59" s="56" t="s">
        <v>1441</v>
      </c>
      <c r="E59" s="57"/>
      <c r="F59" s="57"/>
      <c r="G59" s="58" t="s">
        <v>1442</v>
      </c>
      <c r="H59" s="55" t="s">
        <v>1120</v>
      </c>
      <c r="I59" s="59"/>
      <c r="J59" s="55" t="s">
        <v>1443</v>
      </c>
      <c r="K59" s="55" t="s">
        <v>1444</v>
      </c>
      <c r="L59" s="55" t="s">
        <v>1445</v>
      </c>
      <c r="M59" s="74" t="s">
        <v>1446</v>
      </c>
      <c r="N59" s="61" t="s">
        <v>64</v>
      </c>
      <c r="O59" s="62"/>
      <c r="P59" s="63" t="s">
        <v>65</v>
      </c>
      <c r="Q59" s="63" t="s">
        <v>37</v>
      </c>
      <c r="R59" s="64" t="s">
        <v>1447</v>
      </c>
      <c r="S59" s="65"/>
      <c r="T59" s="65"/>
      <c r="U59" s="65"/>
      <c r="V59" s="65"/>
      <c r="W59" s="65"/>
      <c r="X59" s="65"/>
    </row>
    <row r="60">
      <c r="A60" s="53"/>
      <c r="B60" s="54">
        <v>46211.0</v>
      </c>
      <c r="C60" s="55" t="s">
        <v>1047</v>
      </c>
      <c r="D60" s="56" t="s">
        <v>1448</v>
      </c>
      <c r="E60" s="57"/>
      <c r="F60" s="57"/>
      <c r="G60" s="58" t="s">
        <v>1449</v>
      </c>
      <c r="H60" s="55" t="s">
        <v>1450</v>
      </c>
      <c r="I60" s="59"/>
      <c r="J60" s="55" t="s">
        <v>1451</v>
      </c>
      <c r="K60" s="55" t="s">
        <v>1452</v>
      </c>
      <c r="L60" s="55" t="s">
        <v>1453</v>
      </c>
      <c r="M60" s="60" t="s">
        <v>1454</v>
      </c>
      <c r="N60" s="61" t="s">
        <v>64</v>
      </c>
      <c r="O60" s="62"/>
      <c r="P60" s="63" t="s">
        <v>65</v>
      </c>
      <c r="Q60" s="63" t="s">
        <v>37</v>
      </c>
      <c r="R60" s="64" t="s">
        <v>1455</v>
      </c>
      <c r="S60" s="65"/>
      <c r="T60" s="65"/>
      <c r="U60" s="65"/>
      <c r="V60" s="65"/>
      <c r="W60" s="65"/>
      <c r="X60" s="65"/>
    </row>
    <row r="61">
      <c r="A61" s="53"/>
      <c r="B61" s="54">
        <v>46210.0</v>
      </c>
      <c r="C61" s="55" t="s">
        <v>1047</v>
      </c>
      <c r="D61" s="56" t="s">
        <v>1456</v>
      </c>
      <c r="E61" s="57"/>
      <c r="F61" s="57"/>
      <c r="G61" s="58" t="s">
        <v>1457</v>
      </c>
      <c r="H61" s="55" t="s">
        <v>1120</v>
      </c>
      <c r="I61" s="59"/>
      <c r="J61" s="55" t="s">
        <v>1458</v>
      </c>
      <c r="K61" s="55" t="s">
        <v>1459</v>
      </c>
      <c r="L61" s="55" t="s">
        <v>1460</v>
      </c>
      <c r="M61" s="74" t="s">
        <v>1461</v>
      </c>
      <c r="N61" s="61" t="s">
        <v>64</v>
      </c>
      <c r="O61" s="62"/>
      <c r="P61" s="63" t="s">
        <v>65</v>
      </c>
      <c r="Q61" s="63" t="s">
        <v>37</v>
      </c>
      <c r="R61" s="64" t="s">
        <v>1462</v>
      </c>
      <c r="S61" s="65"/>
      <c r="T61" s="65"/>
      <c r="U61" s="65"/>
      <c r="V61" s="65"/>
      <c r="W61" s="65"/>
      <c r="X61" s="65"/>
    </row>
    <row r="62">
      <c r="A62" s="53"/>
      <c r="B62" s="54">
        <v>46210.0</v>
      </c>
      <c r="C62" s="55" t="s">
        <v>1047</v>
      </c>
      <c r="D62" s="56" t="s">
        <v>1463</v>
      </c>
      <c r="E62" s="57"/>
      <c r="F62" s="57"/>
      <c r="G62" s="58" t="s">
        <v>1464</v>
      </c>
      <c r="H62" s="55" t="s">
        <v>1066</v>
      </c>
      <c r="I62" s="59"/>
      <c r="J62" s="55" t="s">
        <v>1465</v>
      </c>
      <c r="K62" s="55" t="s">
        <v>1399</v>
      </c>
      <c r="L62" s="55" t="s">
        <v>1466</v>
      </c>
      <c r="M62" s="74" t="s">
        <v>1467</v>
      </c>
      <c r="N62" s="61" t="s">
        <v>64</v>
      </c>
      <c r="O62" s="62"/>
      <c r="P62" s="63" t="s">
        <v>65</v>
      </c>
      <c r="Q62" s="63" t="s">
        <v>37</v>
      </c>
      <c r="R62" s="64" t="s">
        <v>1468</v>
      </c>
      <c r="S62" s="65"/>
      <c r="T62" s="65"/>
      <c r="U62" s="65"/>
      <c r="V62" s="65"/>
      <c r="W62" s="65"/>
      <c r="X62" s="65"/>
    </row>
    <row r="63">
      <c r="A63" s="53"/>
      <c r="B63" s="54">
        <v>46210.0</v>
      </c>
      <c r="C63" s="55" t="s">
        <v>1047</v>
      </c>
      <c r="D63" s="56" t="s">
        <v>1469</v>
      </c>
      <c r="E63" s="57"/>
      <c r="F63" s="57"/>
      <c r="G63" s="58" t="s">
        <v>1470</v>
      </c>
      <c r="H63" s="55" t="s">
        <v>1066</v>
      </c>
      <c r="I63" s="59"/>
      <c r="J63" s="55" t="s">
        <v>1465</v>
      </c>
      <c r="K63" s="55" t="s">
        <v>1399</v>
      </c>
      <c r="L63" s="55" t="s">
        <v>1471</v>
      </c>
      <c r="M63" s="74" t="s">
        <v>1472</v>
      </c>
      <c r="N63" s="61" t="s">
        <v>64</v>
      </c>
      <c r="O63" s="62"/>
      <c r="P63" s="63" t="s">
        <v>65</v>
      </c>
      <c r="Q63" s="63" t="s">
        <v>37</v>
      </c>
      <c r="R63" s="64" t="s">
        <v>1473</v>
      </c>
      <c r="S63" s="65"/>
      <c r="T63" s="65"/>
      <c r="U63" s="65"/>
      <c r="V63" s="65"/>
      <c r="W63" s="65"/>
      <c r="X63" s="65"/>
    </row>
    <row r="64">
      <c r="A64" s="53"/>
      <c r="B64" s="54">
        <v>46210.0</v>
      </c>
      <c r="C64" s="55" t="s">
        <v>1047</v>
      </c>
      <c r="D64" s="56" t="s">
        <v>1474</v>
      </c>
      <c r="E64" s="57"/>
      <c r="F64" s="57"/>
      <c r="G64" s="58" t="s">
        <v>1475</v>
      </c>
      <c r="H64" s="55" t="s">
        <v>1476</v>
      </c>
      <c r="I64" s="59"/>
      <c r="J64" s="55" t="s">
        <v>1477</v>
      </c>
      <c r="K64" s="55" t="s">
        <v>1478</v>
      </c>
      <c r="L64" s="55" t="s">
        <v>1479</v>
      </c>
      <c r="M64" s="74" t="s">
        <v>1480</v>
      </c>
      <c r="N64" s="61" t="s">
        <v>64</v>
      </c>
      <c r="O64" s="62"/>
      <c r="P64" s="63" t="s">
        <v>65</v>
      </c>
      <c r="Q64" s="63" t="s">
        <v>37</v>
      </c>
      <c r="R64" s="64" t="s">
        <v>1481</v>
      </c>
      <c r="S64" s="65"/>
      <c r="T64" s="65"/>
      <c r="U64" s="65"/>
      <c r="V64" s="65"/>
      <c r="W64" s="65"/>
      <c r="X64" s="65"/>
    </row>
    <row r="65">
      <c r="A65" s="53"/>
      <c r="B65" s="54">
        <v>46210.0</v>
      </c>
      <c r="C65" s="55" t="s">
        <v>1047</v>
      </c>
      <c r="D65" s="56" t="s">
        <v>1482</v>
      </c>
      <c r="E65" s="57"/>
      <c r="F65" s="57"/>
      <c r="G65" s="58" t="s">
        <v>1483</v>
      </c>
      <c r="H65" s="55" t="s">
        <v>1484</v>
      </c>
      <c r="I65" s="59"/>
      <c r="J65" s="55" t="s">
        <v>1477</v>
      </c>
      <c r="K65" s="55" t="s">
        <v>1485</v>
      </c>
      <c r="L65" s="55" t="s">
        <v>1330</v>
      </c>
      <c r="M65" s="74" t="s">
        <v>1486</v>
      </c>
      <c r="N65" s="61" t="s">
        <v>64</v>
      </c>
      <c r="O65" s="62"/>
      <c r="P65" s="63" t="s">
        <v>65</v>
      </c>
      <c r="Q65" s="63" t="s">
        <v>37</v>
      </c>
      <c r="R65" s="64" t="s">
        <v>1487</v>
      </c>
      <c r="S65" s="65"/>
      <c r="T65" s="65"/>
      <c r="U65" s="65"/>
      <c r="V65" s="65"/>
      <c r="W65" s="65"/>
      <c r="X65" s="65"/>
    </row>
    <row r="66">
      <c r="A66" s="53"/>
      <c r="B66" s="54">
        <v>46210.0</v>
      </c>
      <c r="C66" s="55" t="s">
        <v>1047</v>
      </c>
      <c r="D66" s="56" t="s">
        <v>1488</v>
      </c>
      <c r="E66" s="57"/>
      <c r="F66" s="57"/>
      <c r="G66" s="58" t="s">
        <v>1489</v>
      </c>
      <c r="H66" s="55" t="s">
        <v>1490</v>
      </c>
      <c r="I66" s="59"/>
      <c r="J66" s="55" t="s">
        <v>1491</v>
      </c>
      <c r="K66" s="55" t="s">
        <v>1492</v>
      </c>
      <c r="L66" s="55" t="s">
        <v>1493</v>
      </c>
      <c r="M66" s="74" t="s">
        <v>1494</v>
      </c>
      <c r="N66" s="61" t="s">
        <v>64</v>
      </c>
      <c r="O66" s="62"/>
      <c r="P66" s="63" t="s">
        <v>65</v>
      </c>
      <c r="Q66" s="63" t="s">
        <v>37</v>
      </c>
      <c r="R66" s="64" t="s">
        <v>1495</v>
      </c>
      <c r="S66" s="65"/>
      <c r="T66" s="65"/>
      <c r="U66" s="65"/>
      <c r="V66" s="65"/>
      <c r="W66" s="65"/>
      <c r="X66" s="65"/>
    </row>
    <row r="67">
      <c r="A67" s="53"/>
      <c r="B67" s="54">
        <v>46210.0</v>
      </c>
      <c r="C67" s="55" t="s">
        <v>1047</v>
      </c>
      <c r="D67" s="56" t="s">
        <v>1496</v>
      </c>
      <c r="E67" s="57"/>
      <c r="F67" s="57"/>
      <c r="G67" s="58" t="s">
        <v>1497</v>
      </c>
      <c r="H67" s="55" t="s">
        <v>1490</v>
      </c>
      <c r="I67" s="59"/>
      <c r="J67" s="55" t="s">
        <v>1498</v>
      </c>
      <c r="K67" s="55" t="s">
        <v>1499</v>
      </c>
      <c r="L67" s="55" t="s">
        <v>1500</v>
      </c>
      <c r="M67" s="74" t="s">
        <v>1501</v>
      </c>
      <c r="N67" s="61" t="s">
        <v>64</v>
      </c>
      <c r="O67" s="62"/>
      <c r="P67" s="63" t="s">
        <v>65</v>
      </c>
      <c r="Q67" s="63" t="s">
        <v>37</v>
      </c>
      <c r="R67" s="64" t="s">
        <v>1502</v>
      </c>
      <c r="S67" s="65"/>
      <c r="T67" s="65"/>
      <c r="U67" s="65"/>
      <c r="V67" s="65"/>
      <c r="W67" s="65"/>
      <c r="X67" s="65"/>
    </row>
    <row r="68">
      <c r="A68" s="53"/>
      <c r="B68" s="54">
        <v>46211.0</v>
      </c>
      <c r="C68" s="55" t="s">
        <v>1047</v>
      </c>
      <c r="D68" s="56" t="s">
        <v>1503</v>
      </c>
      <c r="E68" s="57"/>
      <c r="F68" s="57"/>
      <c r="G68" s="58" t="s">
        <v>1504</v>
      </c>
      <c r="H68" s="55" t="s">
        <v>1490</v>
      </c>
      <c r="I68" s="59"/>
      <c r="J68" s="55" t="s">
        <v>1505</v>
      </c>
      <c r="K68" s="55" t="s">
        <v>1506</v>
      </c>
      <c r="L68" s="55" t="s">
        <v>1507</v>
      </c>
      <c r="M68" s="74" t="s">
        <v>1508</v>
      </c>
      <c r="N68" s="61" t="s">
        <v>64</v>
      </c>
      <c r="O68" s="62"/>
      <c r="P68" s="63" t="s">
        <v>65</v>
      </c>
      <c r="Q68" s="63" t="s">
        <v>37</v>
      </c>
      <c r="R68" s="64" t="s">
        <v>1509</v>
      </c>
      <c r="S68" s="65"/>
      <c r="T68" s="65"/>
      <c r="U68" s="65"/>
      <c r="V68" s="65"/>
      <c r="W68" s="65"/>
      <c r="X68" s="65"/>
    </row>
    <row r="69">
      <c r="A69" s="53"/>
      <c r="B69" s="54">
        <v>46211.0</v>
      </c>
      <c r="C69" s="55" t="s">
        <v>1047</v>
      </c>
      <c r="D69" s="56" t="s">
        <v>1510</v>
      </c>
      <c r="E69" s="57"/>
      <c r="F69" s="57"/>
      <c r="G69" s="58" t="s">
        <v>1511</v>
      </c>
      <c r="H69" s="55" t="s">
        <v>1512</v>
      </c>
      <c r="I69" s="59"/>
      <c r="J69" s="55" t="s">
        <v>1513</v>
      </c>
      <c r="K69" s="55" t="s">
        <v>1514</v>
      </c>
      <c r="L69" s="55" t="s">
        <v>1515</v>
      </c>
      <c r="M69" s="74" t="s">
        <v>1516</v>
      </c>
      <c r="N69" s="61" t="s">
        <v>64</v>
      </c>
      <c r="O69" s="62"/>
      <c r="P69" s="63" t="s">
        <v>65</v>
      </c>
      <c r="Q69" s="63" t="s">
        <v>37</v>
      </c>
      <c r="R69" s="64" t="s">
        <v>1517</v>
      </c>
      <c r="S69" s="65"/>
      <c r="T69" s="65"/>
      <c r="U69" s="65"/>
      <c r="V69" s="65"/>
      <c r="W69" s="65"/>
      <c r="X69" s="65"/>
    </row>
    <row r="70">
      <c r="A70" s="53"/>
      <c r="B70" s="54">
        <v>46211.0</v>
      </c>
      <c r="C70" s="55" t="s">
        <v>1047</v>
      </c>
      <c r="D70" s="56" t="s">
        <v>1518</v>
      </c>
      <c r="E70" s="57"/>
      <c r="F70" s="57"/>
      <c r="G70" s="58" t="s">
        <v>1519</v>
      </c>
      <c r="H70" s="55" t="s">
        <v>1512</v>
      </c>
      <c r="I70" s="59"/>
      <c r="J70" s="55" t="s">
        <v>1513</v>
      </c>
      <c r="K70" s="55" t="s">
        <v>1520</v>
      </c>
      <c r="L70" s="55" t="s">
        <v>1521</v>
      </c>
      <c r="M70" s="74" t="s">
        <v>1522</v>
      </c>
      <c r="N70" s="61" t="s">
        <v>64</v>
      </c>
      <c r="O70" s="62"/>
      <c r="P70" s="63" t="s">
        <v>65</v>
      </c>
      <c r="Q70" s="63" t="s">
        <v>37</v>
      </c>
      <c r="R70" s="64" t="s">
        <v>1523</v>
      </c>
      <c r="S70" s="65"/>
      <c r="T70" s="65"/>
      <c r="U70" s="65"/>
      <c r="V70" s="65"/>
      <c r="W70" s="65"/>
      <c r="X70" s="65"/>
    </row>
    <row r="71">
      <c r="A71" s="53"/>
      <c r="B71" s="54">
        <v>46211.0</v>
      </c>
      <c r="C71" s="55" t="s">
        <v>1047</v>
      </c>
      <c r="D71" s="56" t="s">
        <v>1524</v>
      </c>
      <c r="E71" s="57"/>
      <c r="F71" s="57"/>
      <c r="G71" s="58" t="s">
        <v>1422</v>
      </c>
      <c r="H71" s="55" t="s">
        <v>1525</v>
      </c>
      <c r="I71" s="59"/>
      <c r="J71" s="55" t="s">
        <v>1451</v>
      </c>
      <c r="K71" s="55" t="s">
        <v>1399</v>
      </c>
      <c r="L71" s="55" t="s">
        <v>1526</v>
      </c>
      <c r="M71" s="74" t="s">
        <v>1527</v>
      </c>
      <c r="N71" s="61" t="s">
        <v>64</v>
      </c>
      <c r="O71" s="62"/>
      <c r="P71" s="63" t="s">
        <v>65</v>
      </c>
      <c r="Q71" s="63" t="s">
        <v>37</v>
      </c>
      <c r="R71" s="64" t="s">
        <v>1528</v>
      </c>
      <c r="S71" s="65"/>
      <c r="T71" s="65"/>
      <c r="U71" s="65"/>
      <c r="V71" s="65"/>
      <c r="W71" s="65"/>
      <c r="X71" s="65"/>
    </row>
    <row r="72">
      <c r="A72" s="53"/>
      <c r="B72" s="54">
        <v>46211.0</v>
      </c>
      <c r="C72" s="55" t="s">
        <v>1047</v>
      </c>
      <c r="D72" s="56" t="s">
        <v>1529</v>
      </c>
      <c r="E72" s="57"/>
      <c r="F72" s="57"/>
      <c r="G72" s="58" t="s">
        <v>1530</v>
      </c>
      <c r="H72" s="55" t="s">
        <v>1525</v>
      </c>
      <c r="I72" s="59"/>
      <c r="J72" s="55" t="s">
        <v>1531</v>
      </c>
      <c r="K72" s="55" t="s">
        <v>1532</v>
      </c>
      <c r="L72" s="55" t="s">
        <v>1533</v>
      </c>
      <c r="M72" s="74" t="s">
        <v>1534</v>
      </c>
      <c r="N72" s="61" t="s">
        <v>64</v>
      </c>
      <c r="O72" s="62"/>
      <c r="P72" s="63" t="s">
        <v>65</v>
      </c>
      <c r="Q72" s="63" t="s">
        <v>37</v>
      </c>
      <c r="R72" s="64" t="s">
        <v>1535</v>
      </c>
      <c r="S72" s="65"/>
      <c r="T72" s="65"/>
      <c r="U72" s="65"/>
      <c r="V72" s="65"/>
      <c r="W72" s="65"/>
      <c r="X72" s="65"/>
    </row>
    <row r="73">
      <c r="A73" s="53"/>
      <c r="B73" s="54">
        <v>46211.0</v>
      </c>
      <c r="C73" s="55" t="s">
        <v>1047</v>
      </c>
      <c r="D73" s="56" t="s">
        <v>1536</v>
      </c>
      <c r="E73" s="57"/>
      <c r="F73" s="57"/>
      <c r="G73" s="58" t="s">
        <v>1537</v>
      </c>
      <c r="H73" s="55" t="s">
        <v>1525</v>
      </c>
      <c r="I73" s="59"/>
      <c r="J73" s="55" t="s">
        <v>1538</v>
      </c>
      <c r="K73" s="55" t="s">
        <v>1539</v>
      </c>
      <c r="L73" s="55" t="s">
        <v>1540</v>
      </c>
      <c r="M73" s="74" t="s">
        <v>1541</v>
      </c>
      <c r="N73" s="61" t="s">
        <v>64</v>
      </c>
      <c r="O73" s="62"/>
      <c r="P73" s="63" t="s">
        <v>65</v>
      </c>
      <c r="Q73" s="63" t="s">
        <v>37</v>
      </c>
      <c r="R73" s="64" t="s">
        <v>1542</v>
      </c>
      <c r="S73" s="65"/>
      <c r="T73" s="65"/>
      <c r="U73" s="65"/>
      <c r="V73" s="65"/>
      <c r="W73" s="65"/>
      <c r="X73" s="65"/>
    </row>
    <row r="74">
      <c r="A74" s="53"/>
      <c r="B74" s="54">
        <v>46211.0</v>
      </c>
      <c r="C74" s="55" t="s">
        <v>1047</v>
      </c>
      <c r="D74" s="56" t="s">
        <v>1543</v>
      </c>
      <c r="E74" s="57"/>
      <c r="F74" s="57"/>
      <c r="G74" s="58" t="s">
        <v>1544</v>
      </c>
      <c r="H74" s="55" t="s">
        <v>1525</v>
      </c>
      <c r="I74" s="59"/>
      <c r="J74" s="55" t="s">
        <v>1545</v>
      </c>
      <c r="K74" s="55" t="s">
        <v>1546</v>
      </c>
      <c r="L74" s="55" t="s">
        <v>1547</v>
      </c>
      <c r="M74" s="74" t="s">
        <v>1548</v>
      </c>
      <c r="N74" s="61" t="s">
        <v>64</v>
      </c>
      <c r="O74" s="62"/>
      <c r="P74" s="63" t="s">
        <v>65</v>
      </c>
      <c r="Q74" s="63" t="s">
        <v>37</v>
      </c>
      <c r="R74" s="64" t="s">
        <v>1549</v>
      </c>
      <c r="S74" s="65"/>
      <c r="T74" s="65"/>
      <c r="U74" s="65"/>
      <c r="V74" s="65"/>
      <c r="W74" s="65"/>
      <c r="X74" s="65"/>
    </row>
    <row r="75">
      <c r="A75" s="75"/>
      <c r="B75" s="54">
        <v>46211.0</v>
      </c>
      <c r="C75" s="55" t="s">
        <v>1047</v>
      </c>
      <c r="D75" s="56" t="s">
        <v>1550</v>
      </c>
      <c r="E75" s="76"/>
      <c r="F75" s="76"/>
      <c r="G75" s="55" t="s">
        <v>1551</v>
      </c>
      <c r="H75" s="55" t="s">
        <v>1525</v>
      </c>
      <c r="I75" s="59"/>
      <c r="J75" s="55" t="s">
        <v>1552</v>
      </c>
      <c r="K75" s="55" t="s">
        <v>1553</v>
      </c>
      <c r="L75" s="55" t="s">
        <v>1554</v>
      </c>
      <c r="M75" s="74" t="s">
        <v>1555</v>
      </c>
      <c r="N75" s="61" t="s">
        <v>64</v>
      </c>
      <c r="O75" s="62"/>
      <c r="P75" s="63" t="s">
        <v>65</v>
      </c>
      <c r="Q75" s="63" t="s">
        <v>37</v>
      </c>
      <c r="R75" s="64" t="s">
        <v>1556</v>
      </c>
      <c r="S75" s="65"/>
      <c r="T75" s="65"/>
      <c r="U75" s="65"/>
      <c r="V75" s="65"/>
      <c r="W75" s="65"/>
      <c r="X75" s="65"/>
    </row>
    <row r="76">
      <c r="A76" s="75"/>
      <c r="B76" s="54">
        <v>46211.0</v>
      </c>
      <c r="C76" s="55" t="s">
        <v>1047</v>
      </c>
      <c r="D76" s="56" t="s">
        <v>1557</v>
      </c>
      <c r="E76" s="76"/>
      <c r="F76" s="76"/>
      <c r="G76" s="55" t="s">
        <v>1558</v>
      </c>
      <c r="H76" s="55" t="s">
        <v>1559</v>
      </c>
      <c r="I76" s="59"/>
      <c r="J76" s="55" t="s">
        <v>1560</v>
      </c>
      <c r="K76" s="55" t="s">
        <v>1539</v>
      </c>
      <c r="L76" s="55" t="s">
        <v>1561</v>
      </c>
      <c r="M76" s="74" t="s">
        <v>1562</v>
      </c>
      <c r="N76" s="61" t="s">
        <v>64</v>
      </c>
      <c r="O76" s="62"/>
      <c r="P76" s="63" t="s">
        <v>65</v>
      </c>
      <c r="Q76" s="63" t="s">
        <v>37</v>
      </c>
      <c r="R76" s="64" t="s">
        <v>1563</v>
      </c>
      <c r="S76" s="65"/>
      <c r="T76" s="65"/>
      <c r="U76" s="65"/>
      <c r="V76" s="65"/>
      <c r="W76" s="65"/>
      <c r="X76" s="65"/>
    </row>
    <row r="77">
      <c r="A77" s="75"/>
      <c r="B77" s="54">
        <v>46211.0</v>
      </c>
      <c r="C77" s="55" t="s">
        <v>1047</v>
      </c>
      <c r="D77" s="56" t="s">
        <v>1564</v>
      </c>
      <c r="E77" s="76"/>
      <c r="F77" s="76"/>
      <c r="G77" s="55" t="s">
        <v>1565</v>
      </c>
      <c r="H77" s="55" t="s">
        <v>1566</v>
      </c>
      <c r="I77" s="59"/>
      <c r="J77" s="55" t="s">
        <v>1567</v>
      </c>
      <c r="K77" s="55" t="s">
        <v>1568</v>
      </c>
      <c r="L77" s="55" t="s">
        <v>1569</v>
      </c>
      <c r="M77" s="74" t="s">
        <v>1570</v>
      </c>
      <c r="N77" s="61" t="s">
        <v>64</v>
      </c>
      <c r="O77" s="62"/>
      <c r="P77" s="63" t="s">
        <v>65</v>
      </c>
      <c r="Q77" s="63" t="s">
        <v>37</v>
      </c>
      <c r="R77" s="64" t="s">
        <v>1571</v>
      </c>
      <c r="S77" s="65"/>
      <c r="T77" s="65"/>
      <c r="U77" s="65"/>
      <c r="V77" s="65"/>
      <c r="W77" s="65"/>
      <c r="X77" s="65"/>
    </row>
    <row r="78">
      <c r="A78" s="75"/>
      <c r="B78" s="54">
        <v>46211.0</v>
      </c>
      <c r="C78" s="55" t="s">
        <v>1047</v>
      </c>
      <c r="D78" s="56" t="s">
        <v>1572</v>
      </c>
      <c r="E78" s="76"/>
      <c r="F78" s="76"/>
      <c r="G78" s="55" t="s">
        <v>1573</v>
      </c>
      <c r="H78" s="55" t="s">
        <v>1574</v>
      </c>
      <c r="I78" s="59"/>
      <c r="J78" s="55" t="s">
        <v>1575</v>
      </c>
      <c r="K78" s="55" t="s">
        <v>1399</v>
      </c>
      <c r="L78" s="55" t="s">
        <v>1576</v>
      </c>
      <c r="M78" s="74" t="s">
        <v>1577</v>
      </c>
      <c r="N78" s="61" t="s">
        <v>64</v>
      </c>
      <c r="O78" s="62"/>
      <c r="P78" s="63" t="s">
        <v>649</v>
      </c>
      <c r="Q78" s="63" t="s">
        <v>649</v>
      </c>
      <c r="R78" s="64" t="s">
        <v>1578</v>
      </c>
      <c r="S78" s="65"/>
      <c r="T78" s="65"/>
      <c r="U78" s="65"/>
      <c r="V78" s="65"/>
      <c r="W78" s="65"/>
      <c r="X78" s="65"/>
    </row>
    <row r="79">
      <c r="A79" s="75"/>
      <c r="B79" s="54">
        <v>46211.0</v>
      </c>
      <c r="C79" s="55" t="s">
        <v>1047</v>
      </c>
      <c r="D79" s="56" t="s">
        <v>1579</v>
      </c>
      <c r="E79" s="76"/>
      <c r="F79" s="76"/>
      <c r="G79" s="55" t="s">
        <v>1580</v>
      </c>
      <c r="H79" s="55" t="s">
        <v>1574</v>
      </c>
      <c r="I79" s="59"/>
      <c r="J79" s="55" t="s">
        <v>1581</v>
      </c>
      <c r="K79" s="55" t="s">
        <v>1399</v>
      </c>
      <c r="L79" s="55" t="s">
        <v>1582</v>
      </c>
      <c r="M79" s="74" t="s">
        <v>1583</v>
      </c>
      <c r="N79" s="61" t="s">
        <v>64</v>
      </c>
      <c r="O79" s="62"/>
      <c r="P79" s="63" t="s">
        <v>65</v>
      </c>
      <c r="Q79" s="63" t="s">
        <v>37</v>
      </c>
      <c r="R79" s="64" t="s">
        <v>1584</v>
      </c>
      <c r="S79" s="65"/>
      <c r="T79" s="65"/>
      <c r="U79" s="65"/>
      <c r="V79" s="65"/>
      <c r="W79" s="65"/>
      <c r="X79" s="65"/>
    </row>
    <row r="80">
      <c r="A80" s="75"/>
      <c r="B80" s="54">
        <v>46211.0</v>
      </c>
      <c r="C80" s="55" t="s">
        <v>1047</v>
      </c>
      <c r="D80" s="56" t="s">
        <v>1585</v>
      </c>
      <c r="E80" s="76"/>
      <c r="F80" s="76"/>
      <c r="G80" s="55" t="s">
        <v>1586</v>
      </c>
      <c r="H80" s="55" t="s">
        <v>1574</v>
      </c>
      <c r="I80" s="59"/>
      <c r="J80" s="55" t="s">
        <v>1587</v>
      </c>
      <c r="K80" s="55" t="s">
        <v>1539</v>
      </c>
      <c r="L80" s="55" t="s">
        <v>1588</v>
      </c>
      <c r="M80" s="74" t="s">
        <v>1589</v>
      </c>
      <c r="N80" s="61" t="s">
        <v>64</v>
      </c>
      <c r="O80" s="62"/>
      <c r="P80" s="63" t="s">
        <v>65</v>
      </c>
      <c r="Q80" s="63" t="s">
        <v>37</v>
      </c>
      <c r="R80" s="64" t="s">
        <v>1590</v>
      </c>
      <c r="S80" s="65"/>
      <c r="T80" s="65"/>
      <c r="U80" s="65"/>
      <c r="V80" s="65"/>
      <c r="W80" s="65"/>
      <c r="X80" s="65"/>
    </row>
    <row r="81">
      <c r="A81" s="67"/>
      <c r="B81" s="68">
        <v>48.0</v>
      </c>
      <c r="C81" s="55" t="s">
        <v>1047</v>
      </c>
      <c r="D81" s="69" t="s">
        <v>1591</v>
      </c>
      <c r="E81" s="68" t="s">
        <v>1592</v>
      </c>
      <c r="F81" s="68" t="s">
        <v>797</v>
      </c>
      <c r="G81" s="70" t="s">
        <v>1593</v>
      </c>
      <c r="H81" s="55" t="s">
        <v>1574</v>
      </c>
      <c r="I81" s="59"/>
      <c r="J81" s="55" t="s">
        <v>1594</v>
      </c>
      <c r="K81" s="55" t="s">
        <v>1593</v>
      </c>
      <c r="L81" s="55" t="s">
        <v>1595</v>
      </c>
      <c r="M81" s="60" t="s">
        <v>1596</v>
      </c>
      <c r="N81" s="61" t="s">
        <v>64</v>
      </c>
      <c r="O81" s="62"/>
      <c r="P81" s="63" t="s">
        <v>65</v>
      </c>
      <c r="Q81" s="63" t="s">
        <v>37</v>
      </c>
      <c r="R81" s="64" t="s">
        <v>1597</v>
      </c>
      <c r="S81" s="65"/>
      <c r="T81" s="65"/>
      <c r="U81" s="65"/>
      <c r="V81" s="65"/>
      <c r="W81" s="65"/>
      <c r="X81" s="65"/>
    </row>
    <row r="82">
      <c r="A82" s="53"/>
      <c r="B82" s="54">
        <v>46211.0</v>
      </c>
      <c r="C82" s="55" t="s">
        <v>1047</v>
      </c>
      <c r="D82" s="56" t="s">
        <v>1598</v>
      </c>
      <c r="E82" s="57"/>
      <c r="F82" s="57"/>
      <c r="G82" s="58" t="s">
        <v>1599</v>
      </c>
      <c r="H82" s="55" t="s">
        <v>1600</v>
      </c>
      <c r="I82" s="59"/>
      <c r="J82" s="55" t="s">
        <v>1601</v>
      </c>
      <c r="K82" s="55" t="s">
        <v>1602</v>
      </c>
      <c r="L82" s="55" t="s">
        <v>1603</v>
      </c>
      <c r="M82" s="74" t="s">
        <v>1604</v>
      </c>
      <c r="N82" s="61" t="s">
        <v>64</v>
      </c>
      <c r="O82" s="62"/>
      <c r="P82" s="63" t="s">
        <v>65</v>
      </c>
      <c r="Q82" s="63" t="s">
        <v>37</v>
      </c>
      <c r="R82" s="64" t="s">
        <v>1605</v>
      </c>
      <c r="S82" s="65"/>
      <c r="T82" s="65"/>
      <c r="U82" s="65"/>
      <c r="V82" s="65"/>
      <c r="W82" s="65"/>
      <c r="X82" s="65"/>
    </row>
    <row r="83">
      <c r="A83" s="53"/>
      <c r="B83" s="54">
        <v>46211.0</v>
      </c>
      <c r="C83" s="55" t="s">
        <v>1047</v>
      </c>
      <c r="D83" s="56" t="s">
        <v>1606</v>
      </c>
      <c r="E83" s="57"/>
      <c r="F83" s="57"/>
      <c r="G83" s="58" t="s">
        <v>1607</v>
      </c>
      <c r="H83" s="55" t="s">
        <v>1600</v>
      </c>
      <c r="I83" s="59"/>
      <c r="J83" s="55" t="s">
        <v>1608</v>
      </c>
      <c r="K83" s="55" t="s">
        <v>1609</v>
      </c>
      <c r="L83" s="55" t="s">
        <v>1610</v>
      </c>
      <c r="M83" s="74" t="s">
        <v>1611</v>
      </c>
      <c r="N83" s="61" t="s">
        <v>64</v>
      </c>
      <c r="O83" s="62"/>
      <c r="P83" s="63" t="s">
        <v>65</v>
      </c>
      <c r="Q83" s="63" t="s">
        <v>37</v>
      </c>
      <c r="R83" s="64" t="s">
        <v>1612</v>
      </c>
      <c r="S83" s="65"/>
      <c r="T83" s="65"/>
      <c r="U83" s="65"/>
      <c r="V83" s="65"/>
      <c r="W83" s="65"/>
      <c r="X83" s="65"/>
    </row>
    <row r="84">
      <c r="A84" s="53"/>
      <c r="B84" s="54">
        <v>46211.0</v>
      </c>
      <c r="C84" s="55" t="s">
        <v>1047</v>
      </c>
      <c r="D84" s="56" t="s">
        <v>1613</v>
      </c>
      <c r="E84" s="57"/>
      <c r="F84" s="57"/>
      <c r="G84" s="58" t="s">
        <v>1614</v>
      </c>
      <c r="H84" s="55" t="s">
        <v>1615</v>
      </c>
      <c r="I84" s="59"/>
      <c r="J84" s="55" t="s">
        <v>1616</v>
      </c>
      <c r="K84" s="55" t="s">
        <v>1617</v>
      </c>
      <c r="L84" s="55" t="s">
        <v>1618</v>
      </c>
      <c r="M84" s="74" t="s">
        <v>1619</v>
      </c>
      <c r="N84" s="61" t="s">
        <v>64</v>
      </c>
      <c r="O84" s="62"/>
      <c r="P84" s="63" t="s">
        <v>65</v>
      </c>
      <c r="Q84" s="63" t="s">
        <v>37</v>
      </c>
      <c r="R84" s="64" t="s">
        <v>1620</v>
      </c>
      <c r="S84" s="65"/>
      <c r="T84" s="65"/>
      <c r="U84" s="65"/>
      <c r="V84" s="65"/>
      <c r="W84" s="65"/>
      <c r="X84" s="65"/>
    </row>
    <row r="85">
      <c r="A85" s="53"/>
      <c r="B85" s="54">
        <v>46212.0</v>
      </c>
      <c r="C85" s="55" t="s">
        <v>1047</v>
      </c>
      <c r="D85" s="56" t="s">
        <v>1621</v>
      </c>
      <c r="E85" s="57"/>
      <c r="F85" s="57"/>
      <c r="G85" s="58" t="s">
        <v>1096</v>
      </c>
      <c r="H85" s="55" t="s">
        <v>1622</v>
      </c>
      <c r="I85" s="59"/>
      <c r="J85" s="55" t="s">
        <v>1623</v>
      </c>
      <c r="K85" s="55" t="s">
        <v>1624</v>
      </c>
      <c r="L85" s="55" t="s">
        <v>1625</v>
      </c>
      <c r="M85" s="79" t="s">
        <v>1626</v>
      </c>
      <c r="N85" s="61" t="s">
        <v>64</v>
      </c>
      <c r="O85" s="61" t="s">
        <v>1627</v>
      </c>
      <c r="P85" s="63" t="s">
        <v>65</v>
      </c>
      <c r="Q85" s="63" t="s">
        <v>37</v>
      </c>
      <c r="R85" s="64" t="s">
        <v>1628</v>
      </c>
      <c r="S85" s="65"/>
      <c r="T85" s="65"/>
      <c r="U85" s="65"/>
      <c r="V85" s="65"/>
      <c r="W85" s="65"/>
      <c r="X85" s="65"/>
    </row>
    <row r="86">
      <c r="A86" s="53"/>
      <c r="B86" s="54">
        <v>46212.0</v>
      </c>
      <c r="C86" s="55" t="s">
        <v>1047</v>
      </c>
      <c r="D86" s="56" t="s">
        <v>1629</v>
      </c>
      <c r="E86" s="57"/>
      <c r="F86" s="57"/>
      <c r="G86" s="58" t="s">
        <v>1630</v>
      </c>
      <c r="H86" s="55" t="s">
        <v>1631</v>
      </c>
      <c r="I86" s="59"/>
      <c r="J86" s="55" t="s">
        <v>1632</v>
      </c>
      <c r="K86" s="55" t="s">
        <v>1633</v>
      </c>
      <c r="L86" s="55" t="s">
        <v>1634</v>
      </c>
      <c r="M86" s="79" t="s">
        <v>1635</v>
      </c>
      <c r="N86" s="61" t="s">
        <v>64</v>
      </c>
      <c r="O86" s="62"/>
      <c r="P86" s="63" t="s">
        <v>65</v>
      </c>
      <c r="Q86" s="63" t="s">
        <v>37</v>
      </c>
      <c r="R86" s="64" t="s">
        <v>1636</v>
      </c>
      <c r="S86" s="65"/>
      <c r="T86" s="65"/>
      <c r="U86" s="65"/>
      <c r="V86" s="65"/>
      <c r="W86" s="65"/>
      <c r="X86" s="65"/>
    </row>
    <row r="87">
      <c r="A87" s="53"/>
      <c r="B87" s="54">
        <v>46212.0</v>
      </c>
      <c r="C87" s="55" t="s">
        <v>1047</v>
      </c>
      <c r="D87" s="56" t="s">
        <v>1637</v>
      </c>
      <c r="E87" s="57"/>
      <c r="F87" s="57"/>
      <c r="G87" s="58" t="s">
        <v>1300</v>
      </c>
      <c r="H87" s="55" t="s">
        <v>1631</v>
      </c>
      <c r="I87" s="59"/>
      <c r="J87" s="55" t="s">
        <v>1638</v>
      </c>
      <c r="K87" s="55" t="s">
        <v>1639</v>
      </c>
      <c r="L87" s="55" t="s">
        <v>1640</v>
      </c>
      <c r="M87" s="79" t="s">
        <v>1641</v>
      </c>
      <c r="N87" s="61" t="s">
        <v>64</v>
      </c>
      <c r="O87" s="62"/>
      <c r="P87" s="63" t="s">
        <v>65</v>
      </c>
      <c r="Q87" s="63" t="s">
        <v>37</v>
      </c>
      <c r="R87" s="64" t="s">
        <v>1642</v>
      </c>
      <c r="S87" s="65"/>
      <c r="T87" s="65"/>
      <c r="U87" s="65"/>
      <c r="V87" s="65"/>
      <c r="W87" s="65"/>
      <c r="X87" s="65"/>
    </row>
    <row r="88">
      <c r="A88" s="53"/>
      <c r="B88" s="54">
        <v>46212.0</v>
      </c>
      <c r="C88" s="55" t="s">
        <v>1047</v>
      </c>
      <c r="D88" s="56" t="s">
        <v>1643</v>
      </c>
      <c r="E88" s="57"/>
      <c r="F88" s="57"/>
      <c r="G88" s="58" t="s">
        <v>1644</v>
      </c>
      <c r="H88" s="55" t="s">
        <v>1622</v>
      </c>
      <c r="I88" s="59"/>
      <c r="J88" s="55" t="s">
        <v>1645</v>
      </c>
      <c r="K88" s="55" t="s">
        <v>1646</v>
      </c>
      <c r="L88" s="55" t="s">
        <v>1647</v>
      </c>
      <c r="M88" s="74" t="s">
        <v>1648</v>
      </c>
      <c r="N88" s="61" t="s">
        <v>64</v>
      </c>
      <c r="O88" s="62"/>
      <c r="P88" s="63" t="s">
        <v>65</v>
      </c>
      <c r="Q88" s="63" t="s">
        <v>37</v>
      </c>
      <c r="R88" s="64" t="s">
        <v>1649</v>
      </c>
      <c r="S88" s="65"/>
      <c r="T88" s="65"/>
      <c r="U88" s="65"/>
      <c r="V88" s="65"/>
      <c r="W88" s="65"/>
      <c r="X88" s="65"/>
    </row>
    <row r="89">
      <c r="A89" s="75"/>
      <c r="B89" s="54">
        <v>46212.0</v>
      </c>
      <c r="C89" s="55" t="s">
        <v>1047</v>
      </c>
      <c r="D89" s="56" t="s">
        <v>1650</v>
      </c>
      <c r="E89" s="76"/>
      <c r="F89" s="76"/>
      <c r="G89" s="55" t="s">
        <v>1651</v>
      </c>
      <c r="H89" s="55" t="s">
        <v>1622</v>
      </c>
      <c r="I89" s="59"/>
      <c r="J89" s="55" t="s">
        <v>1652</v>
      </c>
      <c r="K89" s="55" t="s">
        <v>1653</v>
      </c>
      <c r="L89" s="55" t="s">
        <v>1654</v>
      </c>
      <c r="M89" s="74" t="s">
        <v>1655</v>
      </c>
      <c r="N89" s="61" t="s">
        <v>64</v>
      </c>
      <c r="O89" s="62"/>
      <c r="P89" s="63" t="s">
        <v>65</v>
      </c>
      <c r="Q89" s="63" t="s">
        <v>37</v>
      </c>
      <c r="R89" s="64" t="s">
        <v>1656</v>
      </c>
      <c r="S89" s="65"/>
      <c r="T89" s="65"/>
      <c r="U89" s="65"/>
      <c r="V89" s="65"/>
      <c r="W89" s="65"/>
      <c r="X89" s="65"/>
    </row>
    <row r="90">
      <c r="A90" s="75"/>
      <c r="B90" s="54">
        <v>46212.0</v>
      </c>
      <c r="C90" s="55" t="s">
        <v>1047</v>
      </c>
      <c r="D90" s="56" t="s">
        <v>1657</v>
      </c>
      <c r="E90" s="76"/>
      <c r="F90" s="76"/>
      <c r="G90" s="55" t="s">
        <v>1658</v>
      </c>
      <c r="H90" s="55" t="s">
        <v>1622</v>
      </c>
      <c r="I90" s="59"/>
      <c r="J90" s="55" t="s">
        <v>1659</v>
      </c>
      <c r="K90" s="55" t="s">
        <v>1660</v>
      </c>
      <c r="L90" s="55" t="s">
        <v>1661</v>
      </c>
      <c r="M90" s="74" t="s">
        <v>1662</v>
      </c>
      <c r="N90" s="61" t="s">
        <v>64</v>
      </c>
      <c r="O90" s="61" t="s">
        <v>1663</v>
      </c>
      <c r="P90" s="63" t="s">
        <v>65</v>
      </c>
      <c r="Q90" s="63" t="s">
        <v>37</v>
      </c>
      <c r="R90" s="64" t="s">
        <v>1664</v>
      </c>
      <c r="S90" s="65"/>
      <c r="T90" s="65"/>
      <c r="U90" s="65"/>
      <c r="V90" s="65"/>
      <c r="W90" s="65"/>
      <c r="X90" s="65"/>
    </row>
    <row r="91">
      <c r="A91" s="53"/>
      <c r="B91" s="54">
        <v>46212.0</v>
      </c>
      <c r="C91" s="55" t="s">
        <v>1047</v>
      </c>
      <c r="D91" s="56" t="s">
        <v>1665</v>
      </c>
      <c r="E91" s="57"/>
      <c r="F91" s="57"/>
      <c r="G91" s="58" t="s">
        <v>1666</v>
      </c>
      <c r="H91" s="55" t="s">
        <v>1622</v>
      </c>
      <c r="I91" s="59"/>
      <c r="J91" s="55" t="s">
        <v>1667</v>
      </c>
      <c r="K91" s="55" t="s">
        <v>1668</v>
      </c>
      <c r="L91" s="55" t="s">
        <v>1669</v>
      </c>
      <c r="M91" s="74" t="s">
        <v>1670</v>
      </c>
      <c r="N91" s="61" t="s">
        <v>64</v>
      </c>
      <c r="O91" s="62"/>
      <c r="P91" s="63" t="s">
        <v>65</v>
      </c>
      <c r="Q91" s="63" t="s">
        <v>37</v>
      </c>
      <c r="R91" s="64" t="s">
        <v>1671</v>
      </c>
      <c r="S91" s="65"/>
      <c r="T91" s="65"/>
      <c r="U91" s="65"/>
      <c r="V91" s="65"/>
      <c r="W91" s="65"/>
      <c r="X91" s="65"/>
    </row>
    <row r="92">
      <c r="A92" s="53"/>
      <c r="B92" s="54">
        <v>46212.0</v>
      </c>
      <c r="C92" s="55" t="s">
        <v>1047</v>
      </c>
      <c r="D92" s="56" t="s">
        <v>1672</v>
      </c>
      <c r="E92" s="57"/>
      <c r="F92" s="57"/>
      <c r="G92" s="58" t="s">
        <v>1673</v>
      </c>
      <c r="H92" s="55" t="s">
        <v>1622</v>
      </c>
      <c r="I92" s="59"/>
      <c r="J92" s="55" t="s">
        <v>1674</v>
      </c>
      <c r="K92" s="55" t="s">
        <v>1675</v>
      </c>
      <c r="L92" s="55" t="s">
        <v>1676</v>
      </c>
      <c r="M92" s="74" t="s">
        <v>1677</v>
      </c>
      <c r="N92" s="61" t="s">
        <v>64</v>
      </c>
      <c r="O92" s="62"/>
      <c r="P92" s="63" t="s">
        <v>65</v>
      </c>
      <c r="Q92" s="63" t="s">
        <v>37</v>
      </c>
      <c r="R92" s="64" t="s">
        <v>1678</v>
      </c>
      <c r="S92" s="65"/>
      <c r="T92" s="65"/>
      <c r="U92" s="65"/>
      <c r="V92" s="65"/>
      <c r="W92" s="65"/>
      <c r="X92" s="65"/>
    </row>
    <row r="93">
      <c r="A93" s="53"/>
      <c r="B93" s="54">
        <v>46212.0</v>
      </c>
      <c r="C93" s="55" t="s">
        <v>1047</v>
      </c>
      <c r="D93" s="56" t="s">
        <v>1679</v>
      </c>
      <c r="E93" s="57"/>
      <c r="F93" s="57"/>
      <c r="G93" s="58" t="s">
        <v>1680</v>
      </c>
      <c r="H93" s="55" t="s">
        <v>1681</v>
      </c>
      <c r="I93" s="59"/>
      <c r="J93" s="55" t="s">
        <v>1682</v>
      </c>
      <c r="K93" s="55" t="s">
        <v>1683</v>
      </c>
      <c r="L93" s="55" t="s">
        <v>1684</v>
      </c>
      <c r="M93" s="74" t="s">
        <v>1685</v>
      </c>
      <c r="N93" s="61" t="s">
        <v>64</v>
      </c>
      <c r="O93" s="80" t="s">
        <v>1686</v>
      </c>
      <c r="P93" s="63" t="s">
        <v>65</v>
      </c>
      <c r="Q93" s="63" t="s">
        <v>37</v>
      </c>
      <c r="R93" s="64" t="s">
        <v>1687</v>
      </c>
      <c r="S93" s="65"/>
      <c r="T93" s="65"/>
      <c r="U93" s="65"/>
      <c r="V93" s="65"/>
      <c r="W93" s="65"/>
      <c r="X93" s="65"/>
    </row>
    <row r="94">
      <c r="A94" s="53"/>
      <c r="B94" s="54">
        <v>46212.0</v>
      </c>
      <c r="C94" s="55" t="s">
        <v>1047</v>
      </c>
      <c r="D94" s="56" t="s">
        <v>1688</v>
      </c>
      <c r="E94" s="57"/>
      <c r="F94" s="57"/>
      <c r="G94" s="58" t="s">
        <v>1689</v>
      </c>
      <c r="H94" s="55" t="s">
        <v>1681</v>
      </c>
      <c r="I94" s="59"/>
      <c r="J94" s="55" t="s">
        <v>1682</v>
      </c>
      <c r="K94" s="55" t="s">
        <v>1690</v>
      </c>
      <c r="L94" s="55" t="s">
        <v>1691</v>
      </c>
      <c r="M94" s="74" t="s">
        <v>1692</v>
      </c>
      <c r="N94" s="61" t="s">
        <v>64</v>
      </c>
      <c r="O94" s="62"/>
      <c r="P94" s="63" t="s">
        <v>65</v>
      </c>
      <c r="Q94" s="63" t="s">
        <v>37</v>
      </c>
      <c r="R94" s="64" t="s">
        <v>1693</v>
      </c>
      <c r="S94" s="65"/>
      <c r="T94" s="65"/>
      <c r="U94" s="65"/>
      <c r="V94" s="65"/>
      <c r="W94" s="65"/>
      <c r="X94" s="65"/>
    </row>
    <row r="95">
      <c r="A95" s="53"/>
      <c r="B95" s="54">
        <v>46212.0</v>
      </c>
      <c r="C95" s="55" t="s">
        <v>1047</v>
      </c>
      <c r="D95" s="56" t="s">
        <v>1694</v>
      </c>
      <c r="E95" s="57"/>
      <c r="F95" s="57"/>
      <c r="G95" s="58" t="s">
        <v>1695</v>
      </c>
      <c r="H95" s="55" t="s">
        <v>1681</v>
      </c>
      <c r="I95" s="59"/>
      <c r="J95" s="55" t="s">
        <v>1682</v>
      </c>
      <c r="K95" s="55" t="s">
        <v>1690</v>
      </c>
      <c r="L95" s="55" t="s">
        <v>1696</v>
      </c>
      <c r="M95" s="74" t="s">
        <v>1697</v>
      </c>
      <c r="N95" s="61" t="s">
        <v>64</v>
      </c>
      <c r="O95" s="62"/>
      <c r="P95" s="63" t="s">
        <v>65</v>
      </c>
      <c r="Q95" s="63" t="s">
        <v>37</v>
      </c>
      <c r="R95" s="64" t="s">
        <v>1698</v>
      </c>
      <c r="S95" s="65"/>
      <c r="T95" s="65"/>
      <c r="U95" s="65"/>
      <c r="V95" s="65"/>
      <c r="W95" s="65"/>
      <c r="X95" s="65"/>
    </row>
    <row r="96">
      <c r="A96" s="53"/>
      <c r="B96" s="54">
        <v>46212.0</v>
      </c>
      <c r="C96" s="55" t="s">
        <v>1047</v>
      </c>
      <c r="D96" s="56" t="s">
        <v>1046</v>
      </c>
      <c r="E96" s="57"/>
      <c r="F96" s="57"/>
      <c r="G96" s="58" t="s">
        <v>1699</v>
      </c>
      <c r="H96" s="55" t="s">
        <v>1700</v>
      </c>
      <c r="I96" s="59"/>
      <c r="J96" s="55" t="s">
        <v>1701</v>
      </c>
      <c r="K96" s="55" t="s">
        <v>1702</v>
      </c>
      <c r="L96" s="55" t="s">
        <v>1703</v>
      </c>
      <c r="M96" s="74" t="s">
        <v>1704</v>
      </c>
      <c r="N96" s="61" t="s">
        <v>64</v>
      </c>
      <c r="O96" s="62"/>
      <c r="P96" s="63" t="s">
        <v>65</v>
      </c>
      <c r="Q96" s="63" t="s">
        <v>37</v>
      </c>
      <c r="R96" s="64" t="s">
        <v>1705</v>
      </c>
      <c r="S96" s="65"/>
      <c r="T96" s="65"/>
      <c r="U96" s="65"/>
      <c r="V96" s="65"/>
      <c r="W96" s="65"/>
      <c r="X96" s="65"/>
    </row>
    <row r="97">
      <c r="A97" s="53"/>
      <c r="B97" s="54">
        <v>46212.0</v>
      </c>
      <c r="C97" s="55" t="s">
        <v>1047</v>
      </c>
      <c r="D97" s="56" t="s">
        <v>1706</v>
      </c>
      <c r="E97" s="57"/>
      <c r="F97" s="57"/>
      <c r="G97" s="58" t="s">
        <v>1707</v>
      </c>
      <c r="H97" s="55" t="s">
        <v>1708</v>
      </c>
      <c r="I97" s="59"/>
      <c r="J97" s="55" t="s">
        <v>1709</v>
      </c>
      <c r="K97" s="55" t="s">
        <v>1710</v>
      </c>
      <c r="L97" s="55" t="s">
        <v>1711</v>
      </c>
      <c r="M97" s="74" t="s">
        <v>1712</v>
      </c>
      <c r="N97" s="61" t="s">
        <v>64</v>
      </c>
      <c r="O97" s="62"/>
      <c r="P97" s="63" t="s">
        <v>65</v>
      </c>
      <c r="Q97" s="63" t="s">
        <v>37</v>
      </c>
      <c r="R97" s="64" t="s">
        <v>1713</v>
      </c>
      <c r="S97" s="65"/>
      <c r="T97" s="65"/>
      <c r="U97" s="65"/>
      <c r="V97" s="65"/>
      <c r="W97" s="65"/>
      <c r="X97" s="65"/>
    </row>
    <row r="98">
      <c r="A98" s="53"/>
      <c r="B98" s="54">
        <v>46212.0</v>
      </c>
      <c r="C98" s="55" t="s">
        <v>1047</v>
      </c>
      <c r="D98" s="56" t="s">
        <v>1714</v>
      </c>
      <c r="E98" s="57"/>
      <c r="F98" s="57"/>
      <c r="G98" s="58" t="s">
        <v>1715</v>
      </c>
      <c r="H98" s="55" t="s">
        <v>1622</v>
      </c>
      <c r="I98" s="59"/>
      <c r="J98" s="55" t="s">
        <v>1716</v>
      </c>
      <c r="K98" s="55" t="s">
        <v>1717</v>
      </c>
      <c r="L98" s="55" t="s">
        <v>1718</v>
      </c>
      <c r="M98" s="74" t="s">
        <v>1719</v>
      </c>
      <c r="N98" s="61" t="s">
        <v>64</v>
      </c>
      <c r="O98" s="62"/>
      <c r="P98" s="63" t="s">
        <v>65</v>
      </c>
      <c r="Q98" s="63" t="s">
        <v>37</v>
      </c>
      <c r="R98" s="64" t="s">
        <v>1720</v>
      </c>
      <c r="S98" s="65"/>
      <c r="T98" s="65"/>
      <c r="U98" s="65"/>
      <c r="V98" s="65"/>
      <c r="W98" s="65"/>
      <c r="X98" s="65"/>
    </row>
    <row r="99">
      <c r="A99" s="53"/>
      <c r="B99" s="54">
        <v>46212.0</v>
      </c>
      <c r="C99" s="55" t="s">
        <v>1047</v>
      </c>
      <c r="D99" s="56" t="s">
        <v>1721</v>
      </c>
      <c r="E99" s="57"/>
      <c r="F99" s="57"/>
      <c r="G99" s="58" t="s">
        <v>1722</v>
      </c>
      <c r="H99" s="55" t="s">
        <v>1622</v>
      </c>
      <c r="I99" s="59"/>
      <c r="J99" s="55" t="s">
        <v>1716</v>
      </c>
      <c r="K99" s="55" t="s">
        <v>1723</v>
      </c>
      <c r="L99" s="55" t="s">
        <v>1724</v>
      </c>
      <c r="M99" s="74" t="s">
        <v>1725</v>
      </c>
      <c r="N99" s="61" t="s">
        <v>64</v>
      </c>
      <c r="O99" s="62"/>
      <c r="P99" s="63" t="s">
        <v>65</v>
      </c>
      <c r="Q99" s="63" t="s">
        <v>37</v>
      </c>
      <c r="R99" s="64" t="s">
        <v>1726</v>
      </c>
      <c r="S99" s="65"/>
      <c r="T99" s="65"/>
      <c r="U99" s="65"/>
      <c r="V99" s="65"/>
      <c r="W99" s="65"/>
      <c r="X99" s="65"/>
    </row>
    <row r="100">
      <c r="A100" s="53"/>
      <c r="B100" s="54">
        <v>46212.0</v>
      </c>
      <c r="C100" s="55" t="s">
        <v>1047</v>
      </c>
      <c r="D100" s="56" t="s">
        <v>1727</v>
      </c>
      <c r="E100" s="57"/>
      <c r="F100" s="57"/>
      <c r="G100" s="58" t="s">
        <v>1728</v>
      </c>
      <c r="H100" s="55" t="s">
        <v>1622</v>
      </c>
      <c r="I100" s="59"/>
      <c r="J100" s="55" t="s">
        <v>1716</v>
      </c>
      <c r="K100" s="55" t="s">
        <v>1729</v>
      </c>
      <c r="L100" s="55" t="s">
        <v>1730</v>
      </c>
      <c r="M100" s="74" t="s">
        <v>1731</v>
      </c>
      <c r="N100" s="61" t="s">
        <v>64</v>
      </c>
      <c r="O100" s="62"/>
      <c r="P100" s="63" t="s">
        <v>65</v>
      </c>
      <c r="Q100" s="63" t="s">
        <v>37</v>
      </c>
      <c r="R100" s="64" t="s">
        <v>1732</v>
      </c>
      <c r="S100" s="65"/>
      <c r="T100" s="65"/>
      <c r="U100" s="65"/>
      <c r="V100" s="65"/>
      <c r="W100" s="65"/>
      <c r="X100" s="65"/>
    </row>
    <row r="101">
      <c r="A101" s="53"/>
      <c r="B101" s="54">
        <v>46212.0</v>
      </c>
      <c r="C101" s="55" t="s">
        <v>1047</v>
      </c>
      <c r="D101" s="56" t="s">
        <v>1733</v>
      </c>
      <c r="E101" s="57"/>
      <c r="F101" s="57"/>
      <c r="G101" s="58" t="s">
        <v>1734</v>
      </c>
      <c r="H101" s="55" t="s">
        <v>1622</v>
      </c>
      <c r="I101" s="59"/>
      <c r="J101" s="55" t="s">
        <v>1716</v>
      </c>
      <c r="K101" s="55" t="s">
        <v>1735</v>
      </c>
      <c r="L101" s="55" t="s">
        <v>1736</v>
      </c>
      <c r="M101" s="74" t="s">
        <v>1737</v>
      </c>
      <c r="N101" s="61" t="s">
        <v>64</v>
      </c>
      <c r="O101" s="62"/>
      <c r="P101" s="63" t="s">
        <v>65</v>
      </c>
      <c r="Q101" s="63" t="s">
        <v>37</v>
      </c>
      <c r="R101" s="64" t="s">
        <v>1738</v>
      </c>
      <c r="S101" s="65"/>
      <c r="T101" s="65"/>
      <c r="U101" s="65"/>
      <c r="V101" s="65"/>
      <c r="W101" s="65"/>
      <c r="X101" s="65"/>
    </row>
    <row r="102">
      <c r="A102" s="53"/>
      <c r="B102" s="54">
        <v>46212.0</v>
      </c>
      <c r="C102" s="55" t="s">
        <v>1047</v>
      </c>
      <c r="D102" s="56" t="s">
        <v>1739</v>
      </c>
      <c r="E102" s="57"/>
      <c r="F102" s="57"/>
      <c r="G102" s="58" t="s">
        <v>1740</v>
      </c>
      <c r="H102" s="55" t="s">
        <v>1622</v>
      </c>
      <c r="I102" s="59"/>
      <c r="J102" s="55" t="s">
        <v>1741</v>
      </c>
      <c r="K102" s="55" t="s">
        <v>1742</v>
      </c>
      <c r="L102" s="55" t="s">
        <v>1743</v>
      </c>
      <c r="M102" s="74" t="s">
        <v>1744</v>
      </c>
      <c r="N102" s="61" t="s">
        <v>64</v>
      </c>
      <c r="O102" s="62"/>
      <c r="P102" s="63" t="s">
        <v>65</v>
      </c>
      <c r="Q102" s="63" t="s">
        <v>37</v>
      </c>
      <c r="R102" s="64" t="s">
        <v>1745</v>
      </c>
      <c r="S102" s="65"/>
      <c r="T102" s="65"/>
      <c r="U102" s="65"/>
      <c r="V102" s="65"/>
      <c r="W102" s="65"/>
      <c r="X102" s="65"/>
    </row>
    <row r="103">
      <c r="A103" s="53"/>
      <c r="B103" s="54">
        <v>46212.0</v>
      </c>
      <c r="C103" s="55" t="s">
        <v>1047</v>
      </c>
      <c r="D103" s="56" t="s">
        <v>1746</v>
      </c>
      <c r="E103" s="57"/>
      <c r="F103" s="57"/>
      <c r="G103" s="58" t="s">
        <v>1747</v>
      </c>
      <c r="H103" s="55" t="s">
        <v>1748</v>
      </c>
      <c r="I103" s="59"/>
      <c r="J103" s="55" t="s">
        <v>1749</v>
      </c>
      <c r="K103" s="55" t="s">
        <v>1750</v>
      </c>
      <c r="L103" s="55" t="s">
        <v>1751</v>
      </c>
      <c r="M103" s="74" t="s">
        <v>1752</v>
      </c>
      <c r="N103" s="61" t="s">
        <v>64</v>
      </c>
      <c r="O103" s="62"/>
      <c r="P103" s="63" t="s">
        <v>65</v>
      </c>
      <c r="Q103" s="63" t="s">
        <v>37</v>
      </c>
      <c r="R103" s="64" t="s">
        <v>1753</v>
      </c>
      <c r="S103" s="65"/>
      <c r="T103" s="65"/>
      <c r="U103" s="65"/>
      <c r="V103" s="65"/>
      <c r="W103" s="65"/>
      <c r="X103" s="65"/>
    </row>
    <row r="104">
      <c r="A104" s="53"/>
      <c r="B104" s="54">
        <v>46212.0</v>
      </c>
      <c r="C104" s="55" t="s">
        <v>1047</v>
      </c>
      <c r="D104" s="56" t="s">
        <v>1754</v>
      </c>
      <c r="E104" s="57"/>
      <c r="F104" s="57"/>
      <c r="G104" s="58" t="s">
        <v>1755</v>
      </c>
      <c r="H104" s="55" t="s">
        <v>1748</v>
      </c>
      <c r="I104" s="59"/>
      <c r="J104" s="55" t="s">
        <v>1756</v>
      </c>
      <c r="K104" s="55" t="s">
        <v>1757</v>
      </c>
      <c r="L104" s="55" t="s">
        <v>1758</v>
      </c>
      <c r="M104" s="60" t="s">
        <v>1759</v>
      </c>
      <c r="N104" s="61" t="s">
        <v>64</v>
      </c>
      <c r="O104" s="62"/>
      <c r="P104" s="63" t="s">
        <v>65</v>
      </c>
      <c r="Q104" s="63" t="s">
        <v>37</v>
      </c>
      <c r="R104" s="64" t="s">
        <v>1760</v>
      </c>
      <c r="S104" s="65"/>
      <c r="T104" s="65"/>
      <c r="U104" s="65"/>
      <c r="V104" s="65"/>
      <c r="W104" s="65"/>
      <c r="X104" s="65"/>
    </row>
    <row r="105">
      <c r="A105" s="53"/>
      <c r="B105" s="54">
        <v>46212.0</v>
      </c>
      <c r="C105" s="55" t="s">
        <v>1047</v>
      </c>
      <c r="D105" s="56" t="s">
        <v>1761</v>
      </c>
      <c r="E105" s="57"/>
      <c r="F105" s="57"/>
      <c r="G105" s="58" t="s">
        <v>1378</v>
      </c>
      <c r="H105" s="55" t="s">
        <v>1622</v>
      </c>
      <c r="I105" s="59"/>
      <c r="J105" s="55" t="s">
        <v>1762</v>
      </c>
      <c r="K105" s="55" t="s">
        <v>1763</v>
      </c>
      <c r="L105" s="55" t="s">
        <v>1764</v>
      </c>
      <c r="M105" s="74" t="s">
        <v>1765</v>
      </c>
      <c r="N105" s="61" t="s">
        <v>64</v>
      </c>
      <c r="O105" s="81"/>
      <c r="P105" s="63" t="s">
        <v>65</v>
      </c>
      <c r="Q105" s="63" t="s">
        <v>37</v>
      </c>
      <c r="R105" s="64" t="s">
        <v>1766</v>
      </c>
      <c r="S105" s="65"/>
      <c r="T105" s="65"/>
      <c r="U105" s="65"/>
      <c r="V105" s="65"/>
      <c r="W105" s="65"/>
      <c r="X105" s="65"/>
    </row>
    <row r="106">
      <c r="A106" s="53"/>
      <c r="B106" s="54">
        <v>46212.0</v>
      </c>
      <c r="C106" s="55" t="s">
        <v>1047</v>
      </c>
      <c r="D106" s="56" t="s">
        <v>1767</v>
      </c>
      <c r="E106" s="57"/>
      <c r="F106" s="57"/>
      <c r="G106" s="58" t="s">
        <v>1768</v>
      </c>
      <c r="H106" s="55" t="s">
        <v>1631</v>
      </c>
      <c r="I106" s="59"/>
      <c r="J106" s="55" t="s">
        <v>1769</v>
      </c>
      <c r="K106" s="55" t="s">
        <v>1770</v>
      </c>
      <c r="L106" s="55" t="s">
        <v>1771</v>
      </c>
      <c r="M106" s="74" t="s">
        <v>1772</v>
      </c>
      <c r="N106" s="61" t="s">
        <v>64</v>
      </c>
      <c r="O106" s="81"/>
      <c r="P106" s="63" t="s">
        <v>649</v>
      </c>
      <c r="Q106" s="63" t="s">
        <v>649</v>
      </c>
      <c r="R106" s="64" t="s">
        <v>1773</v>
      </c>
      <c r="S106" s="65"/>
      <c r="T106" s="65"/>
      <c r="U106" s="65"/>
      <c r="V106" s="65"/>
      <c r="W106" s="65"/>
      <c r="X106" s="65"/>
    </row>
    <row r="107">
      <c r="A107" s="53"/>
      <c r="B107" s="54">
        <v>46212.0</v>
      </c>
      <c r="C107" s="55" t="s">
        <v>1047</v>
      </c>
      <c r="D107" s="56" t="s">
        <v>1774</v>
      </c>
      <c r="E107" s="57"/>
      <c r="F107" s="57"/>
      <c r="G107" s="58" t="s">
        <v>1160</v>
      </c>
      <c r="H107" s="55" t="s">
        <v>1775</v>
      </c>
      <c r="I107" s="59"/>
      <c r="J107" s="55" t="s">
        <v>1776</v>
      </c>
      <c r="K107" s="55" t="s">
        <v>1777</v>
      </c>
      <c r="L107" s="55" t="s">
        <v>1778</v>
      </c>
      <c r="M107" s="74" t="s">
        <v>1779</v>
      </c>
      <c r="N107" s="61" t="s">
        <v>64</v>
      </c>
      <c r="O107" s="81"/>
      <c r="P107" s="63" t="s">
        <v>65</v>
      </c>
      <c r="Q107" s="63" t="s">
        <v>37</v>
      </c>
      <c r="R107" s="64" t="s">
        <v>1780</v>
      </c>
      <c r="S107" s="65"/>
      <c r="T107" s="65"/>
      <c r="U107" s="65"/>
      <c r="V107" s="65"/>
      <c r="W107" s="65"/>
      <c r="X107" s="65"/>
    </row>
    <row r="108">
      <c r="A108" s="53"/>
      <c r="B108" s="54">
        <v>46212.0</v>
      </c>
      <c r="C108" s="55" t="s">
        <v>1047</v>
      </c>
      <c r="D108" s="56" t="s">
        <v>1781</v>
      </c>
      <c r="E108" s="57"/>
      <c r="F108" s="57"/>
      <c r="G108" s="58" t="s">
        <v>1782</v>
      </c>
      <c r="H108" s="55" t="s">
        <v>1783</v>
      </c>
      <c r="I108" s="59"/>
      <c r="J108" s="55" t="s">
        <v>1784</v>
      </c>
      <c r="K108" s="58" t="s">
        <v>1785</v>
      </c>
      <c r="L108" s="58" t="s">
        <v>1786</v>
      </c>
      <c r="M108" s="74" t="s">
        <v>1787</v>
      </c>
      <c r="N108" s="61" t="s">
        <v>64</v>
      </c>
      <c r="O108" s="81"/>
      <c r="P108" s="63" t="s">
        <v>65</v>
      </c>
      <c r="Q108" s="63" t="s">
        <v>37</v>
      </c>
      <c r="R108" s="64" t="s">
        <v>1788</v>
      </c>
      <c r="S108" s="65"/>
      <c r="T108" s="65"/>
      <c r="U108" s="65"/>
      <c r="V108" s="65"/>
      <c r="W108" s="65"/>
      <c r="X108" s="65"/>
    </row>
    <row r="109">
      <c r="A109" s="53"/>
      <c r="B109" s="54">
        <v>46212.0</v>
      </c>
      <c r="C109" s="55" t="s">
        <v>1047</v>
      </c>
      <c r="D109" s="56" t="s">
        <v>1789</v>
      </c>
      <c r="E109" s="57"/>
      <c r="F109" s="57"/>
      <c r="G109" s="58" t="s">
        <v>1790</v>
      </c>
      <c r="H109" s="55" t="s">
        <v>1783</v>
      </c>
      <c r="I109" s="59"/>
      <c r="J109" s="55" t="s">
        <v>1791</v>
      </c>
      <c r="K109" s="58" t="s">
        <v>1792</v>
      </c>
      <c r="L109" s="58" t="s">
        <v>1793</v>
      </c>
      <c r="M109" s="74" t="s">
        <v>1794</v>
      </c>
      <c r="N109" s="61" t="s">
        <v>64</v>
      </c>
      <c r="O109" s="81"/>
      <c r="P109" s="63" t="s">
        <v>65</v>
      </c>
      <c r="Q109" s="63" t="s">
        <v>37</v>
      </c>
      <c r="R109" s="64" t="s">
        <v>1795</v>
      </c>
      <c r="S109" s="65"/>
      <c r="T109" s="65"/>
      <c r="U109" s="65"/>
      <c r="V109" s="65"/>
      <c r="W109" s="65"/>
      <c r="X109" s="65"/>
    </row>
    <row r="110">
      <c r="A110" s="53"/>
      <c r="B110" s="54">
        <v>46212.0</v>
      </c>
      <c r="C110" s="55" t="s">
        <v>1047</v>
      </c>
      <c r="D110" s="56" t="s">
        <v>1796</v>
      </c>
      <c r="E110" s="57"/>
      <c r="F110" s="57"/>
      <c r="G110" s="58" t="s">
        <v>1797</v>
      </c>
      <c r="H110" s="55" t="s">
        <v>1798</v>
      </c>
      <c r="I110" s="59"/>
      <c r="J110" s="55" t="s">
        <v>1791</v>
      </c>
      <c r="K110" s="58" t="s">
        <v>1799</v>
      </c>
      <c r="L110" s="58" t="s">
        <v>1800</v>
      </c>
      <c r="M110" s="74" t="s">
        <v>1801</v>
      </c>
      <c r="N110" s="61" t="s">
        <v>64</v>
      </c>
      <c r="O110" s="81"/>
      <c r="P110" s="63" t="s">
        <v>65</v>
      </c>
      <c r="Q110" s="63" t="s">
        <v>37</v>
      </c>
      <c r="R110" s="64" t="s">
        <v>1802</v>
      </c>
      <c r="S110" s="65"/>
      <c r="T110" s="65"/>
      <c r="U110" s="65"/>
      <c r="V110" s="65"/>
      <c r="W110" s="65"/>
      <c r="X110" s="65"/>
    </row>
    <row r="111">
      <c r="A111" s="53"/>
      <c r="B111" s="54">
        <v>46212.0</v>
      </c>
      <c r="C111" s="55" t="s">
        <v>1047</v>
      </c>
      <c r="D111" s="56" t="s">
        <v>1803</v>
      </c>
      <c r="E111" s="57"/>
      <c r="F111" s="57"/>
      <c r="G111" s="58" t="s">
        <v>1804</v>
      </c>
      <c r="H111" s="55" t="s">
        <v>1783</v>
      </c>
      <c r="I111" s="59"/>
      <c r="J111" s="55" t="s">
        <v>1791</v>
      </c>
      <c r="K111" s="58" t="s">
        <v>1805</v>
      </c>
      <c r="L111" s="58" t="s">
        <v>1806</v>
      </c>
      <c r="M111" s="74" t="s">
        <v>1807</v>
      </c>
      <c r="N111" s="61" t="s">
        <v>64</v>
      </c>
      <c r="O111" s="81"/>
      <c r="P111" s="63" t="s">
        <v>65</v>
      </c>
      <c r="Q111" s="63" t="s">
        <v>37</v>
      </c>
      <c r="R111" s="64" t="s">
        <v>1808</v>
      </c>
      <c r="S111" s="65"/>
      <c r="T111" s="65"/>
      <c r="U111" s="65"/>
      <c r="V111" s="65"/>
      <c r="W111" s="65"/>
      <c r="X111" s="65"/>
    </row>
    <row r="112">
      <c r="A112" s="53"/>
      <c r="B112" s="82">
        <v>46219.0</v>
      </c>
      <c r="C112" s="83" t="s">
        <v>1047</v>
      </c>
      <c r="D112" s="84" t="s">
        <v>1809</v>
      </c>
      <c r="E112" s="53"/>
      <c r="F112" s="53"/>
      <c r="G112" s="84" t="s">
        <v>1810</v>
      </c>
      <c r="H112" s="83" t="s">
        <v>1811</v>
      </c>
      <c r="I112" s="85" t="s">
        <v>1812</v>
      </c>
      <c r="J112" s="83" t="s">
        <v>1813</v>
      </c>
      <c r="K112" s="84" t="s">
        <v>1814</v>
      </c>
      <c r="L112" s="84" t="s">
        <v>1815</v>
      </c>
      <c r="M112" s="86" t="s">
        <v>1816</v>
      </c>
      <c r="N112" s="87" t="s">
        <v>64</v>
      </c>
      <c r="O112" s="88"/>
      <c r="P112" s="63" t="s">
        <v>65</v>
      </c>
      <c r="Q112" s="89" t="s">
        <v>37</v>
      </c>
      <c r="R112" s="64" t="s">
        <v>1817</v>
      </c>
      <c r="S112" s="65"/>
      <c r="T112" s="65"/>
      <c r="U112" s="65"/>
      <c r="V112" s="65"/>
      <c r="W112" s="65"/>
      <c r="X112" s="65"/>
    </row>
    <row r="113">
      <c r="A113" s="53"/>
      <c r="B113" s="82">
        <v>46219.0</v>
      </c>
      <c r="C113" s="83" t="s">
        <v>1047</v>
      </c>
      <c r="D113" s="84" t="s">
        <v>1818</v>
      </c>
      <c r="E113" s="53"/>
      <c r="F113" s="53"/>
      <c r="G113" s="84" t="s">
        <v>1819</v>
      </c>
      <c r="H113" s="83" t="s">
        <v>1820</v>
      </c>
      <c r="I113" s="85" t="s">
        <v>1821</v>
      </c>
      <c r="J113" s="83" t="s">
        <v>1822</v>
      </c>
      <c r="K113" s="84" t="s">
        <v>1823</v>
      </c>
      <c r="L113" s="84" t="s">
        <v>1824</v>
      </c>
      <c r="M113" s="86" t="s">
        <v>1825</v>
      </c>
      <c r="N113" s="87" t="s">
        <v>64</v>
      </c>
      <c r="O113" s="88"/>
      <c r="P113" s="63" t="s">
        <v>65</v>
      </c>
      <c r="Q113" s="89" t="s">
        <v>37</v>
      </c>
      <c r="R113" s="64" t="s">
        <v>1826</v>
      </c>
      <c r="S113" s="65"/>
      <c r="T113" s="65"/>
      <c r="U113" s="65"/>
      <c r="V113" s="65"/>
      <c r="W113" s="65"/>
      <c r="X113" s="65"/>
    </row>
    <row r="114">
      <c r="A114" s="53"/>
      <c r="B114" s="82">
        <v>46220.0</v>
      </c>
      <c r="C114" s="83" t="s">
        <v>1047</v>
      </c>
      <c r="D114" s="84" t="s">
        <v>1827</v>
      </c>
      <c r="E114" s="53"/>
      <c r="F114" s="53"/>
      <c r="G114" s="84" t="s">
        <v>1828</v>
      </c>
      <c r="H114" s="83" t="s">
        <v>1829</v>
      </c>
      <c r="I114" s="85" t="s">
        <v>1830</v>
      </c>
      <c r="J114" s="83" t="s">
        <v>1831</v>
      </c>
      <c r="K114" s="84" t="s">
        <v>1832</v>
      </c>
      <c r="L114" s="84" t="s">
        <v>1833</v>
      </c>
      <c r="M114" s="86" t="s">
        <v>1834</v>
      </c>
      <c r="N114" s="87" t="s">
        <v>64</v>
      </c>
      <c r="O114" s="88"/>
      <c r="P114" s="89" t="s">
        <v>65</v>
      </c>
      <c r="Q114" s="89" t="s">
        <v>37</v>
      </c>
      <c r="R114" s="64" t="s">
        <v>1835</v>
      </c>
      <c r="S114" s="65"/>
      <c r="T114" s="65"/>
      <c r="U114" s="65"/>
      <c r="V114" s="65"/>
      <c r="W114" s="65"/>
      <c r="X114" s="65"/>
    </row>
    <row r="115">
      <c r="A115" s="90"/>
      <c r="B115" s="91">
        <v>45.0</v>
      </c>
      <c r="C115" s="92" t="s">
        <v>1047</v>
      </c>
      <c r="D115" s="93" t="str">
        <f>IF(G115&lt;&gt;"","PDHSTVV_"&amp;TEXT(COUNTIF($G115:G$510,"&lt;&gt;"),"00"),"")</f>
        <v>PDHSTVV_01</v>
      </c>
      <c r="E115" s="68" t="s">
        <v>1836</v>
      </c>
      <c r="F115" s="68" t="s">
        <v>1837</v>
      </c>
      <c r="G115" s="94" t="s">
        <v>1838</v>
      </c>
      <c r="H115" s="92" t="s">
        <v>1525</v>
      </c>
      <c r="I115" s="95"/>
      <c r="J115" s="92" t="s">
        <v>1451</v>
      </c>
      <c r="K115" s="92" t="s">
        <v>1838</v>
      </c>
      <c r="L115" s="95"/>
      <c r="M115" s="95"/>
      <c r="N115" s="96" t="s">
        <v>64</v>
      </c>
      <c r="O115" s="97"/>
      <c r="P115" s="98" t="s">
        <v>65</v>
      </c>
      <c r="Q115" s="99"/>
      <c r="R115" s="95"/>
      <c r="S115" s="59"/>
      <c r="T115" s="59"/>
      <c r="U115" s="59"/>
      <c r="V115" s="59"/>
      <c r="W115" s="59"/>
      <c r="X115" s="59"/>
      <c r="Y115" s="100"/>
      <c r="Z115" s="100"/>
      <c r="AA115" s="100"/>
      <c r="AB115" s="100"/>
      <c r="AC115" s="100"/>
    </row>
  </sheetData>
  <dataValidations>
    <dataValidation type="list" allowBlank="1" showErrorMessage="1" sqref="C2:C115">
      <formula1>"Tuần 1,Tuần 2,Tuần 3,Tuần 4"</formula1>
    </dataValidation>
    <dataValidation type="list" allowBlank="1" showErrorMessage="1" sqref="P2:Q114 Q115">
      <formula1>"BA confirm,Reopen,InProcess,Pass,Reject,dev done,Open"</formula1>
    </dataValidation>
    <dataValidation type="list" allowBlank="1" showErrorMessage="1" sqref="P115 V115">
      <formula1>"New,Reopent,InProcess,Resoved,Reject,dev done"</formula1>
    </dataValidation>
    <dataValidation type="list" allowBlank="1" showErrorMessage="1" sqref="N2:N115 T115">
      <formula1>"Pass,Fail,N/R"</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2"/>
    <hyperlink r:id="rId41" ref="M43"/>
    <hyperlink r:id="rId42" ref="M44"/>
    <hyperlink r:id="rId43" ref="M45"/>
    <hyperlink r:id="rId44" ref="M46"/>
    <hyperlink r:id="rId45" ref="M47"/>
    <hyperlink r:id="rId46" ref="M48"/>
    <hyperlink r:id="rId47" ref="M49"/>
    <hyperlink r:id="rId48" ref="M50"/>
    <hyperlink r:id="rId49" ref="M51"/>
    <hyperlink r:id="rId50" ref="M52"/>
    <hyperlink r:id="rId51" ref="M53"/>
    <hyperlink r:id="rId52" ref="M54"/>
    <hyperlink r:id="rId53" ref="M55"/>
    <hyperlink r:id="rId54" ref="M56"/>
    <hyperlink r:id="rId55" ref="M57"/>
    <hyperlink r:id="rId56" ref="M58"/>
    <hyperlink r:id="rId57" ref="M59"/>
    <hyperlink r:id="rId58" ref="M60"/>
    <hyperlink r:id="rId59" ref="M61"/>
    <hyperlink r:id="rId60" ref="M62"/>
    <hyperlink r:id="rId61" ref="M63"/>
    <hyperlink r:id="rId62" ref="M64"/>
    <hyperlink r:id="rId63" ref="M65"/>
    <hyperlink r:id="rId64" ref="M66"/>
    <hyperlink r:id="rId65" ref="M67"/>
    <hyperlink r:id="rId66" ref="M68"/>
    <hyperlink r:id="rId67" ref="M69"/>
    <hyperlink r:id="rId68" ref="M70"/>
    <hyperlink r:id="rId69" ref="M71"/>
    <hyperlink r:id="rId70" ref="M72"/>
    <hyperlink r:id="rId71" ref="M73"/>
    <hyperlink r:id="rId72" ref="M74"/>
    <hyperlink r:id="rId73" ref="M75"/>
    <hyperlink r:id="rId74" ref="M76"/>
    <hyperlink r:id="rId75" ref="M77"/>
    <hyperlink r:id="rId76" ref="M78"/>
    <hyperlink r:id="rId77" ref="M79"/>
    <hyperlink r:id="rId78" ref="M80"/>
    <hyperlink r:id="rId79" ref="M81"/>
    <hyperlink r:id="rId80" ref="M82"/>
    <hyperlink r:id="rId81" ref="M83"/>
    <hyperlink r:id="rId82" ref="M84"/>
    <hyperlink r:id="rId83" ref="M85"/>
    <hyperlink r:id="rId84" ref="M86"/>
    <hyperlink r:id="rId85" ref="M87"/>
    <hyperlink r:id="rId86" ref="M88"/>
    <hyperlink r:id="rId87" ref="M89"/>
    <hyperlink r:id="rId88" ref="M90"/>
    <hyperlink r:id="rId89" ref="M91"/>
    <hyperlink r:id="rId90" ref="M92"/>
    <hyperlink r:id="rId91" ref="M93"/>
    <hyperlink r:id="rId92" ref="M94"/>
    <hyperlink r:id="rId93" ref="M95"/>
    <hyperlink r:id="rId94" ref="M96"/>
    <hyperlink r:id="rId95" ref="M97"/>
    <hyperlink r:id="rId96" ref="M98"/>
    <hyperlink r:id="rId97" ref="M99"/>
    <hyperlink r:id="rId98" ref="M100"/>
    <hyperlink r:id="rId99" ref="M101"/>
    <hyperlink r:id="rId100" ref="M102"/>
    <hyperlink r:id="rId101" ref="M103"/>
    <hyperlink r:id="rId102" ref="M104"/>
    <hyperlink r:id="rId103" ref="M105"/>
    <hyperlink r:id="rId104" ref="M106"/>
    <hyperlink r:id="rId105" ref="M107"/>
    <hyperlink r:id="rId106" ref="M108"/>
    <hyperlink r:id="rId107" ref="M109"/>
    <hyperlink r:id="rId108" ref="M110"/>
    <hyperlink r:id="rId109" ref="M111"/>
  </hyperlinks>
  <drawing r:id="rId110"/>
  <tableParts count="2">
    <tablePart r:id="rId113"/>
    <tablePart r:id="rId1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17.75"/>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17.0"/>
    <col customWidth="1" min="16" max="16" width="17.63"/>
    <col customWidth="1" min="17" max="17" width="14.38"/>
    <col customWidth="1" min="18" max="18" width="33.63"/>
  </cols>
  <sheetData>
    <row r="1">
      <c r="A1" s="101" t="s">
        <v>1046</v>
      </c>
      <c r="B1" s="1" t="s">
        <v>1</v>
      </c>
      <c r="C1" s="1" t="s">
        <v>2</v>
      </c>
      <c r="D1" s="1" t="s">
        <v>3</v>
      </c>
      <c r="E1" s="1" t="s">
        <v>4</v>
      </c>
      <c r="F1" s="2" t="s">
        <v>5</v>
      </c>
      <c r="G1" s="1" t="s">
        <v>6</v>
      </c>
      <c r="H1" s="1" t="s">
        <v>7</v>
      </c>
      <c r="I1" s="1" t="s">
        <v>8</v>
      </c>
      <c r="J1" s="1" t="s">
        <v>9</v>
      </c>
      <c r="K1" s="1" t="s">
        <v>10</v>
      </c>
      <c r="L1" s="1" t="s">
        <v>11</v>
      </c>
      <c r="M1" s="1" t="s">
        <v>12</v>
      </c>
      <c r="N1" s="1" t="s">
        <v>13</v>
      </c>
      <c r="O1" s="1" t="s">
        <v>14</v>
      </c>
      <c r="P1" s="2" t="s">
        <v>15</v>
      </c>
      <c r="Q1" s="2" t="s">
        <v>16</v>
      </c>
      <c r="R1" s="2" t="s">
        <v>17</v>
      </c>
      <c r="S1" s="1" t="s">
        <v>18</v>
      </c>
      <c r="T1" s="1" t="s">
        <v>19</v>
      </c>
      <c r="U1" s="1" t="s">
        <v>20</v>
      </c>
      <c r="V1" s="1" t="s">
        <v>21</v>
      </c>
      <c r="W1" s="1" t="s">
        <v>22</v>
      </c>
      <c r="X1" s="1" t="s">
        <v>23</v>
      </c>
      <c r="Y1" s="51"/>
      <c r="Z1" s="51"/>
      <c r="AA1" s="51"/>
      <c r="AB1" s="52"/>
      <c r="AC1" s="51"/>
      <c r="AD1" s="52"/>
    </row>
    <row r="2">
      <c r="A2" s="53"/>
      <c r="B2" s="37">
        <v>46213.0</v>
      </c>
      <c r="C2" s="61" t="s">
        <v>1839</v>
      </c>
      <c r="D2" s="22" t="s">
        <v>1840</v>
      </c>
      <c r="E2" s="102"/>
      <c r="F2" s="102"/>
      <c r="G2" s="103" t="s">
        <v>1841</v>
      </c>
      <c r="H2" s="104" t="s">
        <v>1842</v>
      </c>
      <c r="I2" s="100"/>
      <c r="J2" s="104" t="s">
        <v>1843</v>
      </c>
      <c r="K2" s="103" t="s">
        <v>1844</v>
      </c>
      <c r="L2" s="103" t="s">
        <v>1845</v>
      </c>
      <c r="M2" s="105" t="s">
        <v>1846</v>
      </c>
      <c r="N2" s="104" t="s">
        <v>64</v>
      </c>
      <c r="O2" s="102"/>
      <c r="P2" s="63"/>
      <c r="Q2" s="63"/>
      <c r="R2" s="64"/>
      <c r="S2" s="65"/>
      <c r="T2" s="65"/>
      <c r="U2" s="65"/>
      <c r="V2" s="65"/>
      <c r="W2" s="65"/>
      <c r="X2" s="65"/>
    </row>
    <row r="3">
      <c r="A3" s="67"/>
      <c r="B3" s="37">
        <v>46213.0</v>
      </c>
      <c r="C3" s="61" t="s">
        <v>1839</v>
      </c>
      <c r="D3" s="22" t="s">
        <v>1847</v>
      </c>
      <c r="E3" s="102"/>
      <c r="F3" s="102"/>
      <c r="G3" s="103" t="s">
        <v>1848</v>
      </c>
      <c r="H3" s="104" t="s">
        <v>1842</v>
      </c>
      <c r="I3" s="102"/>
      <c r="J3" s="104" t="s">
        <v>1849</v>
      </c>
      <c r="K3" s="103" t="s">
        <v>1850</v>
      </c>
      <c r="L3" s="103" t="s">
        <v>1851</v>
      </c>
      <c r="M3" s="106" t="s">
        <v>1852</v>
      </c>
      <c r="N3" s="104" t="s">
        <v>64</v>
      </c>
      <c r="O3" s="102"/>
      <c r="P3" s="63"/>
      <c r="Q3" s="63"/>
      <c r="R3" s="64"/>
      <c r="S3" s="65"/>
      <c r="T3" s="65"/>
      <c r="U3" s="65"/>
      <c r="V3" s="65"/>
      <c r="W3" s="65"/>
      <c r="X3" s="65"/>
    </row>
    <row r="4">
      <c r="A4" s="67"/>
      <c r="B4" s="37">
        <v>46213.0</v>
      </c>
      <c r="C4" s="61" t="s">
        <v>1839</v>
      </c>
      <c r="D4" s="22" t="s">
        <v>1853</v>
      </c>
      <c r="E4" s="102"/>
      <c r="F4" s="102"/>
      <c r="G4" s="103" t="s">
        <v>1854</v>
      </c>
      <c r="H4" s="104" t="s">
        <v>1855</v>
      </c>
      <c r="I4" s="102"/>
      <c r="J4" s="104" t="s">
        <v>1856</v>
      </c>
      <c r="K4" s="104" t="s">
        <v>1857</v>
      </c>
      <c r="L4" s="104" t="s">
        <v>1858</v>
      </c>
      <c r="M4" s="106" t="s">
        <v>1859</v>
      </c>
      <c r="N4" s="104" t="s">
        <v>64</v>
      </c>
      <c r="O4" s="100"/>
      <c r="P4" s="63"/>
      <c r="Q4" s="63"/>
      <c r="R4" s="64"/>
      <c r="S4" s="65"/>
      <c r="T4" s="65"/>
      <c r="U4" s="65"/>
      <c r="V4" s="65"/>
      <c r="W4" s="65"/>
      <c r="X4" s="65"/>
    </row>
    <row r="5">
      <c r="A5" s="53"/>
      <c r="B5" s="37">
        <v>46213.0</v>
      </c>
      <c r="C5" s="61" t="s">
        <v>1839</v>
      </c>
      <c r="D5" s="22" t="s">
        <v>1860</v>
      </c>
      <c r="E5" s="102"/>
      <c r="F5" s="102"/>
      <c r="G5" s="103" t="s">
        <v>1861</v>
      </c>
      <c r="H5" s="104" t="s">
        <v>1862</v>
      </c>
      <c r="I5" s="102"/>
      <c r="J5" s="104" t="s">
        <v>1856</v>
      </c>
      <c r="K5" s="104" t="s">
        <v>1863</v>
      </c>
      <c r="L5" s="104" t="s">
        <v>1864</v>
      </c>
      <c r="M5" s="107" t="s">
        <v>1865</v>
      </c>
      <c r="N5" s="104" t="s">
        <v>64</v>
      </c>
      <c r="O5" s="100"/>
      <c r="P5" s="63"/>
      <c r="Q5" s="63"/>
      <c r="R5" s="64"/>
      <c r="S5" s="65"/>
      <c r="T5" s="65"/>
      <c r="U5" s="65"/>
      <c r="V5" s="65"/>
      <c r="W5" s="65"/>
      <c r="X5" s="65"/>
    </row>
    <row r="6">
      <c r="A6" s="53"/>
      <c r="B6" s="108">
        <v>62.0</v>
      </c>
      <c r="C6" s="61" t="s">
        <v>1839</v>
      </c>
      <c r="D6" s="109" t="s">
        <v>1866</v>
      </c>
      <c r="E6" s="110" t="s">
        <v>1867</v>
      </c>
      <c r="F6" s="110" t="s">
        <v>1868</v>
      </c>
      <c r="G6" s="111" t="s">
        <v>1869</v>
      </c>
      <c r="H6" s="104" t="s">
        <v>1870</v>
      </c>
      <c r="I6" s="100"/>
      <c r="J6" s="104" t="s">
        <v>1871</v>
      </c>
      <c r="K6" s="104" t="s">
        <v>1869</v>
      </c>
      <c r="L6" s="104" t="s">
        <v>1872</v>
      </c>
      <c r="M6" s="107" t="s">
        <v>1873</v>
      </c>
      <c r="N6" s="104" t="s">
        <v>64</v>
      </c>
      <c r="O6" s="100"/>
      <c r="P6" s="63"/>
      <c r="Q6" s="63"/>
      <c r="R6" s="64"/>
      <c r="S6" s="65"/>
      <c r="T6" s="65"/>
      <c r="U6" s="65"/>
      <c r="V6" s="65"/>
      <c r="W6" s="72" t="s">
        <v>1102</v>
      </c>
      <c r="X6" s="72" t="s">
        <v>1102</v>
      </c>
    </row>
    <row r="7">
      <c r="A7" s="53"/>
      <c r="B7" s="37">
        <v>46213.0</v>
      </c>
      <c r="C7" s="61" t="s">
        <v>1839</v>
      </c>
      <c r="D7" s="22" t="s">
        <v>1874</v>
      </c>
      <c r="E7" s="102"/>
      <c r="F7" s="102"/>
      <c r="G7" s="103" t="s">
        <v>1544</v>
      </c>
      <c r="H7" s="104" t="s">
        <v>1875</v>
      </c>
      <c r="I7" s="100"/>
      <c r="J7" s="104" t="s">
        <v>1876</v>
      </c>
      <c r="K7" s="104" t="s">
        <v>1877</v>
      </c>
      <c r="L7" s="104" t="s">
        <v>1878</v>
      </c>
      <c r="M7" s="107" t="s">
        <v>1879</v>
      </c>
      <c r="N7" s="104" t="s">
        <v>64</v>
      </c>
      <c r="O7" s="100"/>
      <c r="P7" s="63"/>
      <c r="Q7" s="63"/>
      <c r="R7" s="64"/>
      <c r="S7" s="65"/>
      <c r="T7" s="65"/>
      <c r="U7" s="65"/>
      <c r="V7" s="65"/>
      <c r="W7" s="65"/>
      <c r="X7" s="65"/>
    </row>
    <row r="8">
      <c r="A8" s="53"/>
      <c r="B8" s="37">
        <v>46213.0</v>
      </c>
      <c r="C8" s="61" t="s">
        <v>1839</v>
      </c>
      <c r="D8" s="22" t="s">
        <v>1880</v>
      </c>
      <c r="E8" s="102"/>
      <c r="F8" s="102"/>
      <c r="G8" s="103" t="s">
        <v>1881</v>
      </c>
      <c r="H8" s="104" t="s">
        <v>1882</v>
      </c>
      <c r="I8" s="100"/>
      <c r="J8" s="104" t="s">
        <v>1876</v>
      </c>
      <c r="K8" s="104" t="s">
        <v>1883</v>
      </c>
      <c r="L8" s="104" t="s">
        <v>1884</v>
      </c>
      <c r="M8" s="77" t="s">
        <v>1885</v>
      </c>
      <c r="N8" s="104" t="s">
        <v>64</v>
      </c>
      <c r="O8" s="100"/>
      <c r="P8" s="63"/>
      <c r="Q8" s="63"/>
      <c r="R8" s="64"/>
      <c r="S8" s="65"/>
      <c r="T8" s="65"/>
      <c r="U8" s="65"/>
      <c r="V8" s="65"/>
      <c r="W8" s="65"/>
      <c r="X8" s="65"/>
    </row>
    <row r="9">
      <c r="A9" s="53"/>
      <c r="B9" s="37">
        <v>46213.0</v>
      </c>
      <c r="C9" s="61" t="s">
        <v>1839</v>
      </c>
      <c r="D9" s="22" t="s">
        <v>1886</v>
      </c>
      <c r="E9" s="102"/>
      <c r="F9" s="102"/>
      <c r="G9" s="103" t="s">
        <v>1887</v>
      </c>
      <c r="H9" s="104" t="s">
        <v>1875</v>
      </c>
      <c r="I9" s="100"/>
      <c r="J9" s="104" t="s">
        <v>1888</v>
      </c>
      <c r="K9" s="104" t="s">
        <v>1889</v>
      </c>
      <c r="L9" s="104" t="s">
        <v>1890</v>
      </c>
      <c r="M9" s="77" t="s">
        <v>1891</v>
      </c>
      <c r="N9" s="104" t="s">
        <v>64</v>
      </c>
      <c r="O9" s="100"/>
      <c r="P9" s="63"/>
      <c r="Q9" s="63"/>
      <c r="R9" s="64"/>
      <c r="S9" s="65"/>
      <c r="T9" s="65"/>
      <c r="U9" s="65"/>
      <c r="V9" s="65"/>
      <c r="W9" s="65"/>
      <c r="X9" s="65"/>
    </row>
    <row r="10">
      <c r="A10" s="53"/>
      <c r="B10" s="37">
        <v>46213.0</v>
      </c>
      <c r="C10" s="61" t="s">
        <v>1839</v>
      </c>
      <c r="D10" s="22" t="s">
        <v>1892</v>
      </c>
      <c r="E10" s="102"/>
      <c r="F10" s="102"/>
      <c r="G10" s="103" t="s">
        <v>1841</v>
      </c>
      <c r="H10" s="104" t="s">
        <v>1875</v>
      </c>
      <c r="I10" s="100"/>
      <c r="J10" s="104" t="s">
        <v>1893</v>
      </c>
      <c r="K10" s="104" t="s">
        <v>1894</v>
      </c>
      <c r="L10" s="104" t="s">
        <v>1895</v>
      </c>
      <c r="M10" s="107" t="s">
        <v>1896</v>
      </c>
      <c r="N10" s="104" t="s">
        <v>64</v>
      </c>
      <c r="O10" s="100"/>
      <c r="P10" s="63"/>
      <c r="Q10" s="63"/>
      <c r="R10" s="64"/>
      <c r="S10" s="65"/>
      <c r="T10" s="65"/>
      <c r="U10" s="65"/>
      <c r="V10" s="65"/>
      <c r="W10" s="65"/>
      <c r="X10" s="65"/>
    </row>
    <row r="11">
      <c r="A11" s="53"/>
      <c r="B11" s="37">
        <v>46213.0</v>
      </c>
      <c r="C11" s="61" t="s">
        <v>1839</v>
      </c>
      <c r="D11" s="22" t="s">
        <v>1897</v>
      </c>
      <c r="E11" s="100"/>
      <c r="F11" s="100"/>
      <c r="G11" s="104" t="s">
        <v>1898</v>
      </c>
      <c r="H11" s="104" t="s">
        <v>1899</v>
      </c>
      <c r="I11" s="100"/>
      <c r="J11" s="104" t="s">
        <v>1716</v>
      </c>
      <c r="K11" s="103" t="s">
        <v>1399</v>
      </c>
      <c r="L11" s="104" t="s">
        <v>1900</v>
      </c>
      <c r="M11" s="106" t="s">
        <v>1901</v>
      </c>
      <c r="N11" s="104" t="s">
        <v>64</v>
      </c>
      <c r="O11" s="100"/>
      <c r="P11" s="63"/>
      <c r="Q11" s="63"/>
      <c r="R11" s="64"/>
      <c r="S11" s="65"/>
      <c r="T11" s="65"/>
      <c r="U11" s="65"/>
      <c r="V11" s="65"/>
      <c r="W11" s="65"/>
      <c r="X11" s="65"/>
    </row>
    <row r="12">
      <c r="A12" s="67"/>
      <c r="B12" s="37">
        <v>46213.0</v>
      </c>
      <c r="C12" s="61" t="s">
        <v>1839</v>
      </c>
      <c r="D12" s="22" t="s">
        <v>1902</v>
      </c>
      <c r="E12" s="100"/>
      <c r="F12" s="100"/>
      <c r="G12" s="104" t="s">
        <v>1903</v>
      </c>
      <c r="H12" s="104" t="s">
        <v>1904</v>
      </c>
      <c r="I12" s="100"/>
      <c r="J12" s="104" t="s">
        <v>1905</v>
      </c>
      <c r="K12" s="104" t="s">
        <v>1906</v>
      </c>
      <c r="L12" s="104" t="s">
        <v>1907</v>
      </c>
      <c r="M12" s="112" t="s">
        <v>1908</v>
      </c>
      <c r="N12" s="104" t="s">
        <v>64</v>
      </c>
      <c r="O12" s="100"/>
      <c r="P12" s="63"/>
      <c r="Q12" s="63"/>
      <c r="R12" s="64"/>
      <c r="S12" s="65"/>
      <c r="T12" s="65"/>
      <c r="U12" s="65"/>
      <c r="V12" s="65"/>
      <c r="W12" s="65"/>
      <c r="X12" s="65"/>
    </row>
    <row r="13">
      <c r="A13" s="53"/>
      <c r="B13" s="37">
        <v>46213.0</v>
      </c>
      <c r="C13" s="61" t="s">
        <v>1839</v>
      </c>
      <c r="D13" s="22" t="s">
        <v>1909</v>
      </c>
      <c r="E13" s="100"/>
      <c r="F13" s="100"/>
      <c r="G13" s="104" t="s">
        <v>1910</v>
      </c>
      <c r="H13" s="104" t="s">
        <v>1911</v>
      </c>
      <c r="I13" s="100"/>
      <c r="J13" s="104" t="s">
        <v>1912</v>
      </c>
      <c r="K13" s="103" t="s">
        <v>1399</v>
      </c>
      <c r="L13" s="104" t="s">
        <v>1913</v>
      </c>
      <c r="M13" s="106" t="s">
        <v>1914</v>
      </c>
      <c r="N13" s="104" t="s">
        <v>64</v>
      </c>
      <c r="O13" s="100"/>
      <c r="P13" s="63"/>
      <c r="Q13" s="63"/>
      <c r="R13" s="64"/>
      <c r="S13" s="65"/>
      <c r="T13" s="65"/>
      <c r="U13" s="65"/>
      <c r="V13" s="65"/>
      <c r="W13" s="65"/>
      <c r="X13" s="65"/>
    </row>
    <row r="14">
      <c r="A14" s="53"/>
      <c r="B14" s="37">
        <v>46213.0</v>
      </c>
      <c r="C14" s="61" t="s">
        <v>1839</v>
      </c>
      <c r="D14" s="22" t="s">
        <v>1915</v>
      </c>
      <c r="E14" s="102"/>
      <c r="F14" s="102"/>
      <c r="G14" s="103" t="s">
        <v>1916</v>
      </c>
      <c r="H14" s="104" t="s">
        <v>1917</v>
      </c>
      <c r="I14" s="100"/>
      <c r="J14" s="104" t="s">
        <v>1918</v>
      </c>
      <c r="K14" s="104" t="s">
        <v>1906</v>
      </c>
      <c r="L14" s="104" t="s">
        <v>1919</v>
      </c>
      <c r="M14" s="106" t="s">
        <v>1920</v>
      </c>
      <c r="N14" s="104" t="s">
        <v>64</v>
      </c>
      <c r="O14" s="100"/>
      <c r="P14" s="63"/>
      <c r="Q14" s="63"/>
      <c r="R14" s="64"/>
      <c r="S14" s="65"/>
      <c r="T14" s="65"/>
      <c r="U14" s="65"/>
      <c r="V14" s="65"/>
      <c r="W14" s="65"/>
      <c r="X14" s="65"/>
    </row>
    <row r="15">
      <c r="A15" s="53"/>
      <c r="B15" s="108">
        <v>67.0</v>
      </c>
      <c r="C15" s="61" t="s">
        <v>1839</v>
      </c>
      <c r="D15" s="109" t="s">
        <v>1921</v>
      </c>
      <c r="E15" s="110" t="s">
        <v>1922</v>
      </c>
      <c r="F15" s="110" t="s">
        <v>1923</v>
      </c>
      <c r="G15" s="111" t="s">
        <v>1924</v>
      </c>
      <c r="H15" s="104" t="s">
        <v>1925</v>
      </c>
      <c r="I15" s="100"/>
      <c r="J15" s="104" t="s">
        <v>1926</v>
      </c>
      <c r="K15" s="104" t="s">
        <v>1924</v>
      </c>
      <c r="L15" s="104" t="s">
        <v>1927</v>
      </c>
      <c r="M15" s="107" t="s">
        <v>1928</v>
      </c>
      <c r="N15" s="104" t="s">
        <v>64</v>
      </c>
      <c r="O15" s="100"/>
      <c r="P15" s="63"/>
      <c r="Q15" s="63"/>
      <c r="R15" s="64"/>
      <c r="S15" s="65"/>
      <c r="T15" s="65"/>
      <c r="U15" s="65"/>
      <c r="V15" s="65"/>
      <c r="W15" s="65"/>
      <c r="X15" s="65"/>
    </row>
    <row r="16">
      <c r="A16" s="53"/>
      <c r="B16" s="37">
        <v>46213.0</v>
      </c>
      <c r="C16" s="61" t="s">
        <v>1839</v>
      </c>
      <c r="D16" s="22" t="s">
        <v>1929</v>
      </c>
      <c r="E16" s="102"/>
      <c r="F16" s="102"/>
      <c r="G16" s="103" t="s">
        <v>1930</v>
      </c>
      <c r="H16" s="104" t="s">
        <v>1622</v>
      </c>
      <c r="I16" s="100"/>
      <c r="J16" s="104" t="s">
        <v>1931</v>
      </c>
      <c r="K16" s="103" t="s">
        <v>1624</v>
      </c>
      <c r="L16" s="104" t="s">
        <v>1932</v>
      </c>
      <c r="M16" s="106" t="s">
        <v>1933</v>
      </c>
      <c r="N16" s="104" t="s">
        <v>64</v>
      </c>
      <c r="O16" s="100"/>
      <c r="P16" s="63"/>
      <c r="Q16" s="63"/>
      <c r="R16" s="64"/>
      <c r="S16" s="65"/>
      <c r="T16" s="65"/>
      <c r="U16" s="65"/>
      <c r="V16" s="65"/>
      <c r="W16" s="65"/>
      <c r="X16" s="65"/>
    </row>
    <row r="17">
      <c r="A17" s="53"/>
      <c r="B17" s="37">
        <v>46213.0</v>
      </c>
      <c r="C17" s="61" t="s">
        <v>1839</v>
      </c>
      <c r="D17" s="22" t="s">
        <v>1934</v>
      </c>
      <c r="E17" s="102"/>
      <c r="F17" s="102"/>
      <c r="G17" s="103" t="s">
        <v>1935</v>
      </c>
      <c r="H17" s="104" t="s">
        <v>1622</v>
      </c>
      <c r="I17" s="100"/>
      <c r="J17" s="104" t="s">
        <v>1936</v>
      </c>
      <c r="K17" s="104" t="s">
        <v>1937</v>
      </c>
      <c r="L17" s="104" t="s">
        <v>1938</v>
      </c>
      <c r="M17" s="106" t="s">
        <v>1939</v>
      </c>
      <c r="N17" s="104" t="s">
        <v>64</v>
      </c>
      <c r="O17" s="100"/>
      <c r="P17" s="63"/>
      <c r="Q17" s="63"/>
      <c r="R17" s="64"/>
      <c r="S17" s="65"/>
      <c r="T17" s="65"/>
      <c r="U17" s="65"/>
      <c r="V17" s="65"/>
      <c r="W17" s="65"/>
      <c r="X17" s="65"/>
    </row>
    <row r="18">
      <c r="A18" s="53"/>
      <c r="B18" s="37">
        <v>46213.0</v>
      </c>
      <c r="C18" s="61" t="s">
        <v>1839</v>
      </c>
      <c r="D18" s="22" t="s">
        <v>1940</v>
      </c>
      <c r="E18" s="102"/>
      <c r="F18" s="102"/>
      <c r="G18" s="103" t="s">
        <v>1941</v>
      </c>
      <c r="H18" s="104" t="s">
        <v>1622</v>
      </c>
      <c r="I18" s="100"/>
      <c r="J18" s="104" t="s">
        <v>1942</v>
      </c>
      <c r="K18" s="104" t="s">
        <v>1943</v>
      </c>
      <c r="L18" s="104" t="s">
        <v>1944</v>
      </c>
      <c r="M18" s="106" t="s">
        <v>1945</v>
      </c>
      <c r="N18" s="104" t="s">
        <v>64</v>
      </c>
      <c r="O18" s="100"/>
      <c r="P18" s="63"/>
      <c r="Q18" s="63"/>
      <c r="R18" s="64"/>
      <c r="S18" s="65"/>
      <c r="T18" s="65"/>
      <c r="U18" s="65"/>
      <c r="V18" s="65"/>
      <c r="W18" s="65"/>
      <c r="X18" s="65"/>
    </row>
    <row r="19">
      <c r="A19" s="53"/>
      <c r="B19" s="37">
        <v>46213.0</v>
      </c>
      <c r="C19" s="61" t="s">
        <v>1839</v>
      </c>
      <c r="D19" s="22" t="s">
        <v>1946</v>
      </c>
      <c r="E19" s="102"/>
      <c r="F19" s="102"/>
      <c r="G19" s="103" t="s">
        <v>1947</v>
      </c>
      <c r="H19" s="104" t="s">
        <v>1622</v>
      </c>
      <c r="I19" s="100"/>
      <c r="J19" s="104" t="s">
        <v>1942</v>
      </c>
      <c r="K19" s="103" t="s">
        <v>1399</v>
      </c>
      <c r="L19" s="104" t="s">
        <v>1948</v>
      </c>
      <c r="M19" s="106" t="s">
        <v>1949</v>
      </c>
      <c r="N19" s="104" t="s">
        <v>64</v>
      </c>
      <c r="O19" s="100"/>
      <c r="P19" s="63"/>
      <c r="Q19" s="63"/>
      <c r="R19" s="64"/>
      <c r="S19" s="65"/>
      <c r="T19" s="65"/>
      <c r="U19" s="65"/>
      <c r="V19" s="65"/>
      <c r="W19" s="65"/>
      <c r="X19" s="65"/>
    </row>
    <row r="20">
      <c r="A20" s="53"/>
      <c r="B20" s="37">
        <v>46213.0</v>
      </c>
      <c r="C20" s="61" t="s">
        <v>1839</v>
      </c>
      <c r="D20" s="22" t="s">
        <v>1950</v>
      </c>
      <c r="E20" s="102"/>
      <c r="F20" s="102"/>
      <c r="G20" s="103" t="s">
        <v>1951</v>
      </c>
      <c r="H20" s="104" t="s">
        <v>1622</v>
      </c>
      <c r="I20" s="100"/>
      <c r="J20" s="104" t="s">
        <v>1942</v>
      </c>
      <c r="K20" s="103" t="s">
        <v>1399</v>
      </c>
      <c r="L20" s="104" t="s">
        <v>1952</v>
      </c>
      <c r="M20" s="106" t="s">
        <v>1953</v>
      </c>
      <c r="N20" s="104" t="s">
        <v>64</v>
      </c>
      <c r="O20" s="100"/>
      <c r="P20" s="63"/>
      <c r="Q20" s="63"/>
      <c r="R20" s="64"/>
      <c r="S20" s="65"/>
      <c r="T20" s="65"/>
      <c r="U20" s="65"/>
      <c r="V20" s="65"/>
      <c r="W20" s="65"/>
      <c r="X20" s="65"/>
    </row>
    <row r="21">
      <c r="A21" s="53"/>
      <c r="B21" s="37">
        <v>46213.0</v>
      </c>
      <c r="C21" s="61" t="s">
        <v>1839</v>
      </c>
      <c r="D21" s="22" t="s">
        <v>1954</v>
      </c>
      <c r="E21" s="102"/>
      <c r="F21" s="102"/>
      <c r="G21" s="103" t="s">
        <v>1955</v>
      </c>
      <c r="H21" s="104" t="s">
        <v>1622</v>
      </c>
      <c r="I21" s="100"/>
      <c r="J21" s="104" t="s">
        <v>1942</v>
      </c>
      <c r="K21" s="103" t="s">
        <v>1399</v>
      </c>
      <c r="L21" s="104" t="s">
        <v>1956</v>
      </c>
      <c r="M21" s="106" t="s">
        <v>1957</v>
      </c>
      <c r="N21" s="104" t="s">
        <v>64</v>
      </c>
      <c r="O21" s="100"/>
      <c r="P21" s="63"/>
      <c r="Q21" s="63"/>
      <c r="R21" s="64"/>
      <c r="S21" s="65"/>
      <c r="T21" s="65"/>
      <c r="U21" s="65"/>
      <c r="V21" s="65"/>
      <c r="W21" s="65"/>
      <c r="X21" s="65"/>
    </row>
    <row r="22">
      <c r="A22" s="53"/>
      <c r="B22" s="37">
        <v>46213.0</v>
      </c>
      <c r="C22" s="61" t="s">
        <v>1839</v>
      </c>
      <c r="D22" s="22" t="s">
        <v>1958</v>
      </c>
      <c r="E22" s="102"/>
      <c r="F22" s="102"/>
      <c r="G22" s="103" t="s">
        <v>1959</v>
      </c>
      <c r="H22" s="104" t="s">
        <v>1622</v>
      </c>
      <c r="I22" s="100"/>
      <c r="J22" s="104" t="s">
        <v>1942</v>
      </c>
      <c r="K22" s="103" t="s">
        <v>1399</v>
      </c>
      <c r="L22" s="104" t="s">
        <v>1960</v>
      </c>
      <c r="M22" s="106" t="s">
        <v>1961</v>
      </c>
      <c r="N22" s="104" t="s">
        <v>64</v>
      </c>
      <c r="O22" s="100"/>
      <c r="P22" s="63"/>
      <c r="Q22" s="63"/>
      <c r="R22" s="64"/>
      <c r="S22" s="65"/>
      <c r="T22" s="65"/>
      <c r="U22" s="65"/>
      <c r="V22" s="65"/>
      <c r="W22" s="65"/>
      <c r="X22" s="65"/>
    </row>
    <row r="23">
      <c r="A23" s="53"/>
      <c r="B23" s="37">
        <v>46213.0</v>
      </c>
      <c r="C23" s="61" t="s">
        <v>1839</v>
      </c>
      <c r="D23" s="22" t="s">
        <v>1962</v>
      </c>
      <c r="E23" s="102"/>
      <c r="F23" s="102"/>
      <c r="G23" s="103" t="s">
        <v>1300</v>
      </c>
      <c r="H23" s="104" t="s">
        <v>1622</v>
      </c>
      <c r="I23" s="100"/>
      <c r="J23" s="104" t="s">
        <v>1963</v>
      </c>
      <c r="K23" s="104" t="s">
        <v>1964</v>
      </c>
      <c r="L23" s="104" t="s">
        <v>1393</v>
      </c>
      <c r="M23" s="106" t="s">
        <v>1965</v>
      </c>
      <c r="N23" s="104" t="s">
        <v>64</v>
      </c>
      <c r="O23" s="100"/>
      <c r="P23" s="63"/>
      <c r="Q23" s="63"/>
      <c r="R23" s="64"/>
      <c r="S23" s="65"/>
      <c r="T23" s="65"/>
      <c r="U23" s="65"/>
      <c r="V23" s="65"/>
      <c r="W23" s="65"/>
      <c r="X23" s="65"/>
    </row>
    <row r="24">
      <c r="A24" s="90"/>
      <c r="B24" s="37">
        <v>46213.0</v>
      </c>
      <c r="C24" s="96" t="s">
        <v>1839</v>
      </c>
      <c r="D24" s="22" t="s">
        <v>1966</v>
      </c>
      <c r="E24" s="102"/>
      <c r="F24" s="102"/>
      <c r="G24" s="113" t="s">
        <v>1967</v>
      </c>
      <c r="H24" s="114" t="s">
        <v>1622</v>
      </c>
      <c r="I24" s="115"/>
      <c r="J24" s="114" t="s">
        <v>1968</v>
      </c>
      <c r="K24" s="113" t="s">
        <v>1969</v>
      </c>
      <c r="L24" s="114" t="s">
        <v>1970</v>
      </c>
      <c r="M24" s="105" t="s">
        <v>1971</v>
      </c>
      <c r="N24" s="114" t="s">
        <v>64</v>
      </c>
      <c r="O24" s="100"/>
      <c r="P24" s="116"/>
      <c r="Q24" s="117"/>
      <c r="R24" s="118"/>
      <c r="S24" s="119"/>
      <c r="T24" s="119"/>
      <c r="U24" s="119"/>
      <c r="V24" s="119"/>
      <c r="W24" s="119"/>
      <c r="X24" s="119"/>
      <c r="Y24" s="120"/>
      <c r="Z24" s="120"/>
      <c r="AA24" s="120"/>
      <c r="AB24" s="120"/>
      <c r="AC24" s="120"/>
    </row>
    <row r="25">
      <c r="A25" s="90"/>
      <c r="B25" s="37">
        <v>46213.0</v>
      </c>
      <c r="C25" s="96" t="s">
        <v>1839</v>
      </c>
      <c r="D25" s="22" t="s">
        <v>1972</v>
      </c>
      <c r="E25" s="102"/>
      <c r="F25" s="102"/>
      <c r="G25" s="113" t="s">
        <v>1973</v>
      </c>
      <c r="H25" s="114" t="s">
        <v>1622</v>
      </c>
      <c r="I25" s="115"/>
      <c r="J25" s="114" t="s">
        <v>1974</v>
      </c>
      <c r="K25" s="113" t="s">
        <v>1975</v>
      </c>
      <c r="L25" s="114" t="s">
        <v>1976</v>
      </c>
      <c r="M25" s="105" t="s">
        <v>1977</v>
      </c>
      <c r="N25" s="114" t="s">
        <v>64</v>
      </c>
      <c r="O25" s="100"/>
      <c r="P25" s="116"/>
      <c r="Q25" s="117"/>
      <c r="R25" s="118"/>
      <c r="S25" s="119"/>
      <c r="T25" s="119"/>
      <c r="U25" s="119"/>
      <c r="V25" s="119"/>
      <c r="W25" s="119"/>
      <c r="X25" s="119"/>
      <c r="Y25" s="120"/>
      <c r="Z25" s="120"/>
      <c r="AA25" s="120"/>
      <c r="AB25" s="120"/>
      <c r="AC25" s="120"/>
    </row>
    <row r="26">
      <c r="A26" s="90"/>
      <c r="B26" s="37">
        <v>46213.0</v>
      </c>
      <c r="C26" s="96" t="s">
        <v>1839</v>
      </c>
      <c r="D26" s="22" t="s">
        <v>1978</v>
      </c>
      <c r="E26" s="102"/>
      <c r="F26" s="102"/>
      <c r="G26" s="113" t="s">
        <v>1979</v>
      </c>
      <c r="H26" s="114" t="s">
        <v>1622</v>
      </c>
      <c r="I26" s="115"/>
      <c r="J26" s="114" t="s">
        <v>1974</v>
      </c>
      <c r="K26" s="113" t="s">
        <v>1399</v>
      </c>
      <c r="L26" s="114" t="s">
        <v>1980</v>
      </c>
      <c r="M26" s="105" t="s">
        <v>1981</v>
      </c>
      <c r="N26" s="114" t="s">
        <v>64</v>
      </c>
      <c r="O26" s="100"/>
      <c r="P26" s="116"/>
      <c r="Q26" s="117"/>
      <c r="R26" s="118"/>
      <c r="S26" s="119"/>
      <c r="T26" s="119"/>
      <c r="U26" s="119"/>
      <c r="V26" s="119"/>
      <c r="W26" s="119"/>
      <c r="X26" s="119"/>
      <c r="Y26" s="120"/>
      <c r="Z26" s="120"/>
      <c r="AA26" s="120"/>
      <c r="AB26" s="120"/>
      <c r="AC26" s="120"/>
    </row>
    <row r="27">
      <c r="A27" s="90"/>
      <c r="B27" s="37">
        <v>46213.0</v>
      </c>
      <c r="C27" s="96" t="s">
        <v>1839</v>
      </c>
      <c r="D27" s="22" t="s">
        <v>1982</v>
      </c>
      <c r="E27" s="102"/>
      <c r="F27" s="102"/>
      <c r="G27" s="113" t="s">
        <v>1983</v>
      </c>
      <c r="H27" s="114" t="s">
        <v>1622</v>
      </c>
      <c r="I27" s="115"/>
      <c r="J27" s="114" t="s">
        <v>1974</v>
      </c>
      <c r="K27" s="113" t="s">
        <v>1399</v>
      </c>
      <c r="L27" s="114" t="s">
        <v>1980</v>
      </c>
      <c r="M27" s="105" t="s">
        <v>1984</v>
      </c>
      <c r="N27" s="114" t="s">
        <v>64</v>
      </c>
      <c r="O27" s="100"/>
      <c r="P27" s="116"/>
      <c r="Q27" s="117"/>
      <c r="R27" s="118"/>
      <c r="S27" s="119"/>
      <c r="T27" s="119"/>
      <c r="U27" s="119"/>
      <c r="V27" s="119"/>
      <c r="W27" s="119"/>
      <c r="X27" s="119"/>
      <c r="Y27" s="120"/>
      <c r="Z27" s="120"/>
      <c r="AA27" s="120"/>
      <c r="AB27" s="120"/>
      <c r="AC27" s="120"/>
    </row>
    <row r="28">
      <c r="A28" s="90"/>
      <c r="B28" s="37">
        <v>46213.0</v>
      </c>
      <c r="C28" s="96" t="s">
        <v>1839</v>
      </c>
      <c r="D28" s="22" t="s">
        <v>1985</v>
      </c>
      <c r="E28" s="102"/>
      <c r="F28" s="102"/>
      <c r="G28" s="113" t="s">
        <v>1986</v>
      </c>
      <c r="H28" s="114" t="s">
        <v>1622</v>
      </c>
      <c r="I28" s="115"/>
      <c r="J28" s="114" t="s">
        <v>1974</v>
      </c>
      <c r="K28" s="113" t="s">
        <v>1399</v>
      </c>
      <c r="L28" s="114" t="s">
        <v>1987</v>
      </c>
      <c r="M28" s="105" t="s">
        <v>1988</v>
      </c>
      <c r="N28" s="114" t="s">
        <v>64</v>
      </c>
      <c r="O28" s="100"/>
      <c r="P28" s="116"/>
      <c r="Q28" s="117"/>
      <c r="R28" s="118"/>
      <c r="S28" s="119"/>
      <c r="T28" s="119"/>
      <c r="U28" s="119"/>
      <c r="V28" s="119"/>
      <c r="W28" s="119"/>
      <c r="X28" s="119"/>
      <c r="Y28" s="120"/>
      <c r="Z28" s="120"/>
      <c r="AA28" s="120"/>
      <c r="AB28" s="120"/>
      <c r="AC28" s="120"/>
    </row>
    <row r="29">
      <c r="A29" s="90"/>
      <c r="B29" s="37">
        <v>46213.0</v>
      </c>
      <c r="C29" s="96" t="s">
        <v>1839</v>
      </c>
      <c r="D29" s="22" t="s">
        <v>1989</v>
      </c>
      <c r="E29" s="102"/>
      <c r="F29" s="102"/>
      <c r="G29" s="113" t="s">
        <v>1990</v>
      </c>
      <c r="H29" s="114" t="s">
        <v>1991</v>
      </c>
      <c r="I29" s="115"/>
      <c r="J29" s="114" t="s">
        <v>1992</v>
      </c>
      <c r="K29" s="114" t="s">
        <v>1993</v>
      </c>
      <c r="L29" s="114" t="s">
        <v>1994</v>
      </c>
      <c r="M29" s="105" t="s">
        <v>1995</v>
      </c>
      <c r="N29" s="114" t="s">
        <v>64</v>
      </c>
      <c r="O29" s="100"/>
      <c r="P29" s="116"/>
      <c r="Q29" s="117"/>
      <c r="R29" s="118"/>
      <c r="S29" s="119"/>
      <c r="T29" s="119"/>
      <c r="U29" s="119"/>
      <c r="V29" s="119"/>
      <c r="W29" s="119"/>
      <c r="X29" s="119"/>
      <c r="Y29" s="120"/>
      <c r="Z29" s="120"/>
      <c r="AA29" s="120"/>
      <c r="AB29" s="120"/>
      <c r="AC29" s="120"/>
    </row>
    <row r="30">
      <c r="A30" s="90"/>
      <c r="B30" s="37">
        <v>46213.0</v>
      </c>
      <c r="C30" s="96" t="s">
        <v>1839</v>
      </c>
      <c r="D30" s="22" t="s">
        <v>1996</v>
      </c>
      <c r="E30" s="102"/>
      <c r="F30" s="102"/>
      <c r="G30" s="113" t="s">
        <v>1997</v>
      </c>
      <c r="H30" s="114" t="s">
        <v>1622</v>
      </c>
      <c r="I30" s="115"/>
      <c r="J30" s="114" t="s">
        <v>1998</v>
      </c>
      <c r="K30" s="114" t="s">
        <v>1999</v>
      </c>
      <c r="L30" s="114" t="s">
        <v>2000</v>
      </c>
      <c r="M30" s="105" t="s">
        <v>2001</v>
      </c>
      <c r="N30" s="114" t="s">
        <v>64</v>
      </c>
      <c r="O30" s="100"/>
      <c r="P30" s="116"/>
      <c r="Q30" s="117"/>
      <c r="R30" s="118"/>
      <c r="S30" s="119"/>
      <c r="T30" s="119"/>
      <c r="U30" s="119"/>
      <c r="V30" s="119"/>
      <c r="W30" s="119"/>
      <c r="X30" s="119"/>
      <c r="Y30" s="120"/>
      <c r="Z30" s="120"/>
      <c r="AA30" s="120"/>
      <c r="AB30" s="120"/>
      <c r="AC30" s="120"/>
    </row>
    <row r="31">
      <c r="A31" s="90"/>
      <c r="B31" s="37">
        <v>46213.0</v>
      </c>
      <c r="C31" s="96" t="s">
        <v>1839</v>
      </c>
      <c r="D31" s="22" t="s">
        <v>2002</v>
      </c>
      <c r="E31" s="102"/>
      <c r="F31" s="102"/>
      <c r="G31" s="113" t="s">
        <v>2003</v>
      </c>
      <c r="H31" s="114" t="s">
        <v>1622</v>
      </c>
      <c r="I31" s="115"/>
      <c r="J31" s="114" t="s">
        <v>2004</v>
      </c>
      <c r="K31" s="114" t="s">
        <v>2005</v>
      </c>
      <c r="L31" s="114" t="s">
        <v>2006</v>
      </c>
      <c r="M31" s="105" t="s">
        <v>2007</v>
      </c>
      <c r="N31" s="114" t="s">
        <v>64</v>
      </c>
      <c r="O31" s="100"/>
      <c r="P31" s="116"/>
      <c r="Q31" s="117"/>
      <c r="R31" s="118"/>
      <c r="S31" s="119"/>
      <c r="T31" s="119"/>
      <c r="U31" s="119"/>
      <c r="V31" s="119"/>
      <c r="W31" s="119"/>
      <c r="X31" s="119"/>
      <c r="Y31" s="120"/>
      <c r="Z31" s="120"/>
      <c r="AA31" s="120"/>
      <c r="AB31" s="120"/>
      <c r="AC31" s="120"/>
    </row>
    <row r="32">
      <c r="A32" s="90"/>
      <c r="B32" s="37">
        <v>46213.0</v>
      </c>
      <c r="C32" s="96" t="s">
        <v>1839</v>
      </c>
      <c r="D32" s="22" t="s">
        <v>2008</v>
      </c>
      <c r="E32" s="102"/>
      <c r="F32" s="102"/>
      <c r="G32" s="113" t="s">
        <v>1300</v>
      </c>
      <c r="H32" s="114" t="s">
        <v>1622</v>
      </c>
      <c r="I32" s="115"/>
      <c r="J32" s="114" t="s">
        <v>2009</v>
      </c>
      <c r="K32" s="114" t="s">
        <v>2010</v>
      </c>
      <c r="L32" s="114" t="s">
        <v>1393</v>
      </c>
      <c r="M32" s="105" t="s">
        <v>2011</v>
      </c>
      <c r="N32" s="114" t="s">
        <v>64</v>
      </c>
      <c r="O32" s="100"/>
      <c r="P32" s="116"/>
      <c r="Q32" s="117"/>
      <c r="R32" s="118"/>
      <c r="S32" s="119"/>
      <c r="T32" s="119"/>
      <c r="U32" s="119"/>
      <c r="V32" s="119"/>
      <c r="W32" s="119"/>
      <c r="X32" s="119"/>
      <c r="Y32" s="120"/>
      <c r="Z32" s="120"/>
      <c r="AA32" s="120"/>
      <c r="AB32" s="120"/>
      <c r="AC32" s="120"/>
    </row>
    <row r="33">
      <c r="A33" s="90"/>
      <c r="B33" s="37">
        <v>46214.0</v>
      </c>
      <c r="C33" s="96" t="s">
        <v>1839</v>
      </c>
      <c r="D33" s="22" t="s">
        <v>2012</v>
      </c>
      <c r="E33" s="102"/>
      <c r="F33" s="102"/>
      <c r="G33" s="113" t="s">
        <v>2013</v>
      </c>
      <c r="H33" s="114" t="s">
        <v>2014</v>
      </c>
      <c r="I33" s="115"/>
      <c r="J33" s="114" t="s">
        <v>2015</v>
      </c>
      <c r="K33" s="114" t="s">
        <v>2016</v>
      </c>
      <c r="L33" s="114" t="s">
        <v>2017</v>
      </c>
      <c r="M33" s="105" t="s">
        <v>2018</v>
      </c>
      <c r="N33" s="114" t="s">
        <v>64</v>
      </c>
      <c r="O33" s="100"/>
      <c r="P33" s="116"/>
      <c r="Q33" s="117"/>
      <c r="R33" s="118"/>
      <c r="S33" s="119"/>
      <c r="T33" s="119"/>
      <c r="U33" s="119"/>
      <c r="V33" s="119"/>
      <c r="W33" s="119"/>
      <c r="X33" s="119"/>
      <c r="Y33" s="120"/>
      <c r="Z33" s="120"/>
      <c r="AA33" s="120"/>
      <c r="AB33" s="120"/>
      <c r="AC33" s="120"/>
    </row>
    <row r="34">
      <c r="A34" s="90"/>
      <c r="B34" s="37">
        <v>46214.0</v>
      </c>
      <c r="C34" s="96" t="s">
        <v>1839</v>
      </c>
      <c r="D34" s="22" t="s">
        <v>2019</v>
      </c>
      <c r="E34" s="102"/>
      <c r="F34" s="102"/>
      <c r="G34" s="113" t="s">
        <v>2020</v>
      </c>
      <c r="H34" s="114" t="s">
        <v>2014</v>
      </c>
      <c r="I34" s="115"/>
      <c r="J34" s="114" t="s">
        <v>2021</v>
      </c>
      <c r="K34" s="113" t="s">
        <v>2022</v>
      </c>
      <c r="L34" s="114" t="s">
        <v>2023</v>
      </c>
      <c r="M34" s="105" t="s">
        <v>2024</v>
      </c>
      <c r="N34" s="114" t="s">
        <v>64</v>
      </c>
      <c r="O34" s="100"/>
      <c r="P34" s="116"/>
      <c r="Q34" s="117"/>
      <c r="R34" s="118"/>
      <c r="S34" s="119"/>
      <c r="T34" s="119"/>
      <c r="U34" s="119"/>
      <c r="V34" s="119"/>
      <c r="W34" s="119"/>
      <c r="X34" s="119"/>
      <c r="Y34" s="120"/>
      <c r="Z34" s="120"/>
      <c r="AA34" s="120"/>
      <c r="AB34" s="120"/>
      <c r="AC34" s="120"/>
    </row>
    <row r="35">
      <c r="A35" s="90"/>
      <c r="B35" s="37">
        <v>46214.0</v>
      </c>
      <c r="C35" s="96" t="s">
        <v>1839</v>
      </c>
      <c r="D35" s="22" t="s">
        <v>2025</v>
      </c>
      <c r="E35" s="102"/>
      <c r="F35" s="102"/>
      <c r="G35" s="113" t="s">
        <v>2026</v>
      </c>
      <c r="H35" s="114" t="s">
        <v>2014</v>
      </c>
      <c r="I35" s="115"/>
      <c r="J35" s="114" t="s">
        <v>2027</v>
      </c>
      <c r="K35" s="113" t="s">
        <v>2022</v>
      </c>
      <c r="L35" s="114" t="s">
        <v>2028</v>
      </c>
      <c r="M35" s="105" t="s">
        <v>2029</v>
      </c>
      <c r="N35" s="114" t="s">
        <v>64</v>
      </c>
      <c r="O35" s="100"/>
      <c r="P35" s="116"/>
      <c r="Q35" s="117"/>
      <c r="R35" s="118"/>
      <c r="S35" s="119"/>
      <c r="T35" s="119"/>
      <c r="U35" s="119"/>
      <c r="V35" s="119"/>
      <c r="W35" s="119"/>
      <c r="X35" s="119"/>
      <c r="Y35" s="120"/>
      <c r="Z35" s="120"/>
      <c r="AA35" s="120"/>
      <c r="AB35" s="120"/>
      <c r="AC35" s="120"/>
    </row>
    <row r="36">
      <c r="A36" s="90"/>
      <c r="B36" s="37">
        <v>46214.0</v>
      </c>
      <c r="C36" s="96" t="s">
        <v>1839</v>
      </c>
      <c r="D36" s="22" t="s">
        <v>2030</v>
      </c>
      <c r="E36" s="102"/>
      <c r="F36" s="102"/>
      <c r="G36" s="113" t="s">
        <v>2031</v>
      </c>
      <c r="H36" s="114" t="s">
        <v>2014</v>
      </c>
      <c r="I36" s="115"/>
      <c r="J36" s="114" t="s">
        <v>2032</v>
      </c>
      <c r="K36" s="113" t="s">
        <v>2022</v>
      </c>
      <c r="L36" s="114" t="s">
        <v>2033</v>
      </c>
      <c r="M36" s="105" t="s">
        <v>2034</v>
      </c>
      <c r="N36" s="114" t="s">
        <v>64</v>
      </c>
      <c r="O36" s="100"/>
      <c r="P36" s="116"/>
      <c r="Q36" s="117"/>
      <c r="R36" s="118"/>
      <c r="S36" s="119"/>
      <c r="T36" s="119"/>
      <c r="U36" s="119"/>
      <c r="V36" s="119"/>
      <c r="W36" s="119"/>
      <c r="X36" s="119"/>
      <c r="Y36" s="120"/>
      <c r="Z36" s="120"/>
      <c r="AA36" s="120"/>
      <c r="AB36" s="120"/>
      <c r="AC36" s="120"/>
    </row>
    <row r="37">
      <c r="A37" s="90"/>
      <c r="B37" s="37">
        <v>46214.0</v>
      </c>
      <c r="C37" s="96" t="s">
        <v>1839</v>
      </c>
      <c r="D37" s="22" t="s">
        <v>2035</v>
      </c>
      <c r="E37" s="102"/>
      <c r="F37" s="102"/>
      <c r="G37" s="113" t="s">
        <v>2036</v>
      </c>
      <c r="H37" s="114" t="s">
        <v>2014</v>
      </c>
      <c r="I37" s="115"/>
      <c r="J37" s="114" t="s">
        <v>2037</v>
      </c>
      <c r="K37" s="113" t="s">
        <v>2022</v>
      </c>
      <c r="L37" s="114" t="s">
        <v>2038</v>
      </c>
      <c r="M37" s="105" t="s">
        <v>2039</v>
      </c>
      <c r="N37" s="114" t="s">
        <v>64</v>
      </c>
      <c r="O37" s="100"/>
      <c r="P37" s="116"/>
      <c r="Q37" s="117"/>
      <c r="R37" s="118"/>
      <c r="S37" s="119"/>
      <c r="T37" s="119"/>
      <c r="U37" s="119"/>
      <c r="V37" s="119"/>
      <c r="W37" s="119"/>
      <c r="X37" s="119"/>
      <c r="Y37" s="120"/>
      <c r="Z37" s="120"/>
      <c r="AA37" s="120"/>
      <c r="AB37" s="120"/>
      <c r="AC37" s="120"/>
    </row>
    <row r="38">
      <c r="A38" s="90"/>
      <c r="B38" s="37">
        <v>46214.0</v>
      </c>
      <c r="C38" s="96" t="s">
        <v>1839</v>
      </c>
      <c r="D38" s="22" t="s">
        <v>2040</v>
      </c>
      <c r="E38" s="102"/>
      <c r="F38" s="102"/>
      <c r="G38" s="113" t="s">
        <v>2041</v>
      </c>
      <c r="H38" s="114" t="s">
        <v>2014</v>
      </c>
      <c r="I38" s="115"/>
      <c r="J38" s="114" t="s">
        <v>2042</v>
      </c>
      <c r="K38" s="113" t="s">
        <v>2022</v>
      </c>
      <c r="L38" s="114" t="s">
        <v>2043</v>
      </c>
      <c r="M38" s="105" t="s">
        <v>2044</v>
      </c>
      <c r="N38" s="114" t="s">
        <v>64</v>
      </c>
      <c r="O38" s="100"/>
      <c r="P38" s="116"/>
      <c r="Q38" s="117"/>
      <c r="R38" s="118"/>
      <c r="S38" s="119"/>
      <c r="T38" s="119"/>
      <c r="U38" s="119"/>
      <c r="V38" s="119"/>
      <c r="W38" s="119"/>
      <c r="X38" s="119"/>
      <c r="Y38" s="120"/>
      <c r="Z38" s="120"/>
      <c r="AA38" s="120"/>
      <c r="AB38" s="120"/>
      <c r="AC38" s="120"/>
    </row>
    <row r="39">
      <c r="A39" s="90"/>
      <c r="B39" s="37">
        <v>46214.0</v>
      </c>
      <c r="C39" s="96" t="s">
        <v>1839</v>
      </c>
      <c r="D39" s="22" t="s">
        <v>2045</v>
      </c>
      <c r="E39" s="102"/>
      <c r="F39" s="102"/>
      <c r="G39" s="113" t="s">
        <v>2046</v>
      </c>
      <c r="H39" s="114" t="s">
        <v>2014</v>
      </c>
      <c r="I39" s="115"/>
      <c r="J39" s="114" t="s">
        <v>2047</v>
      </c>
      <c r="K39" s="113" t="s">
        <v>2022</v>
      </c>
      <c r="L39" s="114" t="s">
        <v>2048</v>
      </c>
      <c r="M39" s="105" t="s">
        <v>2049</v>
      </c>
      <c r="N39" s="114" t="s">
        <v>64</v>
      </c>
      <c r="O39" s="100"/>
      <c r="P39" s="116"/>
      <c r="Q39" s="117"/>
      <c r="R39" s="118"/>
      <c r="S39" s="119"/>
      <c r="T39" s="119"/>
      <c r="U39" s="119"/>
      <c r="V39" s="119"/>
      <c r="W39" s="119"/>
      <c r="X39" s="119"/>
      <c r="Y39" s="120"/>
      <c r="Z39" s="120"/>
      <c r="AA39" s="120"/>
      <c r="AB39" s="120"/>
      <c r="AC39" s="120"/>
    </row>
    <row r="40">
      <c r="A40" s="90"/>
      <c r="B40" s="37">
        <v>46214.0</v>
      </c>
      <c r="C40" s="96" t="s">
        <v>1839</v>
      </c>
      <c r="D40" s="22" t="s">
        <v>2050</v>
      </c>
      <c r="E40" s="102"/>
      <c r="F40" s="102"/>
      <c r="G40" s="113" t="s">
        <v>2051</v>
      </c>
      <c r="H40" s="114" t="s">
        <v>2014</v>
      </c>
      <c r="I40" s="115"/>
      <c r="J40" s="114" t="s">
        <v>2052</v>
      </c>
      <c r="K40" s="114" t="s">
        <v>2053</v>
      </c>
      <c r="L40" s="114" t="s">
        <v>2054</v>
      </c>
      <c r="M40" s="105" t="s">
        <v>2055</v>
      </c>
      <c r="N40" s="114" t="s">
        <v>64</v>
      </c>
      <c r="O40" s="100"/>
      <c r="P40" s="116"/>
      <c r="Q40" s="117"/>
      <c r="R40" s="118"/>
      <c r="S40" s="119"/>
      <c r="T40" s="119"/>
      <c r="U40" s="119"/>
      <c r="V40" s="119"/>
      <c r="W40" s="119"/>
      <c r="X40" s="119"/>
      <c r="Y40" s="120"/>
      <c r="Z40" s="120"/>
      <c r="AA40" s="120"/>
      <c r="AB40" s="120"/>
      <c r="AC40" s="120"/>
    </row>
    <row r="41">
      <c r="A41" s="90"/>
      <c r="B41" s="37">
        <v>46214.0</v>
      </c>
      <c r="C41" s="96" t="s">
        <v>1839</v>
      </c>
      <c r="D41" s="22" t="s">
        <v>2056</v>
      </c>
      <c r="E41" s="102"/>
      <c r="F41" s="102"/>
      <c r="G41" s="113" t="s">
        <v>2057</v>
      </c>
      <c r="H41" s="114" t="s">
        <v>1622</v>
      </c>
      <c r="I41" s="115"/>
      <c r="J41" s="114" t="s">
        <v>1968</v>
      </c>
      <c r="K41" s="113" t="s">
        <v>1399</v>
      </c>
      <c r="L41" s="113" t="s">
        <v>2058</v>
      </c>
      <c r="M41" s="105" t="s">
        <v>2059</v>
      </c>
      <c r="N41" s="114" t="s">
        <v>64</v>
      </c>
      <c r="O41" s="100"/>
      <c r="P41" s="116"/>
      <c r="Q41" s="117"/>
      <c r="R41" s="118"/>
      <c r="S41" s="119"/>
      <c r="T41" s="119"/>
      <c r="U41" s="119"/>
      <c r="V41" s="119"/>
      <c r="W41" s="119"/>
      <c r="X41" s="119"/>
      <c r="Y41" s="120"/>
      <c r="Z41" s="120"/>
      <c r="AA41" s="120"/>
      <c r="AB41" s="120"/>
      <c r="AC41" s="120"/>
    </row>
    <row r="42">
      <c r="A42" s="90"/>
      <c r="B42" s="37">
        <v>46214.0</v>
      </c>
      <c r="C42" s="96" t="s">
        <v>1839</v>
      </c>
      <c r="D42" s="22" t="s">
        <v>2060</v>
      </c>
      <c r="E42" s="102"/>
      <c r="F42" s="102"/>
      <c r="G42" s="113" t="s">
        <v>1160</v>
      </c>
      <c r="H42" s="114" t="s">
        <v>1775</v>
      </c>
      <c r="I42" s="115"/>
      <c r="J42" s="114" t="s">
        <v>2061</v>
      </c>
      <c r="K42" s="114" t="s">
        <v>2062</v>
      </c>
      <c r="L42" s="114" t="s">
        <v>2063</v>
      </c>
      <c r="M42" s="105" t="s">
        <v>2064</v>
      </c>
      <c r="N42" s="114" t="s">
        <v>64</v>
      </c>
      <c r="O42" s="100"/>
      <c r="P42" s="116"/>
      <c r="Q42" s="117"/>
      <c r="R42" s="118"/>
      <c r="S42" s="119"/>
      <c r="T42" s="119"/>
      <c r="U42" s="119"/>
      <c r="V42" s="119"/>
      <c r="W42" s="119"/>
      <c r="X42" s="119"/>
      <c r="Y42" s="120"/>
      <c r="Z42" s="120"/>
      <c r="AA42" s="120"/>
      <c r="AB42" s="120"/>
      <c r="AC42" s="120"/>
    </row>
    <row r="43">
      <c r="A43" s="90"/>
      <c r="B43" s="37">
        <v>46214.0</v>
      </c>
      <c r="C43" s="96" t="s">
        <v>1839</v>
      </c>
      <c r="D43" s="22" t="s">
        <v>2065</v>
      </c>
      <c r="E43" s="102"/>
      <c r="F43" s="102"/>
      <c r="G43" s="113" t="s">
        <v>2066</v>
      </c>
      <c r="H43" s="114" t="s">
        <v>1622</v>
      </c>
      <c r="I43" s="115"/>
      <c r="J43" s="114" t="s">
        <v>2067</v>
      </c>
      <c r="K43" s="113" t="s">
        <v>2068</v>
      </c>
      <c r="L43" s="113" t="s">
        <v>2069</v>
      </c>
      <c r="M43" s="105" t="s">
        <v>2070</v>
      </c>
      <c r="N43" s="114" t="s">
        <v>64</v>
      </c>
      <c r="O43" s="100"/>
      <c r="P43" s="116"/>
      <c r="Q43" s="117"/>
      <c r="R43" s="118"/>
      <c r="S43" s="119"/>
      <c r="T43" s="119"/>
      <c r="U43" s="119"/>
      <c r="V43" s="119"/>
      <c r="W43" s="119"/>
      <c r="X43" s="119"/>
      <c r="Y43" s="120"/>
      <c r="Z43" s="120"/>
      <c r="AA43" s="120"/>
      <c r="AB43" s="120"/>
      <c r="AC43" s="120"/>
    </row>
    <row r="44">
      <c r="A44" s="90"/>
      <c r="B44" s="37">
        <v>46214.0</v>
      </c>
      <c r="C44" s="96" t="s">
        <v>1839</v>
      </c>
      <c r="D44" s="22" t="s">
        <v>2071</v>
      </c>
      <c r="E44" s="102"/>
      <c r="F44" s="102"/>
      <c r="G44" s="113" t="s">
        <v>2057</v>
      </c>
      <c r="H44" s="114" t="s">
        <v>1622</v>
      </c>
      <c r="I44" s="115"/>
      <c r="J44" s="114" t="s">
        <v>2067</v>
      </c>
      <c r="K44" s="113" t="s">
        <v>1399</v>
      </c>
      <c r="L44" s="114" t="s">
        <v>2072</v>
      </c>
      <c r="M44" s="105" t="s">
        <v>2073</v>
      </c>
      <c r="N44" s="114" t="s">
        <v>64</v>
      </c>
      <c r="O44" s="100"/>
      <c r="P44" s="116"/>
      <c r="Q44" s="117"/>
      <c r="R44" s="118"/>
      <c r="S44" s="119"/>
      <c r="T44" s="119"/>
      <c r="U44" s="119"/>
      <c r="V44" s="119"/>
      <c r="W44" s="119"/>
      <c r="X44" s="119"/>
      <c r="Y44" s="120"/>
      <c r="Z44" s="120"/>
      <c r="AA44" s="120"/>
      <c r="AB44" s="120"/>
      <c r="AC44" s="120"/>
    </row>
    <row r="45">
      <c r="A45" s="90"/>
      <c r="B45" s="37">
        <v>46214.0</v>
      </c>
      <c r="C45" s="96" t="s">
        <v>1839</v>
      </c>
      <c r="D45" s="22" t="s">
        <v>2074</v>
      </c>
      <c r="E45" s="102"/>
      <c r="F45" s="102"/>
      <c r="G45" s="113" t="s">
        <v>2075</v>
      </c>
      <c r="H45" s="114" t="s">
        <v>2076</v>
      </c>
      <c r="I45" s="115"/>
      <c r="J45" s="114" t="s">
        <v>2077</v>
      </c>
      <c r="K45" s="114" t="s">
        <v>2078</v>
      </c>
      <c r="L45" s="114" t="s">
        <v>2079</v>
      </c>
      <c r="M45" s="105" t="s">
        <v>2080</v>
      </c>
      <c r="N45" s="114" t="s">
        <v>64</v>
      </c>
      <c r="O45" s="100"/>
      <c r="P45" s="116"/>
      <c r="Q45" s="117"/>
      <c r="R45" s="118"/>
      <c r="S45" s="119"/>
      <c r="T45" s="119"/>
      <c r="U45" s="119"/>
      <c r="V45" s="119"/>
      <c r="W45" s="119"/>
      <c r="X45" s="119"/>
      <c r="Y45" s="120"/>
      <c r="Z45" s="120"/>
      <c r="AA45" s="120"/>
      <c r="AB45" s="120"/>
      <c r="AC45" s="120"/>
    </row>
    <row r="46">
      <c r="A46" s="90"/>
      <c r="B46" s="37">
        <v>46214.0</v>
      </c>
      <c r="C46" s="96" t="s">
        <v>1839</v>
      </c>
      <c r="D46" s="22" t="s">
        <v>2081</v>
      </c>
      <c r="E46" s="102"/>
      <c r="F46" s="102"/>
      <c r="G46" s="113" t="s">
        <v>1104</v>
      </c>
      <c r="H46" s="114" t="s">
        <v>1622</v>
      </c>
      <c r="I46" s="115"/>
      <c r="J46" s="114" t="s">
        <v>2082</v>
      </c>
      <c r="K46" s="114" t="s">
        <v>2083</v>
      </c>
      <c r="L46" s="114" t="s">
        <v>2084</v>
      </c>
      <c r="M46" s="105" t="s">
        <v>2085</v>
      </c>
      <c r="N46" s="114" t="s">
        <v>64</v>
      </c>
      <c r="O46" s="100"/>
      <c r="P46" s="116"/>
      <c r="Q46" s="117"/>
      <c r="R46" s="118"/>
      <c r="S46" s="119"/>
      <c r="T46" s="119"/>
      <c r="U46" s="119"/>
      <c r="V46" s="119"/>
      <c r="W46" s="119"/>
      <c r="X46" s="119"/>
      <c r="Y46" s="120"/>
      <c r="Z46" s="120"/>
      <c r="AA46" s="120"/>
      <c r="AB46" s="120"/>
      <c r="AC46" s="120"/>
    </row>
    <row r="47">
      <c r="A47" s="90"/>
      <c r="B47" s="37">
        <v>46214.0</v>
      </c>
      <c r="C47" s="96" t="s">
        <v>1839</v>
      </c>
      <c r="D47" s="22" t="s">
        <v>2086</v>
      </c>
      <c r="E47" s="102"/>
      <c r="F47" s="102"/>
      <c r="G47" s="113" t="s">
        <v>2087</v>
      </c>
      <c r="H47" s="114" t="s">
        <v>1622</v>
      </c>
      <c r="I47" s="115"/>
      <c r="J47" s="114" t="s">
        <v>2088</v>
      </c>
      <c r="K47" s="114" t="s">
        <v>2089</v>
      </c>
      <c r="L47" s="114" t="s">
        <v>2090</v>
      </c>
      <c r="M47" s="105" t="s">
        <v>2091</v>
      </c>
      <c r="N47" s="114" t="s">
        <v>64</v>
      </c>
      <c r="O47" s="100"/>
      <c r="P47" s="116"/>
      <c r="Q47" s="117"/>
      <c r="R47" s="118"/>
      <c r="S47" s="119"/>
      <c r="T47" s="119"/>
      <c r="U47" s="119"/>
      <c r="V47" s="119"/>
      <c r="W47" s="119"/>
      <c r="X47" s="119"/>
      <c r="Y47" s="120"/>
      <c r="Z47" s="120"/>
      <c r="AA47" s="120"/>
      <c r="AB47" s="120"/>
      <c r="AC47" s="120"/>
    </row>
    <row r="48">
      <c r="A48" s="90"/>
      <c r="B48" s="37">
        <v>46214.0</v>
      </c>
      <c r="C48" s="96" t="s">
        <v>1839</v>
      </c>
      <c r="D48" s="22" t="s">
        <v>2092</v>
      </c>
      <c r="E48" s="102"/>
      <c r="F48" s="102"/>
      <c r="G48" s="113" t="s">
        <v>2093</v>
      </c>
      <c r="H48" s="114" t="s">
        <v>1622</v>
      </c>
      <c r="I48" s="115"/>
      <c r="J48" s="114" t="s">
        <v>2094</v>
      </c>
      <c r="K48" s="114" t="s">
        <v>2095</v>
      </c>
      <c r="L48" s="114" t="s">
        <v>2096</v>
      </c>
      <c r="M48" s="105" t="s">
        <v>2097</v>
      </c>
      <c r="N48" s="114" t="s">
        <v>64</v>
      </c>
      <c r="O48" s="100"/>
      <c r="P48" s="116"/>
      <c r="Q48" s="117"/>
      <c r="R48" s="118"/>
      <c r="S48" s="119"/>
      <c r="T48" s="119"/>
      <c r="U48" s="119"/>
      <c r="V48" s="119"/>
      <c r="W48" s="119"/>
      <c r="X48" s="119"/>
      <c r="Y48" s="120"/>
      <c r="Z48" s="120"/>
      <c r="AA48" s="120"/>
      <c r="AB48" s="120"/>
      <c r="AC48" s="120"/>
    </row>
    <row r="49">
      <c r="A49" s="90"/>
      <c r="B49" s="37">
        <v>46214.0</v>
      </c>
      <c r="C49" s="96" t="s">
        <v>1839</v>
      </c>
      <c r="D49" s="22" t="s">
        <v>2098</v>
      </c>
      <c r="E49" s="102"/>
      <c r="F49" s="102"/>
      <c r="G49" s="113" t="s">
        <v>2099</v>
      </c>
      <c r="H49" s="114" t="s">
        <v>2076</v>
      </c>
      <c r="I49" s="115"/>
      <c r="J49" s="114" t="s">
        <v>2100</v>
      </c>
      <c r="K49" s="114" t="s">
        <v>2101</v>
      </c>
      <c r="L49" s="114" t="s">
        <v>2102</v>
      </c>
      <c r="M49" s="105" t="s">
        <v>2103</v>
      </c>
      <c r="N49" s="114" t="s">
        <v>64</v>
      </c>
      <c r="O49" s="100"/>
      <c r="P49" s="116"/>
      <c r="Q49" s="117"/>
      <c r="R49" s="118"/>
      <c r="S49" s="119"/>
      <c r="T49" s="119"/>
      <c r="U49" s="119"/>
      <c r="V49" s="119"/>
      <c r="W49" s="119"/>
      <c r="X49" s="119"/>
      <c r="Y49" s="120"/>
      <c r="Z49" s="120"/>
      <c r="AA49" s="120"/>
      <c r="AB49" s="120"/>
      <c r="AC49" s="120"/>
    </row>
    <row r="50">
      <c r="A50" s="90"/>
      <c r="B50" s="37">
        <v>46214.0</v>
      </c>
      <c r="C50" s="96" t="s">
        <v>1839</v>
      </c>
      <c r="D50" s="22" t="s">
        <v>2104</v>
      </c>
      <c r="E50" s="102"/>
      <c r="F50" s="102"/>
      <c r="G50" s="113" t="s">
        <v>2105</v>
      </c>
      <c r="H50" s="114" t="s">
        <v>1622</v>
      </c>
      <c r="I50" s="115"/>
      <c r="J50" s="114" t="s">
        <v>2106</v>
      </c>
      <c r="K50" s="114" t="s">
        <v>2107</v>
      </c>
      <c r="L50" s="114" t="s">
        <v>2108</v>
      </c>
      <c r="M50" s="105" t="s">
        <v>2109</v>
      </c>
      <c r="N50" s="114" t="s">
        <v>64</v>
      </c>
      <c r="O50" s="100"/>
      <c r="P50" s="116"/>
      <c r="Q50" s="117"/>
      <c r="R50" s="118"/>
      <c r="S50" s="119"/>
      <c r="T50" s="119"/>
      <c r="U50" s="119"/>
      <c r="V50" s="119"/>
      <c r="W50" s="119"/>
      <c r="X50" s="119"/>
      <c r="Y50" s="120"/>
      <c r="Z50" s="120"/>
      <c r="AA50" s="120"/>
      <c r="AB50" s="120"/>
      <c r="AC50" s="120"/>
    </row>
    <row r="51">
      <c r="A51" s="90"/>
      <c r="B51" s="37">
        <v>46214.0</v>
      </c>
      <c r="C51" s="96" t="s">
        <v>1839</v>
      </c>
      <c r="D51" s="22" t="s">
        <v>2110</v>
      </c>
      <c r="E51" s="102"/>
      <c r="F51" s="102"/>
      <c r="G51" s="113" t="s">
        <v>2111</v>
      </c>
      <c r="H51" s="114" t="s">
        <v>1622</v>
      </c>
      <c r="I51" s="115"/>
      <c r="J51" s="114" t="s">
        <v>2112</v>
      </c>
      <c r="K51" s="113" t="s">
        <v>1399</v>
      </c>
      <c r="L51" s="114" t="s">
        <v>2113</v>
      </c>
      <c r="M51" s="105" t="s">
        <v>2114</v>
      </c>
      <c r="N51" s="114" t="s">
        <v>64</v>
      </c>
      <c r="O51" s="100"/>
      <c r="P51" s="116"/>
      <c r="Q51" s="117"/>
      <c r="R51" s="118"/>
      <c r="S51" s="119"/>
      <c r="T51" s="119"/>
      <c r="U51" s="119"/>
      <c r="V51" s="119"/>
      <c r="W51" s="119"/>
      <c r="X51" s="119"/>
      <c r="Y51" s="120"/>
      <c r="Z51" s="120"/>
      <c r="AA51" s="120"/>
      <c r="AB51" s="120"/>
      <c r="AC51" s="120"/>
    </row>
    <row r="52">
      <c r="A52" s="90"/>
      <c r="B52" s="37">
        <v>46214.0</v>
      </c>
      <c r="C52" s="96" t="s">
        <v>1839</v>
      </c>
      <c r="D52" s="22" t="s">
        <v>2115</v>
      </c>
      <c r="E52" s="102"/>
      <c r="F52" s="102"/>
      <c r="G52" s="113" t="s">
        <v>2116</v>
      </c>
      <c r="H52" s="114" t="s">
        <v>1622</v>
      </c>
      <c r="I52" s="115"/>
      <c r="J52" s="114" t="s">
        <v>2117</v>
      </c>
      <c r="K52" s="114" t="s">
        <v>2118</v>
      </c>
      <c r="L52" s="114" t="s">
        <v>2119</v>
      </c>
      <c r="M52" s="105" t="s">
        <v>2120</v>
      </c>
      <c r="N52" s="114" t="s">
        <v>64</v>
      </c>
      <c r="O52" s="100"/>
      <c r="P52" s="116"/>
      <c r="Q52" s="117"/>
      <c r="R52" s="118"/>
      <c r="S52" s="119"/>
      <c r="T52" s="119"/>
      <c r="U52" s="119"/>
      <c r="V52" s="119"/>
      <c r="W52" s="119"/>
      <c r="X52" s="119"/>
      <c r="Y52" s="120"/>
      <c r="Z52" s="120"/>
      <c r="AA52" s="120"/>
      <c r="AB52" s="120"/>
      <c r="AC52" s="120"/>
    </row>
    <row r="53">
      <c r="A53" s="90"/>
      <c r="B53" s="37">
        <v>46214.0</v>
      </c>
      <c r="C53" s="96" t="s">
        <v>1839</v>
      </c>
      <c r="D53" s="22" t="s">
        <v>2121</v>
      </c>
      <c r="E53" s="102"/>
      <c r="F53" s="102"/>
      <c r="G53" s="113" t="s">
        <v>2122</v>
      </c>
      <c r="H53" s="114" t="s">
        <v>1622</v>
      </c>
      <c r="I53" s="115"/>
      <c r="J53" s="114" t="s">
        <v>2123</v>
      </c>
      <c r="K53" s="114" t="s">
        <v>2124</v>
      </c>
      <c r="L53" s="114" t="s">
        <v>2125</v>
      </c>
      <c r="M53" s="105" t="s">
        <v>2126</v>
      </c>
      <c r="N53" s="114" t="s">
        <v>64</v>
      </c>
      <c r="O53" s="100"/>
      <c r="P53" s="116"/>
      <c r="Q53" s="117"/>
      <c r="R53" s="118"/>
      <c r="S53" s="119"/>
      <c r="T53" s="119"/>
      <c r="U53" s="119"/>
      <c r="V53" s="119"/>
      <c r="W53" s="119"/>
      <c r="X53" s="119"/>
      <c r="Y53" s="120"/>
      <c r="Z53" s="120"/>
      <c r="AA53" s="120"/>
      <c r="AB53" s="120"/>
      <c r="AC53" s="120"/>
    </row>
    <row r="54">
      <c r="A54" s="90"/>
      <c r="B54" s="37">
        <v>46214.0</v>
      </c>
      <c r="C54" s="96" t="s">
        <v>1839</v>
      </c>
      <c r="D54" s="22" t="s">
        <v>2127</v>
      </c>
      <c r="E54" s="102"/>
      <c r="F54" s="102"/>
      <c r="G54" s="113" t="s">
        <v>2128</v>
      </c>
      <c r="H54" s="114" t="s">
        <v>1622</v>
      </c>
      <c r="I54" s="115"/>
      <c r="J54" s="114" t="s">
        <v>2129</v>
      </c>
      <c r="K54" s="114" t="s">
        <v>2124</v>
      </c>
      <c r="L54" s="114" t="s">
        <v>2125</v>
      </c>
      <c r="M54" s="105" t="s">
        <v>2130</v>
      </c>
      <c r="N54" s="114" t="s">
        <v>64</v>
      </c>
      <c r="O54" s="100"/>
      <c r="P54" s="116"/>
      <c r="Q54" s="117"/>
      <c r="R54" s="118"/>
      <c r="S54" s="119"/>
      <c r="T54" s="119"/>
      <c r="U54" s="119"/>
      <c r="V54" s="119"/>
      <c r="W54" s="119"/>
      <c r="X54" s="119"/>
      <c r="Y54" s="120"/>
      <c r="Z54" s="120"/>
      <c r="AA54" s="120"/>
      <c r="AB54" s="120"/>
      <c r="AC54" s="120"/>
    </row>
    <row r="55">
      <c r="A55" s="90"/>
      <c r="B55" s="37">
        <v>46214.0</v>
      </c>
      <c r="C55" s="96" t="s">
        <v>1839</v>
      </c>
      <c r="D55" s="22" t="s">
        <v>2131</v>
      </c>
      <c r="E55" s="102"/>
      <c r="F55" s="102"/>
      <c r="G55" s="113" t="s">
        <v>2132</v>
      </c>
      <c r="H55" s="114" t="s">
        <v>2133</v>
      </c>
      <c r="I55" s="115"/>
      <c r="J55" s="114" t="s">
        <v>2134</v>
      </c>
      <c r="K55" s="114" t="s">
        <v>2135</v>
      </c>
      <c r="L55" s="114" t="s">
        <v>2136</v>
      </c>
      <c r="M55" s="105" t="s">
        <v>2137</v>
      </c>
      <c r="N55" s="114" t="s">
        <v>64</v>
      </c>
      <c r="O55" s="100"/>
      <c r="P55" s="116"/>
      <c r="Q55" s="117"/>
      <c r="R55" s="118"/>
      <c r="S55" s="119"/>
      <c r="T55" s="119"/>
      <c r="U55" s="119"/>
      <c r="V55" s="119"/>
      <c r="W55" s="119"/>
      <c r="X55" s="119"/>
      <c r="Y55" s="120"/>
      <c r="Z55" s="120"/>
      <c r="AA55" s="120"/>
      <c r="AB55" s="120"/>
      <c r="AC55" s="120"/>
    </row>
    <row r="56">
      <c r="A56" s="90"/>
      <c r="B56" s="37">
        <v>46214.0</v>
      </c>
      <c r="C56" s="96" t="s">
        <v>1839</v>
      </c>
      <c r="D56" s="22" t="s">
        <v>2138</v>
      </c>
      <c r="E56" s="102"/>
      <c r="F56" s="102"/>
      <c r="G56" s="113" t="s">
        <v>2139</v>
      </c>
      <c r="H56" s="114" t="s">
        <v>2133</v>
      </c>
      <c r="I56" s="115"/>
      <c r="J56" s="114" t="s">
        <v>2140</v>
      </c>
      <c r="K56" s="114" t="s">
        <v>2141</v>
      </c>
      <c r="L56" s="114" t="s">
        <v>2142</v>
      </c>
      <c r="M56" s="105" t="s">
        <v>2143</v>
      </c>
      <c r="N56" s="114" t="s">
        <v>64</v>
      </c>
      <c r="O56" s="100"/>
      <c r="P56" s="116"/>
      <c r="Q56" s="117"/>
      <c r="R56" s="118"/>
      <c r="S56" s="119"/>
      <c r="T56" s="119"/>
      <c r="U56" s="119"/>
      <c r="V56" s="119"/>
      <c r="W56" s="119"/>
      <c r="X56" s="119"/>
      <c r="Y56" s="120"/>
      <c r="Z56" s="120"/>
      <c r="AA56" s="120"/>
      <c r="AB56" s="120"/>
      <c r="AC56" s="120"/>
    </row>
    <row r="57">
      <c r="A57" s="90"/>
      <c r="B57" s="37">
        <v>46214.0</v>
      </c>
      <c r="C57" s="96" t="s">
        <v>1839</v>
      </c>
      <c r="D57" s="22" t="s">
        <v>2144</v>
      </c>
      <c r="E57" s="102"/>
      <c r="F57" s="102"/>
      <c r="G57" s="113" t="s">
        <v>2145</v>
      </c>
      <c r="H57" s="114" t="s">
        <v>2133</v>
      </c>
      <c r="I57" s="115"/>
      <c r="J57" s="114" t="s">
        <v>2146</v>
      </c>
      <c r="K57" s="114" t="s">
        <v>2089</v>
      </c>
      <c r="L57" s="114" t="s">
        <v>1561</v>
      </c>
      <c r="M57" s="105" t="s">
        <v>2147</v>
      </c>
      <c r="N57" s="114" t="s">
        <v>64</v>
      </c>
      <c r="O57" s="100"/>
      <c r="P57" s="116"/>
      <c r="Q57" s="117"/>
      <c r="R57" s="118"/>
      <c r="S57" s="119"/>
      <c r="T57" s="119"/>
      <c r="U57" s="119"/>
      <c r="V57" s="119"/>
      <c r="W57" s="119"/>
      <c r="X57" s="119"/>
      <c r="Y57" s="120"/>
      <c r="Z57" s="120"/>
      <c r="AA57" s="120"/>
      <c r="AB57" s="120"/>
      <c r="AC57" s="120"/>
    </row>
    <row r="58">
      <c r="A58" s="90"/>
      <c r="B58" s="37">
        <v>46214.0</v>
      </c>
      <c r="C58" s="96" t="s">
        <v>1839</v>
      </c>
      <c r="D58" s="22" t="s">
        <v>2148</v>
      </c>
      <c r="E58" s="102"/>
      <c r="F58" s="102"/>
      <c r="G58" s="113" t="s">
        <v>2149</v>
      </c>
      <c r="H58" s="114" t="s">
        <v>2133</v>
      </c>
      <c r="I58" s="115"/>
      <c r="J58" s="114" t="s">
        <v>2150</v>
      </c>
      <c r="K58" s="114" t="s">
        <v>2151</v>
      </c>
      <c r="L58" s="114" t="s">
        <v>1561</v>
      </c>
      <c r="M58" s="105" t="s">
        <v>2152</v>
      </c>
      <c r="N58" s="114" t="s">
        <v>64</v>
      </c>
      <c r="O58" s="100"/>
      <c r="P58" s="116"/>
      <c r="Q58" s="117"/>
      <c r="R58" s="118"/>
      <c r="S58" s="119"/>
      <c r="T58" s="119"/>
      <c r="U58" s="119"/>
      <c r="V58" s="119"/>
      <c r="W58" s="119"/>
      <c r="X58" s="119"/>
      <c r="Y58" s="120"/>
      <c r="Z58" s="120"/>
      <c r="AA58" s="120"/>
      <c r="AB58" s="120"/>
      <c r="AC58" s="120"/>
    </row>
    <row r="59">
      <c r="A59" s="90"/>
      <c r="B59" s="37">
        <v>46214.0</v>
      </c>
      <c r="C59" s="96" t="s">
        <v>1839</v>
      </c>
      <c r="D59" s="22" t="s">
        <v>2153</v>
      </c>
      <c r="E59" s="102"/>
      <c r="F59" s="102"/>
      <c r="G59" s="113" t="s">
        <v>2154</v>
      </c>
      <c r="H59" s="114" t="s">
        <v>2133</v>
      </c>
      <c r="I59" s="115"/>
      <c r="J59" s="114" t="s">
        <v>2155</v>
      </c>
      <c r="K59" s="114" t="s">
        <v>2156</v>
      </c>
      <c r="L59" s="114" t="s">
        <v>2157</v>
      </c>
      <c r="M59" s="105" t="s">
        <v>2158</v>
      </c>
      <c r="N59" s="114" t="s">
        <v>64</v>
      </c>
      <c r="O59" s="100"/>
      <c r="P59" s="116"/>
      <c r="Q59" s="117"/>
      <c r="R59" s="118"/>
      <c r="S59" s="119"/>
      <c r="T59" s="119"/>
      <c r="U59" s="119"/>
      <c r="V59" s="119"/>
      <c r="W59" s="119"/>
      <c r="X59" s="119"/>
      <c r="Y59" s="120"/>
      <c r="Z59" s="120"/>
      <c r="AA59" s="120"/>
      <c r="AB59" s="120"/>
      <c r="AC59" s="120"/>
    </row>
    <row r="60">
      <c r="A60" s="90"/>
      <c r="B60" s="37">
        <v>46214.0</v>
      </c>
      <c r="C60" s="96" t="s">
        <v>1839</v>
      </c>
      <c r="D60" s="22" t="s">
        <v>2159</v>
      </c>
      <c r="E60" s="102"/>
      <c r="F60" s="102"/>
      <c r="G60" s="113" t="s">
        <v>2116</v>
      </c>
      <c r="H60" s="114" t="s">
        <v>2160</v>
      </c>
      <c r="I60" s="115"/>
      <c r="J60" s="114" t="s">
        <v>2161</v>
      </c>
      <c r="K60" s="114" t="s">
        <v>2162</v>
      </c>
      <c r="L60" s="114" t="s">
        <v>2163</v>
      </c>
      <c r="M60" s="105" t="s">
        <v>2164</v>
      </c>
      <c r="N60" s="114" t="s">
        <v>64</v>
      </c>
      <c r="O60" s="100"/>
      <c r="P60" s="116"/>
      <c r="Q60" s="117"/>
      <c r="R60" s="118"/>
      <c r="S60" s="119"/>
      <c r="T60" s="119"/>
      <c r="U60" s="119"/>
      <c r="V60" s="119"/>
      <c r="W60" s="119"/>
      <c r="X60" s="119"/>
      <c r="Y60" s="120"/>
      <c r="Z60" s="120"/>
      <c r="AA60" s="120"/>
      <c r="AB60" s="120"/>
      <c r="AC60" s="120"/>
    </row>
    <row r="61">
      <c r="A61" s="90"/>
      <c r="B61" s="37">
        <v>46214.0</v>
      </c>
      <c r="C61" s="96" t="s">
        <v>1839</v>
      </c>
      <c r="D61" s="22" t="s">
        <v>2165</v>
      </c>
      <c r="E61" s="102"/>
      <c r="F61" s="102"/>
      <c r="G61" s="113" t="s">
        <v>2166</v>
      </c>
      <c r="H61" s="114" t="s">
        <v>2160</v>
      </c>
      <c r="I61" s="115"/>
      <c r="J61" s="114" t="s">
        <v>2167</v>
      </c>
      <c r="K61" s="114" t="s">
        <v>2168</v>
      </c>
      <c r="L61" s="114" t="s">
        <v>1561</v>
      </c>
      <c r="M61" s="105" t="s">
        <v>2169</v>
      </c>
      <c r="N61" s="114" t="s">
        <v>64</v>
      </c>
      <c r="O61" s="100"/>
      <c r="P61" s="116"/>
      <c r="Q61" s="117"/>
      <c r="R61" s="118"/>
      <c r="S61" s="119"/>
      <c r="T61" s="119"/>
      <c r="U61" s="119"/>
      <c r="V61" s="119"/>
      <c r="W61" s="119"/>
      <c r="X61" s="119"/>
      <c r="Y61" s="120"/>
      <c r="Z61" s="120"/>
      <c r="AA61" s="120"/>
      <c r="AB61" s="120"/>
      <c r="AC61" s="120"/>
    </row>
    <row r="62">
      <c r="A62" s="90"/>
      <c r="B62" s="37">
        <v>46214.0</v>
      </c>
      <c r="C62" s="96" t="s">
        <v>1839</v>
      </c>
      <c r="D62" s="22" t="s">
        <v>2170</v>
      </c>
      <c r="E62" s="102"/>
      <c r="F62" s="102"/>
      <c r="G62" s="113" t="s">
        <v>1861</v>
      </c>
      <c r="H62" s="114" t="s">
        <v>2160</v>
      </c>
      <c r="I62" s="115"/>
      <c r="J62" s="114" t="s">
        <v>2171</v>
      </c>
      <c r="K62" s="114" t="s">
        <v>2172</v>
      </c>
      <c r="L62" s="114" t="s">
        <v>2173</v>
      </c>
      <c r="M62" s="105" t="s">
        <v>2174</v>
      </c>
      <c r="N62" s="114" t="s">
        <v>64</v>
      </c>
      <c r="O62" s="100"/>
      <c r="P62" s="116"/>
      <c r="Q62" s="117"/>
      <c r="R62" s="118"/>
      <c r="S62" s="119"/>
      <c r="T62" s="119"/>
      <c r="U62" s="119"/>
      <c r="V62" s="119"/>
      <c r="W62" s="119"/>
      <c r="X62" s="119"/>
      <c r="Y62" s="120"/>
      <c r="Z62" s="120"/>
      <c r="AA62" s="120"/>
      <c r="AB62" s="120"/>
      <c r="AC62" s="120"/>
    </row>
    <row r="63">
      <c r="A63" s="90"/>
      <c r="B63" s="108">
        <v>86.0</v>
      </c>
      <c r="C63" s="96" t="s">
        <v>1839</v>
      </c>
      <c r="D63" s="109" t="s">
        <v>2175</v>
      </c>
      <c r="E63" s="110" t="s">
        <v>2176</v>
      </c>
      <c r="F63" s="110" t="s">
        <v>287</v>
      </c>
      <c r="G63" s="121" t="s">
        <v>2177</v>
      </c>
      <c r="H63" s="114" t="s">
        <v>2178</v>
      </c>
      <c r="I63" s="115"/>
      <c r="J63" s="114" t="s">
        <v>2179</v>
      </c>
      <c r="K63" s="114" t="s">
        <v>2180</v>
      </c>
      <c r="L63" s="114" t="s">
        <v>1268</v>
      </c>
      <c r="M63" s="105" t="s">
        <v>2181</v>
      </c>
      <c r="N63" s="114" t="s">
        <v>64</v>
      </c>
      <c r="O63" s="100"/>
      <c r="P63" s="116"/>
      <c r="Q63" s="117"/>
      <c r="R63" s="118"/>
      <c r="S63" s="119"/>
      <c r="T63" s="119"/>
      <c r="U63" s="119"/>
      <c r="V63" s="119"/>
      <c r="W63" s="119"/>
      <c r="X63" s="119"/>
      <c r="Y63" s="120"/>
      <c r="Z63" s="120"/>
      <c r="AA63" s="120"/>
      <c r="AB63" s="120"/>
      <c r="AC63" s="120"/>
    </row>
    <row r="64">
      <c r="A64" s="90"/>
      <c r="B64" s="37">
        <v>46214.0</v>
      </c>
      <c r="C64" s="96" t="s">
        <v>1839</v>
      </c>
      <c r="D64" s="22" t="s">
        <v>2182</v>
      </c>
      <c r="E64" s="102"/>
      <c r="F64" s="102"/>
      <c r="G64" s="113" t="s">
        <v>1841</v>
      </c>
      <c r="H64" s="114" t="s">
        <v>2178</v>
      </c>
      <c r="I64" s="115"/>
      <c r="J64" s="114" t="s">
        <v>2183</v>
      </c>
      <c r="K64" s="114" t="s">
        <v>2184</v>
      </c>
      <c r="L64" s="114" t="s">
        <v>2185</v>
      </c>
      <c r="M64" s="105" t="s">
        <v>2186</v>
      </c>
      <c r="N64" s="114" t="s">
        <v>64</v>
      </c>
      <c r="O64" s="100"/>
      <c r="P64" s="116"/>
      <c r="Q64" s="117"/>
      <c r="R64" s="118"/>
      <c r="S64" s="119"/>
      <c r="T64" s="119"/>
      <c r="U64" s="119"/>
      <c r="V64" s="119"/>
      <c r="W64" s="119"/>
      <c r="X64" s="119"/>
      <c r="Y64" s="120"/>
      <c r="Z64" s="120"/>
      <c r="AA64" s="120"/>
      <c r="AB64" s="120"/>
      <c r="AC64" s="120"/>
    </row>
    <row r="65">
      <c r="A65" s="90"/>
      <c r="B65" s="108">
        <v>87.0</v>
      </c>
      <c r="C65" s="96" t="s">
        <v>1839</v>
      </c>
      <c r="D65" s="109" t="s">
        <v>2187</v>
      </c>
      <c r="E65" s="110" t="s">
        <v>2188</v>
      </c>
      <c r="F65" s="110" t="s">
        <v>287</v>
      </c>
      <c r="G65" s="121" t="s">
        <v>2189</v>
      </c>
      <c r="H65" s="114" t="s">
        <v>2190</v>
      </c>
      <c r="I65" s="115"/>
      <c r="J65" s="114" t="s">
        <v>2191</v>
      </c>
      <c r="K65" s="114" t="s">
        <v>2192</v>
      </c>
      <c r="L65" s="114" t="s">
        <v>2193</v>
      </c>
      <c r="M65" s="105" t="s">
        <v>2194</v>
      </c>
      <c r="N65" s="114" t="s">
        <v>64</v>
      </c>
      <c r="O65" s="100"/>
      <c r="P65" s="116"/>
      <c r="Q65" s="117"/>
      <c r="R65" s="118"/>
      <c r="S65" s="119"/>
      <c r="T65" s="119"/>
      <c r="U65" s="119"/>
      <c r="V65" s="119"/>
      <c r="W65" s="119"/>
      <c r="X65" s="119"/>
      <c r="Y65" s="120"/>
      <c r="Z65" s="120"/>
      <c r="AA65" s="120"/>
      <c r="AB65" s="120"/>
      <c r="AC65" s="120"/>
    </row>
    <row r="66">
      <c r="A66" s="90"/>
      <c r="B66" s="37">
        <v>46214.0</v>
      </c>
      <c r="C66" s="96" t="s">
        <v>1839</v>
      </c>
      <c r="D66" s="22" t="s">
        <v>2195</v>
      </c>
      <c r="E66" s="102"/>
      <c r="F66" s="102"/>
      <c r="G66" s="113" t="s">
        <v>2196</v>
      </c>
      <c r="H66" s="114" t="s">
        <v>2190</v>
      </c>
      <c r="I66" s="115"/>
      <c r="J66" s="114" t="s">
        <v>2197</v>
      </c>
      <c r="K66" s="113" t="s">
        <v>1399</v>
      </c>
      <c r="L66" s="114" t="s">
        <v>2198</v>
      </c>
      <c r="M66" s="105" t="s">
        <v>2199</v>
      </c>
      <c r="N66" s="114" t="s">
        <v>64</v>
      </c>
      <c r="O66" s="100"/>
      <c r="P66" s="116"/>
      <c r="Q66" s="117"/>
      <c r="R66" s="118"/>
      <c r="S66" s="119"/>
      <c r="T66" s="119"/>
      <c r="U66" s="119"/>
      <c r="V66" s="119"/>
      <c r="W66" s="119"/>
      <c r="X66" s="119"/>
      <c r="Y66" s="120"/>
      <c r="Z66" s="120"/>
      <c r="AA66" s="120"/>
      <c r="AB66" s="120"/>
      <c r="AC66" s="120"/>
    </row>
    <row r="67">
      <c r="A67" s="90"/>
      <c r="B67" s="37">
        <v>46214.0</v>
      </c>
      <c r="C67" s="96" t="s">
        <v>1839</v>
      </c>
      <c r="D67" s="22" t="s">
        <v>2200</v>
      </c>
      <c r="E67" s="102"/>
      <c r="F67" s="102"/>
      <c r="G67" s="113" t="s">
        <v>2201</v>
      </c>
      <c r="H67" s="114" t="s">
        <v>2202</v>
      </c>
      <c r="I67" s="115"/>
      <c r="J67" s="114" t="s">
        <v>2203</v>
      </c>
      <c r="K67" s="114" t="s">
        <v>2204</v>
      </c>
      <c r="L67" s="114" t="s">
        <v>2205</v>
      </c>
      <c r="M67" s="105" t="s">
        <v>2206</v>
      </c>
      <c r="N67" s="114" t="s">
        <v>64</v>
      </c>
      <c r="O67" s="100"/>
      <c r="P67" s="116"/>
      <c r="Q67" s="117"/>
      <c r="R67" s="118"/>
      <c r="S67" s="119"/>
      <c r="T67" s="119"/>
      <c r="U67" s="119"/>
      <c r="V67" s="119"/>
      <c r="W67" s="119"/>
      <c r="X67" s="119"/>
      <c r="Y67" s="120"/>
      <c r="Z67" s="120"/>
      <c r="AA67" s="120"/>
      <c r="AB67" s="120"/>
      <c r="AC67" s="120"/>
    </row>
    <row r="68">
      <c r="A68" s="90"/>
      <c r="B68" s="37">
        <v>46214.0</v>
      </c>
      <c r="C68" s="96" t="s">
        <v>1839</v>
      </c>
      <c r="D68" s="22" t="s">
        <v>2207</v>
      </c>
      <c r="E68" s="102"/>
      <c r="F68" s="102"/>
      <c r="G68" s="113" t="s">
        <v>2208</v>
      </c>
      <c r="H68" s="114" t="s">
        <v>2209</v>
      </c>
      <c r="I68" s="115"/>
      <c r="J68" s="114" t="s">
        <v>2191</v>
      </c>
      <c r="K68" s="114" t="s">
        <v>2210</v>
      </c>
      <c r="L68" s="114" t="s">
        <v>2211</v>
      </c>
      <c r="M68" s="105" t="s">
        <v>2212</v>
      </c>
      <c r="N68" s="114" t="s">
        <v>64</v>
      </c>
      <c r="O68" s="100"/>
      <c r="P68" s="116"/>
      <c r="Q68" s="117"/>
      <c r="R68" s="118"/>
      <c r="S68" s="119"/>
      <c r="T68" s="119"/>
      <c r="U68" s="119"/>
      <c r="V68" s="119"/>
      <c r="W68" s="119"/>
      <c r="X68" s="119"/>
      <c r="Y68" s="120"/>
      <c r="Z68" s="120"/>
      <c r="AA68" s="120"/>
      <c r="AB68" s="120"/>
      <c r="AC68" s="120"/>
    </row>
    <row r="69">
      <c r="A69" s="90"/>
      <c r="B69" s="37">
        <v>46214.0</v>
      </c>
      <c r="C69" s="96" t="s">
        <v>1839</v>
      </c>
      <c r="D69" s="22" t="s">
        <v>2213</v>
      </c>
      <c r="E69" s="102"/>
      <c r="F69" s="102"/>
      <c r="G69" s="113" t="s">
        <v>2214</v>
      </c>
      <c r="H69" s="114" t="s">
        <v>2215</v>
      </c>
      <c r="I69" s="115"/>
      <c r="J69" s="114" t="s">
        <v>2216</v>
      </c>
      <c r="K69" s="113" t="s">
        <v>1399</v>
      </c>
      <c r="L69" s="114" t="s">
        <v>2217</v>
      </c>
      <c r="M69" s="105" t="s">
        <v>2218</v>
      </c>
      <c r="N69" s="114" t="s">
        <v>64</v>
      </c>
      <c r="O69" s="100"/>
      <c r="P69" s="116"/>
      <c r="Q69" s="117"/>
      <c r="R69" s="118"/>
      <c r="S69" s="119"/>
      <c r="T69" s="119"/>
      <c r="U69" s="119"/>
      <c r="V69" s="119"/>
      <c r="W69" s="119"/>
      <c r="X69" s="119"/>
      <c r="Y69" s="120"/>
      <c r="Z69" s="120"/>
      <c r="AA69" s="120"/>
      <c r="AB69" s="120"/>
      <c r="AC69" s="120"/>
    </row>
    <row r="70">
      <c r="A70" s="90"/>
      <c r="B70" s="37">
        <v>46214.0</v>
      </c>
      <c r="C70" s="96" t="s">
        <v>1839</v>
      </c>
      <c r="D70" s="22" t="s">
        <v>2219</v>
      </c>
      <c r="E70" s="102"/>
      <c r="F70" s="102"/>
      <c r="G70" s="113" t="s">
        <v>2220</v>
      </c>
      <c r="H70" s="114" t="s">
        <v>2215</v>
      </c>
      <c r="I70" s="115"/>
      <c r="J70" s="114" t="s">
        <v>2221</v>
      </c>
      <c r="K70" s="114" t="s">
        <v>2222</v>
      </c>
      <c r="L70" s="114" t="s">
        <v>2223</v>
      </c>
      <c r="M70" s="105" t="s">
        <v>2224</v>
      </c>
      <c r="N70" s="114" t="s">
        <v>64</v>
      </c>
      <c r="O70" s="100"/>
      <c r="P70" s="116"/>
      <c r="Q70" s="117"/>
      <c r="R70" s="118"/>
      <c r="S70" s="119"/>
      <c r="T70" s="119"/>
      <c r="U70" s="119"/>
      <c r="V70" s="119"/>
      <c r="W70" s="119"/>
      <c r="X70" s="119"/>
      <c r="Y70" s="120"/>
      <c r="Z70" s="120"/>
      <c r="AA70" s="120"/>
      <c r="AB70" s="120"/>
      <c r="AC70" s="120"/>
    </row>
    <row r="71">
      <c r="A71" s="90"/>
      <c r="B71" s="37">
        <v>46214.0</v>
      </c>
      <c r="C71" s="96" t="s">
        <v>1839</v>
      </c>
      <c r="D71" s="22" t="s">
        <v>2225</v>
      </c>
      <c r="E71" s="102"/>
      <c r="F71" s="102"/>
      <c r="G71" s="113" t="s">
        <v>2226</v>
      </c>
      <c r="H71" s="114" t="s">
        <v>2215</v>
      </c>
      <c r="I71" s="115"/>
      <c r="J71" s="114" t="s">
        <v>2227</v>
      </c>
      <c r="K71" s="114" t="s">
        <v>2228</v>
      </c>
      <c r="L71" s="114" t="s">
        <v>2229</v>
      </c>
      <c r="M71" s="105" t="s">
        <v>2230</v>
      </c>
      <c r="N71" s="114" t="s">
        <v>64</v>
      </c>
      <c r="O71" s="100"/>
      <c r="P71" s="116"/>
      <c r="Q71" s="117"/>
      <c r="R71" s="118"/>
      <c r="S71" s="119"/>
      <c r="T71" s="119"/>
      <c r="U71" s="119"/>
      <c r="V71" s="119"/>
      <c r="W71" s="119"/>
      <c r="X71" s="119"/>
      <c r="Y71" s="120"/>
      <c r="Z71" s="120"/>
      <c r="AA71" s="120"/>
      <c r="AB71" s="120"/>
      <c r="AC71" s="120"/>
    </row>
    <row r="72">
      <c r="A72" s="90"/>
      <c r="B72" s="37">
        <v>46214.0</v>
      </c>
      <c r="C72" s="96" t="s">
        <v>1839</v>
      </c>
      <c r="D72" s="22" t="s">
        <v>2231</v>
      </c>
      <c r="E72" s="100"/>
      <c r="F72" s="100"/>
      <c r="G72" s="114" t="s">
        <v>2232</v>
      </c>
      <c r="H72" s="114" t="s">
        <v>2215</v>
      </c>
      <c r="I72" s="115"/>
      <c r="J72" s="114" t="s">
        <v>2233</v>
      </c>
      <c r="K72" s="114" t="s">
        <v>2234</v>
      </c>
      <c r="L72" s="114" t="s">
        <v>2235</v>
      </c>
      <c r="M72" s="105" t="s">
        <v>2236</v>
      </c>
      <c r="N72" s="114" t="s">
        <v>64</v>
      </c>
      <c r="O72" s="100"/>
      <c r="P72" s="116"/>
      <c r="Q72" s="117"/>
      <c r="R72" s="118"/>
      <c r="S72" s="119"/>
      <c r="T72" s="119"/>
      <c r="U72" s="119"/>
      <c r="V72" s="119"/>
      <c r="W72" s="119"/>
      <c r="X72" s="119"/>
      <c r="Y72" s="120"/>
      <c r="Z72" s="120"/>
      <c r="AA72" s="120"/>
      <c r="AB72" s="120"/>
      <c r="AC72" s="120"/>
    </row>
    <row r="73">
      <c r="A73" s="90"/>
      <c r="B73" s="37">
        <v>46214.0</v>
      </c>
      <c r="C73" s="96" t="s">
        <v>1839</v>
      </c>
      <c r="D73" s="22" t="s">
        <v>2237</v>
      </c>
      <c r="E73" s="100"/>
      <c r="F73" s="100"/>
      <c r="G73" s="113" t="s">
        <v>2238</v>
      </c>
      <c r="H73" s="114" t="s">
        <v>2239</v>
      </c>
      <c r="I73" s="115"/>
      <c r="J73" s="114" t="s">
        <v>2240</v>
      </c>
      <c r="K73" s="113" t="s">
        <v>1399</v>
      </c>
      <c r="L73" s="114" t="s">
        <v>2241</v>
      </c>
      <c r="M73" s="105" t="s">
        <v>2242</v>
      </c>
      <c r="N73" s="114" t="s">
        <v>64</v>
      </c>
      <c r="O73" s="100"/>
      <c r="P73" s="116"/>
      <c r="Q73" s="117"/>
      <c r="R73" s="118"/>
      <c r="S73" s="119"/>
      <c r="T73" s="119"/>
      <c r="U73" s="119"/>
      <c r="V73" s="119"/>
      <c r="W73" s="119"/>
      <c r="X73" s="119"/>
      <c r="Y73" s="120"/>
      <c r="Z73" s="120"/>
      <c r="AA73" s="120"/>
      <c r="AB73" s="120"/>
      <c r="AC73" s="120"/>
    </row>
    <row r="74">
      <c r="A74" s="90"/>
      <c r="B74" s="37">
        <v>46214.0</v>
      </c>
      <c r="C74" s="96" t="s">
        <v>1839</v>
      </c>
      <c r="D74" s="22" t="s">
        <v>2243</v>
      </c>
      <c r="E74" s="100"/>
      <c r="F74" s="100"/>
      <c r="G74" s="114" t="s">
        <v>2244</v>
      </c>
      <c r="H74" s="114" t="s">
        <v>2239</v>
      </c>
      <c r="I74" s="115"/>
      <c r="J74" s="114" t="s">
        <v>2245</v>
      </c>
      <c r="K74" s="114" t="s">
        <v>2246</v>
      </c>
      <c r="L74" s="114" t="s">
        <v>2247</v>
      </c>
      <c r="M74" s="105" t="s">
        <v>2248</v>
      </c>
      <c r="N74" s="114" t="s">
        <v>64</v>
      </c>
      <c r="O74" s="100"/>
      <c r="P74" s="116"/>
      <c r="Q74" s="117"/>
      <c r="R74" s="118"/>
      <c r="S74" s="119"/>
      <c r="T74" s="119"/>
      <c r="U74" s="119"/>
      <c r="V74" s="119"/>
      <c r="W74" s="119"/>
      <c r="X74" s="119"/>
      <c r="Y74" s="120"/>
      <c r="Z74" s="120"/>
      <c r="AA74" s="120"/>
      <c r="AB74" s="120"/>
      <c r="AC74" s="120"/>
    </row>
    <row r="75">
      <c r="A75" s="90"/>
      <c r="B75" s="37">
        <v>46214.0</v>
      </c>
      <c r="C75" s="96" t="s">
        <v>1839</v>
      </c>
      <c r="D75" s="22" t="s">
        <v>2249</v>
      </c>
      <c r="E75" s="100"/>
      <c r="F75" s="100"/>
      <c r="G75" s="114" t="s">
        <v>2250</v>
      </c>
      <c r="H75" s="114" t="s">
        <v>2239</v>
      </c>
      <c r="I75" s="115"/>
      <c r="J75" s="114" t="s">
        <v>2251</v>
      </c>
      <c r="K75" s="114" t="s">
        <v>2252</v>
      </c>
      <c r="L75" s="114" t="s">
        <v>2253</v>
      </c>
      <c r="M75" s="105" t="s">
        <v>2254</v>
      </c>
      <c r="N75" s="114" t="s">
        <v>64</v>
      </c>
      <c r="O75" s="100"/>
      <c r="P75" s="116"/>
      <c r="Q75" s="117"/>
      <c r="R75" s="118"/>
      <c r="S75" s="119"/>
      <c r="T75" s="119"/>
      <c r="U75" s="119"/>
      <c r="V75" s="119"/>
      <c r="W75" s="119"/>
      <c r="X75" s="119"/>
      <c r="Y75" s="120"/>
      <c r="Z75" s="120"/>
      <c r="AA75" s="120"/>
      <c r="AB75" s="120"/>
      <c r="AC75" s="120"/>
    </row>
    <row r="76">
      <c r="A76" s="90"/>
      <c r="B76" s="37">
        <v>46214.0</v>
      </c>
      <c r="C76" s="96" t="s">
        <v>1839</v>
      </c>
      <c r="D76" s="22" t="s">
        <v>2255</v>
      </c>
      <c r="E76" s="100"/>
      <c r="F76" s="100"/>
      <c r="G76" s="114" t="s">
        <v>2256</v>
      </c>
      <c r="H76" s="114" t="s">
        <v>1622</v>
      </c>
      <c r="I76" s="115"/>
      <c r="J76" s="114" t="s">
        <v>2257</v>
      </c>
      <c r="K76" s="114" t="s">
        <v>2258</v>
      </c>
      <c r="L76" s="114" t="s">
        <v>2259</v>
      </c>
      <c r="M76" s="105" t="s">
        <v>2260</v>
      </c>
      <c r="N76" s="114" t="s">
        <v>64</v>
      </c>
      <c r="O76" s="100"/>
      <c r="P76" s="116"/>
      <c r="Q76" s="117"/>
      <c r="R76" s="118"/>
      <c r="S76" s="119"/>
      <c r="T76" s="119"/>
      <c r="U76" s="119"/>
      <c r="V76" s="119"/>
      <c r="W76" s="119"/>
      <c r="X76" s="119"/>
      <c r="Y76" s="120"/>
      <c r="Z76" s="120"/>
      <c r="AA76" s="120"/>
      <c r="AB76" s="120"/>
      <c r="AC76" s="120"/>
    </row>
    <row r="77">
      <c r="A77" s="90"/>
      <c r="B77" s="37">
        <v>46214.0</v>
      </c>
      <c r="C77" s="96" t="s">
        <v>1839</v>
      </c>
      <c r="D77" s="22" t="s">
        <v>2261</v>
      </c>
      <c r="E77" s="100"/>
      <c r="F77" s="100"/>
      <c r="G77" s="114" t="s">
        <v>2262</v>
      </c>
      <c r="H77" s="114" t="s">
        <v>2263</v>
      </c>
      <c r="I77" s="115"/>
      <c r="J77" s="114" t="s">
        <v>2257</v>
      </c>
      <c r="K77" s="114" t="s">
        <v>2264</v>
      </c>
      <c r="L77" s="114" t="s">
        <v>2265</v>
      </c>
      <c r="M77" s="105" t="s">
        <v>2266</v>
      </c>
      <c r="N77" s="114" t="s">
        <v>64</v>
      </c>
      <c r="O77" s="100"/>
      <c r="P77" s="116"/>
      <c r="Q77" s="117"/>
      <c r="R77" s="118"/>
      <c r="S77" s="119"/>
      <c r="T77" s="119"/>
      <c r="U77" s="119"/>
      <c r="V77" s="119"/>
      <c r="W77" s="119"/>
      <c r="X77" s="119"/>
      <c r="Y77" s="120"/>
      <c r="Z77" s="120"/>
      <c r="AA77" s="120"/>
      <c r="AB77" s="120"/>
      <c r="AC77" s="120"/>
    </row>
    <row r="78">
      <c r="A78" s="90"/>
      <c r="B78" s="108">
        <v>91.0</v>
      </c>
      <c r="C78" s="96" t="s">
        <v>1839</v>
      </c>
      <c r="D78" s="109" t="s">
        <v>2267</v>
      </c>
      <c r="E78" s="110" t="s">
        <v>2268</v>
      </c>
      <c r="F78" s="110" t="s">
        <v>287</v>
      </c>
      <c r="G78" s="121" t="s">
        <v>2269</v>
      </c>
      <c r="H78" s="114" t="s">
        <v>2270</v>
      </c>
      <c r="I78" s="115"/>
      <c r="J78" s="114" t="s">
        <v>2271</v>
      </c>
      <c r="K78" s="114" t="s">
        <v>2272</v>
      </c>
      <c r="L78" s="114" t="s">
        <v>2273</v>
      </c>
      <c r="M78" s="105" t="s">
        <v>2274</v>
      </c>
      <c r="N78" s="114" t="s">
        <v>64</v>
      </c>
      <c r="O78" s="100"/>
      <c r="P78" s="116"/>
      <c r="Q78" s="117"/>
      <c r="R78" s="118"/>
      <c r="S78" s="119"/>
      <c r="T78" s="119"/>
      <c r="U78" s="119"/>
      <c r="V78" s="119"/>
      <c r="W78" s="119"/>
      <c r="X78" s="119"/>
      <c r="Y78" s="120"/>
      <c r="Z78" s="120"/>
      <c r="AA78" s="120"/>
      <c r="AB78" s="120"/>
      <c r="AC78" s="120"/>
    </row>
    <row r="79">
      <c r="A79" s="90"/>
      <c r="B79" s="37">
        <v>46214.0</v>
      </c>
      <c r="C79" s="96" t="s">
        <v>1839</v>
      </c>
      <c r="D79" s="22" t="s">
        <v>2275</v>
      </c>
      <c r="E79" s="100"/>
      <c r="F79" s="100"/>
      <c r="G79" s="114" t="s">
        <v>2276</v>
      </c>
      <c r="H79" s="114" t="s">
        <v>2270</v>
      </c>
      <c r="I79" s="115"/>
      <c r="J79" s="114" t="s">
        <v>2277</v>
      </c>
      <c r="K79" s="114" t="s">
        <v>2278</v>
      </c>
      <c r="L79" s="114" t="s">
        <v>2279</v>
      </c>
      <c r="M79" s="105" t="s">
        <v>2280</v>
      </c>
      <c r="N79" s="114" t="s">
        <v>64</v>
      </c>
      <c r="O79" s="100"/>
      <c r="P79" s="116"/>
      <c r="Q79" s="117"/>
      <c r="R79" s="118"/>
      <c r="S79" s="119"/>
      <c r="T79" s="119"/>
      <c r="U79" s="119"/>
      <c r="V79" s="119"/>
      <c r="W79" s="119"/>
      <c r="X79" s="119"/>
      <c r="Y79" s="120"/>
      <c r="Z79" s="120"/>
      <c r="AA79" s="120"/>
      <c r="AB79" s="120"/>
      <c r="AC79" s="120"/>
    </row>
    <row r="80">
      <c r="A80" s="90"/>
      <c r="B80" s="37">
        <v>46216.0</v>
      </c>
      <c r="C80" s="96" t="s">
        <v>1839</v>
      </c>
      <c r="D80" s="22" t="s">
        <v>2281</v>
      </c>
      <c r="E80" s="102"/>
      <c r="F80" s="102"/>
      <c r="G80" s="113" t="s">
        <v>2282</v>
      </c>
      <c r="H80" s="114" t="s">
        <v>2283</v>
      </c>
      <c r="I80" s="115"/>
      <c r="J80" s="114" t="s">
        <v>2284</v>
      </c>
      <c r="K80" s="114" t="s">
        <v>2285</v>
      </c>
      <c r="L80" s="114" t="s">
        <v>1858</v>
      </c>
      <c r="M80" s="105" t="s">
        <v>2286</v>
      </c>
      <c r="N80" s="114" t="s">
        <v>64</v>
      </c>
      <c r="O80" s="100"/>
      <c r="P80" s="116"/>
      <c r="Q80" s="117"/>
      <c r="R80" s="118"/>
      <c r="S80" s="119"/>
      <c r="T80" s="119"/>
      <c r="U80" s="119"/>
      <c r="V80" s="119"/>
      <c r="W80" s="119"/>
      <c r="X80" s="119"/>
      <c r="Y80" s="120"/>
      <c r="Z80" s="120"/>
      <c r="AA80" s="120"/>
      <c r="AB80" s="120"/>
      <c r="AC80" s="120"/>
    </row>
    <row r="81">
      <c r="A81" s="90"/>
      <c r="B81" s="37">
        <v>46216.0</v>
      </c>
      <c r="C81" s="96" t="s">
        <v>1839</v>
      </c>
      <c r="D81" s="22" t="s">
        <v>2287</v>
      </c>
      <c r="E81" s="102"/>
      <c r="F81" s="102"/>
      <c r="G81" s="113" t="s">
        <v>2288</v>
      </c>
      <c r="H81" s="114" t="s">
        <v>1622</v>
      </c>
      <c r="I81" s="115"/>
      <c r="J81" s="114" t="s">
        <v>2289</v>
      </c>
      <c r="K81" s="114" t="s">
        <v>2290</v>
      </c>
      <c r="L81" s="114" t="s">
        <v>2291</v>
      </c>
      <c r="M81" s="105" t="s">
        <v>2292</v>
      </c>
      <c r="N81" s="114" t="s">
        <v>64</v>
      </c>
      <c r="O81" s="100"/>
      <c r="P81" s="116"/>
      <c r="Q81" s="117"/>
      <c r="R81" s="118"/>
      <c r="S81" s="119"/>
      <c r="T81" s="119"/>
      <c r="U81" s="119"/>
      <c r="V81" s="119"/>
      <c r="W81" s="119"/>
      <c r="X81" s="119"/>
      <c r="Y81" s="120"/>
      <c r="Z81" s="120"/>
      <c r="AA81" s="120"/>
      <c r="AB81" s="120"/>
      <c r="AC81" s="120"/>
    </row>
    <row r="82">
      <c r="A82" s="90"/>
      <c r="B82" s="37">
        <v>46216.0</v>
      </c>
      <c r="C82" s="96" t="s">
        <v>1839</v>
      </c>
      <c r="D82" s="22" t="s">
        <v>2293</v>
      </c>
      <c r="E82" s="102"/>
      <c r="F82" s="102"/>
      <c r="G82" s="113" t="s">
        <v>2294</v>
      </c>
      <c r="H82" s="114" t="s">
        <v>1622</v>
      </c>
      <c r="I82" s="115"/>
      <c r="J82" s="114" t="s">
        <v>2295</v>
      </c>
      <c r="K82" s="114" t="s">
        <v>2296</v>
      </c>
      <c r="L82" s="114" t="s">
        <v>2297</v>
      </c>
      <c r="M82" s="105" t="s">
        <v>2298</v>
      </c>
      <c r="N82" s="114" t="s">
        <v>64</v>
      </c>
      <c r="O82" s="100"/>
      <c r="P82" s="116"/>
      <c r="Q82" s="117"/>
      <c r="R82" s="118"/>
      <c r="S82" s="119"/>
      <c r="T82" s="119"/>
      <c r="U82" s="119"/>
      <c r="V82" s="119"/>
      <c r="W82" s="119"/>
      <c r="X82" s="119"/>
      <c r="Y82" s="120"/>
      <c r="Z82" s="120"/>
      <c r="AA82" s="120"/>
      <c r="AB82" s="120"/>
      <c r="AC82" s="120"/>
    </row>
    <row r="83">
      <c r="A83" s="90"/>
      <c r="B83" s="37">
        <v>46216.0</v>
      </c>
      <c r="C83" s="96" t="s">
        <v>1839</v>
      </c>
      <c r="D83" s="22" t="s">
        <v>2299</v>
      </c>
      <c r="E83" s="102"/>
      <c r="F83" s="102"/>
      <c r="G83" s="113" t="s">
        <v>2300</v>
      </c>
      <c r="H83" s="114" t="s">
        <v>1622</v>
      </c>
      <c r="I83" s="115"/>
      <c r="J83" s="114" t="s">
        <v>2295</v>
      </c>
      <c r="K83" s="114" t="s">
        <v>2301</v>
      </c>
      <c r="L83" s="114" t="s">
        <v>2297</v>
      </c>
      <c r="M83" s="105" t="s">
        <v>2302</v>
      </c>
      <c r="N83" s="114" t="s">
        <v>64</v>
      </c>
      <c r="O83" s="100"/>
      <c r="P83" s="116"/>
      <c r="Q83" s="117"/>
      <c r="R83" s="118"/>
      <c r="S83" s="119"/>
      <c r="T83" s="119"/>
      <c r="U83" s="119"/>
      <c r="V83" s="119"/>
      <c r="W83" s="119"/>
      <c r="X83" s="119"/>
      <c r="Y83" s="120"/>
      <c r="Z83" s="120"/>
      <c r="AA83" s="120"/>
      <c r="AB83" s="120"/>
      <c r="AC83" s="120"/>
    </row>
    <row r="84">
      <c r="A84" s="90"/>
      <c r="B84" s="37">
        <v>46216.0</v>
      </c>
      <c r="C84" s="96" t="s">
        <v>1839</v>
      </c>
      <c r="D84" s="22" t="s">
        <v>2303</v>
      </c>
      <c r="E84" s="102"/>
      <c r="F84" s="102"/>
      <c r="G84" s="113" t="s">
        <v>2304</v>
      </c>
      <c r="H84" s="114" t="s">
        <v>1622</v>
      </c>
      <c r="I84" s="115"/>
      <c r="J84" s="114" t="s">
        <v>2295</v>
      </c>
      <c r="K84" s="114" t="s">
        <v>2305</v>
      </c>
      <c r="L84" s="114" t="s">
        <v>2306</v>
      </c>
      <c r="M84" s="122" t="s">
        <v>2307</v>
      </c>
      <c r="N84" s="114" t="s">
        <v>64</v>
      </c>
      <c r="O84" s="100"/>
      <c r="P84" s="116"/>
      <c r="Q84" s="117"/>
      <c r="R84" s="118"/>
      <c r="S84" s="119"/>
      <c r="T84" s="119"/>
      <c r="U84" s="119"/>
      <c r="V84" s="119"/>
      <c r="W84" s="119"/>
      <c r="X84" s="119"/>
      <c r="Y84" s="120"/>
      <c r="Z84" s="120"/>
      <c r="AA84" s="120"/>
      <c r="AB84" s="120"/>
      <c r="AC84" s="120"/>
    </row>
    <row r="85">
      <c r="A85" s="90"/>
      <c r="B85" s="37">
        <v>46216.0</v>
      </c>
      <c r="C85" s="96" t="s">
        <v>1839</v>
      </c>
      <c r="D85" s="22" t="s">
        <v>2308</v>
      </c>
      <c r="E85" s="102"/>
      <c r="F85" s="102"/>
      <c r="G85" s="113" t="s">
        <v>2309</v>
      </c>
      <c r="H85" s="114" t="s">
        <v>1622</v>
      </c>
      <c r="I85" s="115"/>
      <c r="J85" s="114" t="s">
        <v>2310</v>
      </c>
      <c r="K85" s="114" t="s">
        <v>2311</v>
      </c>
      <c r="L85" s="114" t="s">
        <v>2312</v>
      </c>
      <c r="M85" s="105" t="s">
        <v>2313</v>
      </c>
      <c r="N85" s="114" t="s">
        <v>64</v>
      </c>
      <c r="O85" s="100"/>
      <c r="P85" s="116"/>
      <c r="Q85" s="117"/>
      <c r="R85" s="118"/>
      <c r="S85" s="119"/>
      <c r="T85" s="119"/>
      <c r="U85" s="119"/>
      <c r="V85" s="119"/>
      <c r="W85" s="119"/>
      <c r="X85" s="119"/>
      <c r="Y85" s="120"/>
      <c r="Z85" s="120"/>
      <c r="AA85" s="120"/>
      <c r="AB85" s="120"/>
      <c r="AC85" s="120"/>
    </row>
    <row r="86">
      <c r="A86" s="90"/>
      <c r="B86" s="37">
        <v>46216.0</v>
      </c>
      <c r="C86" s="96" t="s">
        <v>1839</v>
      </c>
      <c r="D86" s="22" t="s">
        <v>2314</v>
      </c>
      <c r="E86" s="102"/>
      <c r="F86" s="102"/>
      <c r="G86" s="113" t="s">
        <v>2315</v>
      </c>
      <c r="H86" s="114" t="s">
        <v>2316</v>
      </c>
      <c r="I86" s="115"/>
      <c r="J86" s="114" t="s">
        <v>2310</v>
      </c>
      <c r="K86" s="114" t="s">
        <v>2317</v>
      </c>
      <c r="L86" s="114" t="s">
        <v>2318</v>
      </c>
      <c r="M86" s="105" t="s">
        <v>2319</v>
      </c>
      <c r="N86" s="114" t="s">
        <v>64</v>
      </c>
      <c r="O86" s="100"/>
      <c r="P86" s="116"/>
      <c r="Q86" s="117"/>
      <c r="R86" s="118"/>
      <c r="S86" s="119"/>
      <c r="T86" s="119"/>
      <c r="U86" s="119"/>
      <c r="V86" s="119"/>
      <c r="W86" s="119"/>
      <c r="X86" s="119"/>
      <c r="Y86" s="120"/>
      <c r="Z86" s="120"/>
      <c r="AA86" s="120"/>
      <c r="AB86" s="120"/>
      <c r="AC86" s="120"/>
    </row>
    <row r="87">
      <c r="A87" s="90"/>
      <c r="B87" s="37">
        <v>46216.0</v>
      </c>
      <c r="C87" s="96" t="s">
        <v>1839</v>
      </c>
      <c r="D87" s="22" t="s">
        <v>2320</v>
      </c>
      <c r="E87" s="102"/>
      <c r="F87" s="102"/>
      <c r="G87" s="113" t="s">
        <v>2099</v>
      </c>
      <c r="H87" s="114" t="s">
        <v>1622</v>
      </c>
      <c r="I87" s="115"/>
      <c r="J87" s="114" t="s">
        <v>2321</v>
      </c>
      <c r="K87" s="114" t="s">
        <v>2322</v>
      </c>
      <c r="L87" s="114" t="s">
        <v>2323</v>
      </c>
      <c r="M87" s="105" t="s">
        <v>2324</v>
      </c>
      <c r="N87" s="114" t="s">
        <v>64</v>
      </c>
      <c r="O87" s="100"/>
      <c r="P87" s="116"/>
      <c r="Q87" s="117"/>
      <c r="R87" s="118"/>
      <c r="S87" s="119"/>
      <c r="T87" s="119"/>
      <c r="U87" s="119"/>
      <c r="V87" s="119"/>
      <c r="W87" s="119"/>
      <c r="X87" s="119"/>
      <c r="Y87" s="120"/>
      <c r="Z87" s="120"/>
      <c r="AA87" s="120"/>
      <c r="AB87" s="120"/>
      <c r="AC87" s="120"/>
    </row>
    <row r="88">
      <c r="A88" s="90"/>
      <c r="B88" s="37">
        <v>46216.0</v>
      </c>
      <c r="C88" s="96" t="s">
        <v>1839</v>
      </c>
      <c r="D88" s="22" t="s">
        <v>2325</v>
      </c>
      <c r="E88" s="102"/>
      <c r="F88" s="102"/>
      <c r="G88" s="113" t="s">
        <v>2326</v>
      </c>
      <c r="H88" s="114" t="s">
        <v>1631</v>
      </c>
      <c r="I88" s="115"/>
      <c r="J88" s="114" t="s">
        <v>2327</v>
      </c>
      <c r="K88" s="113" t="s">
        <v>2328</v>
      </c>
      <c r="L88" s="113" t="s">
        <v>2329</v>
      </c>
      <c r="M88" s="105" t="s">
        <v>2330</v>
      </c>
      <c r="N88" s="114" t="s">
        <v>64</v>
      </c>
      <c r="O88" s="100"/>
      <c r="P88" s="116"/>
      <c r="Q88" s="117"/>
      <c r="R88" s="118"/>
      <c r="S88" s="119"/>
      <c r="T88" s="119"/>
      <c r="U88" s="119"/>
      <c r="V88" s="119"/>
      <c r="W88" s="119"/>
      <c r="X88" s="119"/>
      <c r="Y88" s="120"/>
      <c r="Z88" s="120"/>
      <c r="AA88" s="120"/>
      <c r="AB88" s="120"/>
      <c r="AC88" s="120"/>
    </row>
    <row r="89">
      <c r="A89" s="90"/>
      <c r="B89" s="37">
        <v>46216.0</v>
      </c>
      <c r="C89" s="96" t="s">
        <v>1839</v>
      </c>
      <c r="D89" s="22" t="s">
        <v>2331</v>
      </c>
      <c r="E89" s="102"/>
      <c r="F89" s="102"/>
      <c r="G89" s="113" t="s">
        <v>2057</v>
      </c>
      <c r="H89" s="114" t="s">
        <v>1622</v>
      </c>
      <c r="I89" s="115"/>
      <c r="J89" s="114" t="s">
        <v>2332</v>
      </c>
      <c r="K89" s="113" t="s">
        <v>2333</v>
      </c>
      <c r="L89" s="113" t="s">
        <v>2334</v>
      </c>
      <c r="M89" s="105" t="s">
        <v>2335</v>
      </c>
      <c r="N89" s="114" t="s">
        <v>64</v>
      </c>
      <c r="O89" s="100"/>
      <c r="P89" s="116"/>
      <c r="Q89" s="117"/>
      <c r="R89" s="118"/>
      <c r="S89" s="119"/>
      <c r="T89" s="119"/>
      <c r="U89" s="119"/>
      <c r="V89" s="119"/>
      <c r="W89" s="119"/>
      <c r="X89" s="119"/>
      <c r="Y89" s="120"/>
      <c r="Z89" s="120"/>
      <c r="AA89" s="120"/>
      <c r="AB89" s="120"/>
      <c r="AC89" s="120"/>
    </row>
    <row r="90">
      <c r="A90" s="90"/>
      <c r="B90" s="37">
        <v>46216.0</v>
      </c>
      <c r="C90" s="96" t="s">
        <v>1839</v>
      </c>
      <c r="D90" s="22" t="s">
        <v>2336</v>
      </c>
      <c r="E90" s="102"/>
      <c r="F90" s="102"/>
      <c r="G90" s="113" t="s">
        <v>1160</v>
      </c>
      <c r="H90" s="114" t="s">
        <v>1775</v>
      </c>
      <c r="I90" s="115"/>
      <c r="J90" s="114" t="s">
        <v>2337</v>
      </c>
      <c r="K90" s="114" t="s">
        <v>2338</v>
      </c>
      <c r="L90" s="114" t="s">
        <v>2193</v>
      </c>
      <c r="M90" s="105" t="s">
        <v>2339</v>
      </c>
      <c r="N90" s="114" t="s">
        <v>64</v>
      </c>
      <c r="O90" s="100"/>
      <c r="P90" s="116"/>
      <c r="Q90" s="117"/>
      <c r="R90" s="118"/>
      <c r="S90" s="119"/>
      <c r="T90" s="119"/>
      <c r="U90" s="119"/>
      <c r="V90" s="119"/>
      <c r="W90" s="119"/>
      <c r="X90" s="119"/>
      <c r="Y90" s="120"/>
      <c r="Z90" s="120"/>
      <c r="AA90" s="120"/>
      <c r="AB90" s="120"/>
      <c r="AC90" s="120"/>
    </row>
    <row r="91">
      <c r="A91" s="90"/>
      <c r="B91" s="37">
        <v>46216.0</v>
      </c>
      <c r="C91" s="96" t="s">
        <v>1839</v>
      </c>
      <c r="D91" s="22" t="s">
        <v>2340</v>
      </c>
      <c r="E91" s="102"/>
      <c r="F91" s="102"/>
      <c r="G91" s="113" t="s">
        <v>80</v>
      </c>
      <c r="H91" s="114" t="s">
        <v>1622</v>
      </c>
      <c r="I91" s="115"/>
      <c r="J91" s="114" t="s">
        <v>2341</v>
      </c>
      <c r="K91" s="114" t="s">
        <v>2342</v>
      </c>
      <c r="L91" s="114" t="s">
        <v>2343</v>
      </c>
      <c r="M91" s="105" t="s">
        <v>2344</v>
      </c>
      <c r="N91" s="114" t="s">
        <v>64</v>
      </c>
      <c r="O91" s="100"/>
      <c r="P91" s="116"/>
      <c r="Q91" s="117"/>
      <c r="R91" s="118"/>
      <c r="S91" s="119"/>
      <c r="T91" s="119"/>
      <c r="U91" s="119"/>
      <c r="V91" s="119"/>
      <c r="W91" s="119"/>
      <c r="X91" s="119"/>
      <c r="Y91" s="120"/>
      <c r="Z91" s="120"/>
      <c r="AA91" s="120"/>
      <c r="AB91" s="120"/>
      <c r="AC91" s="120"/>
    </row>
    <row r="92">
      <c r="A92" s="90"/>
      <c r="B92" s="37">
        <v>46216.0</v>
      </c>
      <c r="C92" s="96" t="s">
        <v>1839</v>
      </c>
      <c r="D92" s="22" t="s">
        <v>2345</v>
      </c>
      <c r="E92" s="102"/>
      <c r="F92" s="102"/>
      <c r="G92" s="113" t="s">
        <v>2346</v>
      </c>
      <c r="H92" s="114" t="s">
        <v>1622</v>
      </c>
      <c r="I92" s="115"/>
      <c r="J92" s="114" t="s">
        <v>2295</v>
      </c>
      <c r="K92" s="114" t="s">
        <v>2347</v>
      </c>
      <c r="L92" s="114" t="s">
        <v>2348</v>
      </c>
      <c r="M92" s="105" t="s">
        <v>2349</v>
      </c>
      <c r="N92" s="114" t="s">
        <v>64</v>
      </c>
      <c r="O92" s="100"/>
      <c r="P92" s="116"/>
      <c r="Q92" s="117"/>
      <c r="R92" s="118"/>
      <c r="S92" s="119"/>
      <c r="T92" s="119"/>
      <c r="U92" s="119"/>
      <c r="V92" s="119"/>
      <c r="W92" s="119"/>
      <c r="X92" s="119"/>
      <c r="Y92" s="120"/>
      <c r="Z92" s="120"/>
      <c r="AA92" s="120"/>
      <c r="AB92" s="120"/>
      <c r="AC92" s="120"/>
    </row>
    <row r="93">
      <c r="A93" s="90"/>
      <c r="B93" s="37">
        <v>46216.0</v>
      </c>
      <c r="C93" s="96" t="s">
        <v>1839</v>
      </c>
      <c r="D93" s="22" t="s">
        <v>2350</v>
      </c>
      <c r="E93" s="102"/>
      <c r="F93" s="102"/>
      <c r="G93" s="113" t="s">
        <v>2351</v>
      </c>
      <c r="H93" s="114" t="s">
        <v>1622</v>
      </c>
      <c r="I93" s="115"/>
      <c r="J93" s="114" t="s">
        <v>2352</v>
      </c>
      <c r="K93" s="114" t="s">
        <v>2353</v>
      </c>
      <c r="L93" s="114" t="s">
        <v>2354</v>
      </c>
      <c r="M93" s="105" t="s">
        <v>2355</v>
      </c>
      <c r="N93" s="114" t="s">
        <v>64</v>
      </c>
      <c r="O93" s="100"/>
      <c r="P93" s="116"/>
      <c r="Q93" s="117"/>
      <c r="R93" s="118"/>
      <c r="S93" s="119"/>
      <c r="T93" s="119"/>
      <c r="U93" s="119"/>
      <c r="V93" s="119"/>
      <c r="W93" s="119"/>
      <c r="X93" s="119"/>
      <c r="Y93" s="120"/>
      <c r="Z93" s="120"/>
      <c r="AA93" s="120"/>
      <c r="AB93" s="120"/>
      <c r="AC93" s="120"/>
    </row>
    <row r="94">
      <c r="A94" s="90"/>
      <c r="B94" s="37">
        <v>46216.0</v>
      </c>
      <c r="C94" s="96" t="s">
        <v>1839</v>
      </c>
      <c r="D94" s="22" t="s">
        <v>2356</v>
      </c>
      <c r="E94" s="102"/>
      <c r="F94" s="102"/>
      <c r="G94" s="113" t="s">
        <v>2357</v>
      </c>
      <c r="H94" s="114" t="s">
        <v>1622</v>
      </c>
      <c r="I94" s="115"/>
      <c r="J94" s="114" t="s">
        <v>2358</v>
      </c>
      <c r="K94" s="114" t="s">
        <v>2359</v>
      </c>
      <c r="L94" s="114" t="s">
        <v>2360</v>
      </c>
      <c r="M94" s="105" t="s">
        <v>2361</v>
      </c>
      <c r="N94" s="114" t="s">
        <v>64</v>
      </c>
      <c r="O94" s="100"/>
      <c r="P94" s="116"/>
      <c r="Q94" s="117"/>
      <c r="R94" s="118"/>
      <c r="S94" s="119"/>
      <c r="T94" s="119"/>
      <c r="U94" s="119"/>
      <c r="V94" s="119"/>
      <c r="W94" s="119"/>
      <c r="X94" s="119"/>
      <c r="Y94" s="120"/>
      <c r="Z94" s="120"/>
      <c r="AA94" s="120"/>
      <c r="AB94" s="120"/>
      <c r="AC94" s="120"/>
    </row>
    <row r="95">
      <c r="A95" s="90"/>
      <c r="B95" s="37">
        <v>46216.0</v>
      </c>
      <c r="C95" s="96" t="s">
        <v>1839</v>
      </c>
      <c r="D95" s="22" t="s">
        <v>2362</v>
      </c>
      <c r="E95" s="102"/>
      <c r="F95" s="102"/>
      <c r="G95" s="113" t="s">
        <v>2363</v>
      </c>
      <c r="H95" s="114" t="s">
        <v>1622</v>
      </c>
      <c r="I95" s="115"/>
      <c r="J95" s="114" t="s">
        <v>2364</v>
      </c>
      <c r="K95" s="114" t="s">
        <v>2365</v>
      </c>
      <c r="L95" s="114" t="s">
        <v>2366</v>
      </c>
      <c r="M95" s="105" t="s">
        <v>2367</v>
      </c>
      <c r="N95" s="114" t="s">
        <v>64</v>
      </c>
      <c r="O95" s="100"/>
      <c r="P95" s="116"/>
      <c r="Q95" s="117"/>
      <c r="R95" s="118"/>
      <c r="S95" s="119"/>
      <c r="T95" s="119"/>
      <c r="U95" s="119"/>
      <c r="V95" s="119"/>
      <c r="W95" s="119"/>
      <c r="X95" s="119"/>
      <c r="Y95" s="120"/>
      <c r="Z95" s="120"/>
      <c r="AA95" s="120"/>
      <c r="AB95" s="120"/>
      <c r="AC95" s="120"/>
    </row>
    <row r="96">
      <c r="A96" s="90"/>
      <c r="B96" s="37">
        <v>46216.0</v>
      </c>
      <c r="C96" s="96" t="s">
        <v>1839</v>
      </c>
      <c r="D96" s="22" t="s">
        <v>2368</v>
      </c>
      <c r="E96" s="102"/>
      <c r="F96" s="102"/>
      <c r="G96" s="113" t="s">
        <v>2369</v>
      </c>
      <c r="H96" s="114" t="s">
        <v>1622</v>
      </c>
      <c r="I96" s="115"/>
      <c r="J96" s="114" t="s">
        <v>2370</v>
      </c>
      <c r="K96" s="114" t="s">
        <v>2371</v>
      </c>
      <c r="L96" s="114" t="s">
        <v>2372</v>
      </c>
      <c r="M96" s="105" t="s">
        <v>2373</v>
      </c>
      <c r="N96" s="114" t="s">
        <v>64</v>
      </c>
      <c r="O96" s="100"/>
      <c r="P96" s="116"/>
      <c r="Q96" s="117"/>
      <c r="R96" s="118"/>
      <c r="S96" s="119"/>
      <c r="T96" s="119"/>
      <c r="U96" s="119"/>
      <c r="V96" s="119"/>
      <c r="W96" s="119"/>
      <c r="X96" s="119"/>
      <c r="Y96" s="120"/>
      <c r="Z96" s="120"/>
      <c r="AA96" s="120"/>
      <c r="AB96" s="120"/>
      <c r="AC96" s="120"/>
    </row>
    <row r="97">
      <c r="A97" s="90"/>
      <c r="B97" s="37">
        <v>46216.0</v>
      </c>
      <c r="C97" s="96" t="s">
        <v>1839</v>
      </c>
      <c r="D97" s="22" t="s">
        <v>2374</v>
      </c>
      <c r="E97" s="102"/>
      <c r="F97" s="102"/>
      <c r="G97" s="113" t="s">
        <v>2375</v>
      </c>
      <c r="H97" s="114" t="s">
        <v>1622</v>
      </c>
      <c r="I97" s="115"/>
      <c r="J97" s="114" t="s">
        <v>2376</v>
      </c>
      <c r="K97" s="113" t="s">
        <v>1399</v>
      </c>
      <c r="L97" s="114" t="s">
        <v>2377</v>
      </c>
      <c r="M97" s="105" t="s">
        <v>2378</v>
      </c>
      <c r="N97" s="114" t="s">
        <v>64</v>
      </c>
      <c r="O97" s="100"/>
      <c r="P97" s="116"/>
      <c r="Q97" s="117"/>
      <c r="R97" s="118"/>
      <c r="S97" s="119"/>
      <c r="T97" s="119"/>
      <c r="U97" s="119"/>
      <c r="V97" s="119"/>
      <c r="W97" s="119"/>
      <c r="X97" s="119"/>
      <c r="Y97" s="120"/>
      <c r="Z97" s="120"/>
      <c r="AA97" s="120"/>
      <c r="AB97" s="120"/>
      <c r="AC97" s="120"/>
    </row>
    <row r="98">
      <c r="A98" s="90"/>
      <c r="B98" s="37">
        <v>46216.0</v>
      </c>
      <c r="C98" s="96" t="s">
        <v>1839</v>
      </c>
      <c r="D98" s="22" t="s">
        <v>2379</v>
      </c>
      <c r="E98" s="102"/>
      <c r="F98" s="102"/>
      <c r="G98" s="113" t="s">
        <v>2380</v>
      </c>
      <c r="H98" s="114" t="s">
        <v>1622</v>
      </c>
      <c r="I98" s="115"/>
      <c r="J98" s="114" t="s">
        <v>2381</v>
      </c>
      <c r="K98" s="114" t="s">
        <v>2382</v>
      </c>
      <c r="L98" s="114" t="s">
        <v>2383</v>
      </c>
      <c r="M98" s="105" t="s">
        <v>2384</v>
      </c>
      <c r="N98" s="114" t="s">
        <v>64</v>
      </c>
      <c r="O98" s="100"/>
      <c r="P98" s="116"/>
      <c r="Q98" s="117"/>
      <c r="R98" s="118"/>
      <c r="S98" s="119"/>
      <c r="T98" s="119"/>
      <c r="U98" s="119"/>
      <c r="V98" s="119"/>
      <c r="W98" s="119"/>
      <c r="X98" s="119"/>
      <c r="Y98" s="120"/>
      <c r="Z98" s="120"/>
      <c r="AA98" s="120"/>
      <c r="AB98" s="120"/>
      <c r="AC98" s="120"/>
    </row>
    <row r="99">
      <c r="A99" s="90"/>
      <c r="B99" s="37">
        <v>46216.0</v>
      </c>
      <c r="C99" s="96" t="s">
        <v>1839</v>
      </c>
      <c r="D99" s="22" t="s">
        <v>2385</v>
      </c>
      <c r="E99" s="102"/>
      <c r="F99" s="102"/>
      <c r="G99" s="113" t="s">
        <v>2386</v>
      </c>
      <c r="H99" s="114" t="s">
        <v>1622</v>
      </c>
      <c r="I99" s="115"/>
      <c r="J99" s="114" t="s">
        <v>2381</v>
      </c>
      <c r="K99" s="114" t="s">
        <v>2387</v>
      </c>
      <c r="L99" s="114" t="s">
        <v>2388</v>
      </c>
      <c r="M99" s="105" t="s">
        <v>2389</v>
      </c>
      <c r="N99" s="114" t="s">
        <v>64</v>
      </c>
      <c r="O99" s="100"/>
      <c r="P99" s="116"/>
      <c r="Q99" s="117"/>
      <c r="R99" s="118"/>
      <c r="S99" s="119"/>
      <c r="T99" s="119"/>
      <c r="U99" s="119"/>
      <c r="V99" s="119"/>
      <c r="W99" s="119"/>
      <c r="X99" s="119"/>
      <c r="Y99" s="120"/>
      <c r="Z99" s="120"/>
      <c r="AA99" s="120"/>
      <c r="AB99" s="120"/>
      <c r="AC99" s="120"/>
    </row>
    <row r="100">
      <c r="A100" s="90"/>
      <c r="B100" s="37">
        <v>46216.0</v>
      </c>
      <c r="C100" s="96" t="s">
        <v>1839</v>
      </c>
      <c r="D100" s="22" t="s">
        <v>2390</v>
      </c>
      <c r="E100" s="102"/>
      <c r="F100" s="102"/>
      <c r="G100" s="113" t="s">
        <v>2391</v>
      </c>
      <c r="H100" s="114" t="s">
        <v>1622</v>
      </c>
      <c r="I100" s="115"/>
      <c r="J100" s="114" t="s">
        <v>2381</v>
      </c>
      <c r="K100" s="114" t="s">
        <v>2392</v>
      </c>
      <c r="L100" s="114" t="s">
        <v>2193</v>
      </c>
      <c r="M100" s="105" t="s">
        <v>2393</v>
      </c>
      <c r="N100" s="114" t="s">
        <v>64</v>
      </c>
      <c r="O100" s="100"/>
      <c r="P100" s="116"/>
      <c r="Q100" s="117"/>
      <c r="R100" s="118"/>
      <c r="S100" s="119"/>
      <c r="T100" s="119"/>
      <c r="U100" s="119"/>
      <c r="V100" s="119"/>
      <c r="W100" s="119"/>
      <c r="X100" s="119"/>
      <c r="Y100" s="120"/>
      <c r="Z100" s="120"/>
      <c r="AA100" s="120"/>
      <c r="AB100" s="120"/>
      <c r="AC100" s="120"/>
    </row>
    <row r="101">
      <c r="A101" s="90"/>
      <c r="B101" s="37">
        <v>46216.0</v>
      </c>
      <c r="C101" s="96" t="s">
        <v>1839</v>
      </c>
      <c r="D101" s="22" t="s">
        <v>2394</v>
      </c>
      <c r="E101" s="102"/>
      <c r="F101" s="102"/>
      <c r="G101" s="113" t="s">
        <v>2395</v>
      </c>
      <c r="H101" s="114" t="s">
        <v>1622</v>
      </c>
      <c r="I101" s="115"/>
      <c r="J101" s="114" t="s">
        <v>2381</v>
      </c>
      <c r="K101" s="114" t="s">
        <v>2396</v>
      </c>
      <c r="L101" s="114" t="s">
        <v>2193</v>
      </c>
      <c r="M101" s="105" t="s">
        <v>2397</v>
      </c>
      <c r="N101" s="114" t="s">
        <v>64</v>
      </c>
      <c r="O101" s="100"/>
      <c r="P101" s="116"/>
      <c r="Q101" s="117"/>
      <c r="R101" s="118"/>
      <c r="S101" s="119"/>
      <c r="T101" s="119"/>
      <c r="U101" s="119"/>
      <c r="V101" s="119"/>
      <c r="W101" s="119"/>
      <c r="X101" s="119"/>
      <c r="Y101" s="120"/>
      <c r="Z101" s="120"/>
      <c r="AA101" s="120"/>
      <c r="AB101" s="120"/>
      <c r="AC101" s="120"/>
    </row>
    <row r="102">
      <c r="A102" s="90"/>
      <c r="B102" s="37">
        <v>46216.0</v>
      </c>
      <c r="C102" s="96" t="s">
        <v>1839</v>
      </c>
      <c r="D102" s="22" t="s">
        <v>2398</v>
      </c>
      <c r="E102" s="102"/>
      <c r="F102" s="102"/>
      <c r="G102" s="113" t="s">
        <v>2399</v>
      </c>
      <c r="H102" s="114" t="s">
        <v>1622</v>
      </c>
      <c r="I102" s="115"/>
      <c r="J102" s="114" t="s">
        <v>2381</v>
      </c>
      <c r="K102" s="114" t="s">
        <v>2400</v>
      </c>
      <c r="L102" s="114" t="s">
        <v>2193</v>
      </c>
      <c r="M102" s="105" t="s">
        <v>2401</v>
      </c>
      <c r="N102" s="114" t="s">
        <v>64</v>
      </c>
      <c r="O102" s="100"/>
      <c r="P102" s="116"/>
      <c r="Q102" s="117"/>
      <c r="R102" s="118"/>
      <c r="S102" s="119"/>
      <c r="T102" s="119"/>
      <c r="U102" s="119"/>
      <c r="V102" s="119"/>
      <c r="W102" s="119"/>
      <c r="X102" s="119"/>
      <c r="Y102" s="120"/>
      <c r="Z102" s="120"/>
      <c r="AA102" s="120"/>
      <c r="AB102" s="120"/>
      <c r="AC102" s="120"/>
    </row>
    <row r="103">
      <c r="A103" s="90"/>
      <c r="B103" s="37">
        <v>46216.0</v>
      </c>
      <c r="C103" s="96" t="s">
        <v>1839</v>
      </c>
      <c r="D103" s="22" t="s">
        <v>2402</v>
      </c>
      <c r="E103" s="102"/>
      <c r="F103" s="102"/>
      <c r="G103" s="113" t="s">
        <v>2403</v>
      </c>
      <c r="H103" s="114" t="s">
        <v>1622</v>
      </c>
      <c r="I103" s="115"/>
      <c r="J103" s="114" t="s">
        <v>2381</v>
      </c>
      <c r="K103" s="114" t="s">
        <v>2404</v>
      </c>
      <c r="L103" s="114" t="s">
        <v>2405</v>
      </c>
      <c r="M103" s="105" t="s">
        <v>2406</v>
      </c>
      <c r="N103" s="114" t="s">
        <v>64</v>
      </c>
      <c r="O103" s="100"/>
      <c r="P103" s="116"/>
      <c r="Q103" s="117"/>
      <c r="R103" s="118"/>
      <c r="S103" s="119"/>
      <c r="T103" s="119"/>
      <c r="U103" s="119"/>
      <c r="V103" s="119"/>
      <c r="W103" s="119"/>
      <c r="X103" s="119"/>
      <c r="Y103" s="120"/>
      <c r="Z103" s="120"/>
      <c r="AA103" s="120"/>
      <c r="AB103" s="120"/>
      <c r="AC103" s="120"/>
    </row>
    <row r="104">
      <c r="A104" s="90"/>
      <c r="B104" s="37">
        <v>46216.0</v>
      </c>
      <c r="C104" s="96" t="s">
        <v>1839</v>
      </c>
      <c r="D104" s="22" t="s">
        <v>2407</v>
      </c>
      <c r="E104" s="102"/>
      <c r="F104" s="102"/>
      <c r="G104" s="113" t="s">
        <v>2408</v>
      </c>
      <c r="H104" s="114" t="s">
        <v>2409</v>
      </c>
      <c r="I104" s="115"/>
      <c r="J104" s="114" t="s">
        <v>2381</v>
      </c>
      <c r="K104" s="114" t="s">
        <v>2410</v>
      </c>
      <c r="L104" s="114" t="s">
        <v>2411</v>
      </c>
      <c r="M104" s="105" t="s">
        <v>2412</v>
      </c>
      <c r="N104" s="114" t="s">
        <v>64</v>
      </c>
      <c r="O104" s="100"/>
      <c r="P104" s="116"/>
      <c r="Q104" s="117"/>
      <c r="R104" s="118"/>
      <c r="S104" s="119"/>
      <c r="T104" s="119"/>
      <c r="U104" s="119"/>
      <c r="V104" s="119"/>
      <c r="W104" s="119"/>
      <c r="X104" s="119"/>
      <c r="Y104" s="120"/>
      <c r="Z104" s="120"/>
      <c r="AA104" s="120"/>
      <c r="AB104" s="120"/>
      <c r="AC104" s="120"/>
    </row>
    <row r="105">
      <c r="A105" s="90"/>
      <c r="B105" s="37">
        <v>46216.0</v>
      </c>
      <c r="C105" s="96" t="s">
        <v>1839</v>
      </c>
      <c r="D105" s="22" t="s">
        <v>2413</v>
      </c>
      <c r="E105" s="102"/>
      <c r="F105" s="102"/>
      <c r="G105" s="113" t="s">
        <v>2414</v>
      </c>
      <c r="H105" s="114" t="s">
        <v>1622</v>
      </c>
      <c r="I105" s="115"/>
      <c r="J105" s="114" t="s">
        <v>2376</v>
      </c>
      <c r="K105" s="114" t="s">
        <v>2415</v>
      </c>
      <c r="L105" s="114" t="s">
        <v>2416</v>
      </c>
      <c r="M105" s="105" t="s">
        <v>2417</v>
      </c>
      <c r="N105" s="114" t="s">
        <v>64</v>
      </c>
      <c r="O105" s="100"/>
      <c r="P105" s="116"/>
      <c r="Q105" s="117"/>
      <c r="R105" s="118"/>
      <c r="S105" s="119"/>
      <c r="T105" s="119"/>
      <c r="U105" s="119"/>
      <c r="V105" s="119"/>
      <c r="W105" s="119"/>
      <c r="X105" s="119"/>
      <c r="Y105" s="120"/>
      <c r="Z105" s="120"/>
      <c r="AA105" s="120"/>
      <c r="AB105" s="120"/>
      <c r="AC105" s="120"/>
    </row>
    <row r="106">
      <c r="A106" s="90"/>
      <c r="B106" s="37">
        <v>46216.0</v>
      </c>
      <c r="C106" s="96" t="s">
        <v>1839</v>
      </c>
      <c r="D106" s="22" t="s">
        <v>2418</v>
      </c>
      <c r="E106" s="102"/>
      <c r="F106" s="102"/>
      <c r="G106" s="113" t="s">
        <v>2419</v>
      </c>
      <c r="H106" s="114" t="s">
        <v>1622</v>
      </c>
      <c r="I106" s="115"/>
      <c r="J106" s="114" t="s">
        <v>2420</v>
      </c>
      <c r="K106" s="114" t="s">
        <v>2421</v>
      </c>
      <c r="L106" s="114" t="s">
        <v>2422</v>
      </c>
      <c r="M106" s="105" t="s">
        <v>2423</v>
      </c>
      <c r="N106" s="114" t="s">
        <v>64</v>
      </c>
      <c r="O106" s="100"/>
      <c r="P106" s="116"/>
      <c r="Q106" s="117"/>
      <c r="R106" s="118"/>
      <c r="S106" s="119"/>
      <c r="T106" s="119"/>
      <c r="U106" s="119"/>
      <c r="V106" s="119"/>
      <c r="W106" s="119"/>
      <c r="X106" s="119"/>
      <c r="Y106" s="120"/>
      <c r="Z106" s="120"/>
      <c r="AA106" s="120"/>
      <c r="AB106" s="120"/>
      <c r="AC106" s="120"/>
    </row>
    <row r="107">
      <c r="A107" s="90"/>
      <c r="B107" s="37">
        <v>46216.0</v>
      </c>
      <c r="C107" s="96" t="s">
        <v>1839</v>
      </c>
      <c r="D107" s="22" t="s">
        <v>2424</v>
      </c>
      <c r="E107" s="102"/>
      <c r="F107" s="102"/>
      <c r="G107" s="113" t="s">
        <v>2425</v>
      </c>
      <c r="H107" s="114" t="s">
        <v>1622</v>
      </c>
      <c r="I107" s="115"/>
      <c r="J107" s="114" t="s">
        <v>2420</v>
      </c>
      <c r="K107" s="114" t="s">
        <v>2426</v>
      </c>
      <c r="L107" s="114" t="s">
        <v>2427</v>
      </c>
      <c r="M107" s="105" t="s">
        <v>2428</v>
      </c>
      <c r="N107" s="114" t="s">
        <v>64</v>
      </c>
      <c r="O107" s="100"/>
      <c r="P107" s="116"/>
      <c r="Q107" s="117"/>
      <c r="R107" s="118"/>
      <c r="S107" s="119"/>
      <c r="T107" s="119"/>
      <c r="U107" s="119"/>
      <c r="V107" s="119"/>
      <c r="W107" s="119"/>
      <c r="X107" s="119"/>
      <c r="Y107" s="120"/>
      <c r="Z107" s="120"/>
      <c r="AA107" s="120"/>
      <c r="AB107" s="120"/>
      <c r="AC107" s="120"/>
    </row>
    <row r="108">
      <c r="A108" s="90"/>
      <c r="B108" s="37">
        <v>46216.0</v>
      </c>
      <c r="C108" s="96" t="s">
        <v>1839</v>
      </c>
      <c r="D108" s="22" t="s">
        <v>2429</v>
      </c>
      <c r="E108" s="102"/>
      <c r="F108" s="102"/>
      <c r="G108" s="113" t="s">
        <v>2430</v>
      </c>
      <c r="H108" s="114" t="s">
        <v>1622</v>
      </c>
      <c r="I108" s="115"/>
      <c r="J108" s="114" t="s">
        <v>2431</v>
      </c>
      <c r="K108" s="113" t="s">
        <v>1399</v>
      </c>
      <c r="L108" s="114" t="s">
        <v>2432</v>
      </c>
      <c r="M108" s="105" t="s">
        <v>2433</v>
      </c>
      <c r="N108" s="114" t="s">
        <v>64</v>
      </c>
      <c r="O108" s="100"/>
      <c r="P108" s="116"/>
      <c r="Q108" s="117"/>
      <c r="R108" s="118"/>
      <c r="S108" s="119"/>
      <c r="T108" s="119"/>
      <c r="U108" s="119"/>
      <c r="V108" s="119"/>
      <c r="W108" s="119"/>
      <c r="X108" s="119"/>
      <c r="Y108" s="120"/>
      <c r="Z108" s="120"/>
      <c r="AA108" s="120"/>
      <c r="AB108" s="120"/>
      <c r="AC108" s="120"/>
    </row>
    <row r="109">
      <c r="A109" s="90"/>
      <c r="B109" s="37">
        <v>46216.0</v>
      </c>
      <c r="C109" s="96" t="s">
        <v>1839</v>
      </c>
      <c r="D109" s="22" t="s">
        <v>2434</v>
      </c>
      <c r="E109" s="102"/>
      <c r="F109" s="102"/>
      <c r="G109" s="113" t="s">
        <v>2435</v>
      </c>
      <c r="H109" s="114" t="s">
        <v>1622</v>
      </c>
      <c r="I109" s="115"/>
      <c r="J109" s="114" t="s">
        <v>2436</v>
      </c>
      <c r="K109" s="114" t="s">
        <v>2437</v>
      </c>
      <c r="L109" s="114" t="s">
        <v>2438</v>
      </c>
      <c r="M109" s="105" t="s">
        <v>2439</v>
      </c>
      <c r="N109" s="114" t="s">
        <v>64</v>
      </c>
      <c r="O109" s="100"/>
      <c r="P109" s="116"/>
      <c r="Q109" s="117"/>
      <c r="R109" s="118"/>
      <c r="S109" s="119"/>
      <c r="T109" s="119"/>
      <c r="U109" s="119"/>
      <c r="V109" s="119"/>
      <c r="W109" s="119"/>
      <c r="X109" s="119"/>
      <c r="Y109" s="120"/>
      <c r="Z109" s="120"/>
      <c r="AA109" s="120"/>
      <c r="AB109" s="120"/>
      <c r="AC109" s="120"/>
    </row>
    <row r="110">
      <c r="A110" s="90"/>
      <c r="B110" s="37">
        <v>46216.0</v>
      </c>
      <c r="C110" s="96" t="s">
        <v>1839</v>
      </c>
      <c r="D110" s="22" t="s">
        <v>2440</v>
      </c>
      <c r="E110" s="102"/>
      <c r="F110" s="102"/>
      <c r="G110" s="113" t="s">
        <v>2441</v>
      </c>
      <c r="H110" s="114" t="s">
        <v>1622</v>
      </c>
      <c r="I110" s="115"/>
      <c r="J110" s="114" t="s">
        <v>2442</v>
      </c>
      <c r="K110" s="113" t="s">
        <v>2443</v>
      </c>
      <c r="L110" s="114" t="s">
        <v>2444</v>
      </c>
      <c r="M110" s="105" t="s">
        <v>2445</v>
      </c>
      <c r="N110" s="114" t="s">
        <v>64</v>
      </c>
      <c r="O110" s="100"/>
      <c r="P110" s="116"/>
      <c r="Q110" s="117"/>
      <c r="R110" s="118"/>
      <c r="S110" s="119"/>
      <c r="T110" s="119"/>
      <c r="U110" s="119"/>
      <c r="V110" s="119"/>
      <c r="W110" s="119"/>
      <c r="X110" s="119"/>
      <c r="Y110" s="120"/>
      <c r="Z110" s="120"/>
      <c r="AA110" s="120"/>
      <c r="AB110" s="120"/>
      <c r="AC110" s="120"/>
    </row>
    <row r="111">
      <c r="A111" s="90"/>
      <c r="B111" s="37">
        <v>46216.0</v>
      </c>
      <c r="C111" s="96" t="s">
        <v>1839</v>
      </c>
      <c r="D111" s="22" t="s">
        <v>2446</v>
      </c>
      <c r="E111" s="102"/>
      <c r="F111" s="102"/>
      <c r="G111" s="113" t="s">
        <v>2447</v>
      </c>
      <c r="H111" s="114" t="s">
        <v>1622</v>
      </c>
      <c r="I111" s="115"/>
      <c r="J111" s="114" t="s">
        <v>2442</v>
      </c>
      <c r="K111" s="114" t="s">
        <v>2448</v>
      </c>
      <c r="L111" s="114" t="s">
        <v>2444</v>
      </c>
      <c r="M111" s="105" t="s">
        <v>2449</v>
      </c>
      <c r="N111" s="114" t="s">
        <v>64</v>
      </c>
      <c r="O111" s="100"/>
      <c r="P111" s="116"/>
      <c r="Q111" s="117"/>
      <c r="R111" s="118"/>
      <c r="S111" s="119"/>
      <c r="T111" s="119"/>
      <c r="U111" s="119"/>
      <c r="V111" s="119"/>
      <c r="W111" s="119"/>
      <c r="X111" s="119"/>
      <c r="Y111" s="120"/>
      <c r="Z111" s="120"/>
      <c r="AA111" s="120"/>
      <c r="AB111" s="120"/>
      <c r="AC111" s="120"/>
    </row>
    <row r="112">
      <c r="A112" s="90"/>
      <c r="B112" s="37">
        <v>46216.0</v>
      </c>
      <c r="C112" s="96" t="s">
        <v>1839</v>
      </c>
      <c r="D112" s="22" t="s">
        <v>2450</v>
      </c>
      <c r="E112" s="102"/>
      <c r="F112" s="102"/>
      <c r="G112" s="113" t="s">
        <v>2451</v>
      </c>
      <c r="H112" s="114" t="s">
        <v>1622</v>
      </c>
      <c r="I112" s="115"/>
      <c r="J112" s="114" t="s">
        <v>2442</v>
      </c>
      <c r="K112" s="114" t="s">
        <v>2452</v>
      </c>
      <c r="L112" s="114" t="s">
        <v>2444</v>
      </c>
      <c r="M112" s="105" t="s">
        <v>2453</v>
      </c>
      <c r="N112" s="114" t="s">
        <v>64</v>
      </c>
      <c r="O112" s="100"/>
      <c r="P112" s="116"/>
      <c r="Q112" s="117"/>
      <c r="R112" s="118"/>
      <c r="S112" s="119"/>
      <c r="T112" s="119"/>
      <c r="U112" s="119"/>
      <c r="V112" s="119"/>
      <c r="W112" s="119"/>
      <c r="X112" s="119"/>
      <c r="Y112" s="120"/>
      <c r="Z112" s="120"/>
      <c r="AA112" s="120"/>
      <c r="AB112" s="120"/>
      <c r="AC112" s="120"/>
    </row>
    <row r="113">
      <c r="A113" s="90"/>
      <c r="B113" s="37">
        <v>46216.0</v>
      </c>
      <c r="C113" s="96" t="s">
        <v>1839</v>
      </c>
      <c r="D113" s="22" t="s">
        <v>2454</v>
      </c>
      <c r="E113" s="102"/>
      <c r="F113" s="102"/>
      <c r="G113" s="113" t="s">
        <v>2057</v>
      </c>
      <c r="H113" s="114" t="s">
        <v>1622</v>
      </c>
      <c r="I113" s="115"/>
      <c r="J113" s="114" t="s">
        <v>2376</v>
      </c>
      <c r="K113" s="113" t="s">
        <v>1399</v>
      </c>
      <c r="L113" s="114" t="s">
        <v>2455</v>
      </c>
      <c r="M113" s="105" t="s">
        <v>2456</v>
      </c>
      <c r="N113" s="114" t="s">
        <v>64</v>
      </c>
      <c r="O113" s="100"/>
      <c r="P113" s="116"/>
      <c r="Q113" s="117"/>
      <c r="R113" s="118"/>
      <c r="S113" s="119"/>
      <c r="T113" s="119"/>
      <c r="U113" s="119"/>
      <c r="V113" s="119"/>
      <c r="W113" s="119"/>
      <c r="X113" s="119"/>
      <c r="Y113" s="120"/>
      <c r="Z113" s="120"/>
      <c r="AA113" s="120"/>
      <c r="AB113" s="120"/>
      <c r="AC113" s="120"/>
    </row>
    <row r="114">
      <c r="A114" s="90"/>
      <c r="B114" s="37">
        <v>46216.0</v>
      </c>
      <c r="C114" s="96" t="s">
        <v>1839</v>
      </c>
      <c r="D114" s="22" t="s">
        <v>2457</v>
      </c>
      <c r="E114" s="102"/>
      <c r="F114" s="102"/>
      <c r="G114" s="113" t="s">
        <v>1160</v>
      </c>
      <c r="H114" s="114" t="s">
        <v>1775</v>
      </c>
      <c r="I114" s="115"/>
      <c r="J114" s="114" t="s">
        <v>2458</v>
      </c>
      <c r="K114" s="114" t="s">
        <v>2459</v>
      </c>
      <c r="L114" s="114" t="s">
        <v>2063</v>
      </c>
      <c r="M114" s="105" t="s">
        <v>2460</v>
      </c>
      <c r="N114" s="114" t="s">
        <v>64</v>
      </c>
      <c r="O114" s="100"/>
      <c r="P114" s="116"/>
      <c r="Q114" s="117"/>
      <c r="R114" s="118"/>
      <c r="S114" s="119"/>
      <c r="T114" s="119"/>
      <c r="U114" s="119"/>
      <c r="V114" s="119"/>
      <c r="W114" s="119"/>
      <c r="X114" s="119"/>
      <c r="Y114" s="120"/>
      <c r="Z114" s="120"/>
      <c r="AA114" s="120"/>
      <c r="AB114" s="120"/>
      <c r="AC114" s="120"/>
    </row>
    <row r="115">
      <c r="A115" s="90"/>
      <c r="B115" s="108">
        <v>97.0</v>
      </c>
      <c r="C115" s="96" t="s">
        <v>1839</v>
      </c>
      <c r="D115" s="109" t="s">
        <v>2461</v>
      </c>
      <c r="E115" s="110" t="s">
        <v>2462</v>
      </c>
      <c r="F115" s="110" t="s">
        <v>1868</v>
      </c>
      <c r="G115" s="121" t="s">
        <v>2463</v>
      </c>
      <c r="H115" s="114" t="s">
        <v>2464</v>
      </c>
      <c r="I115" s="115"/>
      <c r="J115" s="114" t="s">
        <v>2465</v>
      </c>
      <c r="K115" s="114" t="s">
        <v>2463</v>
      </c>
      <c r="L115" s="114" t="s">
        <v>2466</v>
      </c>
      <c r="M115" s="122" t="s">
        <v>2467</v>
      </c>
      <c r="N115" s="114" t="s">
        <v>64</v>
      </c>
      <c r="O115" s="100"/>
      <c r="P115" s="116"/>
      <c r="Q115" s="117"/>
      <c r="R115" s="118"/>
      <c r="S115" s="119"/>
      <c r="T115" s="119"/>
      <c r="U115" s="119"/>
      <c r="V115" s="119"/>
      <c r="W115" s="119"/>
      <c r="X115" s="119"/>
      <c r="Y115" s="120"/>
      <c r="Z115" s="120"/>
      <c r="AA115" s="120"/>
      <c r="AB115" s="120"/>
      <c r="AC115" s="120"/>
    </row>
    <row r="116">
      <c r="A116" s="90"/>
      <c r="B116" s="37">
        <v>46216.0</v>
      </c>
      <c r="C116" s="96" t="s">
        <v>1839</v>
      </c>
      <c r="D116" s="22" t="s">
        <v>2468</v>
      </c>
      <c r="E116" s="102"/>
      <c r="F116" s="102"/>
      <c r="G116" s="113" t="s">
        <v>2375</v>
      </c>
      <c r="H116" s="114" t="s">
        <v>1622</v>
      </c>
      <c r="I116" s="115"/>
      <c r="J116" s="114" t="s">
        <v>2376</v>
      </c>
      <c r="K116" s="113" t="s">
        <v>1399</v>
      </c>
      <c r="L116" s="114" t="s">
        <v>2469</v>
      </c>
      <c r="M116" s="105" t="s">
        <v>2470</v>
      </c>
      <c r="N116" s="114" t="s">
        <v>64</v>
      </c>
      <c r="O116" s="100"/>
      <c r="P116" s="116"/>
      <c r="Q116" s="117"/>
      <c r="R116" s="118"/>
      <c r="S116" s="119"/>
      <c r="T116" s="119"/>
      <c r="U116" s="119"/>
      <c r="V116" s="119"/>
      <c r="W116" s="119"/>
      <c r="X116" s="119"/>
      <c r="Y116" s="120"/>
      <c r="Z116" s="120"/>
      <c r="AA116" s="120"/>
      <c r="AB116" s="120"/>
      <c r="AC116" s="120"/>
    </row>
    <row r="117">
      <c r="A117" s="90"/>
      <c r="B117" s="37">
        <v>46216.0</v>
      </c>
      <c r="C117" s="96" t="s">
        <v>1839</v>
      </c>
      <c r="D117" s="22" t="s">
        <v>2471</v>
      </c>
      <c r="E117" s="102"/>
      <c r="F117" s="102"/>
      <c r="G117" s="113" t="s">
        <v>2472</v>
      </c>
      <c r="H117" s="114" t="s">
        <v>1622</v>
      </c>
      <c r="I117" s="115"/>
      <c r="J117" s="114" t="s">
        <v>2473</v>
      </c>
      <c r="K117" s="114" t="s">
        <v>2474</v>
      </c>
      <c r="L117" s="114" t="s">
        <v>2475</v>
      </c>
      <c r="M117" s="105" t="s">
        <v>2476</v>
      </c>
      <c r="N117" s="114" t="s">
        <v>64</v>
      </c>
      <c r="O117" s="100"/>
      <c r="P117" s="116"/>
      <c r="Q117" s="117"/>
      <c r="R117" s="118"/>
      <c r="S117" s="119"/>
      <c r="T117" s="119"/>
      <c r="U117" s="119"/>
      <c r="V117" s="119"/>
      <c r="W117" s="119"/>
      <c r="X117" s="119"/>
      <c r="Y117" s="120"/>
      <c r="Z117" s="120"/>
      <c r="AA117" s="120"/>
      <c r="AB117" s="120"/>
      <c r="AC117" s="120"/>
    </row>
    <row r="118">
      <c r="A118" s="90"/>
      <c r="B118" s="37">
        <v>46216.0</v>
      </c>
      <c r="C118" s="96" t="s">
        <v>1839</v>
      </c>
      <c r="D118" s="22" t="s">
        <v>2477</v>
      </c>
      <c r="E118" s="102"/>
      <c r="F118" s="102"/>
      <c r="G118" s="113" t="s">
        <v>2478</v>
      </c>
      <c r="H118" s="114" t="s">
        <v>1622</v>
      </c>
      <c r="I118" s="115"/>
      <c r="J118" s="114" t="s">
        <v>2479</v>
      </c>
      <c r="K118" s="114" t="s">
        <v>2480</v>
      </c>
      <c r="L118" s="114" t="s">
        <v>2481</v>
      </c>
      <c r="M118" s="105" t="s">
        <v>2482</v>
      </c>
      <c r="N118" s="114" t="s">
        <v>64</v>
      </c>
      <c r="O118" s="100"/>
      <c r="P118" s="116"/>
      <c r="Q118" s="117"/>
      <c r="R118" s="118"/>
      <c r="S118" s="119"/>
      <c r="T118" s="119"/>
      <c r="U118" s="119"/>
      <c r="V118" s="119"/>
      <c r="W118" s="119"/>
      <c r="X118" s="119"/>
      <c r="Y118" s="120"/>
      <c r="Z118" s="120"/>
      <c r="AA118" s="120"/>
      <c r="AB118" s="120"/>
      <c r="AC118" s="120"/>
    </row>
    <row r="119">
      <c r="A119" s="90"/>
      <c r="B119" s="37">
        <v>46216.0</v>
      </c>
      <c r="C119" s="96" t="s">
        <v>1839</v>
      </c>
      <c r="D119" s="22" t="s">
        <v>2483</v>
      </c>
      <c r="E119" s="102"/>
      <c r="F119" s="102"/>
      <c r="G119" s="113" t="s">
        <v>2484</v>
      </c>
      <c r="H119" s="114" t="s">
        <v>1622</v>
      </c>
      <c r="I119" s="115"/>
      <c r="J119" s="114" t="s">
        <v>2485</v>
      </c>
      <c r="K119" s="114" t="s">
        <v>2486</v>
      </c>
      <c r="L119" s="114" t="s">
        <v>2487</v>
      </c>
      <c r="M119" s="105" t="s">
        <v>2488</v>
      </c>
      <c r="N119" s="114" t="s">
        <v>64</v>
      </c>
      <c r="O119" s="100"/>
      <c r="P119" s="116"/>
      <c r="Q119" s="117"/>
      <c r="R119" s="118"/>
      <c r="S119" s="119"/>
      <c r="T119" s="119"/>
      <c r="U119" s="119"/>
      <c r="V119" s="119"/>
      <c r="W119" s="119"/>
      <c r="X119" s="119"/>
      <c r="Y119" s="120"/>
      <c r="Z119" s="120"/>
      <c r="AA119" s="120"/>
      <c r="AB119" s="120"/>
      <c r="AC119" s="120"/>
    </row>
    <row r="120">
      <c r="A120" s="90"/>
      <c r="B120" s="37">
        <v>46216.0</v>
      </c>
      <c r="C120" s="96" t="s">
        <v>1839</v>
      </c>
      <c r="D120" s="22" t="s">
        <v>2489</v>
      </c>
      <c r="E120" s="102"/>
      <c r="F120" s="102"/>
      <c r="G120" s="113" t="s">
        <v>2490</v>
      </c>
      <c r="H120" s="114" t="s">
        <v>1622</v>
      </c>
      <c r="I120" s="115"/>
      <c r="J120" s="114" t="s">
        <v>2485</v>
      </c>
      <c r="K120" s="114" t="s">
        <v>2491</v>
      </c>
      <c r="L120" s="114" t="s">
        <v>1330</v>
      </c>
      <c r="M120" s="105" t="s">
        <v>2492</v>
      </c>
      <c r="N120" s="114" t="s">
        <v>64</v>
      </c>
      <c r="O120" s="100"/>
      <c r="P120" s="116"/>
      <c r="Q120" s="117"/>
      <c r="R120" s="118"/>
      <c r="S120" s="119"/>
      <c r="T120" s="119"/>
      <c r="U120" s="119"/>
      <c r="V120" s="119"/>
      <c r="W120" s="119"/>
      <c r="X120" s="119"/>
      <c r="Y120" s="120"/>
      <c r="Z120" s="120"/>
      <c r="AA120" s="120"/>
      <c r="AB120" s="120"/>
      <c r="AC120" s="120"/>
    </row>
    <row r="121">
      <c r="A121" s="90"/>
      <c r="B121" s="37">
        <v>46216.0</v>
      </c>
      <c r="C121" s="96" t="s">
        <v>1839</v>
      </c>
      <c r="D121" s="22" t="s">
        <v>2493</v>
      </c>
      <c r="E121" s="102"/>
      <c r="F121" s="102"/>
      <c r="G121" s="113" t="s">
        <v>2494</v>
      </c>
      <c r="H121" s="114" t="s">
        <v>1622</v>
      </c>
      <c r="I121" s="115"/>
      <c r="J121" s="114" t="s">
        <v>2495</v>
      </c>
      <c r="K121" s="114" t="s">
        <v>2496</v>
      </c>
      <c r="L121" s="114" t="s">
        <v>2163</v>
      </c>
      <c r="M121" s="105" t="s">
        <v>2497</v>
      </c>
      <c r="N121" s="114" t="s">
        <v>64</v>
      </c>
      <c r="O121" s="100"/>
      <c r="P121" s="116"/>
      <c r="Q121" s="117"/>
      <c r="R121" s="118"/>
      <c r="S121" s="119"/>
      <c r="T121" s="119"/>
      <c r="U121" s="119"/>
      <c r="V121" s="119"/>
      <c r="W121" s="119"/>
      <c r="X121" s="119"/>
      <c r="Y121" s="120"/>
      <c r="Z121" s="120"/>
      <c r="AA121" s="120"/>
      <c r="AB121" s="120"/>
      <c r="AC121" s="120"/>
    </row>
    <row r="122">
      <c r="A122" s="90"/>
      <c r="B122" s="37">
        <v>46216.0</v>
      </c>
      <c r="C122" s="96" t="s">
        <v>1839</v>
      </c>
      <c r="D122" s="22" t="s">
        <v>2498</v>
      </c>
      <c r="E122" s="102"/>
      <c r="F122" s="102"/>
      <c r="G122" s="113" t="s">
        <v>2499</v>
      </c>
      <c r="H122" s="114" t="s">
        <v>1622</v>
      </c>
      <c r="I122" s="115"/>
      <c r="J122" s="114" t="s">
        <v>2500</v>
      </c>
      <c r="K122" s="114" t="s">
        <v>2501</v>
      </c>
      <c r="L122" s="114" t="s">
        <v>2502</v>
      </c>
      <c r="M122" s="105" t="s">
        <v>2503</v>
      </c>
      <c r="N122" s="114" t="s">
        <v>64</v>
      </c>
      <c r="O122" s="100"/>
      <c r="P122" s="116"/>
      <c r="Q122" s="117"/>
      <c r="R122" s="118"/>
      <c r="S122" s="119"/>
      <c r="T122" s="119"/>
      <c r="U122" s="119"/>
      <c r="V122" s="119"/>
      <c r="W122" s="119"/>
      <c r="X122" s="119"/>
      <c r="Y122" s="120"/>
      <c r="Z122" s="120"/>
      <c r="AA122" s="120"/>
      <c r="AB122" s="120"/>
      <c r="AC122" s="120"/>
    </row>
    <row r="123">
      <c r="A123" s="90"/>
      <c r="B123" s="37">
        <v>46216.0</v>
      </c>
      <c r="C123" s="96" t="s">
        <v>1839</v>
      </c>
      <c r="D123" s="22" t="s">
        <v>2504</v>
      </c>
      <c r="E123" s="102"/>
      <c r="F123" s="102"/>
      <c r="G123" s="113" t="s">
        <v>2505</v>
      </c>
      <c r="H123" s="114" t="s">
        <v>1622</v>
      </c>
      <c r="I123" s="115"/>
      <c r="J123" s="114" t="s">
        <v>2506</v>
      </c>
      <c r="K123" s="113" t="s">
        <v>1399</v>
      </c>
      <c r="L123" s="114" t="s">
        <v>2507</v>
      </c>
      <c r="M123" s="105" t="s">
        <v>2508</v>
      </c>
      <c r="N123" s="114" t="s">
        <v>64</v>
      </c>
      <c r="O123" s="100"/>
      <c r="P123" s="116"/>
      <c r="Q123" s="117"/>
      <c r="R123" s="118"/>
      <c r="S123" s="119"/>
      <c r="T123" s="119"/>
      <c r="U123" s="119"/>
      <c r="V123" s="119"/>
      <c r="W123" s="119"/>
      <c r="X123" s="119"/>
      <c r="Y123" s="120"/>
      <c r="Z123" s="120"/>
      <c r="AA123" s="120"/>
      <c r="AB123" s="120"/>
      <c r="AC123" s="120"/>
    </row>
    <row r="124">
      <c r="A124" s="90"/>
      <c r="B124" s="37">
        <v>46216.0</v>
      </c>
      <c r="C124" s="96" t="s">
        <v>1839</v>
      </c>
      <c r="D124" s="22" t="s">
        <v>2509</v>
      </c>
      <c r="E124" s="102"/>
      <c r="F124" s="102"/>
      <c r="G124" s="113" t="s">
        <v>2510</v>
      </c>
      <c r="H124" s="114" t="s">
        <v>1622</v>
      </c>
      <c r="I124" s="115"/>
      <c r="J124" s="114" t="s">
        <v>2511</v>
      </c>
      <c r="K124" s="114" t="s">
        <v>2512</v>
      </c>
      <c r="L124" s="114" t="s">
        <v>2513</v>
      </c>
      <c r="M124" s="105" t="s">
        <v>2514</v>
      </c>
      <c r="N124" s="114" t="s">
        <v>64</v>
      </c>
      <c r="O124" s="100"/>
      <c r="P124" s="116"/>
      <c r="Q124" s="117"/>
      <c r="R124" s="118"/>
      <c r="S124" s="119"/>
      <c r="T124" s="119"/>
      <c r="U124" s="119"/>
      <c r="V124" s="119"/>
      <c r="W124" s="119"/>
      <c r="X124" s="119"/>
      <c r="Y124" s="120"/>
      <c r="Z124" s="120"/>
      <c r="AA124" s="120"/>
      <c r="AB124" s="120"/>
      <c r="AC124" s="120"/>
    </row>
    <row r="125">
      <c r="A125" s="90"/>
      <c r="B125" s="37">
        <v>46216.0</v>
      </c>
      <c r="C125" s="96" t="s">
        <v>1839</v>
      </c>
      <c r="D125" s="22" t="s">
        <v>2515</v>
      </c>
      <c r="E125" s="102"/>
      <c r="F125" s="102"/>
      <c r="G125" s="113" t="s">
        <v>2516</v>
      </c>
      <c r="H125" s="114" t="s">
        <v>1622</v>
      </c>
      <c r="I125" s="115"/>
      <c r="J125" s="114" t="s">
        <v>2517</v>
      </c>
      <c r="K125" s="113" t="s">
        <v>2518</v>
      </c>
      <c r="L125" s="114" t="s">
        <v>2519</v>
      </c>
      <c r="M125" s="105" t="s">
        <v>2520</v>
      </c>
      <c r="N125" s="114" t="s">
        <v>64</v>
      </c>
      <c r="O125" s="100"/>
      <c r="P125" s="116"/>
      <c r="Q125" s="117"/>
      <c r="R125" s="118"/>
      <c r="S125" s="119"/>
      <c r="T125" s="119"/>
      <c r="U125" s="119"/>
      <c r="V125" s="119"/>
      <c r="W125" s="119"/>
      <c r="X125" s="119"/>
      <c r="Y125" s="120"/>
      <c r="Z125" s="120"/>
      <c r="AA125" s="120"/>
      <c r="AB125" s="120"/>
      <c r="AC125" s="120"/>
    </row>
    <row r="126">
      <c r="A126" s="90"/>
      <c r="B126" s="37">
        <v>46216.0</v>
      </c>
      <c r="C126" s="96" t="s">
        <v>1839</v>
      </c>
      <c r="D126" s="22" t="s">
        <v>2521</v>
      </c>
      <c r="E126" s="102"/>
      <c r="F126" s="102"/>
      <c r="G126" s="113" t="s">
        <v>2522</v>
      </c>
      <c r="H126" s="114" t="s">
        <v>2523</v>
      </c>
      <c r="I126" s="115"/>
      <c r="J126" s="114" t="s">
        <v>2524</v>
      </c>
      <c r="K126" s="114" t="s">
        <v>2525</v>
      </c>
      <c r="L126" s="114" t="s">
        <v>1858</v>
      </c>
      <c r="M126" s="105" t="s">
        <v>2526</v>
      </c>
      <c r="N126" s="114" t="s">
        <v>64</v>
      </c>
      <c r="O126" s="100"/>
      <c r="P126" s="116"/>
      <c r="Q126" s="117"/>
      <c r="R126" s="118"/>
      <c r="S126" s="119"/>
      <c r="T126" s="119"/>
      <c r="U126" s="119"/>
      <c r="V126" s="119"/>
      <c r="W126" s="119"/>
      <c r="X126" s="119"/>
      <c r="Y126" s="120"/>
      <c r="Z126" s="120"/>
      <c r="AA126" s="120"/>
      <c r="AB126" s="120"/>
      <c r="AC126" s="120"/>
    </row>
    <row r="127">
      <c r="A127" s="90"/>
      <c r="B127" s="37">
        <v>46216.0</v>
      </c>
      <c r="C127" s="96" t="s">
        <v>1839</v>
      </c>
      <c r="D127" s="22" t="s">
        <v>2527</v>
      </c>
      <c r="E127" s="102"/>
      <c r="F127" s="102"/>
      <c r="G127" s="113" t="s">
        <v>1300</v>
      </c>
      <c r="H127" s="114" t="s">
        <v>1622</v>
      </c>
      <c r="I127" s="115"/>
      <c r="J127" s="114" t="s">
        <v>2528</v>
      </c>
      <c r="K127" s="114" t="s">
        <v>2529</v>
      </c>
      <c r="L127" s="114" t="s">
        <v>1393</v>
      </c>
      <c r="M127" s="105" t="s">
        <v>2530</v>
      </c>
      <c r="N127" s="114" t="s">
        <v>64</v>
      </c>
      <c r="O127" s="100"/>
      <c r="P127" s="116"/>
      <c r="Q127" s="117"/>
      <c r="R127" s="118"/>
      <c r="S127" s="119"/>
      <c r="T127" s="119"/>
      <c r="U127" s="119"/>
      <c r="V127" s="119"/>
      <c r="W127" s="119"/>
      <c r="X127" s="119"/>
      <c r="Y127" s="120"/>
      <c r="Z127" s="120"/>
      <c r="AA127" s="120"/>
      <c r="AB127" s="120"/>
      <c r="AC127" s="120"/>
    </row>
    <row r="128">
      <c r="A128" s="90"/>
      <c r="B128" s="37">
        <v>46216.0</v>
      </c>
      <c r="C128" s="96" t="s">
        <v>1839</v>
      </c>
      <c r="D128" s="22" t="s">
        <v>2531</v>
      </c>
      <c r="E128" s="102"/>
      <c r="F128" s="102"/>
      <c r="G128" s="113" t="s">
        <v>2505</v>
      </c>
      <c r="H128" s="114" t="s">
        <v>1622</v>
      </c>
      <c r="I128" s="115"/>
      <c r="J128" s="114" t="s">
        <v>2506</v>
      </c>
      <c r="K128" s="113" t="s">
        <v>1399</v>
      </c>
      <c r="L128" s="114" t="s">
        <v>2507</v>
      </c>
      <c r="M128" s="105" t="s">
        <v>2532</v>
      </c>
      <c r="N128" s="114" t="s">
        <v>64</v>
      </c>
      <c r="O128" s="100"/>
      <c r="P128" s="116"/>
      <c r="Q128" s="117"/>
      <c r="R128" s="118"/>
      <c r="S128" s="119"/>
      <c r="T128" s="119"/>
      <c r="U128" s="119"/>
      <c r="V128" s="119"/>
      <c r="W128" s="119"/>
      <c r="X128" s="119"/>
      <c r="Y128" s="120"/>
      <c r="Z128" s="120"/>
      <c r="AA128" s="120"/>
      <c r="AB128" s="120"/>
      <c r="AC128" s="120"/>
    </row>
    <row r="129">
      <c r="A129" s="90"/>
      <c r="B129" s="37">
        <v>46216.0</v>
      </c>
      <c r="C129" s="96" t="s">
        <v>1839</v>
      </c>
      <c r="D129" s="22" t="s">
        <v>2533</v>
      </c>
      <c r="E129" s="102"/>
      <c r="F129" s="102"/>
      <c r="G129" s="113" t="s">
        <v>2510</v>
      </c>
      <c r="H129" s="114" t="s">
        <v>1622</v>
      </c>
      <c r="I129" s="115"/>
      <c r="J129" s="114" t="s">
        <v>2511</v>
      </c>
      <c r="K129" s="114" t="s">
        <v>2512</v>
      </c>
      <c r="L129" s="114" t="s">
        <v>2513</v>
      </c>
      <c r="M129" s="105" t="s">
        <v>2534</v>
      </c>
      <c r="N129" s="114" t="s">
        <v>64</v>
      </c>
      <c r="O129" s="100"/>
      <c r="P129" s="116"/>
      <c r="Q129" s="117"/>
      <c r="R129" s="118"/>
      <c r="S129" s="119"/>
      <c r="T129" s="119"/>
      <c r="U129" s="119"/>
      <c r="V129" s="119"/>
      <c r="W129" s="119"/>
      <c r="X129" s="119"/>
      <c r="Y129" s="120"/>
      <c r="Z129" s="120"/>
      <c r="AA129" s="120"/>
      <c r="AB129" s="120"/>
      <c r="AC129" s="120"/>
    </row>
    <row r="130">
      <c r="A130" s="90"/>
      <c r="B130" s="37">
        <v>46216.0</v>
      </c>
      <c r="C130" s="96" t="s">
        <v>1839</v>
      </c>
      <c r="D130" s="22" t="s">
        <v>2535</v>
      </c>
      <c r="E130" s="102"/>
      <c r="F130" s="102"/>
      <c r="G130" s="113" t="s">
        <v>2516</v>
      </c>
      <c r="H130" s="114" t="s">
        <v>1622</v>
      </c>
      <c r="I130" s="115"/>
      <c r="J130" s="114" t="s">
        <v>2517</v>
      </c>
      <c r="K130" s="113" t="s">
        <v>2518</v>
      </c>
      <c r="L130" s="114" t="s">
        <v>2519</v>
      </c>
      <c r="M130" s="105" t="s">
        <v>2536</v>
      </c>
      <c r="N130" s="114" t="s">
        <v>64</v>
      </c>
      <c r="O130" s="100"/>
      <c r="P130" s="116"/>
      <c r="Q130" s="117"/>
      <c r="R130" s="118"/>
      <c r="S130" s="119"/>
      <c r="T130" s="119"/>
      <c r="U130" s="119"/>
      <c r="V130" s="119"/>
      <c r="W130" s="119"/>
      <c r="X130" s="119"/>
      <c r="Y130" s="120"/>
      <c r="Z130" s="120"/>
      <c r="AA130" s="120"/>
      <c r="AB130" s="120"/>
      <c r="AC130" s="120"/>
    </row>
    <row r="131">
      <c r="A131" s="90"/>
      <c r="B131" s="37">
        <v>46216.0</v>
      </c>
      <c r="C131" s="96" t="s">
        <v>1839</v>
      </c>
      <c r="D131" s="22" t="s">
        <v>2537</v>
      </c>
      <c r="E131" s="102"/>
      <c r="F131" s="102"/>
      <c r="G131" s="113" t="s">
        <v>2522</v>
      </c>
      <c r="H131" s="114" t="s">
        <v>2523</v>
      </c>
      <c r="I131" s="115"/>
      <c r="J131" s="114" t="s">
        <v>2524</v>
      </c>
      <c r="K131" s="114" t="s">
        <v>2525</v>
      </c>
      <c r="L131" s="114" t="s">
        <v>1858</v>
      </c>
      <c r="M131" s="105" t="s">
        <v>2538</v>
      </c>
      <c r="N131" s="114" t="s">
        <v>64</v>
      </c>
      <c r="O131" s="100"/>
      <c r="P131" s="116"/>
      <c r="Q131" s="117"/>
      <c r="R131" s="118"/>
      <c r="S131" s="119"/>
      <c r="T131" s="119"/>
      <c r="U131" s="119"/>
      <c r="V131" s="119"/>
      <c r="W131" s="119"/>
      <c r="X131" s="119"/>
      <c r="Y131" s="120"/>
      <c r="Z131" s="120"/>
      <c r="AA131" s="120"/>
      <c r="AB131" s="120"/>
      <c r="AC131" s="120"/>
    </row>
    <row r="132">
      <c r="A132" s="90"/>
      <c r="B132" s="37">
        <v>46216.0</v>
      </c>
      <c r="C132" s="96" t="s">
        <v>1839</v>
      </c>
      <c r="D132" s="22" t="s">
        <v>2539</v>
      </c>
      <c r="E132" s="102"/>
      <c r="F132" s="102"/>
      <c r="G132" s="113" t="s">
        <v>1300</v>
      </c>
      <c r="H132" s="114" t="s">
        <v>1622</v>
      </c>
      <c r="I132" s="115"/>
      <c r="J132" s="114" t="s">
        <v>2528</v>
      </c>
      <c r="K132" s="114" t="s">
        <v>2529</v>
      </c>
      <c r="L132" s="114" t="s">
        <v>1393</v>
      </c>
      <c r="M132" s="105" t="s">
        <v>2540</v>
      </c>
      <c r="N132" s="114" t="s">
        <v>64</v>
      </c>
      <c r="O132" s="100"/>
      <c r="P132" s="116"/>
      <c r="Q132" s="117"/>
      <c r="R132" s="118"/>
      <c r="S132" s="119"/>
      <c r="T132" s="119"/>
      <c r="U132" s="119"/>
      <c r="V132" s="119"/>
      <c r="W132" s="119"/>
      <c r="X132" s="119"/>
      <c r="Y132" s="120"/>
      <c r="Z132" s="120"/>
      <c r="AA132" s="120"/>
      <c r="AB132" s="120"/>
      <c r="AC132" s="120"/>
    </row>
    <row r="133">
      <c r="A133" s="90"/>
      <c r="B133" s="37">
        <v>46216.0</v>
      </c>
      <c r="C133" s="96" t="s">
        <v>1839</v>
      </c>
      <c r="D133" s="22" t="s">
        <v>2541</v>
      </c>
      <c r="E133" s="102"/>
      <c r="F133" s="102"/>
      <c r="G133" s="113" t="s">
        <v>2505</v>
      </c>
      <c r="H133" s="114" t="s">
        <v>1622</v>
      </c>
      <c r="I133" s="115"/>
      <c r="J133" s="114" t="s">
        <v>2506</v>
      </c>
      <c r="K133" s="113" t="s">
        <v>1399</v>
      </c>
      <c r="L133" s="114" t="s">
        <v>2542</v>
      </c>
      <c r="M133" s="105" t="s">
        <v>2543</v>
      </c>
      <c r="N133" s="114" t="s">
        <v>64</v>
      </c>
      <c r="O133" s="100"/>
      <c r="P133" s="116"/>
      <c r="Q133" s="117"/>
      <c r="R133" s="118"/>
      <c r="S133" s="119"/>
      <c r="T133" s="119"/>
      <c r="U133" s="119"/>
      <c r="V133" s="119"/>
      <c r="W133" s="119"/>
      <c r="X133" s="119"/>
      <c r="Y133" s="120"/>
      <c r="Z133" s="120"/>
      <c r="AA133" s="120"/>
      <c r="AB133" s="120"/>
      <c r="AC133" s="120"/>
    </row>
    <row r="134">
      <c r="A134" s="90"/>
      <c r="B134" s="37">
        <v>46216.0</v>
      </c>
      <c r="C134" s="96" t="s">
        <v>1839</v>
      </c>
      <c r="D134" s="22" t="s">
        <v>2544</v>
      </c>
      <c r="E134" s="102"/>
      <c r="F134" s="102"/>
      <c r="G134" s="113" t="s">
        <v>2510</v>
      </c>
      <c r="H134" s="114" t="s">
        <v>1622</v>
      </c>
      <c r="I134" s="115"/>
      <c r="J134" s="114" t="s">
        <v>2511</v>
      </c>
      <c r="K134" s="114" t="s">
        <v>2512</v>
      </c>
      <c r="L134" s="114" t="s">
        <v>2513</v>
      </c>
      <c r="M134" s="105" t="s">
        <v>2545</v>
      </c>
      <c r="N134" s="114" t="s">
        <v>64</v>
      </c>
      <c r="O134" s="100"/>
      <c r="P134" s="116"/>
      <c r="Q134" s="117"/>
      <c r="R134" s="118"/>
      <c r="S134" s="119"/>
      <c r="T134" s="119"/>
      <c r="U134" s="119"/>
      <c r="V134" s="119"/>
      <c r="W134" s="119"/>
      <c r="X134" s="119"/>
      <c r="Y134" s="120"/>
      <c r="Z134" s="120"/>
      <c r="AA134" s="120"/>
      <c r="AB134" s="120"/>
      <c r="AC134" s="120"/>
    </row>
    <row r="135">
      <c r="A135" s="90"/>
      <c r="B135" s="37">
        <v>46216.0</v>
      </c>
      <c r="C135" s="96" t="s">
        <v>1839</v>
      </c>
      <c r="D135" s="22" t="s">
        <v>2546</v>
      </c>
      <c r="E135" s="102"/>
      <c r="F135" s="102"/>
      <c r="G135" s="113" t="s">
        <v>2516</v>
      </c>
      <c r="H135" s="114" t="s">
        <v>1622</v>
      </c>
      <c r="I135" s="115"/>
      <c r="J135" s="114" t="s">
        <v>2517</v>
      </c>
      <c r="K135" s="113" t="s">
        <v>2518</v>
      </c>
      <c r="L135" s="114" t="s">
        <v>2547</v>
      </c>
      <c r="M135" s="105" t="s">
        <v>2548</v>
      </c>
      <c r="N135" s="114" t="s">
        <v>64</v>
      </c>
      <c r="O135" s="100"/>
      <c r="P135" s="116"/>
      <c r="Q135" s="117"/>
      <c r="R135" s="118"/>
      <c r="S135" s="119"/>
      <c r="T135" s="119"/>
      <c r="U135" s="119"/>
      <c r="V135" s="119"/>
      <c r="W135" s="119"/>
      <c r="X135" s="119"/>
      <c r="Y135" s="120"/>
      <c r="Z135" s="120"/>
      <c r="AA135" s="120"/>
      <c r="AB135" s="120"/>
      <c r="AC135" s="120"/>
    </row>
    <row r="136">
      <c r="A136" s="90"/>
      <c r="B136" s="37">
        <v>46216.0</v>
      </c>
      <c r="C136" s="96" t="s">
        <v>1839</v>
      </c>
      <c r="D136" s="22" t="s">
        <v>2549</v>
      </c>
      <c r="E136" s="102"/>
      <c r="F136" s="102"/>
      <c r="G136" s="113" t="s">
        <v>2505</v>
      </c>
      <c r="H136" s="114" t="s">
        <v>1622</v>
      </c>
      <c r="I136" s="115"/>
      <c r="J136" s="114" t="s">
        <v>2506</v>
      </c>
      <c r="K136" s="113" t="s">
        <v>1399</v>
      </c>
      <c r="L136" s="114" t="s">
        <v>2550</v>
      </c>
      <c r="M136" s="105" t="s">
        <v>2551</v>
      </c>
      <c r="N136" s="114" t="s">
        <v>64</v>
      </c>
      <c r="O136" s="100"/>
      <c r="P136" s="116"/>
      <c r="Q136" s="117"/>
      <c r="R136" s="118"/>
      <c r="S136" s="119"/>
      <c r="T136" s="119"/>
      <c r="U136" s="119"/>
      <c r="V136" s="119"/>
      <c r="W136" s="119"/>
      <c r="X136" s="119"/>
      <c r="Y136" s="120"/>
      <c r="Z136" s="120"/>
      <c r="AA136" s="120"/>
      <c r="AB136" s="120"/>
      <c r="AC136" s="120"/>
    </row>
    <row r="137">
      <c r="A137" s="90"/>
      <c r="B137" s="37">
        <v>46216.0</v>
      </c>
      <c r="C137" s="96" t="s">
        <v>1839</v>
      </c>
      <c r="D137" s="22" t="s">
        <v>2552</v>
      </c>
      <c r="E137" s="102"/>
      <c r="F137" s="102"/>
      <c r="G137" s="113" t="s">
        <v>2510</v>
      </c>
      <c r="H137" s="114" t="s">
        <v>1622</v>
      </c>
      <c r="I137" s="115"/>
      <c r="J137" s="114" t="s">
        <v>2511</v>
      </c>
      <c r="K137" s="114" t="s">
        <v>2512</v>
      </c>
      <c r="L137" s="114" t="s">
        <v>2513</v>
      </c>
      <c r="M137" s="105" t="s">
        <v>2553</v>
      </c>
      <c r="N137" s="114" t="s">
        <v>64</v>
      </c>
      <c r="O137" s="100"/>
      <c r="P137" s="116"/>
      <c r="Q137" s="117"/>
      <c r="R137" s="118"/>
      <c r="S137" s="119"/>
      <c r="T137" s="119"/>
      <c r="U137" s="119"/>
      <c r="V137" s="119"/>
      <c r="W137" s="119"/>
      <c r="X137" s="119"/>
      <c r="Y137" s="120"/>
      <c r="Z137" s="120"/>
      <c r="AA137" s="120"/>
      <c r="AB137" s="120"/>
      <c r="AC137" s="120"/>
    </row>
    <row r="138">
      <c r="A138" s="90"/>
      <c r="B138" s="37">
        <v>46216.0</v>
      </c>
      <c r="C138" s="96" t="s">
        <v>1839</v>
      </c>
      <c r="D138" s="22" t="s">
        <v>2554</v>
      </c>
      <c r="E138" s="102"/>
      <c r="F138" s="102"/>
      <c r="G138" s="113" t="s">
        <v>2516</v>
      </c>
      <c r="H138" s="114" t="s">
        <v>1622</v>
      </c>
      <c r="I138" s="115"/>
      <c r="J138" s="114" t="s">
        <v>2517</v>
      </c>
      <c r="K138" s="113" t="s">
        <v>2518</v>
      </c>
      <c r="L138" s="114" t="s">
        <v>2555</v>
      </c>
      <c r="M138" s="105" t="s">
        <v>2556</v>
      </c>
      <c r="N138" s="114" t="s">
        <v>64</v>
      </c>
      <c r="O138" s="100"/>
      <c r="P138" s="116"/>
      <c r="Q138" s="117"/>
      <c r="R138" s="118"/>
      <c r="S138" s="119"/>
      <c r="T138" s="119"/>
      <c r="U138" s="119"/>
      <c r="V138" s="119"/>
      <c r="W138" s="119"/>
      <c r="X138" s="119"/>
      <c r="Y138" s="120"/>
      <c r="Z138" s="120"/>
      <c r="AA138" s="120"/>
      <c r="AB138" s="120"/>
      <c r="AC138" s="120"/>
    </row>
    <row r="139">
      <c r="A139" s="90"/>
      <c r="B139" s="37">
        <v>46217.0</v>
      </c>
      <c r="C139" s="96" t="s">
        <v>1839</v>
      </c>
      <c r="D139" s="22" t="s">
        <v>2557</v>
      </c>
      <c r="E139" s="102"/>
      <c r="F139" s="102"/>
      <c r="G139" s="113" t="s">
        <v>1160</v>
      </c>
      <c r="H139" s="114" t="s">
        <v>2558</v>
      </c>
      <c r="I139" s="115"/>
      <c r="J139" s="114" t="s">
        <v>2559</v>
      </c>
      <c r="K139" s="114" t="s">
        <v>2560</v>
      </c>
      <c r="L139" s="114" t="s">
        <v>2561</v>
      </c>
      <c r="M139" s="105" t="s">
        <v>2562</v>
      </c>
      <c r="N139" s="114" t="s">
        <v>64</v>
      </c>
      <c r="O139" s="100"/>
      <c r="P139" s="116"/>
      <c r="Q139" s="117"/>
      <c r="R139" s="118"/>
      <c r="S139" s="119"/>
      <c r="T139" s="119"/>
      <c r="U139" s="119"/>
      <c r="V139" s="119"/>
      <c r="W139" s="119"/>
      <c r="X139" s="119"/>
      <c r="Y139" s="120"/>
      <c r="Z139" s="120"/>
      <c r="AA139" s="120"/>
      <c r="AB139" s="120"/>
      <c r="AC139" s="120"/>
    </row>
    <row r="140">
      <c r="A140" s="90"/>
      <c r="B140" s="37">
        <v>46217.0</v>
      </c>
      <c r="C140" s="96" t="s">
        <v>1839</v>
      </c>
      <c r="D140" s="22" t="s">
        <v>2563</v>
      </c>
      <c r="E140" s="102"/>
      <c r="F140" s="102"/>
      <c r="G140" s="113" t="s">
        <v>2510</v>
      </c>
      <c r="H140" s="114" t="s">
        <v>1622</v>
      </c>
      <c r="I140" s="115"/>
      <c r="J140" s="114" t="s">
        <v>2511</v>
      </c>
      <c r="K140" s="114" t="s">
        <v>2512</v>
      </c>
      <c r="L140" s="114" t="s">
        <v>2564</v>
      </c>
      <c r="M140" s="105" t="s">
        <v>2565</v>
      </c>
      <c r="N140" s="114" t="s">
        <v>64</v>
      </c>
      <c r="O140" s="100"/>
      <c r="P140" s="116"/>
      <c r="Q140" s="117"/>
      <c r="R140" s="118"/>
      <c r="S140" s="119"/>
      <c r="T140" s="119"/>
      <c r="U140" s="119"/>
      <c r="V140" s="119"/>
      <c r="W140" s="119"/>
      <c r="X140" s="119"/>
      <c r="Y140" s="120"/>
      <c r="Z140" s="120"/>
      <c r="AA140" s="120"/>
      <c r="AB140" s="120"/>
      <c r="AC140" s="120"/>
    </row>
    <row r="141">
      <c r="A141" s="90"/>
      <c r="B141" s="108">
        <v>104.0</v>
      </c>
      <c r="C141" s="96" t="s">
        <v>1839</v>
      </c>
      <c r="D141" s="109" t="s">
        <v>2566</v>
      </c>
      <c r="E141" s="110" t="s">
        <v>2567</v>
      </c>
      <c r="F141" s="110" t="s">
        <v>2568</v>
      </c>
      <c r="G141" s="121" t="s">
        <v>2569</v>
      </c>
      <c r="H141" s="114" t="s">
        <v>1622</v>
      </c>
      <c r="I141" s="115"/>
      <c r="J141" s="114" t="s">
        <v>2570</v>
      </c>
      <c r="K141" s="114" t="s">
        <v>2569</v>
      </c>
      <c r="L141" s="114" t="s">
        <v>2571</v>
      </c>
      <c r="M141" s="122" t="s">
        <v>2572</v>
      </c>
      <c r="N141" s="114" t="s">
        <v>64</v>
      </c>
      <c r="O141" s="100"/>
      <c r="P141" s="116"/>
      <c r="Q141" s="117"/>
      <c r="R141" s="118"/>
      <c r="S141" s="119"/>
      <c r="T141" s="119"/>
      <c r="U141" s="119"/>
      <c r="V141" s="119"/>
      <c r="W141" s="119"/>
      <c r="X141" s="119"/>
      <c r="Y141" s="120"/>
      <c r="Z141" s="120"/>
      <c r="AA141" s="120"/>
      <c r="AB141" s="120"/>
      <c r="AC141" s="120"/>
    </row>
    <row r="142">
      <c r="A142" s="90"/>
      <c r="B142" s="37">
        <v>46217.0</v>
      </c>
      <c r="C142" s="96" t="s">
        <v>1839</v>
      </c>
      <c r="D142" s="22" t="s">
        <v>2573</v>
      </c>
      <c r="E142" s="102"/>
      <c r="F142" s="102"/>
      <c r="G142" s="113" t="s">
        <v>2505</v>
      </c>
      <c r="H142" s="114" t="s">
        <v>1622</v>
      </c>
      <c r="I142" s="115"/>
      <c r="J142" s="114" t="s">
        <v>2506</v>
      </c>
      <c r="K142" s="113" t="s">
        <v>1399</v>
      </c>
      <c r="L142" s="114" t="s">
        <v>2574</v>
      </c>
      <c r="M142" s="105" t="s">
        <v>2575</v>
      </c>
      <c r="N142" s="114" t="s">
        <v>64</v>
      </c>
      <c r="O142" s="100"/>
      <c r="P142" s="116"/>
      <c r="Q142" s="117"/>
      <c r="R142" s="118"/>
      <c r="S142" s="119"/>
      <c r="T142" s="119"/>
      <c r="U142" s="119"/>
      <c r="V142" s="119"/>
      <c r="W142" s="119"/>
      <c r="X142" s="119"/>
      <c r="Y142" s="120"/>
      <c r="Z142" s="120"/>
      <c r="AA142" s="120"/>
      <c r="AB142" s="120"/>
      <c r="AC142" s="120"/>
    </row>
    <row r="143">
      <c r="A143" s="90"/>
      <c r="B143" s="37">
        <v>46217.0</v>
      </c>
      <c r="C143" s="96" t="s">
        <v>1839</v>
      </c>
      <c r="D143" s="22" t="s">
        <v>2576</v>
      </c>
      <c r="E143" s="102"/>
      <c r="F143" s="102"/>
      <c r="G143" s="113" t="s">
        <v>2510</v>
      </c>
      <c r="H143" s="114" t="s">
        <v>1622</v>
      </c>
      <c r="I143" s="115"/>
      <c r="J143" s="114" t="s">
        <v>2511</v>
      </c>
      <c r="K143" s="114" t="s">
        <v>2512</v>
      </c>
      <c r="L143" s="114" t="s">
        <v>2564</v>
      </c>
      <c r="M143" s="105" t="s">
        <v>2577</v>
      </c>
      <c r="N143" s="114" t="s">
        <v>64</v>
      </c>
      <c r="O143" s="100"/>
      <c r="P143" s="116"/>
      <c r="Q143" s="117"/>
      <c r="R143" s="118"/>
      <c r="S143" s="119"/>
      <c r="T143" s="119"/>
      <c r="U143" s="119"/>
      <c r="V143" s="119"/>
      <c r="W143" s="119"/>
      <c r="X143" s="119"/>
      <c r="Y143" s="120"/>
      <c r="Z143" s="120"/>
      <c r="AA143" s="120"/>
      <c r="AB143" s="120"/>
      <c r="AC143" s="120"/>
    </row>
    <row r="144">
      <c r="A144" s="90"/>
      <c r="B144" s="37">
        <v>46217.0</v>
      </c>
      <c r="C144" s="96" t="s">
        <v>1839</v>
      </c>
      <c r="D144" s="22" t="s">
        <v>2578</v>
      </c>
      <c r="E144" s="102"/>
      <c r="F144" s="102"/>
      <c r="G144" s="113" t="s">
        <v>2516</v>
      </c>
      <c r="H144" s="114" t="s">
        <v>1622</v>
      </c>
      <c r="I144" s="115"/>
      <c r="J144" s="114" t="s">
        <v>2517</v>
      </c>
      <c r="K144" s="113" t="s">
        <v>2518</v>
      </c>
      <c r="L144" s="114" t="s">
        <v>2579</v>
      </c>
      <c r="M144" s="105" t="s">
        <v>2580</v>
      </c>
      <c r="N144" s="114" t="s">
        <v>64</v>
      </c>
      <c r="O144" s="100"/>
      <c r="P144" s="116"/>
      <c r="Q144" s="117"/>
      <c r="R144" s="118"/>
      <c r="S144" s="119"/>
      <c r="T144" s="119"/>
      <c r="U144" s="119"/>
      <c r="V144" s="119"/>
      <c r="W144" s="119"/>
      <c r="X144" s="119"/>
      <c r="Y144" s="120"/>
      <c r="Z144" s="120"/>
      <c r="AA144" s="120"/>
      <c r="AB144" s="120"/>
      <c r="AC144" s="120"/>
    </row>
    <row r="145">
      <c r="A145" s="90"/>
      <c r="B145" s="37">
        <v>46217.0</v>
      </c>
      <c r="C145" s="96" t="s">
        <v>1839</v>
      </c>
      <c r="D145" s="22" t="s">
        <v>2581</v>
      </c>
      <c r="E145" s="102"/>
      <c r="F145" s="102"/>
      <c r="G145" s="113" t="s">
        <v>2522</v>
      </c>
      <c r="H145" s="114" t="s">
        <v>2523</v>
      </c>
      <c r="I145" s="115"/>
      <c r="J145" s="114" t="s">
        <v>2524</v>
      </c>
      <c r="K145" s="114" t="s">
        <v>2525</v>
      </c>
      <c r="L145" s="114" t="s">
        <v>1858</v>
      </c>
      <c r="M145" s="105" t="s">
        <v>2582</v>
      </c>
      <c r="N145" s="114" t="s">
        <v>64</v>
      </c>
      <c r="O145" s="100"/>
      <c r="P145" s="116"/>
      <c r="Q145" s="117"/>
      <c r="R145" s="118"/>
      <c r="S145" s="119"/>
      <c r="T145" s="119"/>
      <c r="U145" s="119"/>
      <c r="V145" s="119"/>
      <c r="W145" s="119"/>
      <c r="X145" s="119"/>
      <c r="Y145" s="120"/>
      <c r="Z145" s="120"/>
      <c r="AA145" s="120"/>
      <c r="AB145" s="120"/>
      <c r="AC145" s="120"/>
    </row>
    <row r="146">
      <c r="A146" s="90"/>
      <c r="B146" s="37">
        <v>46217.0</v>
      </c>
      <c r="C146" s="96" t="s">
        <v>1839</v>
      </c>
      <c r="D146" s="22" t="s">
        <v>2583</v>
      </c>
      <c r="E146" s="100"/>
      <c r="F146" s="100"/>
      <c r="G146" s="113" t="s">
        <v>2505</v>
      </c>
      <c r="H146" s="114" t="s">
        <v>1622</v>
      </c>
      <c r="I146" s="115"/>
      <c r="J146" s="114" t="s">
        <v>2506</v>
      </c>
      <c r="K146" s="113" t="s">
        <v>1399</v>
      </c>
      <c r="L146" s="114" t="s">
        <v>2584</v>
      </c>
      <c r="M146" s="105" t="s">
        <v>2585</v>
      </c>
      <c r="N146" s="114" t="s">
        <v>64</v>
      </c>
      <c r="O146" s="100"/>
      <c r="P146" s="116"/>
      <c r="Q146" s="117"/>
      <c r="R146" s="118"/>
      <c r="S146" s="119"/>
      <c r="T146" s="119"/>
      <c r="U146" s="119"/>
      <c r="V146" s="119"/>
      <c r="W146" s="119"/>
      <c r="X146" s="119"/>
      <c r="Y146" s="120"/>
      <c r="Z146" s="120"/>
      <c r="AA146" s="120"/>
      <c r="AB146" s="120"/>
      <c r="AC146" s="120"/>
    </row>
    <row r="147">
      <c r="A147" s="90"/>
      <c r="B147" s="37">
        <v>46217.0</v>
      </c>
      <c r="C147" s="96" t="s">
        <v>1839</v>
      </c>
      <c r="D147" s="22" t="s">
        <v>2586</v>
      </c>
      <c r="E147" s="100"/>
      <c r="F147" s="100"/>
      <c r="G147" s="113" t="s">
        <v>2510</v>
      </c>
      <c r="H147" s="114" t="s">
        <v>1622</v>
      </c>
      <c r="I147" s="115"/>
      <c r="J147" s="114" t="s">
        <v>2511</v>
      </c>
      <c r="K147" s="114" t="s">
        <v>2512</v>
      </c>
      <c r="L147" s="114" t="s">
        <v>2564</v>
      </c>
      <c r="M147" s="105" t="s">
        <v>2587</v>
      </c>
      <c r="N147" s="114" t="s">
        <v>64</v>
      </c>
      <c r="O147" s="100"/>
      <c r="P147" s="116"/>
      <c r="Q147" s="117"/>
      <c r="R147" s="118"/>
      <c r="S147" s="119"/>
      <c r="T147" s="119"/>
      <c r="U147" s="119"/>
      <c r="V147" s="119"/>
      <c r="W147" s="119"/>
      <c r="X147" s="119"/>
      <c r="Y147" s="120"/>
      <c r="Z147" s="120"/>
      <c r="AA147" s="120"/>
      <c r="AB147" s="120"/>
      <c r="AC147" s="120"/>
    </row>
    <row r="148">
      <c r="A148" s="90"/>
      <c r="B148" s="37">
        <v>46217.0</v>
      </c>
      <c r="C148" s="96" t="s">
        <v>1839</v>
      </c>
      <c r="D148" s="22" t="s">
        <v>2588</v>
      </c>
      <c r="E148" s="100"/>
      <c r="F148" s="100"/>
      <c r="G148" s="113" t="s">
        <v>2516</v>
      </c>
      <c r="H148" s="114" t="s">
        <v>1622</v>
      </c>
      <c r="I148" s="115"/>
      <c r="J148" s="114" t="s">
        <v>2517</v>
      </c>
      <c r="K148" s="113" t="s">
        <v>2518</v>
      </c>
      <c r="L148" s="114" t="s">
        <v>2589</v>
      </c>
      <c r="M148" s="105" t="s">
        <v>2590</v>
      </c>
      <c r="N148" s="114" t="s">
        <v>64</v>
      </c>
      <c r="O148" s="100"/>
      <c r="P148" s="116"/>
      <c r="Q148" s="117"/>
      <c r="R148" s="118"/>
      <c r="S148" s="119"/>
      <c r="T148" s="119"/>
      <c r="U148" s="119"/>
      <c r="V148" s="119"/>
      <c r="W148" s="119"/>
      <c r="X148" s="119"/>
      <c r="Y148" s="120"/>
      <c r="Z148" s="120"/>
      <c r="AA148" s="120"/>
      <c r="AB148" s="120"/>
      <c r="AC148" s="120"/>
    </row>
    <row r="149">
      <c r="A149" s="90"/>
      <c r="B149" s="37">
        <v>46217.0</v>
      </c>
      <c r="C149" s="96" t="s">
        <v>1839</v>
      </c>
      <c r="D149" s="22" t="s">
        <v>2591</v>
      </c>
      <c r="E149" s="100"/>
      <c r="F149" s="100"/>
      <c r="G149" s="113" t="s">
        <v>2505</v>
      </c>
      <c r="H149" s="114" t="s">
        <v>1622</v>
      </c>
      <c r="I149" s="115"/>
      <c r="J149" s="114" t="s">
        <v>2506</v>
      </c>
      <c r="K149" s="113" t="s">
        <v>1399</v>
      </c>
      <c r="L149" s="114" t="s">
        <v>2592</v>
      </c>
      <c r="M149" s="105" t="s">
        <v>2593</v>
      </c>
      <c r="N149" s="114" t="s">
        <v>64</v>
      </c>
      <c r="O149" s="100"/>
      <c r="P149" s="116"/>
      <c r="Q149" s="117"/>
      <c r="R149" s="118"/>
      <c r="S149" s="119"/>
      <c r="T149" s="119"/>
      <c r="U149" s="119"/>
      <c r="V149" s="119"/>
      <c r="W149" s="119"/>
      <c r="X149" s="119"/>
      <c r="Y149" s="120"/>
      <c r="Z149" s="120"/>
      <c r="AA149" s="120"/>
      <c r="AB149" s="120"/>
      <c r="AC149" s="120"/>
    </row>
    <row r="150">
      <c r="A150" s="90"/>
      <c r="B150" s="37">
        <v>46217.0</v>
      </c>
      <c r="C150" s="96" t="s">
        <v>1839</v>
      </c>
      <c r="D150" s="22" t="s">
        <v>2594</v>
      </c>
      <c r="E150" s="100"/>
      <c r="F150" s="100"/>
      <c r="G150" s="113" t="s">
        <v>2510</v>
      </c>
      <c r="H150" s="114" t="s">
        <v>1622</v>
      </c>
      <c r="I150" s="115"/>
      <c r="J150" s="114" t="s">
        <v>2511</v>
      </c>
      <c r="K150" s="114" t="s">
        <v>2512</v>
      </c>
      <c r="L150" s="114" t="s">
        <v>2564</v>
      </c>
      <c r="M150" s="105" t="s">
        <v>2595</v>
      </c>
      <c r="N150" s="114" t="s">
        <v>64</v>
      </c>
      <c r="O150" s="100"/>
      <c r="P150" s="116"/>
      <c r="Q150" s="117"/>
      <c r="R150" s="118"/>
      <c r="S150" s="119"/>
      <c r="T150" s="119"/>
      <c r="U150" s="119"/>
      <c r="V150" s="119"/>
      <c r="W150" s="119"/>
      <c r="X150" s="119"/>
      <c r="Y150" s="120"/>
      <c r="Z150" s="120"/>
      <c r="AA150" s="120"/>
      <c r="AB150" s="120"/>
      <c r="AC150" s="120"/>
    </row>
    <row r="151">
      <c r="A151" s="90"/>
      <c r="B151" s="37">
        <v>46217.0</v>
      </c>
      <c r="C151" s="96" t="s">
        <v>1839</v>
      </c>
      <c r="D151" s="22" t="s">
        <v>2596</v>
      </c>
      <c r="E151" s="100"/>
      <c r="F151" s="100"/>
      <c r="G151" s="113" t="s">
        <v>2516</v>
      </c>
      <c r="H151" s="114" t="s">
        <v>1622</v>
      </c>
      <c r="I151" s="115"/>
      <c r="J151" s="114" t="s">
        <v>2517</v>
      </c>
      <c r="K151" s="113" t="s">
        <v>2518</v>
      </c>
      <c r="L151" s="114" t="s">
        <v>2597</v>
      </c>
      <c r="M151" s="105" t="s">
        <v>2598</v>
      </c>
      <c r="N151" s="114" t="s">
        <v>64</v>
      </c>
      <c r="O151" s="100"/>
      <c r="P151" s="116"/>
      <c r="Q151" s="117"/>
      <c r="R151" s="118"/>
      <c r="S151" s="119"/>
      <c r="T151" s="119"/>
      <c r="U151" s="119"/>
      <c r="V151" s="119"/>
      <c r="W151" s="119"/>
      <c r="X151" s="119"/>
      <c r="Y151" s="120"/>
      <c r="Z151" s="120"/>
      <c r="AA151" s="120"/>
      <c r="AB151" s="120"/>
      <c r="AC151" s="120"/>
    </row>
    <row r="152">
      <c r="A152" s="90"/>
      <c r="B152" s="37">
        <v>46217.0</v>
      </c>
      <c r="C152" s="96" t="s">
        <v>1839</v>
      </c>
      <c r="D152" s="22" t="s">
        <v>2599</v>
      </c>
      <c r="E152" s="100"/>
      <c r="F152" s="100"/>
      <c r="G152" s="114" t="s">
        <v>2600</v>
      </c>
      <c r="H152" s="114" t="s">
        <v>1622</v>
      </c>
      <c r="I152" s="115"/>
      <c r="J152" s="114" t="s">
        <v>2601</v>
      </c>
      <c r="K152" s="113" t="s">
        <v>1399</v>
      </c>
      <c r="L152" s="114" t="s">
        <v>2602</v>
      </c>
      <c r="M152" s="105" t="s">
        <v>2603</v>
      </c>
      <c r="N152" s="114" t="s">
        <v>64</v>
      </c>
      <c r="O152" s="100"/>
      <c r="P152" s="116"/>
      <c r="Q152" s="117"/>
      <c r="R152" s="118"/>
      <c r="S152" s="119"/>
      <c r="T152" s="119"/>
      <c r="U152" s="119"/>
      <c r="V152" s="119"/>
      <c r="W152" s="119"/>
      <c r="X152" s="119"/>
      <c r="Y152" s="120"/>
      <c r="Z152" s="120"/>
      <c r="AA152" s="120"/>
      <c r="AB152" s="120"/>
      <c r="AC152" s="120"/>
    </row>
    <row r="153">
      <c r="A153" s="90"/>
      <c r="B153" s="37">
        <v>46217.0</v>
      </c>
      <c r="C153" s="96" t="s">
        <v>1839</v>
      </c>
      <c r="D153" s="22" t="s">
        <v>2604</v>
      </c>
      <c r="E153" s="100"/>
      <c r="F153" s="100"/>
      <c r="G153" s="114" t="s">
        <v>2605</v>
      </c>
      <c r="H153" s="114" t="s">
        <v>1622</v>
      </c>
      <c r="I153" s="115"/>
      <c r="J153" s="114" t="s">
        <v>2601</v>
      </c>
      <c r="K153" s="113" t="s">
        <v>1399</v>
      </c>
      <c r="L153" s="114" t="s">
        <v>2606</v>
      </c>
      <c r="M153" s="105" t="s">
        <v>2607</v>
      </c>
      <c r="N153" s="114" t="s">
        <v>64</v>
      </c>
      <c r="O153" s="100"/>
      <c r="P153" s="116"/>
      <c r="Q153" s="117"/>
      <c r="R153" s="118"/>
      <c r="S153" s="119"/>
      <c r="T153" s="119"/>
      <c r="U153" s="119"/>
      <c r="V153" s="119"/>
      <c r="W153" s="119"/>
      <c r="X153" s="119"/>
      <c r="Y153" s="120"/>
      <c r="Z153" s="120"/>
      <c r="AA153" s="120"/>
      <c r="AB153" s="120"/>
      <c r="AC153" s="120"/>
    </row>
    <row r="154">
      <c r="A154" s="90"/>
      <c r="B154" s="37">
        <v>46217.0</v>
      </c>
      <c r="C154" s="96" t="s">
        <v>1839</v>
      </c>
      <c r="D154" s="22" t="s">
        <v>2608</v>
      </c>
      <c r="E154" s="100"/>
      <c r="F154" s="100"/>
      <c r="G154" s="114" t="s">
        <v>2609</v>
      </c>
      <c r="H154" s="114" t="s">
        <v>1622</v>
      </c>
      <c r="I154" s="115"/>
      <c r="J154" s="114" t="s">
        <v>2610</v>
      </c>
      <c r="K154" s="114" t="s">
        <v>2611</v>
      </c>
      <c r="L154" s="114" t="s">
        <v>2612</v>
      </c>
      <c r="M154" s="105" t="s">
        <v>2613</v>
      </c>
      <c r="N154" s="114" t="s">
        <v>64</v>
      </c>
      <c r="O154" s="100"/>
      <c r="P154" s="116"/>
      <c r="Q154" s="117"/>
      <c r="R154" s="118"/>
      <c r="S154" s="119"/>
      <c r="T154" s="119"/>
      <c r="U154" s="119"/>
      <c r="V154" s="119"/>
      <c r="W154" s="119"/>
      <c r="X154" s="119"/>
      <c r="Y154" s="120"/>
      <c r="Z154" s="120"/>
      <c r="AA154" s="120"/>
      <c r="AB154" s="120"/>
      <c r="AC154" s="120"/>
    </row>
    <row r="155">
      <c r="A155" s="90"/>
      <c r="B155" s="37">
        <v>46217.0</v>
      </c>
      <c r="C155" s="96" t="s">
        <v>1839</v>
      </c>
      <c r="D155" s="22" t="s">
        <v>2614</v>
      </c>
      <c r="E155" s="100"/>
      <c r="F155" s="100"/>
      <c r="G155" s="114" t="s">
        <v>2615</v>
      </c>
      <c r="H155" s="114" t="s">
        <v>1622</v>
      </c>
      <c r="I155" s="115"/>
      <c r="J155" s="114" t="s">
        <v>2616</v>
      </c>
      <c r="K155" s="114" t="s">
        <v>2617</v>
      </c>
      <c r="L155" s="114" t="s">
        <v>2612</v>
      </c>
      <c r="M155" s="105" t="s">
        <v>2618</v>
      </c>
      <c r="N155" s="114" t="s">
        <v>64</v>
      </c>
      <c r="O155" s="100"/>
      <c r="P155" s="116"/>
      <c r="Q155" s="117"/>
      <c r="R155" s="118"/>
      <c r="S155" s="119"/>
      <c r="T155" s="119"/>
      <c r="U155" s="119"/>
      <c r="V155" s="119"/>
      <c r="W155" s="119"/>
      <c r="X155" s="119"/>
      <c r="Y155" s="120"/>
      <c r="Z155" s="120"/>
      <c r="AA155" s="120"/>
      <c r="AB155" s="120"/>
      <c r="AC155" s="120"/>
    </row>
    <row r="156">
      <c r="A156" s="90"/>
      <c r="B156" s="37">
        <v>46217.0</v>
      </c>
      <c r="C156" s="96" t="s">
        <v>1839</v>
      </c>
      <c r="D156" s="22" t="s">
        <v>2619</v>
      </c>
      <c r="E156" s="100"/>
      <c r="F156" s="100"/>
      <c r="G156" s="114" t="s">
        <v>2620</v>
      </c>
      <c r="H156" s="114" t="s">
        <v>1622</v>
      </c>
      <c r="I156" s="115"/>
      <c r="J156" s="114" t="s">
        <v>2621</v>
      </c>
      <c r="K156" s="113" t="s">
        <v>2622</v>
      </c>
      <c r="L156" s="114" t="s">
        <v>2623</v>
      </c>
      <c r="M156" s="105" t="s">
        <v>2624</v>
      </c>
      <c r="N156" s="114" t="s">
        <v>64</v>
      </c>
      <c r="O156" s="100"/>
      <c r="P156" s="116"/>
      <c r="Q156" s="117"/>
      <c r="R156" s="118"/>
      <c r="S156" s="119"/>
      <c r="T156" s="119"/>
      <c r="U156" s="119"/>
      <c r="V156" s="119"/>
      <c r="W156" s="119"/>
      <c r="X156" s="119"/>
      <c r="Y156" s="120"/>
      <c r="Z156" s="120"/>
      <c r="AA156" s="120"/>
      <c r="AB156" s="120"/>
      <c r="AC156" s="120"/>
    </row>
    <row r="157">
      <c r="A157" s="90"/>
      <c r="B157" s="37">
        <v>46217.0</v>
      </c>
      <c r="C157" s="96" t="s">
        <v>1839</v>
      </c>
      <c r="D157" s="22" t="s">
        <v>2625</v>
      </c>
      <c r="E157" s="100"/>
      <c r="F157" s="100"/>
      <c r="G157" s="113" t="s">
        <v>2505</v>
      </c>
      <c r="H157" s="114" t="s">
        <v>1622</v>
      </c>
      <c r="I157" s="115"/>
      <c r="J157" s="114" t="s">
        <v>2506</v>
      </c>
      <c r="K157" s="113" t="s">
        <v>1399</v>
      </c>
      <c r="L157" s="114" t="s">
        <v>2626</v>
      </c>
      <c r="M157" s="105" t="s">
        <v>2627</v>
      </c>
      <c r="N157" s="114" t="s">
        <v>64</v>
      </c>
      <c r="O157" s="100"/>
      <c r="P157" s="116"/>
      <c r="Q157" s="117"/>
      <c r="R157" s="118"/>
      <c r="S157" s="119"/>
      <c r="T157" s="119"/>
      <c r="U157" s="119"/>
      <c r="V157" s="119"/>
      <c r="W157" s="119"/>
      <c r="X157" s="119"/>
      <c r="Y157" s="120"/>
      <c r="Z157" s="120"/>
      <c r="AA157" s="120"/>
      <c r="AB157" s="120"/>
      <c r="AC157" s="120"/>
    </row>
    <row r="158">
      <c r="A158" s="90"/>
      <c r="B158" s="37">
        <v>46217.0</v>
      </c>
      <c r="C158" s="96" t="s">
        <v>1839</v>
      </c>
      <c r="D158" s="22" t="s">
        <v>2628</v>
      </c>
      <c r="E158" s="102"/>
      <c r="F158" s="102"/>
      <c r="G158" s="113" t="s">
        <v>2516</v>
      </c>
      <c r="H158" s="114" t="s">
        <v>1622</v>
      </c>
      <c r="I158" s="115"/>
      <c r="J158" s="114" t="s">
        <v>2517</v>
      </c>
      <c r="K158" s="113" t="s">
        <v>2518</v>
      </c>
      <c r="L158" s="114" t="s">
        <v>2626</v>
      </c>
      <c r="M158" s="105" t="s">
        <v>2629</v>
      </c>
      <c r="N158" s="114" t="s">
        <v>64</v>
      </c>
      <c r="O158" s="100"/>
      <c r="P158" s="116"/>
      <c r="Q158" s="117"/>
      <c r="R158" s="118"/>
      <c r="S158" s="119"/>
      <c r="T158" s="119"/>
      <c r="U158" s="119"/>
      <c r="V158" s="119"/>
      <c r="W158" s="119"/>
      <c r="X158" s="119"/>
      <c r="Y158" s="120"/>
      <c r="Z158" s="120"/>
      <c r="AA158" s="120"/>
      <c r="AB158" s="120"/>
      <c r="AC158" s="120"/>
    </row>
    <row r="159">
      <c r="A159" s="90"/>
      <c r="B159" s="37">
        <v>46217.0</v>
      </c>
      <c r="C159" s="96" t="s">
        <v>1839</v>
      </c>
      <c r="D159" s="22" t="s">
        <v>2630</v>
      </c>
      <c r="E159" s="102"/>
      <c r="F159" s="102"/>
      <c r="G159" s="113" t="s">
        <v>807</v>
      </c>
      <c r="H159" s="114" t="s">
        <v>2631</v>
      </c>
      <c r="I159" s="115"/>
      <c r="J159" s="114" t="s">
        <v>2632</v>
      </c>
      <c r="K159" s="114" t="s">
        <v>2633</v>
      </c>
      <c r="L159" s="114" t="s">
        <v>2634</v>
      </c>
      <c r="M159" s="105" t="s">
        <v>2635</v>
      </c>
      <c r="N159" s="114" t="s">
        <v>64</v>
      </c>
      <c r="O159" s="100"/>
      <c r="P159" s="116"/>
      <c r="Q159" s="117"/>
      <c r="R159" s="118"/>
      <c r="S159" s="119"/>
      <c r="T159" s="119"/>
      <c r="U159" s="119"/>
      <c r="V159" s="119"/>
      <c r="W159" s="119"/>
      <c r="X159" s="119"/>
      <c r="Y159" s="120"/>
      <c r="Z159" s="120"/>
      <c r="AA159" s="120"/>
      <c r="AB159" s="120"/>
      <c r="AC159" s="120"/>
    </row>
    <row r="160">
      <c r="A160" s="90"/>
      <c r="B160" s="37">
        <v>46217.0</v>
      </c>
      <c r="C160" s="96" t="s">
        <v>1839</v>
      </c>
      <c r="D160" s="22" t="s">
        <v>2636</v>
      </c>
      <c r="E160" s="102"/>
      <c r="F160" s="102"/>
      <c r="G160" s="113" t="s">
        <v>2505</v>
      </c>
      <c r="H160" s="114" t="s">
        <v>1622</v>
      </c>
      <c r="I160" s="115"/>
      <c r="J160" s="114" t="s">
        <v>2506</v>
      </c>
      <c r="K160" s="113" t="s">
        <v>1399</v>
      </c>
      <c r="L160" s="114" t="s">
        <v>2637</v>
      </c>
      <c r="M160" s="105" t="s">
        <v>2638</v>
      </c>
      <c r="N160" s="114" t="s">
        <v>64</v>
      </c>
      <c r="O160" s="100"/>
      <c r="P160" s="116"/>
      <c r="Q160" s="117"/>
      <c r="R160" s="118"/>
      <c r="S160" s="119"/>
      <c r="T160" s="119"/>
      <c r="U160" s="119"/>
      <c r="V160" s="119"/>
      <c r="W160" s="119"/>
      <c r="X160" s="119"/>
      <c r="Y160" s="120"/>
      <c r="Z160" s="120"/>
      <c r="AA160" s="120"/>
      <c r="AB160" s="120"/>
      <c r="AC160" s="120"/>
    </row>
    <row r="161">
      <c r="A161" s="90"/>
      <c r="B161" s="37">
        <v>46217.0</v>
      </c>
      <c r="C161" s="96" t="s">
        <v>1839</v>
      </c>
      <c r="D161" s="22" t="s">
        <v>2639</v>
      </c>
      <c r="E161" s="102"/>
      <c r="F161" s="102"/>
      <c r="G161" s="113" t="s">
        <v>2516</v>
      </c>
      <c r="H161" s="114" t="s">
        <v>1622</v>
      </c>
      <c r="I161" s="115"/>
      <c r="J161" s="114" t="s">
        <v>2517</v>
      </c>
      <c r="K161" s="113" t="s">
        <v>2518</v>
      </c>
      <c r="L161" s="114" t="s">
        <v>2637</v>
      </c>
      <c r="M161" s="105" t="s">
        <v>2640</v>
      </c>
      <c r="N161" s="114" t="s">
        <v>64</v>
      </c>
      <c r="O161" s="100"/>
      <c r="P161" s="116"/>
      <c r="Q161" s="117"/>
      <c r="R161" s="118"/>
      <c r="S161" s="119"/>
      <c r="T161" s="119"/>
      <c r="U161" s="119"/>
      <c r="V161" s="119"/>
      <c r="W161" s="119"/>
      <c r="X161" s="119"/>
      <c r="Y161" s="120"/>
      <c r="Z161" s="120"/>
      <c r="AA161" s="120"/>
      <c r="AB161" s="120"/>
      <c r="AC161" s="120"/>
    </row>
    <row r="162">
      <c r="A162" s="90"/>
      <c r="B162" s="37">
        <v>46217.0</v>
      </c>
      <c r="C162" s="96" t="s">
        <v>1839</v>
      </c>
      <c r="D162" s="22" t="s">
        <v>2641</v>
      </c>
      <c r="E162" s="102"/>
      <c r="F162" s="102"/>
      <c r="G162" s="113" t="s">
        <v>2505</v>
      </c>
      <c r="H162" s="114" t="s">
        <v>1622</v>
      </c>
      <c r="I162" s="115"/>
      <c r="J162" s="114" t="s">
        <v>2506</v>
      </c>
      <c r="K162" s="113" t="s">
        <v>1399</v>
      </c>
      <c r="L162" s="114" t="s">
        <v>2626</v>
      </c>
      <c r="M162" s="105" t="s">
        <v>2642</v>
      </c>
      <c r="N162" s="114" t="s">
        <v>64</v>
      </c>
      <c r="O162" s="100"/>
      <c r="P162" s="116"/>
      <c r="Q162" s="117"/>
      <c r="R162" s="118"/>
      <c r="S162" s="119"/>
      <c r="T162" s="119"/>
      <c r="U162" s="119"/>
      <c r="V162" s="119"/>
      <c r="W162" s="119"/>
      <c r="X162" s="119"/>
      <c r="Y162" s="120"/>
      <c r="Z162" s="120"/>
      <c r="AA162" s="120"/>
      <c r="AB162" s="120"/>
      <c r="AC162" s="120"/>
    </row>
    <row r="163">
      <c r="A163" s="90"/>
      <c r="B163" s="37">
        <v>46217.0</v>
      </c>
      <c r="C163" s="96" t="s">
        <v>1839</v>
      </c>
      <c r="D163" s="22" t="s">
        <v>2643</v>
      </c>
      <c r="E163" s="102"/>
      <c r="F163" s="102"/>
      <c r="G163" s="113" t="s">
        <v>2516</v>
      </c>
      <c r="H163" s="114" t="s">
        <v>1622</v>
      </c>
      <c r="I163" s="115"/>
      <c r="J163" s="114" t="s">
        <v>2517</v>
      </c>
      <c r="K163" s="113" t="s">
        <v>2518</v>
      </c>
      <c r="L163" s="114" t="s">
        <v>2626</v>
      </c>
      <c r="M163" s="105" t="s">
        <v>2644</v>
      </c>
      <c r="N163" s="114" t="s">
        <v>64</v>
      </c>
      <c r="O163" s="100"/>
      <c r="P163" s="116"/>
      <c r="Q163" s="117"/>
      <c r="R163" s="118"/>
      <c r="S163" s="119"/>
      <c r="T163" s="119"/>
      <c r="U163" s="119"/>
      <c r="V163" s="119"/>
      <c r="W163" s="119"/>
      <c r="X163" s="119"/>
      <c r="Y163" s="120"/>
      <c r="Z163" s="120"/>
      <c r="AA163" s="120"/>
      <c r="AB163" s="120"/>
      <c r="AC163" s="120"/>
    </row>
    <row r="164">
      <c r="A164" s="90"/>
      <c r="B164" s="37">
        <v>46217.0</v>
      </c>
      <c r="C164" s="96" t="s">
        <v>1839</v>
      </c>
      <c r="D164" s="22" t="s">
        <v>2645</v>
      </c>
      <c r="E164" s="102"/>
      <c r="F164" s="102"/>
      <c r="G164" s="113" t="s">
        <v>1300</v>
      </c>
      <c r="H164" s="114" t="s">
        <v>1622</v>
      </c>
      <c r="I164" s="115"/>
      <c r="J164" s="114" t="s">
        <v>2646</v>
      </c>
      <c r="K164" s="114" t="s">
        <v>2647</v>
      </c>
      <c r="L164" s="114" t="s">
        <v>2648</v>
      </c>
      <c r="M164" s="105" t="s">
        <v>2649</v>
      </c>
      <c r="N164" s="114" t="s">
        <v>64</v>
      </c>
      <c r="O164" s="100"/>
      <c r="P164" s="116"/>
      <c r="Q164" s="117"/>
      <c r="R164" s="118"/>
      <c r="S164" s="119"/>
      <c r="T164" s="119"/>
      <c r="U164" s="119"/>
      <c r="V164" s="119"/>
      <c r="W164" s="119"/>
      <c r="X164" s="119"/>
      <c r="Y164" s="120"/>
      <c r="Z164" s="120"/>
      <c r="AA164" s="120"/>
      <c r="AB164" s="120"/>
      <c r="AC164" s="120"/>
    </row>
    <row r="165">
      <c r="A165" s="90"/>
      <c r="B165" s="37">
        <v>46217.0</v>
      </c>
      <c r="C165" s="96" t="s">
        <v>1839</v>
      </c>
      <c r="D165" s="22" t="s">
        <v>2650</v>
      </c>
      <c r="E165" s="102"/>
      <c r="F165" s="102"/>
      <c r="G165" s="113" t="s">
        <v>2057</v>
      </c>
      <c r="H165" s="114" t="s">
        <v>1622</v>
      </c>
      <c r="I165" s="115"/>
      <c r="J165" s="114" t="s">
        <v>2651</v>
      </c>
      <c r="K165" s="113" t="s">
        <v>1399</v>
      </c>
      <c r="L165" s="114" t="s">
        <v>2652</v>
      </c>
      <c r="M165" s="105" t="s">
        <v>2653</v>
      </c>
      <c r="N165" s="114" t="s">
        <v>64</v>
      </c>
      <c r="O165" s="100"/>
      <c r="P165" s="116"/>
      <c r="Q165" s="117"/>
      <c r="R165" s="118"/>
      <c r="S165" s="119"/>
      <c r="T165" s="119"/>
      <c r="U165" s="119"/>
      <c r="V165" s="119"/>
      <c r="W165" s="119"/>
      <c r="X165" s="119"/>
      <c r="Y165" s="120"/>
      <c r="Z165" s="120"/>
      <c r="AA165" s="120"/>
      <c r="AB165" s="120"/>
      <c r="AC165" s="120"/>
    </row>
    <row r="166">
      <c r="A166" s="90"/>
      <c r="B166" s="37">
        <v>46217.0</v>
      </c>
      <c r="C166" s="96" t="s">
        <v>1839</v>
      </c>
      <c r="D166" s="22" t="s">
        <v>2654</v>
      </c>
      <c r="E166" s="102"/>
      <c r="F166" s="102"/>
      <c r="G166" s="113" t="s">
        <v>2655</v>
      </c>
      <c r="H166" s="114" t="s">
        <v>1622</v>
      </c>
      <c r="I166" s="115"/>
      <c r="J166" s="114" t="s">
        <v>2651</v>
      </c>
      <c r="K166" s="113" t="s">
        <v>2656</v>
      </c>
      <c r="L166" s="114" t="s">
        <v>2657</v>
      </c>
      <c r="M166" s="105" t="s">
        <v>2658</v>
      </c>
      <c r="N166" s="114" t="s">
        <v>64</v>
      </c>
      <c r="O166" s="100"/>
      <c r="P166" s="116"/>
      <c r="Q166" s="117"/>
      <c r="R166" s="118"/>
      <c r="S166" s="119"/>
      <c r="T166" s="119"/>
      <c r="U166" s="119"/>
      <c r="V166" s="119"/>
      <c r="W166" s="119"/>
      <c r="X166" s="119"/>
      <c r="Y166" s="120"/>
      <c r="Z166" s="120"/>
      <c r="AA166" s="120"/>
      <c r="AB166" s="120"/>
      <c r="AC166" s="120"/>
    </row>
    <row r="167">
      <c r="A167" s="90"/>
      <c r="B167" s="37">
        <v>46217.0</v>
      </c>
      <c r="C167" s="96" t="s">
        <v>1839</v>
      </c>
      <c r="D167" s="22" t="s">
        <v>2659</v>
      </c>
      <c r="E167" s="102"/>
      <c r="F167" s="102"/>
      <c r="G167" s="113" t="s">
        <v>1160</v>
      </c>
      <c r="H167" s="114" t="s">
        <v>2558</v>
      </c>
      <c r="I167" s="115"/>
      <c r="J167" s="114" t="s">
        <v>2660</v>
      </c>
      <c r="K167" s="114" t="s">
        <v>2661</v>
      </c>
      <c r="L167" s="114" t="s">
        <v>2662</v>
      </c>
      <c r="M167" s="105" t="s">
        <v>2663</v>
      </c>
      <c r="N167" s="114" t="s">
        <v>64</v>
      </c>
      <c r="O167" s="100"/>
      <c r="P167" s="116"/>
      <c r="Q167" s="117"/>
      <c r="R167" s="118"/>
      <c r="S167" s="119"/>
      <c r="T167" s="119"/>
      <c r="U167" s="119"/>
      <c r="V167" s="119"/>
      <c r="W167" s="119"/>
      <c r="X167" s="119"/>
      <c r="Y167" s="120"/>
      <c r="Z167" s="120"/>
      <c r="AA167" s="120"/>
      <c r="AB167" s="120"/>
      <c r="AC167" s="120"/>
    </row>
    <row r="168">
      <c r="A168" s="90"/>
      <c r="B168" s="37">
        <v>46217.0</v>
      </c>
      <c r="C168" s="96" t="s">
        <v>1839</v>
      </c>
      <c r="D168" s="22" t="s">
        <v>2664</v>
      </c>
      <c r="E168" s="102"/>
      <c r="F168" s="102"/>
      <c r="G168" s="113" t="s">
        <v>2665</v>
      </c>
      <c r="H168" s="114" t="s">
        <v>2666</v>
      </c>
      <c r="I168" s="115"/>
      <c r="J168" s="114" t="s">
        <v>2667</v>
      </c>
      <c r="K168" s="114" t="s">
        <v>2668</v>
      </c>
      <c r="L168" s="114" t="s">
        <v>1858</v>
      </c>
      <c r="M168" s="105" t="s">
        <v>2669</v>
      </c>
      <c r="N168" s="114" t="s">
        <v>64</v>
      </c>
      <c r="O168" s="100"/>
      <c r="P168" s="116"/>
      <c r="Q168" s="117"/>
      <c r="R168" s="118"/>
      <c r="S168" s="119"/>
      <c r="T168" s="119"/>
      <c r="U168" s="119"/>
      <c r="V168" s="119"/>
      <c r="W168" s="119"/>
      <c r="X168" s="119"/>
      <c r="Y168" s="120"/>
      <c r="Z168" s="120"/>
      <c r="AA168" s="120"/>
      <c r="AB168" s="120"/>
      <c r="AC168" s="120"/>
    </row>
    <row r="169">
      <c r="A169" s="90"/>
      <c r="B169" s="37">
        <v>46217.0</v>
      </c>
      <c r="C169" s="96" t="s">
        <v>1839</v>
      </c>
      <c r="D169" s="22" t="s">
        <v>2670</v>
      </c>
      <c r="E169" s="102"/>
      <c r="F169" s="102"/>
      <c r="G169" s="113" t="s">
        <v>2671</v>
      </c>
      <c r="H169" s="114" t="s">
        <v>2672</v>
      </c>
      <c r="I169" s="115"/>
      <c r="J169" s="114" t="s">
        <v>2673</v>
      </c>
      <c r="K169" s="114" t="s">
        <v>2674</v>
      </c>
      <c r="L169" s="114" t="s">
        <v>1858</v>
      </c>
      <c r="M169" s="105" t="s">
        <v>2675</v>
      </c>
      <c r="N169" s="114" t="s">
        <v>64</v>
      </c>
      <c r="O169" s="100"/>
      <c r="P169" s="116"/>
      <c r="Q169" s="117"/>
      <c r="R169" s="118"/>
      <c r="S169" s="119"/>
      <c r="T169" s="119"/>
      <c r="U169" s="119"/>
      <c r="V169" s="119"/>
      <c r="W169" s="119"/>
      <c r="X169" s="119"/>
      <c r="Y169" s="120"/>
      <c r="Z169" s="120"/>
      <c r="AA169" s="120"/>
      <c r="AB169" s="120"/>
      <c r="AC169" s="120"/>
    </row>
    <row r="170">
      <c r="A170" s="90"/>
      <c r="B170" s="37">
        <v>46217.0</v>
      </c>
      <c r="C170" s="96" t="s">
        <v>1839</v>
      </c>
      <c r="D170" s="22" t="s">
        <v>2676</v>
      </c>
      <c r="E170" s="102"/>
      <c r="F170" s="102"/>
      <c r="G170" s="113" t="s">
        <v>1300</v>
      </c>
      <c r="H170" s="114" t="s">
        <v>1622</v>
      </c>
      <c r="I170" s="115"/>
      <c r="J170" s="114" t="s">
        <v>2677</v>
      </c>
      <c r="K170" s="114" t="s">
        <v>2678</v>
      </c>
      <c r="L170" s="114" t="s">
        <v>2679</v>
      </c>
      <c r="M170" s="105" t="s">
        <v>2680</v>
      </c>
      <c r="N170" s="114" t="s">
        <v>64</v>
      </c>
      <c r="O170" s="100"/>
      <c r="P170" s="116"/>
      <c r="Q170" s="117"/>
      <c r="R170" s="118"/>
      <c r="S170" s="119"/>
      <c r="T170" s="119"/>
      <c r="U170" s="119"/>
      <c r="V170" s="119"/>
      <c r="W170" s="119"/>
      <c r="X170" s="119"/>
      <c r="Y170" s="120"/>
      <c r="Z170" s="120"/>
      <c r="AA170" s="120"/>
      <c r="AB170" s="120"/>
      <c r="AC170" s="120"/>
    </row>
    <row r="171">
      <c r="A171" s="90"/>
      <c r="B171" s="37">
        <v>46217.0</v>
      </c>
      <c r="C171" s="96" t="s">
        <v>1839</v>
      </c>
      <c r="D171" s="22" t="s">
        <v>2681</v>
      </c>
      <c r="E171" s="102"/>
      <c r="F171" s="102"/>
      <c r="G171" s="113" t="s">
        <v>2682</v>
      </c>
      <c r="H171" s="114" t="s">
        <v>1622</v>
      </c>
      <c r="I171" s="115"/>
      <c r="J171" s="114" t="s">
        <v>2683</v>
      </c>
      <c r="K171" s="114" t="s">
        <v>2684</v>
      </c>
      <c r="L171" s="114" t="s">
        <v>2685</v>
      </c>
      <c r="M171" s="105" t="s">
        <v>2686</v>
      </c>
      <c r="N171" s="114" t="s">
        <v>64</v>
      </c>
      <c r="O171" s="100"/>
      <c r="P171" s="116"/>
      <c r="Q171" s="117"/>
      <c r="R171" s="118"/>
      <c r="S171" s="119"/>
      <c r="T171" s="119"/>
      <c r="U171" s="119"/>
      <c r="V171" s="119"/>
      <c r="W171" s="119"/>
      <c r="X171" s="119"/>
      <c r="Y171" s="120"/>
      <c r="Z171" s="120"/>
      <c r="AA171" s="120"/>
      <c r="AB171" s="120"/>
      <c r="AC171" s="120"/>
    </row>
    <row r="172">
      <c r="A172" s="90"/>
      <c r="B172" s="37">
        <v>46218.0</v>
      </c>
      <c r="C172" s="96" t="s">
        <v>1839</v>
      </c>
      <c r="D172" s="22" t="s">
        <v>2687</v>
      </c>
      <c r="E172" s="102"/>
      <c r="F172" s="102"/>
      <c r="G172" s="113" t="s">
        <v>2688</v>
      </c>
      <c r="H172" s="114" t="s">
        <v>1622</v>
      </c>
      <c r="I172" s="115"/>
      <c r="J172" s="114" t="s">
        <v>2689</v>
      </c>
      <c r="K172" s="114" t="s">
        <v>2690</v>
      </c>
      <c r="L172" s="114" t="s">
        <v>2691</v>
      </c>
      <c r="M172" s="105" t="s">
        <v>2692</v>
      </c>
      <c r="N172" s="114" t="s">
        <v>64</v>
      </c>
      <c r="O172" s="100"/>
      <c r="P172" s="116"/>
      <c r="Q172" s="117"/>
      <c r="R172" s="118"/>
      <c r="S172" s="119"/>
      <c r="T172" s="119"/>
      <c r="U172" s="119"/>
      <c r="V172" s="119"/>
      <c r="W172" s="119"/>
      <c r="X172" s="119"/>
      <c r="Y172" s="120"/>
      <c r="Z172" s="120"/>
      <c r="AA172" s="120"/>
      <c r="AB172" s="120"/>
      <c r="AC172" s="120"/>
    </row>
    <row r="173">
      <c r="A173" s="90"/>
      <c r="B173" s="37">
        <v>46218.0</v>
      </c>
      <c r="C173" s="96" t="s">
        <v>1839</v>
      </c>
      <c r="D173" s="22" t="s">
        <v>2693</v>
      </c>
      <c r="E173" s="102"/>
      <c r="F173" s="102"/>
      <c r="G173" s="113" t="s">
        <v>2694</v>
      </c>
      <c r="H173" s="114" t="s">
        <v>1622</v>
      </c>
      <c r="I173" s="115"/>
      <c r="J173" s="114" t="s">
        <v>2695</v>
      </c>
      <c r="K173" s="114" t="s">
        <v>2696</v>
      </c>
      <c r="L173" s="114" t="s">
        <v>2697</v>
      </c>
      <c r="M173" s="105" t="s">
        <v>2698</v>
      </c>
      <c r="N173" s="114" t="s">
        <v>64</v>
      </c>
      <c r="O173" s="100"/>
      <c r="P173" s="116"/>
      <c r="Q173" s="117"/>
      <c r="R173" s="118"/>
      <c r="S173" s="119"/>
      <c r="T173" s="119"/>
      <c r="U173" s="119"/>
      <c r="V173" s="119"/>
      <c r="W173" s="119"/>
      <c r="X173" s="119"/>
      <c r="Y173" s="120"/>
      <c r="Z173" s="120"/>
      <c r="AA173" s="120"/>
      <c r="AB173" s="120"/>
      <c r="AC173" s="120"/>
    </row>
    <row r="174">
      <c r="A174" s="90"/>
      <c r="B174" s="37">
        <v>46218.0</v>
      </c>
      <c r="C174" s="96" t="s">
        <v>1839</v>
      </c>
      <c r="D174" s="22" t="s">
        <v>2699</v>
      </c>
      <c r="E174" s="102"/>
      <c r="F174" s="102"/>
      <c r="G174" s="113" t="s">
        <v>2700</v>
      </c>
      <c r="H174" s="114" t="s">
        <v>1622</v>
      </c>
      <c r="I174" s="115"/>
      <c r="J174" s="114" t="s">
        <v>2695</v>
      </c>
      <c r="K174" s="113" t="s">
        <v>1399</v>
      </c>
      <c r="L174" s="114" t="s">
        <v>2701</v>
      </c>
      <c r="M174" s="105" t="s">
        <v>2702</v>
      </c>
      <c r="N174" s="114" t="s">
        <v>64</v>
      </c>
      <c r="O174" s="100"/>
      <c r="P174" s="116"/>
      <c r="Q174" s="117"/>
      <c r="R174" s="118"/>
      <c r="S174" s="119"/>
      <c r="T174" s="119"/>
      <c r="U174" s="119"/>
      <c r="V174" s="119"/>
      <c r="W174" s="119"/>
      <c r="X174" s="119"/>
      <c r="Y174" s="120"/>
      <c r="Z174" s="120"/>
      <c r="AA174" s="120"/>
      <c r="AB174" s="120"/>
      <c r="AC174" s="120"/>
    </row>
    <row r="175">
      <c r="A175" s="90"/>
      <c r="B175" s="37">
        <v>46218.0</v>
      </c>
      <c r="C175" s="96" t="s">
        <v>1839</v>
      </c>
      <c r="D175" s="22" t="s">
        <v>2703</v>
      </c>
      <c r="E175" s="102"/>
      <c r="F175" s="102"/>
      <c r="G175" s="113" t="s">
        <v>2505</v>
      </c>
      <c r="H175" s="114" t="s">
        <v>1622</v>
      </c>
      <c r="I175" s="115"/>
      <c r="J175" s="114" t="s">
        <v>2506</v>
      </c>
      <c r="K175" s="113" t="s">
        <v>1399</v>
      </c>
      <c r="L175" s="114" t="s">
        <v>2626</v>
      </c>
      <c r="M175" s="105" t="s">
        <v>2704</v>
      </c>
      <c r="N175" s="114" t="s">
        <v>64</v>
      </c>
      <c r="O175" s="100"/>
      <c r="P175" s="116"/>
      <c r="Q175" s="117"/>
      <c r="R175" s="118"/>
      <c r="S175" s="119"/>
      <c r="T175" s="119"/>
      <c r="U175" s="119"/>
      <c r="V175" s="119"/>
      <c r="W175" s="119"/>
      <c r="X175" s="119"/>
      <c r="Y175" s="120"/>
      <c r="Z175" s="120"/>
      <c r="AA175" s="120"/>
      <c r="AB175" s="120"/>
      <c r="AC175" s="120"/>
    </row>
    <row r="176">
      <c r="A176" s="90"/>
      <c r="B176" s="37">
        <v>46218.0</v>
      </c>
      <c r="C176" s="96" t="s">
        <v>1839</v>
      </c>
      <c r="D176" s="22" t="s">
        <v>2705</v>
      </c>
      <c r="E176" s="102"/>
      <c r="F176" s="102"/>
      <c r="G176" s="113" t="s">
        <v>2516</v>
      </c>
      <c r="H176" s="114" t="s">
        <v>1622</v>
      </c>
      <c r="I176" s="115"/>
      <c r="J176" s="114" t="s">
        <v>2517</v>
      </c>
      <c r="K176" s="113" t="s">
        <v>2518</v>
      </c>
      <c r="L176" s="114" t="s">
        <v>2626</v>
      </c>
      <c r="M176" s="105" t="s">
        <v>2706</v>
      </c>
      <c r="N176" s="114" t="s">
        <v>64</v>
      </c>
      <c r="O176" s="100"/>
      <c r="P176" s="116"/>
      <c r="Q176" s="117"/>
      <c r="R176" s="118"/>
      <c r="S176" s="119"/>
      <c r="T176" s="119"/>
      <c r="U176" s="119"/>
      <c r="V176" s="119"/>
      <c r="W176" s="119"/>
      <c r="X176" s="119"/>
      <c r="Y176" s="120"/>
      <c r="Z176" s="120"/>
      <c r="AA176" s="120"/>
      <c r="AB176" s="120"/>
      <c r="AC176" s="120"/>
    </row>
    <row r="177">
      <c r="A177" s="90"/>
      <c r="B177" s="37">
        <v>46218.0</v>
      </c>
      <c r="C177" s="96" t="s">
        <v>1839</v>
      </c>
      <c r="D177" s="22" t="s">
        <v>2707</v>
      </c>
      <c r="E177" s="102"/>
      <c r="F177" s="102"/>
      <c r="G177" s="113" t="s">
        <v>2505</v>
      </c>
      <c r="H177" s="114" t="s">
        <v>1622</v>
      </c>
      <c r="I177" s="115"/>
      <c r="J177" s="114" t="s">
        <v>2506</v>
      </c>
      <c r="K177" s="113" t="s">
        <v>1399</v>
      </c>
      <c r="L177" s="114" t="s">
        <v>2626</v>
      </c>
      <c r="M177" s="105" t="s">
        <v>2708</v>
      </c>
      <c r="N177" s="114" t="s">
        <v>64</v>
      </c>
      <c r="O177" s="100"/>
      <c r="P177" s="116"/>
      <c r="Q177" s="117"/>
      <c r="R177" s="118"/>
      <c r="S177" s="119"/>
      <c r="T177" s="119"/>
      <c r="U177" s="119"/>
      <c r="V177" s="119"/>
      <c r="W177" s="119"/>
      <c r="X177" s="119"/>
      <c r="Y177" s="120"/>
      <c r="Z177" s="120"/>
      <c r="AA177" s="120"/>
      <c r="AB177" s="120"/>
      <c r="AC177" s="120"/>
    </row>
    <row r="178">
      <c r="A178" s="90"/>
      <c r="B178" s="37">
        <v>46218.0</v>
      </c>
      <c r="C178" s="96" t="s">
        <v>1839</v>
      </c>
      <c r="D178" s="22" t="s">
        <v>2709</v>
      </c>
      <c r="E178" s="102"/>
      <c r="F178" s="102"/>
      <c r="G178" s="113" t="s">
        <v>2516</v>
      </c>
      <c r="H178" s="114" t="s">
        <v>1622</v>
      </c>
      <c r="I178" s="115"/>
      <c r="J178" s="114" t="s">
        <v>2517</v>
      </c>
      <c r="K178" s="113" t="s">
        <v>2518</v>
      </c>
      <c r="L178" s="114" t="s">
        <v>2626</v>
      </c>
      <c r="M178" s="105" t="s">
        <v>2710</v>
      </c>
      <c r="N178" s="114" t="s">
        <v>64</v>
      </c>
      <c r="O178" s="100"/>
      <c r="P178" s="116"/>
      <c r="Q178" s="117"/>
      <c r="R178" s="118"/>
      <c r="S178" s="119"/>
      <c r="T178" s="119"/>
      <c r="U178" s="119"/>
      <c r="V178" s="119"/>
      <c r="W178" s="119"/>
      <c r="X178" s="119"/>
      <c r="Y178" s="120"/>
      <c r="Z178" s="120"/>
      <c r="AA178" s="120"/>
      <c r="AB178" s="120"/>
      <c r="AC178" s="120"/>
    </row>
    <row r="179">
      <c r="A179" s="90"/>
      <c r="B179" s="37">
        <v>46218.0</v>
      </c>
      <c r="C179" s="96" t="s">
        <v>1839</v>
      </c>
      <c r="D179" s="22" t="s">
        <v>2711</v>
      </c>
      <c r="E179" s="100"/>
      <c r="F179" s="100"/>
      <c r="G179" s="114" t="s">
        <v>2712</v>
      </c>
      <c r="H179" s="114" t="s">
        <v>2713</v>
      </c>
      <c r="I179" s="115"/>
      <c r="J179" s="114" t="s">
        <v>2714</v>
      </c>
      <c r="K179" s="114" t="s">
        <v>2715</v>
      </c>
      <c r="L179" s="114" t="s">
        <v>2716</v>
      </c>
      <c r="M179" s="105" t="s">
        <v>2717</v>
      </c>
      <c r="N179" s="114" t="s">
        <v>64</v>
      </c>
      <c r="O179" s="100"/>
      <c r="P179" s="116"/>
      <c r="Q179" s="117"/>
      <c r="R179" s="118"/>
      <c r="S179" s="119"/>
      <c r="T179" s="119"/>
      <c r="U179" s="119"/>
      <c r="V179" s="119"/>
      <c r="W179" s="119"/>
      <c r="X179" s="119"/>
      <c r="Y179" s="120"/>
      <c r="Z179" s="120"/>
      <c r="AA179" s="120"/>
      <c r="AB179" s="120"/>
      <c r="AC179" s="120"/>
    </row>
    <row r="180">
      <c r="A180" s="90"/>
      <c r="B180" s="37">
        <v>46218.0</v>
      </c>
      <c r="C180" s="96" t="s">
        <v>1839</v>
      </c>
      <c r="D180" s="22" t="s">
        <v>2718</v>
      </c>
      <c r="E180" s="100"/>
      <c r="F180" s="100"/>
      <c r="G180" s="114" t="s">
        <v>2719</v>
      </c>
      <c r="H180" s="114" t="s">
        <v>2720</v>
      </c>
      <c r="I180" s="115"/>
      <c r="J180" s="114" t="s">
        <v>2721</v>
      </c>
      <c r="K180" s="114" t="s">
        <v>2722</v>
      </c>
      <c r="L180" s="114" t="s">
        <v>2723</v>
      </c>
      <c r="M180" s="105" t="s">
        <v>2724</v>
      </c>
      <c r="N180" s="114" t="s">
        <v>64</v>
      </c>
      <c r="O180" s="100"/>
      <c r="P180" s="116"/>
      <c r="Q180" s="117"/>
      <c r="R180" s="118"/>
      <c r="S180" s="119"/>
      <c r="T180" s="119"/>
      <c r="U180" s="119"/>
      <c r="V180" s="119"/>
      <c r="W180" s="119"/>
      <c r="X180" s="119"/>
      <c r="Y180" s="120"/>
      <c r="Z180" s="120"/>
      <c r="AA180" s="120"/>
      <c r="AB180" s="120"/>
      <c r="AC180" s="120"/>
    </row>
    <row r="181">
      <c r="A181" s="90"/>
      <c r="B181" s="37">
        <v>46218.0</v>
      </c>
      <c r="C181" s="96" t="s">
        <v>1839</v>
      </c>
      <c r="D181" s="22" t="s">
        <v>2725</v>
      </c>
      <c r="E181" s="100"/>
      <c r="F181" s="100"/>
      <c r="G181" s="114" t="s">
        <v>2726</v>
      </c>
      <c r="H181" s="114" t="s">
        <v>2727</v>
      </c>
      <c r="I181" s="115"/>
      <c r="J181" s="114" t="s">
        <v>2728</v>
      </c>
      <c r="K181" s="114" t="s">
        <v>2729</v>
      </c>
      <c r="L181" s="114" t="s">
        <v>2193</v>
      </c>
      <c r="M181" s="105" t="s">
        <v>2730</v>
      </c>
      <c r="N181" s="114" t="s">
        <v>64</v>
      </c>
      <c r="O181" s="100"/>
      <c r="P181" s="116"/>
      <c r="Q181" s="117"/>
      <c r="R181" s="118"/>
      <c r="S181" s="119"/>
      <c r="T181" s="119"/>
      <c r="U181" s="119"/>
      <c r="V181" s="119"/>
      <c r="W181" s="119"/>
      <c r="X181" s="119"/>
      <c r="Y181" s="120"/>
      <c r="Z181" s="120"/>
      <c r="AA181" s="120"/>
      <c r="AB181" s="120"/>
      <c r="AC181" s="120"/>
    </row>
    <row r="182">
      <c r="A182" s="90"/>
      <c r="B182" s="108">
        <v>119.0</v>
      </c>
      <c r="C182" s="96" t="s">
        <v>1839</v>
      </c>
      <c r="D182" s="109" t="s">
        <v>2731</v>
      </c>
      <c r="E182" s="110" t="s">
        <v>2732</v>
      </c>
      <c r="F182" s="110" t="s">
        <v>2733</v>
      </c>
      <c r="G182" s="121" t="s">
        <v>2734</v>
      </c>
      <c r="H182" s="114" t="s">
        <v>2735</v>
      </c>
      <c r="I182" s="115"/>
      <c r="J182" s="114" t="s">
        <v>2736</v>
      </c>
      <c r="K182" s="114" t="s">
        <v>2737</v>
      </c>
      <c r="L182" s="114" t="s">
        <v>2561</v>
      </c>
      <c r="M182" s="105" t="s">
        <v>2738</v>
      </c>
      <c r="N182" s="114" t="s">
        <v>64</v>
      </c>
      <c r="O182" s="100"/>
      <c r="P182" s="116"/>
      <c r="Q182" s="117"/>
      <c r="R182" s="118"/>
      <c r="S182" s="119"/>
      <c r="T182" s="119"/>
      <c r="U182" s="119"/>
      <c r="V182" s="119"/>
      <c r="W182" s="119"/>
      <c r="X182" s="119"/>
      <c r="Y182" s="120"/>
      <c r="Z182" s="120"/>
      <c r="AA182" s="120"/>
      <c r="AB182" s="120"/>
      <c r="AC182" s="120"/>
    </row>
    <row r="183">
      <c r="A183" s="90"/>
      <c r="B183" s="37">
        <v>46218.0</v>
      </c>
      <c r="C183" s="96" t="s">
        <v>1839</v>
      </c>
      <c r="D183" s="22" t="s">
        <v>2739</v>
      </c>
      <c r="E183" s="100"/>
      <c r="F183" s="100"/>
      <c r="G183" s="114" t="s">
        <v>2740</v>
      </c>
      <c r="H183" s="114" t="s">
        <v>2735</v>
      </c>
      <c r="I183" s="115"/>
      <c r="J183" s="114" t="s">
        <v>2741</v>
      </c>
      <c r="K183" s="113" t="s">
        <v>2742</v>
      </c>
      <c r="L183" s="114" t="s">
        <v>2743</v>
      </c>
      <c r="M183" s="105" t="s">
        <v>2744</v>
      </c>
      <c r="N183" s="114" t="s">
        <v>64</v>
      </c>
      <c r="O183" s="100"/>
      <c r="P183" s="116"/>
      <c r="Q183" s="117"/>
      <c r="R183" s="118"/>
      <c r="S183" s="119"/>
      <c r="T183" s="119"/>
      <c r="U183" s="119"/>
      <c r="V183" s="119"/>
      <c r="W183" s="119"/>
      <c r="X183" s="119"/>
      <c r="Y183" s="120"/>
      <c r="Z183" s="120"/>
      <c r="AA183" s="120"/>
      <c r="AB183" s="120"/>
      <c r="AC183" s="120"/>
    </row>
    <row r="184">
      <c r="A184" s="90"/>
      <c r="B184" s="37">
        <v>46218.0</v>
      </c>
      <c r="C184" s="96" t="s">
        <v>1839</v>
      </c>
      <c r="D184" s="22" t="s">
        <v>2745</v>
      </c>
      <c r="E184" s="100"/>
      <c r="F184" s="100"/>
      <c r="G184" s="114" t="s">
        <v>2746</v>
      </c>
      <c r="H184" s="114" t="s">
        <v>2735</v>
      </c>
      <c r="I184" s="115"/>
      <c r="J184" s="114" t="s">
        <v>2747</v>
      </c>
      <c r="K184" s="114" t="s">
        <v>2748</v>
      </c>
      <c r="L184" s="114" t="s">
        <v>2749</v>
      </c>
      <c r="M184" s="105" t="s">
        <v>2750</v>
      </c>
      <c r="N184" s="114" t="s">
        <v>64</v>
      </c>
      <c r="O184" s="100"/>
      <c r="P184" s="116"/>
      <c r="Q184" s="117"/>
      <c r="R184" s="118"/>
      <c r="S184" s="119"/>
      <c r="T184" s="119"/>
      <c r="U184" s="119"/>
      <c r="V184" s="119"/>
      <c r="W184" s="119"/>
      <c r="X184" s="119"/>
      <c r="Y184" s="120"/>
      <c r="Z184" s="120"/>
      <c r="AA184" s="120"/>
      <c r="AB184" s="120"/>
      <c r="AC184" s="120"/>
    </row>
    <row r="185">
      <c r="A185" s="90"/>
      <c r="B185" s="37">
        <v>46218.0</v>
      </c>
      <c r="C185" s="96" t="s">
        <v>1839</v>
      </c>
      <c r="D185" s="22" t="s">
        <v>2751</v>
      </c>
      <c r="E185" s="102"/>
      <c r="F185" s="102"/>
      <c r="G185" s="113" t="s">
        <v>2752</v>
      </c>
      <c r="H185" s="114" t="s">
        <v>2753</v>
      </c>
      <c r="I185" s="115"/>
      <c r="J185" s="114" t="s">
        <v>2754</v>
      </c>
      <c r="K185" s="113" t="s">
        <v>1399</v>
      </c>
      <c r="L185" s="114" t="s">
        <v>2755</v>
      </c>
      <c r="M185" s="105" t="s">
        <v>2756</v>
      </c>
      <c r="N185" s="114" t="s">
        <v>64</v>
      </c>
      <c r="O185" s="104" t="s">
        <v>2757</v>
      </c>
      <c r="P185" s="116"/>
      <c r="Q185" s="117"/>
      <c r="R185" s="118"/>
      <c r="S185" s="119"/>
      <c r="T185" s="119"/>
      <c r="U185" s="119"/>
      <c r="V185" s="119"/>
      <c r="W185" s="119"/>
      <c r="X185" s="119"/>
      <c r="Y185" s="120"/>
      <c r="Z185" s="120"/>
      <c r="AA185" s="120"/>
      <c r="AB185" s="120"/>
      <c r="AC185" s="120"/>
    </row>
    <row r="186">
      <c r="A186" s="90"/>
      <c r="B186" s="37">
        <v>46218.0</v>
      </c>
      <c r="C186" s="96" t="s">
        <v>1839</v>
      </c>
      <c r="D186" s="22" t="s">
        <v>2758</v>
      </c>
      <c r="E186" s="102"/>
      <c r="F186" s="102"/>
      <c r="G186" s="113" t="s">
        <v>2759</v>
      </c>
      <c r="H186" s="114" t="s">
        <v>2753</v>
      </c>
      <c r="I186" s="115"/>
      <c r="J186" s="114" t="s">
        <v>2754</v>
      </c>
      <c r="K186" s="113" t="s">
        <v>1399</v>
      </c>
      <c r="L186" s="114" t="s">
        <v>2760</v>
      </c>
      <c r="M186" s="105" t="s">
        <v>2761</v>
      </c>
      <c r="N186" s="114" t="s">
        <v>64</v>
      </c>
      <c r="O186" s="100"/>
      <c r="P186" s="116"/>
      <c r="Q186" s="117"/>
      <c r="R186" s="118"/>
      <c r="S186" s="119"/>
      <c r="T186" s="119"/>
      <c r="U186" s="119"/>
      <c r="V186" s="119"/>
      <c r="W186" s="119"/>
      <c r="X186" s="119"/>
      <c r="Y186" s="120"/>
      <c r="Z186" s="120"/>
      <c r="AA186" s="120"/>
      <c r="AB186" s="120"/>
      <c r="AC186" s="120"/>
    </row>
    <row r="187">
      <c r="A187" s="90"/>
      <c r="B187" s="37">
        <v>46218.0</v>
      </c>
      <c r="C187" s="96" t="s">
        <v>1839</v>
      </c>
      <c r="D187" s="22" t="s">
        <v>2762</v>
      </c>
      <c r="E187" s="102"/>
      <c r="F187" s="102"/>
      <c r="G187" s="113" t="s">
        <v>2763</v>
      </c>
      <c r="H187" s="114" t="s">
        <v>2764</v>
      </c>
      <c r="I187" s="115"/>
      <c r="J187" s="114" t="s">
        <v>2765</v>
      </c>
      <c r="K187" s="114" t="s">
        <v>2766</v>
      </c>
      <c r="L187" s="114" t="s">
        <v>2767</v>
      </c>
      <c r="M187" s="105" t="s">
        <v>2768</v>
      </c>
      <c r="N187" s="114" t="s">
        <v>64</v>
      </c>
      <c r="O187" s="100"/>
      <c r="P187" s="116"/>
      <c r="Q187" s="117"/>
      <c r="R187" s="118"/>
      <c r="S187" s="119"/>
      <c r="T187" s="119"/>
      <c r="U187" s="119"/>
      <c r="V187" s="119"/>
      <c r="W187" s="119"/>
      <c r="X187" s="119"/>
      <c r="Y187" s="120"/>
      <c r="Z187" s="120"/>
      <c r="AA187" s="120"/>
      <c r="AB187" s="120"/>
      <c r="AC187" s="120"/>
    </row>
    <row r="188">
      <c r="A188" s="90"/>
      <c r="B188" s="37">
        <v>46218.0</v>
      </c>
      <c r="C188" s="96" t="s">
        <v>1839</v>
      </c>
      <c r="D188" s="22" t="s">
        <v>2769</v>
      </c>
      <c r="E188" s="102"/>
      <c r="F188" s="102"/>
      <c r="G188" s="113" t="s">
        <v>2770</v>
      </c>
      <c r="H188" s="114" t="s">
        <v>2753</v>
      </c>
      <c r="I188" s="115"/>
      <c r="J188" s="114" t="s">
        <v>2771</v>
      </c>
      <c r="K188" s="114" t="s">
        <v>2772</v>
      </c>
      <c r="L188" s="114" t="s">
        <v>2773</v>
      </c>
      <c r="M188" s="105" t="s">
        <v>2774</v>
      </c>
      <c r="N188" s="114" t="s">
        <v>64</v>
      </c>
      <c r="O188" s="100"/>
      <c r="P188" s="116"/>
      <c r="Q188" s="117"/>
      <c r="R188" s="118"/>
      <c r="S188" s="119"/>
      <c r="T188" s="119"/>
      <c r="U188" s="119"/>
      <c r="V188" s="119"/>
      <c r="W188" s="119"/>
      <c r="X188" s="119"/>
      <c r="Y188" s="120"/>
      <c r="Z188" s="120"/>
      <c r="AA188" s="120"/>
      <c r="AB188" s="120"/>
      <c r="AC188" s="120"/>
    </row>
    <row r="189">
      <c r="A189" s="90"/>
      <c r="B189" s="37">
        <v>46218.0</v>
      </c>
      <c r="C189" s="96" t="s">
        <v>1839</v>
      </c>
      <c r="D189" s="22" t="s">
        <v>2775</v>
      </c>
      <c r="E189" s="102"/>
      <c r="F189" s="102"/>
      <c r="G189" s="113" t="s">
        <v>2776</v>
      </c>
      <c r="H189" s="114" t="s">
        <v>2753</v>
      </c>
      <c r="I189" s="115"/>
      <c r="J189" s="114" t="s">
        <v>2777</v>
      </c>
      <c r="K189" s="114" t="s">
        <v>2778</v>
      </c>
      <c r="L189" s="114" t="s">
        <v>2779</v>
      </c>
      <c r="M189" s="105" t="s">
        <v>2780</v>
      </c>
      <c r="N189" s="114" t="s">
        <v>64</v>
      </c>
      <c r="O189" s="100"/>
      <c r="P189" s="116"/>
      <c r="Q189" s="117"/>
      <c r="R189" s="118"/>
      <c r="S189" s="119"/>
      <c r="T189" s="119"/>
      <c r="U189" s="119"/>
      <c r="V189" s="119"/>
      <c r="W189" s="119"/>
      <c r="X189" s="119"/>
      <c r="Y189" s="120"/>
      <c r="Z189" s="120"/>
      <c r="AA189" s="120"/>
      <c r="AB189" s="120"/>
      <c r="AC189" s="120"/>
    </row>
    <row r="190">
      <c r="A190" s="90"/>
      <c r="B190" s="37">
        <v>46218.0</v>
      </c>
      <c r="C190" s="96" t="s">
        <v>1839</v>
      </c>
      <c r="D190" s="22" t="s">
        <v>2781</v>
      </c>
      <c r="E190" s="102"/>
      <c r="F190" s="102"/>
      <c r="G190" s="113" t="s">
        <v>2782</v>
      </c>
      <c r="H190" s="114" t="s">
        <v>2783</v>
      </c>
      <c r="I190" s="115"/>
      <c r="J190" s="114" t="s">
        <v>2784</v>
      </c>
      <c r="K190" s="113" t="s">
        <v>1399</v>
      </c>
      <c r="L190" s="114" t="s">
        <v>2785</v>
      </c>
      <c r="M190" s="105" t="s">
        <v>2786</v>
      </c>
      <c r="N190" s="114" t="s">
        <v>64</v>
      </c>
      <c r="O190" s="100"/>
      <c r="P190" s="116"/>
      <c r="Q190" s="117"/>
      <c r="R190" s="118"/>
      <c r="S190" s="119"/>
      <c r="T190" s="119"/>
      <c r="U190" s="119"/>
      <c r="V190" s="119"/>
      <c r="W190" s="119"/>
      <c r="X190" s="119"/>
      <c r="Y190" s="120"/>
      <c r="Z190" s="120"/>
      <c r="AA190" s="120"/>
      <c r="AB190" s="120"/>
      <c r="AC190" s="120"/>
    </row>
    <row r="191">
      <c r="A191" s="90"/>
      <c r="B191" s="37">
        <v>46218.0</v>
      </c>
      <c r="C191" s="96" t="s">
        <v>1839</v>
      </c>
      <c r="D191" s="22" t="s">
        <v>2787</v>
      </c>
      <c r="E191" s="102"/>
      <c r="F191" s="102"/>
      <c r="G191" s="113" t="s">
        <v>2788</v>
      </c>
      <c r="H191" s="114" t="s">
        <v>2783</v>
      </c>
      <c r="I191" s="115"/>
      <c r="J191" s="114" t="s">
        <v>2789</v>
      </c>
      <c r="K191" s="114" t="s">
        <v>2790</v>
      </c>
      <c r="L191" s="114" t="s">
        <v>2791</v>
      </c>
      <c r="M191" s="105" t="s">
        <v>2792</v>
      </c>
      <c r="N191" s="114" t="s">
        <v>64</v>
      </c>
      <c r="O191" s="100"/>
      <c r="P191" s="116"/>
      <c r="Q191" s="117"/>
      <c r="R191" s="118"/>
      <c r="S191" s="119"/>
      <c r="T191" s="119"/>
      <c r="U191" s="119"/>
      <c r="V191" s="119"/>
      <c r="W191" s="119"/>
      <c r="X191" s="119"/>
      <c r="Y191" s="120"/>
      <c r="Z191" s="120"/>
      <c r="AA191" s="120"/>
      <c r="AB191" s="120"/>
      <c r="AC191" s="120"/>
    </row>
    <row r="192">
      <c r="A192" s="90"/>
      <c r="B192" s="37">
        <v>46218.0</v>
      </c>
      <c r="C192" s="96" t="s">
        <v>1839</v>
      </c>
      <c r="D192" s="22" t="s">
        <v>2793</v>
      </c>
      <c r="E192" s="102"/>
      <c r="F192" s="102"/>
      <c r="G192" s="113" t="s">
        <v>2794</v>
      </c>
      <c r="H192" s="114" t="s">
        <v>2783</v>
      </c>
      <c r="I192" s="115"/>
      <c r="J192" s="114" t="s">
        <v>2795</v>
      </c>
      <c r="K192" s="114" t="s">
        <v>2796</v>
      </c>
      <c r="L192" s="114" t="s">
        <v>2791</v>
      </c>
      <c r="M192" s="105" t="s">
        <v>2797</v>
      </c>
      <c r="N192" s="114" t="s">
        <v>64</v>
      </c>
      <c r="O192" s="100"/>
      <c r="P192" s="116"/>
      <c r="Q192" s="117"/>
      <c r="R192" s="118"/>
      <c r="S192" s="119"/>
      <c r="T192" s="119"/>
      <c r="U192" s="119"/>
      <c r="V192" s="119"/>
      <c r="W192" s="119"/>
      <c r="X192" s="119"/>
      <c r="Y192" s="120"/>
      <c r="Z192" s="120"/>
      <c r="AA192" s="120"/>
      <c r="AB192" s="120"/>
      <c r="AC192" s="120"/>
    </row>
    <row r="193">
      <c r="A193" s="90"/>
      <c r="B193" s="37">
        <v>46218.0</v>
      </c>
      <c r="C193" s="96" t="s">
        <v>1839</v>
      </c>
      <c r="D193" s="22" t="s">
        <v>2798</v>
      </c>
      <c r="E193" s="102"/>
      <c r="F193" s="102"/>
      <c r="G193" s="113" t="s">
        <v>2799</v>
      </c>
      <c r="H193" s="114" t="s">
        <v>2783</v>
      </c>
      <c r="I193" s="115"/>
      <c r="J193" s="114" t="s">
        <v>2800</v>
      </c>
      <c r="K193" s="114" t="s">
        <v>2801</v>
      </c>
      <c r="L193" s="114" t="s">
        <v>2685</v>
      </c>
      <c r="M193" s="105" t="s">
        <v>2802</v>
      </c>
      <c r="N193" s="114" t="s">
        <v>64</v>
      </c>
      <c r="O193" s="100"/>
      <c r="P193" s="116"/>
      <c r="Q193" s="117"/>
      <c r="R193" s="118"/>
      <c r="S193" s="119"/>
      <c r="T193" s="119"/>
      <c r="U193" s="119"/>
      <c r="V193" s="119"/>
      <c r="W193" s="119"/>
      <c r="X193" s="119"/>
      <c r="Y193" s="120"/>
      <c r="Z193" s="120"/>
      <c r="AA193" s="120"/>
      <c r="AB193" s="120"/>
      <c r="AC193" s="120"/>
    </row>
    <row r="194">
      <c r="A194" s="90"/>
      <c r="B194" s="37">
        <v>46218.0</v>
      </c>
      <c r="C194" s="96" t="s">
        <v>1839</v>
      </c>
      <c r="D194" s="22" t="s">
        <v>2803</v>
      </c>
      <c r="E194" s="102"/>
      <c r="F194" s="102"/>
      <c r="G194" s="113" t="s">
        <v>2804</v>
      </c>
      <c r="H194" s="114" t="s">
        <v>2783</v>
      </c>
      <c r="I194" s="115"/>
      <c r="J194" s="114" t="s">
        <v>2805</v>
      </c>
      <c r="K194" s="114" t="s">
        <v>2806</v>
      </c>
      <c r="L194" s="114" t="s">
        <v>2685</v>
      </c>
      <c r="M194" s="105" t="s">
        <v>2807</v>
      </c>
      <c r="N194" s="114" t="s">
        <v>64</v>
      </c>
      <c r="O194" s="100"/>
      <c r="P194" s="116"/>
      <c r="Q194" s="117"/>
      <c r="R194" s="118"/>
      <c r="S194" s="119"/>
      <c r="T194" s="119"/>
      <c r="U194" s="119"/>
      <c r="V194" s="119"/>
      <c r="W194" s="119"/>
      <c r="X194" s="119"/>
      <c r="Y194" s="120"/>
      <c r="Z194" s="120"/>
      <c r="AA194" s="120"/>
      <c r="AB194" s="120"/>
      <c r="AC194" s="120"/>
    </row>
    <row r="195">
      <c r="A195" s="90"/>
      <c r="B195" s="37">
        <v>46218.0</v>
      </c>
      <c r="C195" s="96" t="s">
        <v>1839</v>
      </c>
      <c r="D195" s="22" t="s">
        <v>2808</v>
      </c>
      <c r="E195" s="102"/>
      <c r="F195" s="102"/>
      <c r="G195" s="113" t="s">
        <v>2782</v>
      </c>
      <c r="H195" s="114" t="s">
        <v>2783</v>
      </c>
      <c r="I195" s="115"/>
      <c r="J195" s="114" t="s">
        <v>2784</v>
      </c>
      <c r="K195" s="113" t="s">
        <v>1399</v>
      </c>
      <c r="L195" s="114" t="s">
        <v>2809</v>
      </c>
      <c r="M195" s="105" t="s">
        <v>2810</v>
      </c>
      <c r="N195" s="114" t="s">
        <v>64</v>
      </c>
      <c r="O195" s="100"/>
      <c r="P195" s="116"/>
      <c r="Q195" s="117"/>
      <c r="R195" s="118"/>
      <c r="S195" s="119"/>
      <c r="T195" s="119"/>
      <c r="U195" s="119"/>
      <c r="V195" s="119"/>
      <c r="W195" s="119"/>
      <c r="X195" s="119"/>
      <c r="Y195" s="120"/>
      <c r="Z195" s="120"/>
      <c r="AA195" s="120"/>
      <c r="AB195" s="120"/>
      <c r="AC195" s="120"/>
    </row>
    <row r="196">
      <c r="A196" s="90"/>
      <c r="B196" s="37">
        <v>46218.0</v>
      </c>
      <c r="C196" s="96" t="s">
        <v>1839</v>
      </c>
      <c r="D196" s="22" t="s">
        <v>2811</v>
      </c>
      <c r="E196" s="102"/>
      <c r="F196" s="102"/>
      <c r="G196" s="113" t="s">
        <v>2788</v>
      </c>
      <c r="H196" s="114" t="s">
        <v>2783</v>
      </c>
      <c r="I196" s="115"/>
      <c r="J196" s="114" t="s">
        <v>2789</v>
      </c>
      <c r="K196" s="114" t="s">
        <v>2790</v>
      </c>
      <c r="L196" s="114" t="s">
        <v>2791</v>
      </c>
      <c r="M196" s="105" t="s">
        <v>2812</v>
      </c>
      <c r="N196" s="114" t="s">
        <v>64</v>
      </c>
      <c r="O196" s="100"/>
      <c r="P196" s="116"/>
      <c r="Q196" s="117"/>
      <c r="R196" s="118"/>
      <c r="S196" s="119"/>
      <c r="T196" s="119"/>
      <c r="U196" s="119"/>
      <c r="V196" s="119"/>
      <c r="W196" s="119"/>
      <c r="X196" s="119"/>
      <c r="Y196" s="120"/>
      <c r="Z196" s="120"/>
      <c r="AA196" s="120"/>
      <c r="AB196" s="120"/>
      <c r="AC196" s="120"/>
    </row>
    <row r="197">
      <c r="A197" s="90"/>
      <c r="B197" s="37">
        <v>46218.0</v>
      </c>
      <c r="C197" s="96" t="s">
        <v>1839</v>
      </c>
      <c r="D197" s="22" t="s">
        <v>2813</v>
      </c>
      <c r="E197" s="102"/>
      <c r="F197" s="102"/>
      <c r="G197" s="113" t="s">
        <v>2794</v>
      </c>
      <c r="H197" s="114" t="s">
        <v>2783</v>
      </c>
      <c r="I197" s="115"/>
      <c r="J197" s="114" t="s">
        <v>2795</v>
      </c>
      <c r="K197" s="114" t="s">
        <v>2796</v>
      </c>
      <c r="L197" s="114" t="s">
        <v>2791</v>
      </c>
      <c r="M197" s="105" t="s">
        <v>2814</v>
      </c>
      <c r="N197" s="114" t="s">
        <v>64</v>
      </c>
      <c r="O197" s="100"/>
      <c r="P197" s="116"/>
      <c r="Q197" s="117"/>
      <c r="R197" s="118"/>
      <c r="S197" s="119"/>
      <c r="T197" s="119"/>
      <c r="U197" s="119"/>
      <c r="V197" s="119"/>
      <c r="W197" s="119"/>
      <c r="X197" s="119"/>
      <c r="Y197" s="120"/>
      <c r="Z197" s="120"/>
      <c r="AA197" s="120"/>
      <c r="AB197" s="120"/>
      <c r="AC197" s="120"/>
    </row>
    <row r="198">
      <c r="A198" s="90"/>
      <c r="B198" s="37">
        <v>46218.0</v>
      </c>
      <c r="C198" s="96" t="s">
        <v>1839</v>
      </c>
      <c r="D198" s="22" t="s">
        <v>2815</v>
      </c>
      <c r="E198" s="102"/>
      <c r="F198" s="102"/>
      <c r="G198" s="113" t="s">
        <v>2799</v>
      </c>
      <c r="H198" s="114" t="s">
        <v>2783</v>
      </c>
      <c r="I198" s="115"/>
      <c r="J198" s="114" t="s">
        <v>2800</v>
      </c>
      <c r="K198" s="114" t="s">
        <v>2801</v>
      </c>
      <c r="L198" s="114" t="s">
        <v>2685</v>
      </c>
      <c r="M198" s="105" t="s">
        <v>2816</v>
      </c>
      <c r="N198" s="114" t="s">
        <v>64</v>
      </c>
      <c r="O198" s="100"/>
      <c r="P198" s="116"/>
      <c r="Q198" s="117"/>
      <c r="R198" s="118"/>
      <c r="S198" s="119"/>
      <c r="T198" s="119"/>
      <c r="U198" s="119"/>
      <c r="V198" s="119"/>
      <c r="W198" s="119"/>
      <c r="X198" s="119"/>
      <c r="Y198" s="120"/>
      <c r="Z198" s="120"/>
      <c r="AA198" s="120"/>
      <c r="AB198" s="120"/>
      <c r="AC198" s="120"/>
    </row>
    <row r="199">
      <c r="A199" s="90"/>
      <c r="B199" s="37">
        <v>46218.0</v>
      </c>
      <c r="C199" s="96" t="s">
        <v>1839</v>
      </c>
      <c r="D199" s="22" t="s">
        <v>2817</v>
      </c>
      <c r="E199" s="102"/>
      <c r="F199" s="102"/>
      <c r="G199" s="113" t="s">
        <v>2804</v>
      </c>
      <c r="H199" s="114" t="s">
        <v>2783</v>
      </c>
      <c r="I199" s="115"/>
      <c r="J199" s="114" t="s">
        <v>2805</v>
      </c>
      <c r="K199" s="114" t="s">
        <v>2806</v>
      </c>
      <c r="L199" s="114" t="s">
        <v>2685</v>
      </c>
      <c r="M199" s="105" t="s">
        <v>2818</v>
      </c>
      <c r="N199" s="114" t="s">
        <v>64</v>
      </c>
      <c r="O199" s="100"/>
      <c r="P199" s="116"/>
      <c r="Q199" s="117"/>
      <c r="R199" s="118"/>
      <c r="S199" s="119"/>
      <c r="T199" s="119"/>
      <c r="U199" s="119"/>
      <c r="V199" s="119"/>
      <c r="W199" s="119"/>
      <c r="X199" s="119"/>
      <c r="Y199" s="120"/>
      <c r="Z199" s="120"/>
      <c r="AA199" s="120"/>
      <c r="AB199" s="120"/>
      <c r="AC199" s="120"/>
    </row>
    <row r="200">
      <c r="A200" s="90"/>
      <c r="B200" s="108">
        <v>126.0</v>
      </c>
      <c r="C200" s="96" t="s">
        <v>1839</v>
      </c>
      <c r="D200" s="109" t="s">
        <v>128</v>
      </c>
      <c r="E200" s="110" t="s">
        <v>2819</v>
      </c>
      <c r="F200" s="110" t="s">
        <v>30</v>
      </c>
      <c r="G200" s="121" t="s">
        <v>2820</v>
      </c>
      <c r="H200" s="114" t="s">
        <v>2783</v>
      </c>
      <c r="I200" s="115"/>
      <c r="J200" s="114" t="s">
        <v>2784</v>
      </c>
      <c r="K200" s="114" t="s">
        <v>2821</v>
      </c>
      <c r="L200" s="114" t="s">
        <v>2822</v>
      </c>
      <c r="M200" s="105" t="s">
        <v>2823</v>
      </c>
      <c r="N200" s="114" t="s">
        <v>64</v>
      </c>
      <c r="O200" s="120"/>
      <c r="P200" s="116"/>
      <c r="Q200" s="117"/>
      <c r="R200" s="118"/>
      <c r="S200" s="119"/>
      <c r="T200" s="119"/>
      <c r="U200" s="119"/>
      <c r="V200" s="119"/>
      <c r="W200" s="119"/>
      <c r="X200" s="119"/>
      <c r="Y200" s="120"/>
      <c r="Z200" s="120"/>
      <c r="AA200" s="120"/>
      <c r="AB200" s="120"/>
      <c r="AC200" s="120"/>
    </row>
    <row r="201">
      <c r="A201" s="90"/>
      <c r="B201" s="37">
        <v>46218.0</v>
      </c>
      <c r="C201" s="96" t="s">
        <v>1839</v>
      </c>
      <c r="D201" s="22" t="s">
        <v>132</v>
      </c>
      <c r="E201" s="102"/>
      <c r="F201" s="102"/>
      <c r="G201" s="113" t="s">
        <v>2824</v>
      </c>
      <c r="H201" s="114" t="s">
        <v>2783</v>
      </c>
      <c r="I201" s="115"/>
      <c r="J201" s="114" t="s">
        <v>2784</v>
      </c>
      <c r="K201" s="113" t="s">
        <v>1399</v>
      </c>
      <c r="L201" s="114" t="s">
        <v>2825</v>
      </c>
      <c r="M201" s="105" t="s">
        <v>2826</v>
      </c>
      <c r="N201" s="114" t="s">
        <v>64</v>
      </c>
      <c r="O201" s="100"/>
      <c r="P201" s="116"/>
      <c r="Q201" s="117"/>
      <c r="R201" s="118"/>
      <c r="S201" s="119"/>
      <c r="T201" s="119"/>
      <c r="U201" s="119"/>
      <c r="V201" s="119"/>
      <c r="W201" s="119"/>
      <c r="X201" s="119"/>
      <c r="Y201" s="120"/>
      <c r="Z201" s="120"/>
      <c r="AA201" s="120"/>
      <c r="AB201" s="120"/>
      <c r="AC201" s="120"/>
    </row>
    <row r="202">
      <c r="A202" s="90"/>
      <c r="B202" s="37">
        <v>46218.0</v>
      </c>
      <c r="C202" s="96" t="s">
        <v>1839</v>
      </c>
      <c r="D202" s="22" t="s">
        <v>137</v>
      </c>
      <c r="E202" s="102"/>
      <c r="F202" s="102"/>
      <c r="G202" s="113" t="s">
        <v>2782</v>
      </c>
      <c r="H202" s="114" t="s">
        <v>2783</v>
      </c>
      <c r="I202" s="115"/>
      <c r="J202" s="114" t="s">
        <v>2784</v>
      </c>
      <c r="K202" s="113" t="s">
        <v>1399</v>
      </c>
      <c r="L202" s="114" t="s">
        <v>2827</v>
      </c>
      <c r="M202" s="105" t="s">
        <v>2828</v>
      </c>
      <c r="N202" s="114" t="s">
        <v>64</v>
      </c>
      <c r="O202" s="100"/>
      <c r="P202" s="116"/>
      <c r="Q202" s="117"/>
      <c r="R202" s="118"/>
      <c r="S202" s="119"/>
      <c r="T202" s="119"/>
      <c r="U202" s="119"/>
      <c r="V202" s="119"/>
      <c r="W202" s="119"/>
      <c r="X202" s="119"/>
      <c r="Y202" s="120"/>
      <c r="Z202" s="120"/>
      <c r="AA202" s="120"/>
      <c r="AB202" s="120"/>
      <c r="AC202" s="120"/>
    </row>
    <row r="203">
      <c r="A203" s="90"/>
      <c r="B203" s="37">
        <v>46218.0</v>
      </c>
      <c r="C203" s="96" t="s">
        <v>1839</v>
      </c>
      <c r="D203" s="22" t="s">
        <v>2829</v>
      </c>
      <c r="E203" s="102"/>
      <c r="F203" s="102"/>
      <c r="G203" s="113" t="s">
        <v>2788</v>
      </c>
      <c r="H203" s="114" t="s">
        <v>2783</v>
      </c>
      <c r="I203" s="115"/>
      <c r="J203" s="114" t="s">
        <v>2789</v>
      </c>
      <c r="K203" s="114" t="s">
        <v>2790</v>
      </c>
      <c r="L203" s="114" t="s">
        <v>2791</v>
      </c>
      <c r="M203" s="105" t="s">
        <v>2830</v>
      </c>
      <c r="N203" s="114" t="s">
        <v>64</v>
      </c>
      <c r="O203" s="100"/>
      <c r="P203" s="116"/>
      <c r="Q203" s="117"/>
      <c r="R203" s="118"/>
      <c r="S203" s="119"/>
      <c r="T203" s="119"/>
      <c r="U203" s="119"/>
      <c r="V203" s="119"/>
      <c r="W203" s="119"/>
      <c r="X203" s="119"/>
      <c r="Y203" s="120"/>
      <c r="Z203" s="120"/>
      <c r="AA203" s="120"/>
      <c r="AB203" s="120"/>
      <c r="AC203" s="120"/>
    </row>
    <row r="204">
      <c r="A204" s="90"/>
      <c r="B204" s="37">
        <v>46218.0</v>
      </c>
      <c r="C204" s="96" t="s">
        <v>1839</v>
      </c>
      <c r="D204" s="22" t="s">
        <v>2831</v>
      </c>
      <c r="E204" s="102"/>
      <c r="F204" s="102"/>
      <c r="G204" s="113" t="s">
        <v>2794</v>
      </c>
      <c r="H204" s="114" t="s">
        <v>2783</v>
      </c>
      <c r="I204" s="115"/>
      <c r="J204" s="114" t="s">
        <v>2795</v>
      </c>
      <c r="K204" s="114" t="s">
        <v>2796</v>
      </c>
      <c r="L204" s="114" t="s">
        <v>2791</v>
      </c>
      <c r="M204" s="105" t="s">
        <v>2832</v>
      </c>
      <c r="N204" s="114" t="s">
        <v>64</v>
      </c>
      <c r="O204" s="100"/>
      <c r="P204" s="116"/>
      <c r="Q204" s="117"/>
      <c r="R204" s="118"/>
      <c r="S204" s="119"/>
      <c r="T204" s="119"/>
      <c r="U204" s="119"/>
      <c r="V204" s="119"/>
      <c r="W204" s="119"/>
      <c r="X204" s="119"/>
      <c r="Y204" s="120"/>
      <c r="Z204" s="120"/>
      <c r="AA204" s="120"/>
      <c r="AB204" s="120"/>
      <c r="AC204" s="120"/>
    </row>
    <row r="205">
      <c r="A205" s="90"/>
      <c r="B205" s="37">
        <v>46218.0</v>
      </c>
      <c r="C205" s="96" t="s">
        <v>1839</v>
      </c>
      <c r="D205" s="22" t="s">
        <v>2833</v>
      </c>
      <c r="E205" s="102"/>
      <c r="F205" s="102"/>
      <c r="G205" s="113" t="s">
        <v>2799</v>
      </c>
      <c r="H205" s="114" t="s">
        <v>2783</v>
      </c>
      <c r="I205" s="115"/>
      <c r="J205" s="114" t="s">
        <v>2800</v>
      </c>
      <c r="K205" s="114" t="s">
        <v>2801</v>
      </c>
      <c r="L205" s="114" t="s">
        <v>2685</v>
      </c>
      <c r="M205" s="105" t="s">
        <v>2834</v>
      </c>
      <c r="N205" s="114" t="s">
        <v>64</v>
      </c>
      <c r="O205" s="100"/>
      <c r="P205" s="116"/>
      <c r="Q205" s="117"/>
      <c r="R205" s="118"/>
      <c r="S205" s="119"/>
      <c r="T205" s="119"/>
      <c r="U205" s="119"/>
      <c r="V205" s="119"/>
      <c r="W205" s="119"/>
      <c r="X205" s="119"/>
      <c r="Y205" s="120"/>
      <c r="Z205" s="120"/>
      <c r="AA205" s="120"/>
      <c r="AB205" s="120"/>
      <c r="AC205" s="120"/>
    </row>
    <row r="206">
      <c r="A206" s="90"/>
      <c r="B206" s="37">
        <v>46218.0</v>
      </c>
      <c r="C206" s="96" t="s">
        <v>1839</v>
      </c>
      <c r="D206" s="22" t="s">
        <v>2835</v>
      </c>
      <c r="E206" s="102"/>
      <c r="F206" s="102"/>
      <c r="G206" s="113" t="s">
        <v>2804</v>
      </c>
      <c r="H206" s="114" t="s">
        <v>2783</v>
      </c>
      <c r="I206" s="115"/>
      <c r="J206" s="114" t="s">
        <v>2805</v>
      </c>
      <c r="K206" s="114" t="s">
        <v>2806</v>
      </c>
      <c r="L206" s="114" t="s">
        <v>2685</v>
      </c>
      <c r="M206" s="105" t="s">
        <v>2836</v>
      </c>
      <c r="N206" s="114" t="s">
        <v>64</v>
      </c>
      <c r="O206" s="100"/>
      <c r="P206" s="116"/>
      <c r="Q206" s="117"/>
      <c r="R206" s="118"/>
      <c r="S206" s="119"/>
      <c r="T206" s="119"/>
      <c r="U206" s="119"/>
      <c r="V206" s="119"/>
      <c r="W206" s="119"/>
      <c r="X206" s="119"/>
      <c r="Y206" s="120"/>
      <c r="Z206" s="120"/>
      <c r="AA206" s="120"/>
      <c r="AB206" s="120"/>
      <c r="AC206" s="120"/>
    </row>
    <row r="207">
      <c r="A207" s="90"/>
      <c r="B207" s="37">
        <v>46218.0</v>
      </c>
      <c r="C207" s="96" t="s">
        <v>1839</v>
      </c>
      <c r="D207" s="22" t="s">
        <v>148</v>
      </c>
      <c r="E207" s="102"/>
      <c r="F207" s="102"/>
      <c r="G207" s="113" t="s">
        <v>2824</v>
      </c>
      <c r="H207" s="114" t="s">
        <v>2783</v>
      </c>
      <c r="I207" s="115"/>
      <c r="J207" s="114" t="s">
        <v>2784</v>
      </c>
      <c r="K207" s="113" t="s">
        <v>1399</v>
      </c>
      <c r="L207" s="114" t="s">
        <v>2837</v>
      </c>
      <c r="M207" s="105" t="s">
        <v>2838</v>
      </c>
      <c r="N207" s="114" t="s">
        <v>64</v>
      </c>
      <c r="O207" s="100"/>
      <c r="P207" s="116"/>
      <c r="Q207" s="117"/>
      <c r="R207" s="118"/>
      <c r="S207" s="119"/>
      <c r="T207" s="119"/>
      <c r="U207" s="119"/>
      <c r="V207" s="119"/>
      <c r="W207" s="119"/>
      <c r="X207" s="119"/>
      <c r="Y207" s="120"/>
      <c r="Z207" s="120"/>
      <c r="AA207" s="120"/>
      <c r="AB207" s="120"/>
      <c r="AC207" s="120"/>
    </row>
    <row r="208">
      <c r="A208" s="90"/>
      <c r="B208" s="37">
        <v>46218.0</v>
      </c>
      <c r="C208" s="96" t="s">
        <v>1839</v>
      </c>
      <c r="D208" s="22" t="s">
        <v>2839</v>
      </c>
      <c r="E208" s="102"/>
      <c r="F208" s="102"/>
      <c r="G208" s="113" t="s">
        <v>2782</v>
      </c>
      <c r="H208" s="114" t="s">
        <v>2783</v>
      </c>
      <c r="I208" s="115"/>
      <c r="J208" s="114" t="s">
        <v>2784</v>
      </c>
      <c r="K208" s="113" t="s">
        <v>1399</v>
      </c>
      <c r="L208" s="114" t="s">
        <v>2840</v>
      </c>
      <c r="M208" s="105" t="s">
        <v>2841</v>
      </c>
      <c r="N208" s="114" t="s">
        <v>64</v>
      </c>
      <c r="O208" s="100"/>
      <c r="P208" s="116"/>
      <c r="Q208" s="117"/>
      <c r="R208" s="118"/>
      <c r="S208" s="119"/>
      <c r="T208" s="119"/>
      <c r="U208" s="119"/>
      <c r="V208" s="119"/>
      <c r="W208" s="119"/>
      <c r="X208" s="119"/>
      <c r="Y208" s="120"/>
      <c r="Z208" s="120"/>
      <c r="AA208" s="120"/>
      <c r="AB208" s="120"/>
      <c r="AC208" s="120"/>
    </row>
    <row r="209">
      <c r="A209" s="90"/>
      <c r="B209" s="37">
        <v>46218.0</v>
      </c>
      <c r="C209" s="96" t="s">
        <v>1839</v>
      </c>
      <c r="D209" s="22" t="s">
        <v>2842</v>
      </c>
      <c r="E209" s="102"/>
      <c r="F209" s="102"/>
      <c r="G209" s="113" t="s">
        <v>2788</v>
      </c>
      <c r="H209" s="114" t="s">
        <v>2783</v>
      </c>
      <c r="I209" s="115"/>
      <c r="J209" s="114" t="s">
        <v>2789</v>
      </c>
      <c r="K209" s="114" t="s">
        <v>2790</v>
      </c>
      <c r="L209" s="114" t="s">
        <v>2791</v>
      </c>
      <c r="M209" s="105" t="s">
        <v>2843</v>
      </c>
      <c r="N209" s="114" t="s">
        <v>64</v>
      </c>
      <c r="O209" s="100"/>
      <c r="P209" s="116"/>
      <c r="Q209" s="117"/>
      <c r="R209" s="118"/>
      <c r="S209" s="119"/>
      <c r="T209" s="119"/>
      <c r="U209" s="119"/>
      <c r="V209" s="119"/>
      <c r="W209" s="119"/>
      <c r="X209" s="119"/>
      <c r="Y209" s="120"/>
      <c r="Z209" s="120"/>
      <c r="AA209" s="120"/>
      <c r="AB209" s="120"/>
      <c r="AC209" s="120"/>
    </row>
    <row r="210">
      <c r="A210" s="90"/>
      <c r="B210" s="37">
        <v>46218.0</v>
      </c>
      <c r="C210" s="96" t="s">
        <v>1839</v>
      </c>
      <c r="D210" s="22" t="s">
        <v>2844</v>
      </c>
      <c r="E210" s="102"/>
      <c r="F210" s="102"/>
      <c r="G210" s="113" t="s">
        <v>2794</v>
      </c>
      <c r="H210" s="114" t="s">
        <v>2783</v>
      </c>
      <c r="I210" s="115"/>
      <c r="J210" s="114" t="s">
        <v>2795</v>
      </c>
      <c r="K210" s="114" t="s">
        <v>2796</v>
      </c>
      <c r="L210" s="114" t="s">
        <v>2791</v>
      </c>
      <c r="M210" s="105" t="s">
        <v>2845</v>
      </c>
      <c r="N210" s="114" t="s">
        <v>64</v>
      </c>
      <c r="O210" s="100"/>
      <c r="P210" s="116"/>
      <c r="Q210" s="117"/>
      <c r="R210" s="118"/>
      <c r="S210" s="119"/>
      <c r="T210" s="119"/>
      <c r="U210" s="119"/>
      <c r="V210" s="119"/>
      <c r="W210" s="119"/>
      <c r="X210" s="119"/>
      <c r="Y210" s="120"/>
      <c r="Z210" s="120"/>
      <c r="AA210" s="120"/>
      <c r="AB210" s="120"/>
      <c r="AC210" s="120"/>
    </row>
    <row r="211">
      <c r="A211" s="90"/>
      <c r="B211" s="37">
        <v>46218.0</v>
      </c>
      <c r="C211" s="96" t="s">
        <v>1839</v>
      </c>
      <c r="D211" s="22" t="s">
        <v>2846</v>
      </c>
      <c r="E211" s="102"/>
      <c r="F211" s="102"/>
      <c r="G211" s="113" t="s">
        <v>2799</v>
      </c>
      <c r="H211" s="114" t="s">
        <v>2783</v>
      </c>
      <c r="I211" s="115"/>
      <c r="J211" s="114" t="s">
        <v>2800</v>
      </c>
      <c r="K211" s="114" t="s">
        <v>2801</v>
      </c>
      <c r="L211" s="114" t="s">
        <v>2685</v>
      </c>
      <c r="M211" s="105" t="s">
        <v>2847</v>
      </c>
      <c r="N211" s="114" t="s">
        <v>64</v>
      </c>
      <c r="O211" s="100"/>
      <c r="P211" s="116"/>
      <c r="Q211" s="117"/>
      <c r="R211" s="118"/>
      <c r="S211" s="119"/>
      <c r="T211" s="119"/>
      <c r="U211" s="119"/>
      <c r="V211" s="119"/>
      <c r="W211" s="119"/>
      <c r="X211" s="119"/>
      <c r="Y211" s="120"/>
      <c r="Z211" s="120"/>
      <c r="AA211" s="120"/>
      <c r="AB211" s="120"/>
      <c r="AC211" s="120"/>
    </row>
    <row r="212">
      <c r="A212" s="90"/>
      <c r="B212" s="37">
        <v>46218.0</v>
      </c>
      <c r="C212" s="96" t="s">
        <v>1839</v>
      </c>
      <c r="D212" s="22" t="s">
        <v>2848</v>
      </c>
      <c r="E212" s="102"/>
      <c r="F212" s="102"/>
      <c r="G212" s="113" t="s">
        <v>2804</v>
      </c>
      <c r="H212" s="114" t="s">
        <v>2783</v>
      </c>
      <c r="I212" s="115"/>
      <c r="J212" s="114" t="s">
        <v>2805</v>
      </c>
      <c r="K212" s="114" t="s">
        <v>2806</v>
      </c>
      <c r="L212" s="114" t="s">
        <v>2685</v>
      </c>
      <c r="M212" s="105" t="s">
        <v>2849</v>
      </c>
      <c r="N212" s="114" t="s">
        <v>64</v>
      </c>
      <c r="O212" s="100"/>
      <c r="P212" s="116"/>
      <c r="Q212" s="117"/>
      <c r="R212" s="118"/>
      <c r="S212" s="119"/>
      <c r="T212" s="119"/>
      <c r="U212" s="119"/>
      <c r="V212" s="119"/>
      <c r="W212" s="119"/>
      <c r="X212" s="119"/>
      <c r="Y212" s="120"/>
      <c r="Z212" s="120"/>
      <c r="AA212" s="120"/>
      <c r="AB212" s="120"/>
      <c r="AC212" s="120"/>
    </row>
    <row r="213">
      <c r="A213" s="90"/>
      <c r="B213" s="108">
        <v>128.0</v>
      </c>
      <c r="C213" s="96" t="s">
        <v>1839</v>
      </c>
      <c r="D213" s="109" t="s">
        <v>2850</v>
      </c>
      <c r="E213" s="110" t="s">
        <v>2851</v>
      </c>
      <c r="F213" s="110" t="s">
        <v>30</v>
      </c>
      <c r="G213" s="121" t="s">
        <v>2852</v>
      </c>
      <c r="H213" s="114" t="s">
        <v>2783</v>
      </c>
      <c r="I213" s="115"/>
      <c r="J213" s="114" t="s">
        <v>2784</v>
      </c>
      <c r="K213" s="114" t="s">
        <v>2821</v>
      </c>
      <c r="L213" s="114" t="s">
        <v>2853</v>
      </c>
      <c r="M213" s="105" t="s">
        <v>2854</v>
      </c>
      <c r="N213" s="114" t="s">
        <v>64</v>
      </c>
      <c r="O213" s="120"/>
      <c r="P213" s="116"/>
      <c r="Q213" s="117"/>
      <c r="R213" s="118"/>
      <c r="S213" s="119"/>
      <c r="T213" s="119"/>
      <c r="U213" s="119"/>
      <c r="V213" s="119"/>
      <c r="W213" s="119"/>
      <c r="X213" s="119"/>
      <c r="Y213" s="120"/>
      <c r="Z213" s="120"/>
      <c r="AA213" s="120"/>
      <c r="AB213" s="120"/>
      <c r="AC213" s="120"/>
    </row>
    <row r="214">
      <c r="A214" s="90"/>
      <c r="B214" s="37">
        <v>46218.0</v>
      </c>
      <c r="C214" s="96" t="s">
        <v>1839</v>
      </c>
      <c r="D214" s="22" t="s">
        <v>2855</v>
      </c>
      <c r="E214" s="102"/>
      <c r="F214" s="102"/>
      <c r="G214" s="113" t="s">
        <v>2824</v>
      </c>
      <c r="H214" s="114" t="s">
        <v>2783</v>
      </c>
      <c r="I214" s="115"/>
      <c r="J214" s="114" t="s">
        <v>2784</v>
      </c>
      <c r="K214" s="113" t="s">
        <v>2856</v>
      </c>
      <c r="L214" s="114" t="s">
        <v>2857</v>
      </c>
      <c r="M214" s="105" t="s">
        <v>2858</v>
      </c>
      <c r="N214" s="114" t="s">
        <v>64</v>
      </c>
      <c r="O214" s="100"/>
      <c r="P214" s="116"/>
      <c r="Q214" s="117"/>
      <c r="R214" s="118"/>
      <c r="S214" s="119"/>
      <c r="T214" s="119"/>
      <c r="U214" s="119"/>
      <c r="V214" s="119"/>
      <c r="W214" s="119"/>
      <c r="X214" s="119"/>
      <c r="Y214" s="120"/>
      <c r="Z214" s="120"/>
      <c r="AA214" s="120"/>
      <c r="AB214" s="120"/>
      <c r="AC214" s="120"/>
    </row>
    <row r="215">
      <c r="A215" s="90"/>
      <c r="B215" s="37">
        <v>46218.0</v>
      </c>
      <c r="C215" s="96" t="s">
        <v>1839</v>
      </c>
      <c r="D215" s="22" t="s">
        <v>2859</v>
      </c>
      <c r="E215" s="102"/>
      <c r="F215" s="102"/>
      <c r="G215" s="113" t="s">
        <v>2782</v>
      </c>
      <c r="H215" s="114" t="s">
        <v>2783</v>
      </c>
      <c r="I215" s="115"/>
      <c r="J215" s="114" t="s">
        <v>2784</v>
      </c>
      <c r="K215" s="113" t="s">
        <v>2860</v>
      </c>
      <c r="L215" s="114" t="s">
        <v>2861</v>
      </c>
      <c r="M215" s="105" t="s">
        <v>2862</v>
      </c>
      <c r="N215" s="114" t="s">
        <v>64</v>
      </c>
      <c r="O215" s="100"/>
      <c r="P215" s="116"/>
      <c r="Q215" s="117"/>
      <c r="R215" s="118"/>
      <c r="S215" s="119"/>
      <c r="T215" s="119"/>
      <c r="U215" s="119"/>
      <c r="V215" s="119"/>
      <c r="W215" s="119"/>
      <c r="X215" s="119"/>
      <c r="Y215" s="120"/>
      <c r="Z215" s="120"/>
      <c r="AA215" s="120"/>
      <c r="AB215" s="120"/>
      <c r="AC215" s="120"/>
    </row>
    <row r="216">
      <c r="A216" s="90"/>
      <c r="B216" s="37">
        <v>46218.0</v>
      </c>
      <c r="C216" s="96" t="s">
        <v>1839</v>
      </c>
      <c r="D216" s="22" t="s">
        <v>2863</v>
      </c>
      <c r="E216" s="102"/>
      <c r="F216" s="102"/>
      <c r="G216" s="113" t="s">
        <v>2788</v>
      </c>
      <c r="H216" s="114" t="s">
        <v>2783</v>
      </c>
      <c r="I216" s="115"/>
      <c r="J216" s="114" t="s">
        <v>2789</v>
      </c>
      <c r="K216" s="114" t="s">
        <v>2790</v>
      </c>
      <c r="L216" s="114" t="s">
        <v>2791</v>
      </c>
      <c r="M216" s="105" t="s">
        <v>2864</v>
      </c>
      <c r="N216" s="114" t="s">
        <v>64</v>
      </c>
      <c r="O216" s="100"/>
      <c r="P216" s="116"/>
      <c r="Q216" s="117"/>
      <c r="R216" s="118"/>
      <c r="S216" s="119"/>
      <c r="T216" s="119"/>
      <c r="U216" s="119"/>
      <c r="V216" s="119"/>
      <c r="W216" s="119"/>
      <c r="X216" s="119"/>
      <c r="Y216" s="120"/>
      <c r="Z216" s="120"/>
      <c r="AA216" s="120"/>
      <c r="AB216" s="120"/>
      <c r="AC216" s="120"/>
    </row>
    <row r="217">
      <c r="A217" s="90"/>
      <c r="B217" s="37">
        <v>46218.0</v>
      </c>
      <c r="C217" s="96" t="s">
        <v>1839</v>
      </c>
      <c r="D217" s="22" t="s">
        <v>2865</v>
      </c>
      <c r="E217" s="102"/>
      <c r="F217" s="102"/>
      <c r="G217" s="113" t="s">
        <v>2794</v>
      </c>
      <c r="H217" s="114" t="s">
        <v>2783</v>
      </c>
      <c r="I217" s="115"/>
      <c r="J217" s="114" t="s">
        <v>2795</v>
      </c>
      <c r="K217" s="114" t="s">
        <v>2796</v>
      </c>
      <c r="L217" s="114" t="s">
        <v>2791</v>
      </c>
      <c r="M217" s="105" t="s">
        <v>2866</v>
      </c>
      <c r="N217" s="114" t="s">
        <v>64</v>
      </c>
      <c r="O217" s="100"/>
      <c r="P217" s="116"/>
      <c r="Q217" s="117"/>
      <c r="R217" s="118"/>
      <c r="S217" s="119"/>
      <c r="T217" s="119"/>
      <c r="U217" s="119"/>
      <c r="V217" s="119"/>
      <c r="W217" s="119"/>
      <c r="X217" s="119"/>
      <c r="Y217" s="120"/>
      <c r="Z217" s="120"/>
      <c r="AA217" s="120"/>
      <c r="AB217" s="120"/>
      <c r="AC217" s="120"/>
    </row>
    <row r="218">
      <c r="A218" s="90"/>
      <c r="B218" s="37">
        <v>46218.0</v>
      </c>
      <c r="C218" s="96" t="s">
        <v>1839</v>
      </c>
      <c r="D218" s="22" t="s">
        <v>2867</v>
      </c>
      <c r="E218" s="102"/>
      <c r="F218" s="102"/>
      <c r="G218" s="113" t="s">
        <v>2799</v>
      </c>
      <c r="H218" s="114" t="s">
        <v>2783</v>
      </c>
      <c r="I218" s="115"/>
      <c r="J218" s="114" t="s">
        <v>2800</v>
      </c>
      <c r="K218" s="114" t="s">
        <v>2801</v>
      </c>
      <c r="L218" s="114" t="s">
        <v>2685</v>
      </c>
      <c r="M218" s="105" t="s">
        <v>2868</v>
      </c>
      <c r="N218" s="114" t="s">
        <v>64</v>
      </c>
      <c r="O218" s="100"/>
      <c r="P218" s="116"/>
      <c r="Q218" s="117"/>
      <c r="R218" s="118"/>
      <c r="S218" s="119"/>
      <c r="T218" s="119"/>
      <c r="U218" s="119"/>
      <c r="V218" s="119"/>
      <c r="W218" s="119"/>
      <c r="X218" s="119"/>
      <c r="Y218" s="120"/>
      <c r="Z218" s="120"/>
      <c r="AA218" s="120"/>
      <c r="AB218" s="120"/>
      <c r="AC218" s="120"/>
    </row>
    <row r="219">
      <c r="A219" s="90"/>
      <c r="B219" s="37">
        <v>46218.0</v>
      </c>
      <c r="C219" s="96" t="s">
        <v>1839</v>
      </c>
      <c r="D219" s="22" t="s">
        <v>2869</v>
      </c>
      <c r="E219" s="102"/>
      <c r="F219" s="102"/>
      <c r="G219" s="113" t="s">
        <v>2804</v>
      </c>
      <c r="H219" s="114" t="s">
        <v>2783</v>
      </c>
      <c r="I219" s="115"/>
      <c r="J219" s="114" t="s">
        <v>2805</v>
      </c>
      <c r="K219" s="114" t="s">
        <v>2806</v>
      </c>
      <c r="L219" s="114" t="s">
        <v>2685</v>
      </c>
      <c r="M219" s="105" t="s">
        <v>2870</v>
      </c>
      <c r="N219" s="114" t="s">
        <v>64</v>
      </c>
      <c r="O219" s="100"/>
      <c r="P219" s="116"/>
      <c r="Q219" s="117"/>
      <c r="R219" s="118"/>
      <c r="S219" s="119"/>
      <c r="T219" s="119"/>
      <c r="U219" s="119"/>
      <c r="V219" s="119"/>
      <c r="W219" s="119"/>
      <c r="X219" s="119"/>
      <c r="Y219" s="120"/>
      <c r="Z219" s="120"/>
      <c r="AA219" s="120"/>
      <c r="AB219" s="120"/>
      <c r="AC219" s="120"/>
    </row>
    <row r="220">
      <c r="A220" s="90"/>
      <c r="B220" s="37">
        <v>46218.0</v>
      </c>
      <c r="C220" s="96" t="s">
        <v>1839</v>
      </c>
      <c r="D220" s="22" t="s">
        <v>2871</v>
      </c>
      <c r="E220" s="102"/>
      <c r="F220" s="102"/>
      <c r="G220" s="113" t="s">
        <v>2872</v>
      </c>
      <c r="H220" s="114" t="s">
        <v>2783</v>
      </c>
      <c r="I220" s="115"/>
      <c r="J220" s="114" t="s">
        <v>2784</v>
      </c>
      <c r="K220" s="113" t="s">
        <v>1399</v>
      </c>
      <c r="L220" s="114" t="s">
        <v>2873</v>
      </c>
      <c r="M220" s="105" t="s">
        <v>2874</v>
      </c>
      <c r="N220" s="114" t="s">
        <v>64</v>
      </c>
      <c r="O220" s="100"/>
      <c r="P220" s="116"/>
      <c r="Q220" s="117"/>
      <c r="R220" s="118"/>
      <c r="S220" s="119"/>
      <c r="T220" s="119"/>
      <c r="U220" s="119"/>
      <c r="V220" s="119"/>
      <c r="W220" s="119"/>
      <c r="X220" s="119"/>
      <c r="Y220" s="120"/>
      <c r="Z220" s="120"/>
      <c r="AA220" s="120"/>
      <c r="AB220" s="120"/>
      <c r="AC220" s="120"/>
    </row>
    <row r="221">
      <c r="A221" s="90"/>
      <c r="B221" s="37">
        <v>46218.0</v>
      </c>
      <c r="C221" s="96" t="s">
        <v>1839</v>
      </c>
      <c r="D221" s="22" t="s">
        <v>2875</v>
      </c>
      <c r="E221" s="102"/>
      <c r="F221" s="102"/>
      <c r="G221" s="113" t="s">
        <v>2876</v>
      </c>
      <c r="H221" s="114" t="s">
        <v>2783</v>
      </c>
      <c r="I221" s="115"/>
      <c r="J221" s="114" t="s">
        <v>2784</v>
      </c>
      <c r="K221" s="113" t="s">
        <v>1399</v>
      </c>
      <c r="L221" s="114" t="s">
        <v>2877</v>
      </c>
      <c r="M221" s="105" t="s">
        <v>2878</v>
      </c>
      <c r="N221" s="114" t="s">
        <v>64</v>
      </c>
      <c r="O221" s="100"/>
      <c r="P221" s="116"/>
      <c r="Q221" s="117"/>
      <c r="R221" s="118"/>
      <c r="S221" s="119"/>
      <c r="T221" s="119"/>
      <c r="U221" s="119"/>
      <c r="V221" s="119"/>
      <c r="W221" s="119"/>
      <c r="X221" s="119"/>
      <c r="Y221" s="120"/>
      <c r="Z221" s="120"/>
      <c r="AA221" s="120"/>
      <c r="AB221" s="120"/>
      <c r="AC221" s="120"/>
    </row>
    <row r="222">
      <c r="A222" s="90"/>
      <c r="B222" s="37">
        <v>46218.0</v>
      </c>
      <c r="C222" s="96" t="s">
        <v>1839</v>
      </c>
      <c r="D222" s="22" t="s">
        <v>2879</v>
      </c>
      <c r="E222" s="102"/>
      <c r="F222" s="102"/>
      <c r="G222" s="113" t="s">
        <v>2788</v>
      </c>
      <c r="H222" s="114" t="s">
        <v>2783</v>
      </c>
      <c r="I222" s="115"/>
      <c r="J222" s="114" t="s">
        <v>2789</v>
      </c>
      <c r="K222" s="114" t="s">
        <v>2880</v>
      </c>
      <c r="L222" s="114" t="s">
        <v>2791</v>
      </c>
      <c r="M222" s="105" t="s">
        <v>2881</v>
      </c>
      <c r="N222" s="114" t="s">
        <v>64</v>
      </c>
      <c r="O222" s="100"/>
      <c r="P222" s="116"/>
      <c r="Q222" s="117"/>
      <c r="R222" s="118"/>
      <c r="S222" s="119"/>
      <c r="T222" s="119"/>
      <c r="U222" s="119"/>
      <c r="V222" s="119"/>
      <c r="W222" s="119"/>
      <c r="X222" s="119"/>
      <c r="Y222" s="120"/>
      <c r="Z222" s="120"/>
      <c r="AA222" s="120"/>
      <c r="AB222" s="120"/>
      <c r="AC222" s="120"/>
    </row>
    <row r="223">
      <c r="A223" s="90"/>
      <c r="B223" s="37">
        <v>46218.0</v>
      </c>
      <c r="C223" s="96" t="s">
        <v>1839</v>
      </c>
      <c r="D223" s="22" t="s">
        <v>2882</v>
      </c>
      <c r="E223" s="102"/>
      <c r="F223" s="102"/>
      <c r="G223" s="113" t="s">
        <v>2794</v>
      </c>
      <c r="H223" s="114" t="s">
        <v>2783</v>
      </c>
      <c r="I223" s="115"/>
      <c r="J223" s="114" t="s">
        <v>2795</v>
      </c>
      <c r="K223" s="114" t="s">
        <v>2883</v>
      </c>
      <c r="L223" s="114" t="s">
        <v>2791</v>
      </c>
      <c r="M223" s="105" t="s">
        <v>2884</v>
      </c>
      <c r="N223" s="114" t="s">
        <v>64</v>
      </c>
      <c r="O223" s="100"/>
      <c r="P223" s="116"/>
      <c r="Q223" s="117"/>
      <c r="R223" s="118"/>
      <c r="S223" s="119"/>
      <c r="T223" s="119"/>
      <c r="U223" s="119"/>
      <c r="V223" s="119"/>
      <c r="W223" s="119"/>
      <c r="X223" s="119"/>
      <c r="Y223" s="120"/>
      <c r="Z223" s="120"/>
      <c r="AA223" s="120"/>
      <c r="AB223" s="120"/>
      <c r="AC223" s="120"/>
    </row>
    <row r="224">
      <c r="A224" s="90"/>
      <c r="B224" s="37">
        <v>46218.0</v>
      </c>
      <c r="C224" s="96" t="s">
        <v>1839</v>
      </c>
      <c r="D224" s="22" t="s">
        <v>2885</v>
      </c>
      <c r="E224" s="102"/>
      <c r="F224" s="102"/>
      <c r="G224" s="113" t="s">
        <v>2799</v>
      </c>
      <c r="H224" s="114" t="s">
        <v>2783</v>
      </c>
      <c r="I224" s="115"/>
      <c r="J224" s="114" t="s">
        <v>2800</v>
      </c>
      <c r="K224" s="114" t="s">
        <v>2801</v>
      </c>
      <c r="L224" s="114" t="s">
        <v>2685</v>
      </c>
      <c r="M224" s="105" t="s">
        <v>2886</v>
      </c>
      <c r="N224" s="114" t="s">
        <v>64</v>
      </c>
      <c r="O224" s="100"/>
      <c r="P224" s="116"/>
      <c r="Q224" s="117"/>
      <c r="R224" s="118"/>
      <c r="S224" s="119"/>
      <c r="T224" s="119"/>
      <c r="U224" s="119"/>
      <c r="V224" s="119"/>
      <c r="W224" s="119"/>
      <c r="X224" s="119"/>
      <c r="Y224" s="120"/>
      <c r="Z224" s="120"/>
      <c r="AA224" s="120"/>
      <c r="AB224" s="120"/>
      <c r="AC224" s="120"/>
    </row>
    <row r="225">
      <c r="A225" s="90"/>
      <c r="B225" s="37">
        <v>46218.0</v>
      </c>
      <c r="C225" s="96" t="s">
        <v>1839</v>
      </c>
      <c r="D225" s="22" t="s">
        <v>2887</v>
      </c>
      <c r="E225" s="102"/>
      <c r="F225" s="102"/>
      <c r="G225" s="113" t="s">
        <v>2804</v>
      </c>
      <c r="H225" s="114" t="s">
        <v>2783</v>
      </c>
      <c r="I225" s="115"/>
      <c r="J225" s="114" t="s">
        <v>2805</v>
      </c>
      <c r="K225" s="114" t="s">
        <v>2806</v>
      </c>
      <c r="L225" s="114" t="s">
        <v>2685</v>
      </c>
      <c r="M225" s="105" t="s">
        <v>2888</v>
      </c>
      <c r="N225" s="114" t="s">
        <v>64</v>
      </c>
      <c r="O225" s="100"/>
      <c r="P225" s="116"/>
      <c r="Q225" s="117"/>
      <c r="R225" s="118"/>
      <c r="S225" s="119"/>
      <c r="T225" s="119"/>
      <c r="U225" s="119"/>
      <c r="V225" s="119"/>
      <c r="W225" s="119"/>
      <c r="X225" s="119"/>
      <c r="Y225" s="120"/>
      <c r="Z225" s="120"/>
      <c r="AA225" s="120"/>
      <c r="AB225" s="120"/>
      <c r="AC225" s="120"/>
    </row>
    <row r="226">
      <c r="A226" s="90"/>
      <c r="B226" s="37">
        <v>46219.0</v>
      </c>
      <c r="C226" s="96" t="s">
        <v>1839</v>
      </c>
      <c r="D226" s="22" t="s">
        <v>2889</v>
      </c>
      <c r="E226" s="102"/>
      <c r="F226" s="102"/>
      <c r="G226" s="113" t="s">
        <v>2890</v>
      </c>
      <c r="H226" s="114" t="s">
        <v>2783</v>
      </c>
      <c r="I226" s="115"/>
      <c r="J226" s="114" t="s">
        <v>2784</v>
      </c>
      <c r="K226" s="113" t="s">
        <v>1399</v>
      </c>
      <c r="L226" s="114" t="s">
        <v>2891</v>
      </c>
      <c r="M226" s="105" t="s">
        <v>2892</v>
      </c>
      <c r="N226" s="114" t="s">
        <v>64</v>
      </c>
      <c r="O226" s="100"/>
      <c r="P226" s="116"/>
      <c r="Q226" s="117"/>
      <c r="R226" s="118"/>
      <c r="S226" s="119"/>
      <c r="T226" s="119"/>
      <c r="U226" s="119"/>
      <c r="V226" s="119"/>
      <c r="W226" s="119"/>
      <c r="X226" s="119"/>
      <c r="Y226" s="120"/>
      <c r="Z226" s="120"/>
      <c r="AA226" s="120"/>
      <c r="AB226" s="120"/>
      <c r="AC226" s="120"/>
    </row>
    <row r="227">
      <c r="A227" s="90"/>
      <c r="B227" s="37">
        <v>46219.0</v>
      </c>
      <c r="C227" s="96" t="s">
        <v>1839</v>
      </c>
      <c r="D227" s="22" t="s">
        <v>2893</v>
      </c>
      <c r="E227" s="102"/>
      <c r="F227" s="102"/>
      <c r="G227" s="113" t="s">
        <v>2788</v>
      </c>
      <c r="H227" s="114" t="s">
        <v>2783</v>
      </c>
      <c r="I227" s="115"/>
      <c r="J227" s="114" t="s">
        <v>2789</v>
      </c>
      <c r="K227" s="114" t="s">
        <v>2880</v>
      </c>
      <c r="L227" s="114" t="s">
        <v>2791</v>
      </c>
      <c r="M227" s="105" t="s">
        <v>2894</v>
      </c>
      <c r="N227" s="114" t="s">
        <v>64</v>
      </c>
      <c r="O227" s="100"/>
      <c r="P227" s="116"/>
      <c r="Q227" s="117"/>
      <c r="R227" s="118"/>
      <c r="S227" s="119"/>
      <c r="T227" s="119"/>
      <c r="U227" s="119"/>
      <c r="V227" s="119"/>
      <c r="W227" s="119"/>
      <c r="X227" s="119"/>
      <c r="Y227" s="120"/>
      <c r="Z227" s="120"/>
      <c r="AA227" s="120"/>
      <c r="AB227" s="120"/>
      <c r="AC227" s="120"/>
    </row>
    <row r="228">
      <c r="A228" s="90"/>
      <c r="B228" s="37">
        <v>46219.0</v>
      </c>
      <c r="C228" s="96" t="s">
        <v>1839</v>
      </c>
      <c r="D228" s="22" t="s">
        <v>2895</v>
      </c>
      <c r="E228" s="102"/>
      <c r="F228" s="102"/>
      <c r="G228" s="113" t="s">
        <v>2794</v>
      </c>
      <c r="H228" s="114" t="s">
        <v>2783</v>
      </c>
      <c r="I228" s="115"/>
      <c r="J228" s="114" t="s">
        <v>2795</v>
      </c>
      <c r="K228" s="114" t="s">
        <v>2883</v>
      </c>
      <c r="L228" s="114" t="s">
        <v>2791</v>
      </c>
      <c r="M228" s="105" t="s">
        <v>2896</v>
      </c>
      <c r="N228" s="114" t="s">
        <v>64</v>
      </c>
      <c r="O228" s="100"/>
      <c r="P228" s="116"/>
      <c r="Q228" s="117"/>
      <c r="R228" s="118"/>
      <c r="S228" s="119"/>
      <c r="T228" s="119"/>
      <c r="U228" s="119"/>
      <c r="V228" s="119"/>
      <c r="W228" s="119"/>
      <c r="X228" s="119"/>
      <c r="Y228" s="120"/>
      <c r="Z228" s="120"/>
      <c r="AA228" s="120"/>
      <c r="AB228" s="120"/>
      <c r="AC228" s="120"/>
    </row>
    <row r="229">
      <c r="A229" s="90"/>
      <c r="B229" s="37">
        <v>46219.0</v>
      </c>
      <c r="C229" s="96" t="s">
        <v>1839</v>
      </c>
      <c r="D229" s="22" t="s">
        <v>2897</v>
      </c>
      <c r="E229" s="102"/>
      <c r="F229" s="102"/>
      <c r="G229" s="113" t="s">
        <v>2890</v>
      </c>
      <c r="H229" s="114" t="s">
        <v>2783</v>
      </c>
      <c r="I229" s="115"/>
      <c r="J229" s="114" t="s">
        <v>2784</v>
      </c>
      <c r="K229" s="113" t="s">
        <v>1399</v>
      </c>
      <c r="L229" s="114" t="s">
        <v>2898</v>
      </c>
      <c r="M229" s="105" t="s">
        <v>2899</v>
      </c>
      <c r="N229" s="114" t="s">
        <v>64</v>
      </c>
      <c r="O229" s="100"/>
      <c r="P229" s="116"/>
      <c r="Q229" s="117"/>
      <c r="R229" s="118"/>
      <c r="S229" s="119"/>
      <c r="T229" s="119"/>
      <c r="U229" s="119"/>
      <c r="V229" s="119"/>
      <c r="W229" s="119"/>
      <c r="X229" s="119"/>
      <c r="Y229" s="120"/>
      <c r="Z229" s="120"/>
      <c r="AA229" s="120"/>
      <c r="AB229" s="120"/>
      <c r="AC229" s="120"/>
    </row>
    <row r="230">
      <c r="A230" s="90"/>
      <c r="B230" s="37">
        <v>46219.0</v>
      </c>
      <c r="C230" s="96" t="s">
        <v>1839</v>
      </c>
      <c r="D230" s="22" t="s">
        <v>2900</v>
      </c>
      <c r="E230" s="102"/>
      <c r="F230" s="102"/>
      <c r="G230" s="113" t="s">
        <v>2788</v>
      </c>
      <c r="H230" s="114" t="s">
        <v>2783</v>
      </c>
      <c r="I230" s="115"/>
      <c r="J230" s="114" t="s">
        <v>2789</v>
      </c>
      <c r="K230" s="114" t="s">
        <v>2901</v>
      </c>
      <c r="L230" s="114" t="s">
        <v>2791</v>
      </c>
      <c r="M230" s="105" t="s">
        <v>2902</v>
      </c>
      <c r="N230" s="114" t="s">
        <v>64</v>
      </c>
      <c r="O230" s="100"/>
      <c r="P230" s="116"/>
      <c r="Q230" s="117"/>
      <c r="R230" s="118"/>
      <c r="S230" s="119"/>
      <c r="T230" s="119"/>
      <c r="U230" s="119"/>
      <c r="V230" s="119"/>
      <c r="W230" s="119"/>
      <c r="X230" s="119"/>
      <c r="Y230" s="120"/>
      <c r="Z230" s="120"/>
      <c r="AA230" s="120"/>
      <c r="AB230" s="120"/>
      <c r="AC230" s="120"/>
    </row>
    <row r="231">
      <c r="A231" s="90"/>
      <c r="B231" s="37">
        <v>46219.0</v>
      </c>
      <c r="C231" s="96" t="s">
        <v>1839</v>
      </c>
      <c r="D231" s="22" t="s">
        <v>2903</v>
      </c>
      <c r="E231" s="102"/>
      <c r="F231" s="102"/>
      <c r="G231" s="113" t="s">
        <v>2794</v>
      </c>
      <c r="H231" s="114" t="s">
        <v>2783</v>
      </c>
      <c r="I231" s="115"/>
      <c r="J231" s="114" t="s">
        <v>2795</v>
      </c>
      <c r="K231" s="114" t="s">
        <v>2904</v>
      </c>
      <c r="L231" s="114" t="s">
        <v>2791</v>
      </c>
      <c r="M231" s="105" t="s">
        <v>2905</v>
      </c>
      <c r="N231" s="114" t="s">
        <v>64</v>
      </c>
      <c r="O231" s="100"/>
      <c r="P231" s="116"/>
      <c r="Q231" s="117"/>
      <c r="R231" s="118"/>
      <c r="S231" s="119"/>
      <c r="T231" s="119"/>
      <c r="U231" s="119"/>
      <c r="V231" s="119"/>
      <c r="W231" s="119"/>
      <c r="X231" s="119"/>
      <c r="Y231" s="120"/>
      <c r="Z231" s="120"/>
      <c r="AA231" s="120"/>
      <c r="AB231" s="120"/>
      <c r="AC231" s="120"/>
    </row>
    <row r="232">
      <c r="A232" s="90"/>
      <c r="B232" s="37">
        <v>46219.0</v>
      </c>
      <c r="C232" s="96" t="s">
        <v>1839</v>
      </c>
      <c r="D232" s="22" t="s">
        <v>2906</v>
      </c>
      <c r="E232" s="102"/>
      <c r="F232" s="102"/>
      <c r="G232" s="113" t="s">
        <v>2872</v>
      </c>
      <c r="H232" s="114" t="s">
        <v>2783</v>
      </c>
      <c r="I232" s="115"/>
      <c r="J232" s="114" t="s">
        <v>2784</v>
      </c>
      <c r="K232" s="113" t="s">
        <v>1399</v>
      </c>
      <c r="L232" s="114" t="s">
        <v>2907</v>
      </c>
      <c r="M232" s="105" t="s">
        <v>2908</v>
      </c>
      <c r="N232" s="114" t="s">
        <v>64</v>
      </c>
      <c r="O232" s="100"/>
      <c r="P232" s="116"/>
      <c r="Q232" s="117"/>
      <c r="R232" s="118"/>
      <c r="S232" s="119"/>
      <c r="T232" s="119"/>
      <c r="U232" s="119"/>
      <c r="V232" s="119"/>
      <c r="W232" s="119"/>
      <c r="X232" s="119"/>
      <c r="Y232" s="120"/>
      <c r="Z232" s="120"/>
      <c r="AA232" s="120"/>
      <c r="AB232" s="120"/>
      <c r="AC232" s="120"/>
    </row>
    <row r="233">
      <c r="A233" s="90"/>
      <c r="B233" s="37">
        <v>46219.0</v>
      </c>
      <c r="C233" s="96" t="s">
        <v>1839</v>
      </c>
      <c r="D233" s="22" t="s">
        <v>2909</v>
      </c>
      <c r="E233" s="102"/>
      <c r="F233" s="102"/>
      <c r="G233" s="113" t="s">
        <v>2788</v>
      </c>
      <c r="H233" s="114" t="s">
        <v>2783</v>
      </c>
      <c r="I233" s="115"/>
      <c r="J233" s="114" t="s">
        <v>2789</v>
      </c>
      <c r="K233" s="114" t="s">
        <v>2901</v>
      </c>
      <c r="L233" s="114" t="s">
        <v>2791</v>
      </c>
      <c r="M233" s="105" t="s">
        <v>2910</v>
      </c>
      <c r="N233" s="114" t="s">
        <v>64</v>
      </c>
      <c r="O233" s="100"/>
      <c r="P233" s="116"/>
      <c r="Q233" s="117"/>
      <c r="R233" s="118"/>
      <c r="S233" s="119"/>
      <c r="T233" s="119"/>
      <c r="U233" s="119"/>
      <c r="V233" s="119"/>
      <c r="W233" s="119"/>
      <c r="X233" s="119"/>
      <c r="Y233" s="120"/>
      <c r="Z233" s="120"/>
      <c r="AA233" s="120"/>
      <c r="AB233" s="120"/>
      <c r="AC233" s="120"/>
    </row>
    <row r="234">
      <c r="A234" s="90"/>
      <c r="B234" s="37">
        <v>46219.0</v>
      </c>
      <c r="C234" s="96" t="s">
        <v>1839</v>
      </c>
      <c r="D234" s="22" t="s">
        <v>2911</v>
      </c>
      <c r="E234" s="102"/>
      <c r="F234" s="102"/>
      <c r="G234" s="113" t="s">
        <v>2794</v>
      </c>
      <c r="H234" s="114" t="s">
        <v>2783</v>
      </c>
      <c r="I234" s="115"/>
      <c r="J234" s="114" t="s">
        <v>2795</v>
      </c>
      <c r="K234" s="114" t="s">
        <v>2904</v>
      </c>
      <c r="L234" s="114" t="s">
        <v>2791</v>
      </c>
      <c r="M234" s="105" t="s">
        <v>2912</v>
      </c>
      <c r="N234" s="114" t="s">
        <v>64</v>
      </c>
      <c r="O234" s="100"/>
      <c r="P234" s="116"/>
      <c r="Q234" s="117"/>
      <c r="R234" s="118"/>
      <c r="S234" s="119"/>
      <c r="T234" s="119"/>
      <c r="U234" s="119"/>
      <c r="V234" s="119"/>
      <c r="W234" s="119"/>
      <c r="X234" s="119"/>
      <c r="Y234" s="120"/>
      <c r="Z234" s="120"/>
      <c r="AA234" s="120"/>
      <c r="AB234" s="120"/>
      <c r="AC234" s="120"/>
    </row>
    <row r="235">
      <c r="A235" s="90"/>
      <c r="B235" s="37">
        <v>46219.0</v>
      </c>
      <c r="C235" s="96" t="s">
        <v>1839</v>
      </c>
      <c r="D235" s="22" t="s">
        <v>2913</v>
      </c>
      <c r="E235" s="102"/>
      <c r="F235" s="102"/>
      <c r="G235" s="113" t="s">
        <v>2872</v>
      </c>
      <c r="H235" s="114" t="s">
        <v>2783</v>
      </c>
      <c r="I235" s="115"/>
      <c r="J235" s="114" t="s">
        <v>2784</v>
      </c>
      <c r="K235" s="113" t="s">
        <v>1399</v>
      </c>
      <c r="L235" s="114" t="s">
        <v>2914</v>
      </c>
      <c r="M235" s="105" t="s">
        <v>2915</v>
      </c>
      <c r="N235" s="114" t="s">
        <v>64</v>
      </c>
      <c r="O235" s="100"/>
      <c r="P235" s="116"/>
      <c r="Q235" s="117"/>
      <c r="R235" s="118"/>
      <c r="S235" s="119"/>
      <c r="T235" s="119"/>
      <c r="U235" s="119"/>
      <c r="V235" s="119"/>
      <c r="W235" s="119"/>
      <c r="X235" s="119"/>
      <c r="Y235" s="120"/>
      <c r="Z235" s="120"/>
      <c r="AA235" s="120"/>
      <c r="AB235" s="120"/>
      <c r="AC235" s="120"/>
    </row>
    <row r="236">
      <c r="A236" s="90"/>
      <c r="B236" s="37">
        <v>46219.0</v>
      </c>
      <c r="C236" s="96" t="s">
        <v>1839</v>
      </c>
      <c r="D236" s="22" t="s">
        <v>2916</v>
      </c>
      <c r="E236" s="102"/>
      <c r="F236" s="102"/>
      <c r="G236" s="113" t="s">
        <v>2890</v>
      </c>
      <c r="H236" s="114" t="s">
        <v>2783</v>
      </c>
      <c r="I236" s="115"/>
      <c r="J236" s="114" t="s">
        <v>2784</v>
      </c>
      <c r="K236" s="113" t="s">
        <v>1399</v>
      </c>
      <c r="L236" s="114" t="s">
        <v>2917</v>
      </c>
      <c r="M236" s="105" t="s">
        <v>2918</v>
      </c>
      <c r="N236" s="114" t="s">
        <v>64</v>
      </c>
      <c r="O236" s="100"/>
      <c r="P236" s="116"/>
      <c r="Q236" s="117"/>
      <c r="R236" s="118"/>
      <c r="S236" s="119"/>
      <c r="T236" s="119"/>
      <c r="U236" s="119"/>
      <c r="V236" s="119"/>
      <c r="W236" s="119"/>
      <c r="X236" s="119"/>
      <c r="Y236" s="120"/>
      <c r="Z236" s="120"/>
      <c r="AA236" s="120"/>
      <c r="AB236" s="120"/>
      <c r="AC236" s="120"/>
    </row>
    <row r="237">
      <c r="A237" s="90"/>
      <c r="B237" s="37">
        <v>46219.0</v>
      </c>
      <c r="C237" s="96" t="s">
        <v>1839</v>
      </c>
      <c r="D237" s="22" t="s">
        <v>2919</v>
      </c>
      <c r="E237" s="100"/>
      <c r="F237" s="100"/>
      <c r="G237" s="113" t="s">
        <v>2788</v>
      </c>
      <c r="H237" s="114" t="s">
        <v>2783</v>
      </c>
      <c r="I237" s="115"/>
      <c r="J237" s="114" t="s">
        <v>2789</v>
      </c>
      <c r="K237" s="114" t="s">
        <v>2920</v>
      </c>
      <c r="L237" s="114" t="s">
        <v>2791</v>
      </c>
      <c r="M237" s="105" t="s">
        <v>2921</v>
      </c>
      <c r="N237" s="114" t="s">
        <v>64</v>
      </c>
      <c r="O237" s="100"/>
      <c r="P237" s="116"/>
      <c r="Q237" s="117"/>
      <c r="R237" s="118"/>
      <c r="S237" s="119"/>
      <c r="T237" s="119"/>
      <c r="U237" s="119"/>
      <c r="V237" s="119"/>
      <c r="W237" s="119"/>
      <c r="X237" s="119"/>
      <c r="Y237" s="120"/>
      <c r="Z237" s="120"/>
      <c r="AA237" s="120"/>
      <c r="AB237" s="120"/>
      <c r="AC237" s="120"/>
    </row>
    <row r="238">
      <c r="A238" s="90"/>
      <c r="B238" s="37">
        <v>46219.0</v>
      </c>
      <c r="C238" s="96" t="s">
        <v>1839</v>
      </c>
      <c r="D238" s="22" t="s">
        <v>2922</v>
      </c>
      <c r="E238" s="100"/>
      <c r="F238" s="100"/>
      <c r="G238" s="113" t="s">
        <v>2794</v>
      </c>
      <c r="H238" s="114" t="s">
        <v>2783</v>
      </c>
      <c r="I238" s="115"/>
      <c r="J238" s="114" t="s">
        <v>2795</v>
      </c>
      <c r="K238" s="114" t="s">
        <v>2923</v>
      </c>
      <c r="L238" s="114" t="s">
        <v>2791</v>
      </c>
      <c r="M238" s="105" t="s">
        <v>2924</v>
      </c>
      <c r="N238" s="114" t="s">
        <v>64</v>
      </c>
      <c r="O238" s="100"/>
      <c r="P238" s="116"/>
      <c r="Q238" s="117"/>
      <c r="R238" s="118"/>
      <c r="S238" s="119"/>
      <c r="T238" s="119"/>
      <c r="U238" s="119"/>
      <c r="V238" s="119"/>
      <c r="W238" s="119"/>
      <c r="X238" s="119"/>
      <c r="Y238" s="120"/>
      <c r="Z238" s="120"/>
      <c r="AA238" s="120"/>
      <c r="AB238" s="120"/>
      <c r="AC238" s="120"/>
    </row>
    <row r="239">
      <c r="A239" s="90"/>
      <c r="B239" s="37">
        <v>46219.0</v>
      </c>
      <c r="C239" s="96" t="s">
        <v>1839</v>
      </c>
      <c r="D239" s="22" t="s">
        <v>2925</v>
      </c>
      <c r="E239" s="100"/>
      <c r="F239" s="100"/>
      <c r="G239" s="113" t="s">
        <v>2788</v>
      </c>
      <c r="H239" s="114" t="s">
        <v>2783</v>
      </c>
      <c r="I239" s="115"/>
      <c r="J239" s="114" t="s">
        <v>2789</v>
      </c>
      <c r="K239" s="114" t="s">
        <v>2926</v>
      </c>
      <c r="L239" s="114" t="s">
        <v>2791</v>
      </c>
      <c r="M239" s="105" t="s">
        <v>2927</v>
      </c>
      <c r="N239" s="114" t="s">
        <v>64</v>
      </c>
      <c r="O239" s="100"/>
      <c r="P239" s="116"/>
      <c r="Q239" s="117"/>
      <c r="R239" s="118"/>
      <c r="S239" s="119"/>
      <c r="T239" s="119"/>
      <c r="U239" s="119"/>
      <c r="V239" s="119"/>
      <c r="W239" s="119"/>
      <c r="X239" s="119"/>
      <c r="Y239" s="120"/>
      <c r="Z239" s="120"/>
      <c r="AA239" s="120"/>
      <c r="AB239" s="120"/>
      <c r="AC239" s="120"/>
    </row>
    <row r="240">
      <c r="A240" s="90"/>
      <c r="B240" s="37">
        <v>46219.0</v>
      </c>
      <c r="C240" s="96" t="s">
        <v>1839</v>
      </c>
      <c r="D240" s="22" t="s">
        <v>2928</v>
      </c>
      <c r="E240" s="100"/>
      <c r="F240" s="100"/>
      <c r="G240" s="113" t="s">
        <v>2794</v>
      </c>
      <c r="H240" s="114" t="s">
        <v>2783</v>
      </c>
      <c r="I240" s="115"/>
      <c r="J240" s="114" t="s">
        <v>2795</v>
      </c>
      <c r="K240" s="114" t="s">
        <v>2929</v>
      </c>
      <c r="L240" s="114" t="s">
        <v>2791</v>
      </c>
      <c r="M240" s="105" t="s">
        <v>2930</v>
      </c>
      <c r="N240" s="114" t="s">
        <v>64</v>
      </c>
      <c r="O240" s="100"/>
      <c r="P240" s="116"/>
      <c r="Q240" s="117"/>
      <c r="R240" s="118"/>
      <c r="S240" s="119"/>
      <c r="T240" s="119"/>
      <c r="U240" s="119"/>
      <c r="V240" s="119"/>
      <c r="W240" s="119"/>
      <c r="X240" s="119"/>
      <c r="Y240" s="120"/>
      <c r="Z240" s="120"/>
      <c r="AA240" s="120"/>
      <c r="AB240" s="120"/>
      <c r="AC240" s="120"/>
    </row>
    <row r="241">
      <c r="A241" s="90"/>
      <c r="B241" s="108">
        <v>135.0</v>
      </c>
      <c r="C241" s="96" t="s">
        <v>1839</v>
      </c>
      <c r="D241" s="109" t="s">
        <v>2931</v>
      </c>
      <c r="E241" s="110" t="s">
        <v>2932</v>
      </c>
      <c r="F241" s="110" t="s">
        <v>30</v>
      </c>
      <c r="G241" s="121" t="s">
        <v>2933</v>
      </c>
      <c r="H241" s="114" t="s">
        <v>2783</v>
      </c>
      <c r="I241" s="115"/>
      <c r="J241" s="114" t="s">
        <v>2784</v>
      </c>
      <c r="K241" s="114" t="s">
        <v>2821</v>
      </c>
      <c r="L241" s="114" t="s">
        <v>2934</v>
      </c>
      <c r="M241" s="105" t="s">
        <v>2935</v>
      </c>
      <c r="N241" s="114" t="s">
        <v>64</v>
      </c>
      <c r="O241" s="100"/>
      <c r="P241" s="116"/>
      <c r="Q241" s="117"/>
      <c r="R241" s="118"/>
      <c r="S241" s="119"/>
      <c r="T241" s="119"/>
      <c r="U241" s="119"/>
      <c r="V241" s="119"/>
      <c r="W241" s="119"/>
      <c r="X241" s="119"/>
      <c r="Y241" s="120"/>
      <c r="Z241" s="120"/>
      <c r="AA241" s="120"/>
      <c r="AB241" s="120"/>
      <c r="AC241" s="120"/>
    </row>
    <row r="242">
      <c r="A242" s="90"/>
      <c r="B242" s="37">
        <v>46219.0</v>
      </c>
      <c r="C242" s="96" t="s">
        <v>1839</v>
      </c>
      <c r="D242" s="22" t="s">
        <v>2936</v>
      </c>
      <c r="E242" s="100"/>
      <c r="F242" s="100"/>
      <c r="G242" s="113" t="s">
        <v>2890</v>
      </c>
      <c r="H242" s="114" t="s">
        <v>2783</v>
      </c>
      <c r="I242" s="115"/>
      <c r="J242" s="114" t="s">
        <v>2784</v>
      </c>
      <c r="K242" s="113" t="s">
        <v>2937</v>
      </c>
      <c r="L242" s="114" t="s">
        <v>2938</v>
      </c>
      <c r="M242" s="105" t="s">
        <v>2939</v>
      </c>
      <c r="N242" s="114" t="s">
        <v>64</v>
      </c>
      <c r="O242" s="100"/>
      <c r="P242" s="116"/>
      <c r="Q242" s="117"/>
      <c r="R242" s="118"/>
      <c r="S242" s="119"/>
      <c r="T242" s="119"/>
      <c r="U242" s="119"/>
      <c r="V242" s="119"/>
      <c r="W242" s="119"/>
      <c r="X242" s="119"/>
      <c r="Y242" s="120"/>
      <c r="Z242" s="120"/>
      <c r="AA242" s="120"/>
      <c r="AB242" s="120"/>
      <c r="AC242" s="120"/>
    </row>
    <row r="243">
      <c r="A243" s="90"/>
      <c r="B243" s="37">
        <v>46219.0</v>
      </c>
      <c r="C243" s="96" t="s">
        <v>1839</v>
      </c>
      <c r="D243" s="22" t="s">
        <v>2940</v>
      </c>
      <c r="E243" s="102"/>
      <c r="F243" s="102"/>
      <c r="G243" s="113" t="s">
        <v>2788</v>
      </c>
      <c r="H243" s="114" t="s">
        <v>2783</v>
      </c>
      <c r="I243" s="115"/>
      <c r="J243" s="114" t="s">
        <v>2789</v>
      </c>
      <c r="K243" s="114" t="s">
        <v>2926</v>
      </c>
      <c r="L243" s="114" t="s">
        <v>2791</v>
      </c>
      <c r="M243" s="105" t="s">
        <v>2941</v>
      </c>
      <c r="N243" s="114" t="s">
        <v>64</v>
      </c>
      <c r="O243" s="100"/>
      <c r="P243" s="116"/>
      <c r="Q243" s="117"/>
      <c r="R243" s="118"/>
      <c r="S243" s="119"/>
      <c r="T243" s="119"/>
      <c r="U243" s="119"/>
      <c r="V243" s="119"/>
      <c r="W243" s="119"/>
      <c r="X243" s="119"/>
      <c r="Y243" s="120"/>
      <c r="Z243" s="120"/>
      <c r="AA243" s="120"/>
      <c r="AB243" s="120"/>
      <c r="AC243" s="120"/>
    </row>
    <row r="244">
      <c r="A244" s="90"/>
      <c r="B244" s="37">
        <v>46219.0</v>
      </c>
      <c r="C244" s="96" t="s">
        <v>1839</v>
      </c>
      <c r="D244" s="22" t="s">
        <v>2942</v>
      </c>
      <c r="E244" s="102"/>
      <c r="F244" s="102"/>
      <c r="G244" s="113" t="s">
        <v>2794</v>
      </c>
      <c r="H244" s="114" t="s">
        <v>2783</v>
      </c>
      <c r="I244" s="115"/>
      <c r="J244" s="114" t="s">
        <v>2795</v>
      </c>
      <c r="K244" s="114" t="s">
        <v>2929</v>
      </c>
      <c r="L244" s="114" t="s">
        <v>2791</v>
      </c>
      <c r="M244" s="105" t="s">
        <v>2943</v>
      </c>
      <c r="N244" s="114" t="s">
        <v>64</v>
      </c>
      <c r="O244" s="100"/>
      <c r="P244" s="116"/>
      <c r="Q244" s="117"/>
      <c r="R244" s="118"/>
      <c r="S244" s="119"/>
      <c r="T244" s="119"/>
      <c r="U244" s="119"/>
      <c r="V244" s="119"/>
      <c r="W244" s="119"/>
      <c r="X244" s="119"/>
      <c r="Y244" s="120"/>
      <c r="Z244" s="120"/>
      <c r="AA244" s="120"/>
      <c r="AB244" s="120"/>
      <c r="AC244" s="120"/>
    </row>
    <row r="245">
      <c r="A245" s="90"/>
      <c r="B245" s="37">
        <v>46219.0</v>
      </c>
      <c r="C245" s="96" t="s">
        <v>1839</v>
      </c>
      <c r="D245" s="22" t="s">
        <v>2944</v>
      </c>
      <c r="E245" s="102"/>
      <c r="F245" s="102"/>
      <c r="G245" s="113" t="s">
        <v>2890</v>
      </c>
      <c r="H245" s="114" t="s">
        <v>2783</v>
      </c>
      <c r="I245" s="115"/>
      <c r="J245" s="114" t="s">
        <v>2784</v>
      </c>
      <c r="K245" s="113" t="s">
        <v>2945</v>
      </c>
      <c r="L245" s="114" t="s">
        <v>2946</v>
      </c>
      <c r="M245" s="105" t="s">
        <v>2947</v>
      </c>
      <c r="N245" s="114" t="s">
        <v>64</v>
      </c>
      <c r="O245" s="100"/>
      <c r="P245" s="116"/>
      <c r="Q245" s="117"/>
      <c r="R245" s="118"/>
      <c r="S245" s="119"/>
      <c r="T245" s="119"/>
      <c r="U245" s="119"/>
      <c r="V245" s="119"/>
      <c r="W245" s="119"/>
      <c r="X245" s="119"/>
      <c r="Y245" s="120"/>
      <c r="Z245" s="120"/>
      <c r="AA245" s="120"/>
      <c r="AB245" s="120"/>
      <c r="AC245" s="120"/>
    </row>
    <row r="246">
      <c r="A246" s="90"/>
      <c r="B246" s="37">
        <v>46219.0</v>
      </c>
      <c r="C246" s="96" t="s">
        <v>1839</v>
      </c>
      <c r="D246" s="22" t="s">
        <v>2948</v>
      </c>
      <c r="E246" s="102"/>
      <c r="F246" s="102"/>
      <c r="G246" s="113" t="s">
        <v>2788</v>
      </c>
      <c r="H246" s="114" t="s">
        <v>2783</v>
      </c>
      <c r="I246" s="115"/>
      <c r="J246" s="114" t="s">
        <v>2789</v>
      </c>
      <c r="K246" s="114" t="s">
        <v>2926</v>
      </c>
      <c r="L246" s="114" t="s">
        <v>2791</v>
      </c>
      <c r="M246" s="105" t="s">
        <v>2949</v>
      </c>
      <c r="N246" s="114" t="s">
        <v>64</v>
      </c>
      <c r="O246" s="100"/>
      <c r="P246" s="116"/>
      <c r="Q246" s="117"/>
      <c r="R246" s="118"/>
      <c r="S246" s="119"/>
      <c r="T246" s="119"/>
      <c r="U246" s="119"/>
      <c r="V246" s="119"/>
      <c r="W246" s="119"/>
      <c r="X246" s="119"/>
      <c r="Y246" s="120"/>
      <c r="Z246" s="120"/>
      <c r="AA246" s="120"/>
      <c r="AB246" s="120"/>
      <c r="AC246" s="120"/>
    </row>
    <row r="247">
      <c r="A247" s="90"/>
      <c r="B247" s="37">
        <v>46219.0</v>
      </c>
      <c r="C247" s="96" t="s">
        <v>1839</v>
      </c>
      <c r="D247" s="22" t="s">
        <v>2950</v>
      </c>
      <c r="E247" s="102"/>
      <c r="F247" s="102"/>
      <c r="G247" s="113" t="s">
        <v>2794</v>
      </c>
      <c r="H247" s="114" t="s">
        <v>2783</v>
      </c>
      <c r="I247" s="115"/>
      <c r="J247" s="114" t="s">
        <v>2795</v>
      </c>
      <c r="K247" s="114" t="s">
        <v>2929</v>
      </c>
      <c r="L247" s="114" t="s">
        <v>2791</v>
      </c>
      <c r="M247" s="105" t="s">
        <v>2951</v>
      </c>
      <c r="N247" s="114" t="s">
        <v>64</v>
      </c>
      <c r="O247" s="100"/>
      <c r="P247" s="116"/>
      <c r="Q247" s="117"/>
      <c r="R247" s="118"/>
      <c r="S247" s="119"/>
      <c r="T247" s="119"/>
      <c r="U247" s="119"/>
      <c r="V247" s="119"/>
      <c r="W247" s="119"/>
      <c r="X247" s="119"/>
      <c r="Y247" s="120"/>
      <c r="Z247" s="120"/>
      <c r="AA247" s="120"/>
      <c r="AB247" s="120"/>
      <c r="AC247" s="120"/>
    </row>
    <row r="248">
      <c r="A248" s="90"/>
      <c r="B248" s="37">
        <v>46219.0</v>
      </c>
      <c r="C248" s="96" t="s">
        <v>1839</v>
      </c>
      <c r="D248" s="22" t="s">
        <v>2952</v>
      </c>
      <c r="E248" s="102"/>
      <c r="F248" s="102"/>
      <c r="G248" s="113" t="s">
        <v>2788</v>
      </c>
      <c r="H248" s="114" t="s">
        <v>2783</v>
      </c>
      <c r="I248" s="115"/>
      <c r="J248" s="114" t="s">
        <v>2789</v>
      </c>
      <c r="K248" s="114" t="s">
        <v>2926</v>
      </c>
      <c r="L248" s="114" t="s">
        <v>2791</v>
      </c>
      <c r="M248" s="105" t="s">
        <v>2953</v>
      </c>
      <c r="N248" s="114" t="s">
        <v>64</v>
      </c>
      <c r="O248" s="100"/>
      <c r="P248" s="116"/>
      <c r="Q248" s="117"/>
      <c r="R248" s="118"/>
      <c r="S248" s="119"/>
      <c r="T248" s="119"/>
      <c r="U248" s="119"/>
      <c r="V248" s="119"/>
      <c r="W248" s="119"/>
      <c r="X248" s="119"/>
      <c r="Y248" s="120"/>
      <c r="Z248" s="120"/>
      <c r="AA248" s="120"/>
      <c r="AB248" s="120"/>
      <c r="AC248" s="120"/>
    </row>
    <row r="249">
      <c r="A249" s="90"/>
      <c r="B249" s="37">
        <v>46219.0</v>
      </c>
      <c r="C249" s="96" t="s">
        <v>1839</v>
      </c>
      <c r="D249" s="22" t="s">
        <v>2954</v>
      </c>
      <c r="E249" s="102"/>
      <c r="F249" s="102"/>
      <c r="G249" s="113" t="s">
        <v>2794</v>
      </c>
      <c r="H249" s="114" t="s">
        <v>2783</v>
      </c>
      <c r="I249" s="115"/>
      <c r="J249" s="114" t="s">
        <v>2795</v>
      </c>
      <c r="K249" s="114" t="s">
        <v>2929</v>
      </c>
      <c r="L249" s="114" t="s">
        <v>2791</v>
      </c>
      <c r="M249" s="105" t="s">
        <v>2955</v>
      </c>
      <c r="N249" s="114" t="s">
        <v>64</v>
      </c>
      <c r="O249" s="100"/>
      <c r="P249" s="116"/>
      <c r="Q249" s="117"/>
      <c r="R249" s="118"/>
      <c r="S249" s="119"/>
      <c r="T249" s="119"/>
      <c r="U249" s="119"/>
      <c r="V249" s="119"/>
      <c r="W249" s="119"/>
      <c r="X249" s="119"/>
      <c r="Y249" s="120"/>
      <c r="Z249" s="120"/>
      <c r="AA249" s="120"/>
      <c r="AB249" s="120"/>
      <c r="AC249" s="120"/>
    </row>
    <row r="250">
      <c r="A250" s="90"/>
      <c r="B250" s="37">
        <v>46219.0</v>
      </c>
      <c r="C250" s="96" t="s">
        <v>1839</v>
      </c>
      <c r="D250" s="22" t="s">
        <v>2956</v>
      </c>
      <c r="E250" s="102"/>
      <c r="F250" s="102"/>
      <c r="G250" s="113" t="s">
        <v>2788</v>
      </c>
      <c r="H250" s="114" t="s">
        <v>2783</v>
      </c>
      <c r="I250" s="115"/>
      <c r="J250" s="114" t="s">
        <v>2789</v>
      </c>
      <c r="K250" s="114" t="s">
        <v>2957</v>
      </c>
      <c r="L250" s="114" t="s">
        <v>2791</v>
      </c>
      <c r="M250" s="105" t="s">
        <v>2958</v>
      </c>
      <c r="N250" s="114" t="s">
        <v>64</v>
      </c>
      <c r="O250" s="100"/>
      <c r="P250" s="116"/>
      <c r="Q250" s="117"/>
      <c r="R250" s="118"/>
      <c r="S250" s="119"/>
      <c r="T250" s="119"/>
      <c r="U250" s="119"/>
      <c r="V250" s="119"/>
      <c r="W250" s="119"/>
      <c r="X250" s="119"/>
      <c r="Y250" s="120"/>
      <c r="Z250" s="120"/>
      <c r="AA250" s="120"/>
      <c r="AB250" s="120"/>
      <c r="AC250" s="120"/>
    </row>
    <row r="251">
      <c r="A251" s="90"/>
      <c r="B251" s="37">
        <v>46219.0</v>
      </c>
      <c r="C251" s="96" t="s">
        <v>1839</v>
      </c>
      <c r="D251" s="22" t="s">
        <v>2959</v>
      </c>
      <c r="E251" s="102"/>
      <c r="F251" s="102"/>
      <c r="G251" s="113" t="s">
        <v>2794</v>
      </c>
      <c r="H251" s="114" t="s">
        <v>2783</v>
      </c>
      <c r="I251" s="115"/>
      <c r="J251" s="114" t="s">
        <v>2795</v>
      </c>
      <c r="K251" s="114" t="s">
        <v>2960</v>
      </c>
      <c r="L251" s="114" t="s">
        <v>2791</v>
      </c>
      <c r="M251" s="105" t="s">
        <v>2961</v>
      </c>
      <c r="N251" s="114" t="s">
        <v>64</v>
      </c>
      <c r="O251" s="100"/>
      <c r="P251" s="116"/>
      <c r="Q251" s="117"/>
      <c r="R251" s="118"/>
      <c r="S251" s="119"/>
      <c r="T251" s="119"/>
      <c r="U251" s="119"/>
      <c r="V251" s="119"/>
      <c r="W251" s="119"/>
      <c r="X251" s="119"/>
      <c r="Y251" s="120"/>
      <c r="Z251" s="120"/>
      <c r="AA251" s="120"/>
      <c r="AB251" s="120"/>
      <c r="AC251" s="120"/>
    </row>
    <row r="252">
      <c r="A252" s="90"/>
      <c r="B252" s="37">
        <v>46219.0</v>
      </c>
      <c r="C252" s="96" t="s">
        <v>1839</v>
      </c>
      <c r="D252" s="22" t="s">
        <v>2962</v>
      </c>
      <c r="E252" s="102"/>
      <c r="F252" s="102"/>
      <c r="G252" s="113" t="s">
        <v>2872</v>
      </c>
      <c r="H252" s="114" t="s">
        <v>2783</v>
      </c>
      <c r="I252" s="115"/>
      <c r="J252" s="114" t="s">
        <v>2784</v>
      </c>
      <c r="K252" s="113" t="s">
        <v>2856</v>
      </c>
      <c r="L252" s="114" t="s">
        <v>2857</v>
      </c>
      <c r="M252" s="105" t="s">
        <v>2963</v>
      </c>
      <c r="N252" s="114" t="s">
        <v>64</v>
      </c>
      <c r="O252" s="100"/>
      <c r="P252" s="116"/>
      <c r="Q252" s="117"/>
      <c r="R252" s="118"/>
      <c r="S252" s="119"/>
      <c r="T252" s="119"/>
      <c r="U252" s="119"/>
      <c r="V252" s="119"/>
      <c r="W252" s="119"/>
      <c r="X252" s="119"/>
      <c r="Y252" s="120"/>
      <c r="Z252" s="120"/>
      <c r="AA252" s="120"/>
      <c r="AB252" s="120"/>
      <c r="AC252" s="120"/>
    </row>
    <row r="253">
      <c r="A253" s="90"/>
      <c r="B253" s="37">
        <v>46219.0</v>
      </c>
      <c r="C253" s="96" t="s">
        <v>1839</v>
      </c>
      <c r="D253" s="22" t="s">
        <v>2964</v>
      </c>
      <c r="E253" s="102"/>
      <c r="F253" s="102"/>
      <c r="G253" s="113" t="s">
        <v>2788</v>
      </c>
      <c r="H253" s="114" t="s">
        <v>2783</v>
      </c>
      <c r="I253" s="115"/>
      <c r="J253" s="114" t="s">
        <v>2789</v>
      </c>
      <c r="K253" s="114" t="s">
        <v>2957</v>
      </c>
      <c r="L253" s="114" t="s">
        <v>2791</v>
      </c>
      <c r="M253" s="105" t="s">
        <v>2965</v>
      </c>
      <c r="N253" s="114" t="s">
        <v>64</v>
      </c>
      <c r="O253" s="100"/>
      <c r="P253" s="116"/>
      <c r="Q253" s="117"/>
      <c r="R253" s="118"/>
      <c r="S253" s="119"/>
      <c r="T253" s="119"/>
      <c r="U253" s="119"/>
      <c r="V253" s="119"/>
      <c r="W253" s="119"/>
      <c r="X253" s="119"/>
      <c r="Y253" s="120"/>
      <c r="Z253" s="120"/>
      <c r="AA253" s="120"/>
      <c r="AB253" s="120"/>
      <c r="AC253" s="120"/>
    </row>
    <row r="254">
      <c r="A254" s="90"/>
      <c r="B254" s="37">
        <v>46219.0</v>
      </c>
      <c r="C254" s="96" t="s">
        <v>1839</v>
      </c>
      <c r="D254" s="22" t="s">
        <v>2966</v>
      </c>
      <c r="E254" s="102"/>
      <c r="F254" s="102"/>
      <c r="G254" s="113" t="s">
        <v>2794</v>
      </c>
      <c r="H254" s="114" t="s">
        <v>2783</v>
      </c>
      <c r="I254" s="115"/>
      <c r="J254" s="114" t="s">
        <v>2795</v>
      </c>
      <c r="K254" s="114" t="s">
        <v>2960</v>
      </c>
      <c r="L254" s="114" t="s">
        <v>2791</v>
      </c>
      <c r="M254" s="105" t="s">
        <v>2967</v>
      </c>
      <c r="N254" s="114" t="s">
        <v>64</v>
      </c>
      <c r="O254" s="100"/>
      <c r="P254" s="116"/>
      <c r="Q254" s="117"/>
      <c r="R254" s="118"/>
      <c r="S254" s="119"/>
      <c r="T254" s="119"/>
      <c r="U254" s="119"/>
      <c r="V254" s="119"/>
      <c r="W254" s="119"/>
      <c r="X254" s="119"/>
      <c r="Y254" s="120"/>
      <c r="Z254" s="120"/>
      <c r="AA254" s="120"/>
      <c r="AB254" s="120"/>
      <c r="AC254" s="120"/>
    </row>
    <row r="255">
      <c r="A255" s="90"/>
      <c r="B255" s="37">
        <v>46219.0</v>
      </c>
      <c r="C255" s="96" t="s">
        <v>1839</v>
      </c>
      <c r="D255" s="22" t="s">
        <v>2968</v>
      </c>
      <c r="E255" s="102"/>
      <c r="F255" s="102"/>
      <c r="G255" s="113" t="s">
        <v>2872</v>
      </c>
      <c r="H255" s="114" t="s">
        <v>2783</v>
      </c>
      <c r="I255" s="115"/>
      <c r="J255" s="114" t="s">
        <v>2784</v>
      </c>
      <c r="K255" s="113" t="s">
        <v>2856</v>
      </c>
      <c r="L255" s="114" t="s">
        <v>2857</v>
      </c>
      <c r="M255" s="105" t="s">
        <v>2969</v>
      </c>
      <c r="N255" s="114" t="s">
        <v>64</v>
      </c>
      <c r="O255" s="100"/>
      <c r="P255" s="116"/>
      <c r="Q255" s="117"/>
      <c r="R255" s="118"/>
      <c r="S255" s="119"/>
      <c r="T255" s="119"/>
      <c r="U255" s="119"/>
      <c r="V255" s="119"/>
      <c r="W255" s="119"/>
      <c r="X255" s="119"/>
      <c r="Y255" s="120"/>
      <c r="Z255" s="120"/>
      <c r="AA255" s="120"/>
      <c r="AB255" s="120"/>
      <c r="AC255" s="120"/>
    </row>
    <row r="256">
      <c r="A256" s="90"/>
      <c r="B256" s="37">
        <v>46219.0</v>
      </c>
      <c r="C256" s="96" t="s">
        <v>1839</v>
      </c>
      <c r="D256" s="22" t="s">
        <v>2970</v>
      </c>
      <c r="E256" s="102"/>
      <c r="F256" s="102"/>
      <c r="G256" s="113" t="s">
        <v>2890</v>
      </c>
      <c r="H256" s="114" t="s">
        <v>2783</v>
      </c>
      <c r="I256" s="115"/>
      <c r="J256" s="114" t="s">
        <v>2784</v>
      </c>
      <c r="K256" s="113" t="s">
        <v>2971</v>
      </c>
      <c r="L256" s="114" t="s">
        <v>2972</v>
      </c>
      <c r="M256" s="105" t="s">
        <v>2973</v>
      </c>
      <c r="N256" s="114" t="s">
        <v>64</v>
      </c>
      <c r="O256" s="100"/>
      <c r="P256" s="116"/>
      <c r="Q256" s="117"/>
      <c r="R256" s="118"/>
      <c r="S256" s="119"/>
      <c r="T256" s="119"/>
      <c r="U256" s="119"/>
      <c r="V256" s="119"/>
      <c r="W256" s="119"/>
      <c r="X256" s="119"/>
      <c r="Y256" s="120"/>
      <c r="Z256" s="120"/>
      <c r="AA256" s="120"/>
      <c r="AB256" s="120"/>
      <c r="AC256" s="120"/>
    </row>
    <row r="257">
      <c r="A257" s="90"/>
      <c r="B257" s="37">
        <v>46219.0</v>
      </c>
      <c r="C257" s="96" t="s">
        <v>1839</v>
      </c>
      <c r="D257" s="22" t="s">
        <v>2974</v>
      </c>
      <c r="E257" s="102"/>
      <c r="F257" s="102"/>
      <c r="G257" s="113" t="s">
        <v>2788</v>
      </c>
      <c r="H257" s="114" t="s">
        <v>2783</v>
      </c>
      <c r="I257" s="115"/>
      <c r="J257" s="114" t="s">
        <v>2789</v>
      </c>
      <c r="K257" s="114" t="s">
        <v>2957</v>
      </c>
      <c r="L257" s="114" t="s">
        <v>2791</v>
      </c>
      <c r="M257" s="105" t="s">
        <v>2975</v>
      </c>
      <c r="N257" s="114" t="s">
        <v>64</v>
      </c>
      <c r="O257" s="100"/>
      <c r="P257" s="116"/>
      <c r="Q257" s="117"/>
      <c r="R257" s="118"/>
      <c r="S257" s="119"/>
      <c r="T257" s="119"/>
      <c r="U257" s="119"/>
      <c r="V257" s="119"/>
      <c r="W257" s="119"/>
      <c r="X257" s="119"/>
      <c r="Y257" s="120"/>
      <c r="Z257" s="120"/>
      <c r="AA257" s="120"/>
      <c r="AB257" s="120"/>
      <c r="AC257" s="120"/>
    </row>
    <row r="258">
      <c r="A258" s="90"/>
      <c r="B258" s="37">
        <v>46219.0</v>
      </c>
      <c r="C258" s="96" t="s">
        <v>1839</v>
      </c>
      <c r="D258" s="22" t="s">
        <v>2976</v>
      </c>
      <c r="E258" s="102"/>
      <c r="F258" s="102"/>
      <c r="G258" s="113" t="s">
        <v>2794</v>
      </c>
      <c r="H258" s="114" t="s">
        <v>2783</v>
      </c>
      <c r="I258" s="115"/>
      <c r="J258" s="114" t="s">
        <v>2795</v>
      </c>
      <c r="K258" s="114" t="s">
        <v>2960</v>
      </c>
      <c r="L258" s="114" t="s">
        <v>2791</v>
      </c>
      <c r="M258" s="105" t="s">
        <v>2977</v>
      </c>
      <c r="N258" s="114" t="s">
        <v>64</v>
      </c>
      <c r="O258" s="100"/>
      <c r="P258" s="116"/>
      <c r="Q258" s="117"/>
      <c r="R258" s="118"/>
      <c r="S258" s="119"/>
      <c r="T258" s="119"/>
      <c r="U258" s="119"/>
      <c r="V258" s="119"/>
      <c r="W258" s="119"/>
      <c r="X258" s="119"/>
      <c r="Y258" s="120"/>
      <c r="Z258" s="120"/>
      <c r="AA258" s="120"/>
      <c r="AB258" s="120"/>
      <c r="AC258" s="120"/>
    </row>
    <row r="259">
      <c r="A259" s="90"/>
      <c r="B259" s="37">
        <v>46219.0</v>
      </c>
      <c r="C259" s="96" t="s">
        <v>1839</v>
      </c>
      <c r="D259" s="22" t="s">
        <v>2978</v>
      </c>
      <c r="E259" s="102"/>
      <c r="F259" s="102"/>
      <c r="G259" s="113" t="s">
        <v>2890</v>
      </c>
      <c r="H259" s="114" t="s">
        <v>2783</v>
      </c>
      <c r="I259" s="115"/>
      <c r="J259" s="114" t="s">
        <v>2784</v>
      </c>
      <c r="K259" s="113" t="s">
        <v>2979</v>
      </c>
      <c r="L259" s="114" t="s">
        <v>2980</v>
      </c>
      <c r="M259" s="105" t="s">
        <v>2981</v>
      </c>
      <c r="N259" s="114" t="s">
        <v>64</v>
      </c>
      <c r="O259" s="100"/>
      <c r="P259" s="116"/>
      <c r="Q259" s="117"/>
      <c r="R259" s="118"/>
      <c r="S259" s="119"/>
      <c r="T259" s="119"/>
      <c r="U259" s="119"/>
      <c r="V259" s="119"/>
      <c r="W259" s="119"/>
      <c r="X259" s="119"/>
      <c r="Y259" s="120"/>
      <c r="Z259" s="120"/>
      <c r="AA259" s="120"/>
      <c r="AB259" s="120"/>
      <c r="AC259" s="120"/>
    </row>
    <row r="260">
      <c r="A260" s="90"/>
      <c r="B260" s="37">
        <v>46219.0</v>
      </c>
      <c r="C260" s="96" t="s">
        <v>1839</v>
      </c>
      <c r="D260" s="22" t="s">
        <v>2982</v>
      </c>
      <c r="E260" s="100"/>
      <c r="F260" s="100"/>
      <c r="G260" s="113" t="s">
        <v>2788</v>
      </c>
      <c r="H260" s="114" t="s">
        <v>2783</v>
      </c>
      <c r="I260" s="115"/>
      <c r="J260" s="114" t="s">
        <v>2789</v>
      </c>
      <c r="K260" s="114" t="s">
        <v>2957</v>
      </c>
      <c r="L260" s="114" t="s">
        <v>2791</v>
      </c>
      <c r="M260" s="105" t="s">
        <v>2983</v>
      </c>
      <c r="N260" s="114" t="s">
        <v>64</v>
      </c>
      <c r="O260" s="100"/>
      <c r="P260" s="116"/>
      <c r="Q260" s="117"/>
      <c r="R260" s="118"/>
      <c r="S260" s="119"/>
      <c r="T260" s="119"/>
      <c r="U260" s="119"/>
      <c r="V260" s="119"/>
      <c r="W260" s="119"/>
      <c r="X260" s="119"/>
      <c r="Y260" s="120"/>
      <c r="Z260" s="120"/>
      <c r="AA260" s="120"/>
      <c r="AB260" s="120"/>
      <c r="AC260" s="120"/>
    </row>
    <row r="261">
      <c r="A261" s="90"/>
      <c r="B261" s="37">
        <v>46219.0</v>
      </c>
      <c r="C261" s="96" t="s">
        <v>1839</v>
      </c>
      <c r="D261" s="22" t="s">
        <v>2984</v>
      </c>
      <c r="E261" s="100"/>
      <c r="F261" s="100"/>
      <c r="G261" s="113" t="s">
        <v>2794</v>
      </c>
      <c r="H261" s="114" t="s">
        <v>2783</v>
      </c>
      <c r="I261" s="115"/>
      <c r="J261" s="114" t="s">
        <v>2795</v>
      </c>
      <c r="K261" s="114" t="s">
        <v>2960</v>
      </c>
      <c r="L261" s="114" t="s">
        <v>2791</v>
      </c>
      <c r="M261" s="105" t="s">
        <v>2985</v>
      </c>
      <c r="N261" s="114" t="s">
        <v>64</v>
      </c>
      <c r="O261" s="100"/>
      <c r="P261" s="116"/>
      <c r="Q261" s="117"/>
      <c r="R261" s="118"/>
      <c r="S261" s="119"/>
      <c r="T261" s="119"/>
      <c r="U261" s="119"/>
      <c r="V261" s="119"/>
      <c r="W261" s="119"/>
      <c r="X261" s="119"/>
      <c r="Y261" s="120"/>
      <c r="Z261" s="120"/>
      <c r="AA261" s="120"/>
      <c r="AB261" s="120"/>
      <c r="AC261" s="120"/>
    </row>
    <row r="262">
      <c r="A262" s="90"/>
      <c r="B262" s="37">
        <v>46219.0</v>
      </c>
      <c r="C262" s="96" t="s">
        <v>1839</v>
      </c>
      <c r="D262" s="22" t="s">
        <v>2986</v>
      </c>
      <c r="E262" s="100"/>
      <c r="F262" s="100"/>
      <c r="G262" s="113" t="s">
        <v>2872</v>
      </c>
      <c r="H262" s="114" t="s">
        <v>2783</v>
      </c>
      <c r="I262" s="115"/>
      <c r="J262" s="114" t="s">
        <v>2784</v>
      </c>
      <c r="K262" s="113" t="s">
        <v>2987</v>
      </c>
      <c r="L262" s="114" t="s">
        <v>2988</v>
      </c>
      <c r="M262" s="105" t="s">
        <v>2989</v>
      </c>
      <c r="N262" s="114" t="s">
        <v>64</v>
      </c>
      <c r="O262" s="100"/>
      <c r="P262" s="116"/>
      <c r="Q262" s="117"/>
      <c r="R262" s="118"/>
      <c r="S262" s="119"/>
      <c r="T262" s="119"/>
      <c r="U262" s="119"/>
      <c r="V262" s="119"/>
      <c r="W262" s="119"/>
      <c r="X262" s="119"/>
      <c r="Y262" s="120"/>
      <c r="Z262" s="120"/>
      <c r="AA262" s="120"/>
      <c r="AB262" s="120"/>
      <c r="AC262" s="120"/>
    </row>
    <row r="263">
      <c r="A263" s="90"/>
      <c r="B263" s="37">
        <v>46219.0</v>
      </c>
      <c r="C263" s="96" t="s">
        <v>1839</v>
      </c>
      <c r="D263" s="22" t="s">
        <v>2990</v>
      </c>
      <c r="E263" s="100"/>
      <c r="F263" s="100"/>
      <c r="G263" s="113" t="s">
        <v>2890</v>
      </c>
      <c r="H263" s="114" t="s">
        <v>2783</v>
      </c>
      <c r="I263" s="115"/>
      <c r="J263" s="114" t="s">
        <v>2784</v>
      </c>
      <c r="K263" s="113" t="s">
        <v>2991</v>
      </c>
      <c r="L263" s="114" t="s">
        <v>2992</v>
      </c>
      <c r="M263" s="105" t="s">
        <v>2993</v>
      </c>
      <c r="N263" s="114" t="s">
        <v>64</v>
      </c>
      <c r="O263" s="100"/>
      <c r="P263" s="116"/>
      <c r="Q263" s="117"/>
      <c r="R263" s="118"/>
      <c r="S263" s="119"/>
      <c r="T263" s="119"/>
      <c r="U263" s="119"/>
      <c r="V263" s="119"/>
      <c r="W263" s="119"/>
      <c r="X263" s="119"/>
      <c r="Y263" s="120"/>
      <c r="Z263" s="120"/>
      <c r="AA263" s="120"/>
      <c r="AB263" s="120"/>
      <c r="AC263" s="120"/>
    </row>
    <row r="264">
      <c r="A264" s="90"/>
      <c r="B264" s="37">
        <v>46219.0</v>
      </c>
      <c r="C264" s="96" t="s">
        <v>1839</v>
      </c>
      <c r="D264" s="22" t="s">
        <v>2994</v>
      </c>
      <c r="E264" s="100"/>
      <c r="F264" s="100"/>
      <c r="G264" s="113" t="s">
        <v>2788</v>
      </c>
      <c r="H264" s="114" t="s">
        <v>2783</v>
      </c>
      <c r="I264" s="115"/>
      <c r="J264" s="114" t="s">
        <v>2789</v>
      </c>
      <c r="K264" s="114" t="s">
        <v>2995</v>
      </c>
      <c r="L264" s="114" t="s">
        <v>2791</v>
      </c>
      <c r="M264" s="105" t="s">
        <v>2996</v>
      </c>
      <c r="N264" s="114" t="s">
        <v>64</v>
      </c>
      <c r="O264" s="100"/>
      <c r="P264" s="116"/>
      <c r="Q264" s="117"/>
      <c r="R264" s="118"/>
      <c r="S264" s="119"/>
      <c r="T264" s="119"/>
      <c r="U264" s="119"/>
      <c r="V264" s="119"/>
      <c r="W264" s="119"/>
      <c r="X264" s="119"/>
      <c r="Y264" s="120"/>
      <c r="Z264" s="120"/>
      <c r="AA264" s="120"/>
      <c r="AB264" s="120"/>
      <c r="AC264" s="120"/>
    </row>
    <row r="265">
      <c r="A265" s="90"/>
      <c r="B265" s="37">
        <v>46219.0</v>
      </c>
      <c r="C265" s="96" t="s">
        <v>1839</v>
      </c>
      <c r="D265" s="22" t="s">
        <v>2997</v>
      </c>
      <c r="E265" s="100"/>
      <c r="F265" s="100"/>
      <c r="G265" s="113" t="s">
        <v>2794</v>
      </c>
      <c r="H265" s="114" t="s">
        <v>2783</v>
      </c>
      <c r="I265" s="115"/>
      <c r="J265" s="114" t="s">
        <v>2795</v>
      </c>
      <c r="K265" s="114" t="s">
        <v>2998</v>
      </c>
      <c r="L265" s="114" t="s">
        <v>2791</v>
      </c>
      <c r="M265" s="105" t="s">
        <v>2999</v>
      </c>
      <c r="N265" s="114" t="s">
        <v>64</v>
      </c>
      <c r="O265" s="100"/>
      <c r="P265" s="116"/>
      <c r="Q265" s="117"/>
      <c r="R265" s="118"/>
      <c r="S265" s="119"/>
      <c r="T265" s="119"/>
      <c r="U265" s="119"/>
      <c r="V265" s="119"/>
      <c r="W265" s="119"/>
      <c r="X265" s="119"/>
      <c r="Y265" s="120"/>
      <c r="Z265" s="120"/>
      <c r="AA265" s="120"/>
      <c r="AB265" s="120"/>
      <c r="AC265" s="120"/>
    </row>
    <row r="266">
      <c r="A266" s="90"/>
      <c r="B266" s="37">
        <v>46219.0</v>
      </c>
      <c r="C266" s="96" t="s">
        <v>1839</v>
      </c>
      <c r="D266" s="22" t="s">
        <v>3000</v>
      </c>
      <c r="E266" s="100"/>
      <c r="F266" s="100"/>
      <c r="G266" s="113" t="s">
        <v>2872</v>
      </c>
      <c r="H266" s="114" t="s">
        <v>2783</v>
      </c>
      <c r="I266" s="115"/>
      <c r="J266" s="114" t="s">
        <v>2784</v>
      </c>
      <c r="K266" s="113" t="s">
        <v>2856</v>
      </c>
      <c r="L266" s="114" t="s">
        <v>3001</v>
      </c>
      <c r="M266" s="105" t="s">
        <v>3002</v>
      </c>
      <c r="N266" s="114" t="s">
        <v>64</v>
      </c>
      <c r="O266" s="100"/>
      <c r="P266" s="116"/>
      <c r="Q266" s="117"/>
      <c r="R266" s="118"/>
      <c r="S266" s="119"/>
      <c r="T266" s="119"/>
      <c r="U266" s="119"/>
      <c r="V266" s="119"/>
      <c r="W266" s="119"/>
      <c r="X266" s="119"/>
      <c r="Y266" s="120"/>
      <c r="Z266" s="120"/>
      <c r="AA266" s="120"/>
      <c r="AB266" s="120"/>
      <c r="AC266" s="120"/>
    </row>
    <row r="267">
      <c r="A267" s="90"/>
      <c r="B267" s="37">
        <v>46219.0</v>
      </c>
      <c r="C267" s="96" t="s">
        <v>1839</v>
      </c>
      <c r="D267" s="22" t="s">
        <v>3003</v>
      </c>
      <c r="E267" s="100"/>
      <c r="F267" s="100"/>
      <c r="G267" s="113" t="s">
        <v>2890</v>
      </c>
      <c r="H267" s="114" t="s">
        <v>2783</v>
      </c>
      <c r="I267" s="115"/>
      <c r="J267" s="114" t="s">
        <v>2784</v>
      </c>
      <c r="K267" s="113" t="s">
        <v>3004</v>
      </c>
      <c r="L267" s="114" t="s">
        <v>3005</v>
      </c>
      <c r="M267" s="105" t="s">
        <v>3006</v>
      </c>
      <c r="N267" s="114" t="s">
        <v>64</v>
      </c>
      <c r="O267" s="100"/>
      <c r="P267" s="116"/>
      <c r="Q267" s="117"/>
      <c r="R267" s="118"/>
      <c r="S267" s="119"/>
      <c r="T267" s="119"/>
      <c r="U267" s="119"/>
      <c r="V267" s="119"/>
      <c r="W267" s="119"/>
      <c r="X267" s="119"/>
      <c r="Y267" s="120"/>
      <c r="Z267" s="120"/>
      <c r="AA267" s="120"/>
      <c r="AB267" s="120"/>
      <c r="AC267" s="120"/>
    </row>
    <row r="268">
      <c r="A268" s="90"/>
      <c r="B268" s="37">
        <v>46219.0</v>
      </c>
      <c r="C268" s="96" t="s">
        <v>1839</v>
      </c>
      <c r="D268" s="22" t="s">
        <v>3007</v>
      </c>
      <c r="E268" s="100"/>
      <c r="F268" s="100"/>
      <c r="G268" s="113" t="s">
        <v>2788</v>
      </c>
      <c r="H268" s="114" t="s">
        <v>2783</v>
      </c>
      <c r="I268" s="115"/>
      <c r="J268" s="114" t="s">
        <v>2789</v>
      </c>
      <c r="K268" s="114" t="s">
        <v>2995</v>
      </c>
      <c r="L268" s="114" t="s">
        <v>2791</v>
      </c>
      <c r="M268" s="105" t="s">
        <v>3008</v>
      </c>
      <c r="N268" s="114" t="s">
        <v>64</v>
      </c>
      <c r="O268" s="100"/>
      <c r="P268" s="116"/>
      <c r="Q268" s="117"/>
      <c r="R268" s="118"/>
      <c r="S268" s="119"/>
      <c r="T268" s="119"/>
      <c r="U268" s="119"/>
      <c r="V268" s="119"/>
      <c r="W268" s="119"/>
      <c r="X268" s="119"/>
      <c r="Y268" s="120"/>
      <c r="Z268" s="120"/>
      <c r="AA268" s="120"/>
      <c r="AB268" s="120"/>
      <c r="AC268" s="120"/>
    </row>
    <row r="269">
      <c r="A269" s="90"/>
      <c r="B269" s="37">
        <v>46219.0</v>
      </c>
      <c r="C269" s="96" t="s">
        <v>1839</v>
      </c>
      <c r="D269" s="22" t="s">
        <v>3009</v>
      </c>
      <c r="E269" s="102"/>
      <c r="F269" s="102"/>
      <c r="G269" s="113" t="s">
        <v>2794</v>
      </c>
      <c r="H269" s="114" t="s">
        <v>2783</v>
      </c>
      <c r="I269" s="115"/>
      <c r="J269" s="114" t="s">
        <v>2795</v>
      </c>
      <c r="K269" s="114" t="s">
        <v>2998</v>
      </c>
      <c r="L269" s="114" t="s">
        <v>2791</v>
      </c>
      <c r="M269" s="105" t="s">
        <v>3010</v>
      </c>
      <c r="N269" s="114" t="s">
        <v>64</v>
      </c>
      <c r="O269" s="100"/>
      <c r="P269" s="116"/>
      <c r="Q269" s="117"/>
      <c r="R269" s="118"/>
      <c r="S269" s="119"/>
      <c r="T269" s="119"/>
      <c r="U269" s="119"/>
      <c r="V269" s="119"/>
      <c r="W269" s="119"/>
      <c r="X269" s="119"/>
      <c r="Y269" s="120"/>
      <c r="Z269" s="120"/>
      <c r="AA269" s="120"/>
      <c r="AB269" s="120"/>
      <c r="AC269" s="120"/>
    </row>
    <row r="270">
      <c r="A270" s="90"/>
      <c r="B270" s="108">
        <v>145.0</v>
      </c>
      <c r="C270" s="96" t="s">
        <v>1839</v>
      </c>
      <c r="D270" s="109" t="s">
        <v>3011</v>
      </c>
      <c r="E270" s="110" t="s">
        <v>3012</v>
      </c>
      <c r="F270" s="110" t="s">
        <v>30</v>
      </c>
      <c r="G270" s="121" t="s">
        <v>3013</v>
      </c>
      <c r="H270" s="114" t="s">
        <v>2783</v>
      </c>
      <c r="I270" s="115"/>
      <c r="J270" s="114" t="s">
        <v>2784</v>
      </c>
      <c r="K270" s="114" t="s">
        <v>2821</v>
      </c>
      <c r="L270" s="114" t="s">
        <v>3014</v>
      </c>
      <c r="M270" s="105" t="s">
        <v>3015</v>
      </c>
      <c r="N270" s="114" t="s">
        <v>64</v>
      </c>
      <c r="O270" s="100"/>
      <c r="P270" s="116"/>
      <c r="Q270" s="117"/>
      <c r="R270" s="118"/>
      <c r="S270" s="119"/>
      <c r="T270" s="119"/>
      <c r="U270" s="119"/>
      <c r="V270" s="119"/>
      <c r="W270" s="119"/>
      <c r="X270" s="119"/>
      <c r="Y270" s="120"/>
      <c r="Z270" s="120"/>
      <c r="AA270" s="120"/>
      <c r="AB270" s="120"/>
      <c r="AC270" s="120"/>
    </row>
    <row r="271">
      <c r="A271" s="90"/>
      <c r="B271" s="37">
        <v>46219.0</v>
      </c>
      <c r="C271" s="96" t="s">
        <v>1839</v>
      </c>
      <c r="D271" s="22" t="s">
        <v>3016</v>
      </c>
      <c r="E271" s="102"/>
      <c r="F271" s="102"/>
      <c r="G271" s="113" t="s">
        <v>2872</v>
      </c>
      <c r="H271" s="114" t="s">
        <v>2783</v>
      </c>
      <c r="I271" s="115"/>
      <c r="J271" s="114" t="s">
        <v>2784</v>
      </c>
      <c r="K271" s="113" t="s">
        <v>2856</v>
      </c>
      <c r="L271" s="114" t="s">
        <v>3001</v>
      </c>
      <c r="M271" s="105" t="s">
        <v>3017</v>
      </c>
      <c r="N271" s="114" t="s">
        <v>64</v>
      </c>
      <c r="O271" s="100"/>
      <c r="P271" s="116"/>
      <c r="Q271" s="117"/>
      <c r="R271" s="118"/>
      <c r="S271" s="119"/>
      <c r="T271" s="119"/>
      <c r="U271" s="119"/>
      <c r="V271" s="119"/>
      <c r="W271" s="119"/>
      <c r="X271" s="119"/>
      <c r="Y271" s="120"/>
      <c r="Z271" s="120"/>
      <c r="AA271" s="120"/>
      <c r="AB271" s="120"/>
      <c r="AC271" s="120"/>
    </row>
    <row r="272">
      <c r="A272" s="90"/>
      <c r="B272" s="37">
        <v>46219.0</v>
      </c>
      <c r="C272" s="96" t="s">
        <v>1839</v>
      </c>
      <c r="D272" s="22" t="s">
        <v>3018</v>
      </c>
      <c r="E272" s="102"/>
      <c r="F272" s="102"/>
      <c r="G272" s="113" t="s">
        <v>2890</v>
      </c>
      <c r="H272" s="114" t="s">
        <v>2783</v>
      </c>
      <c r="I272" s="115"/>
      <c r="J272" s="114" t="s">
        <v>2784</v>
      </c>
      <c r="K272" s="113" t="s">
        <v>3019</v>
      </c>
      <c r="L272" s="114" t="s">
        <v>3014</v>
      </c>
      <c r="M272" s="105" t="s">
        <v>3020</v>
      </c>
      <c r="N272" s="114" t="s">
        <v>64</v>
      </c>
      <c r="O272" s="100"/>
      <c r="P272" s="116"/>
      <c r="Q272" s="117"/>
      <c r="R272" s="118"/>
      <c r="S272" s="119"/>
      <c r="T272" s="119"/>
      <c r="U272" s="119"/>
      <c r="V272" s="119"/>
      <c r="W272" s="119"/>
      <c r="X272" s="119"/>
      <c r="Y272" s="120"/>
      <c r="Z272" s="120"/>
      <c r="AA272" s="120"/>
      <c r="AB272" s="120"/>
      <c r="AC272" s="120"/>
    </row>
    <row r="273">
      <c r="A273" s="90"/>
      <c r="B273" s="37">
        <v>46219.0</v>
      </c>
      <c r="C273" s="96" t="s">
        <v>1839</v>
      </c>
      <c r="D273" s="22" t="s">
        <v>3021</v>
      </c>
      <c r="E273" s="102"/>
      <c r="F273" s="102"/>
      <c r="G273" s="113" t="s">
        <v>2788</v>
      </c>
      <c r="H273" s="114" t="s">
        <v>2783</v>
      </c>
      <c r="I273" s="115"/>
      <c r="J273" s="114" t="s">
        <v>2789</v>
      </c>
      <c r="K273" s="114" t="s">
        <v>2995</v>
      </c>
      <c r="L273" s="114" t="s">
        <v>2791</v>
      </c>
      <c r="M273" s="105" t="s">
        <v>3022</v>
      </c>
      <c r="N273" s="114" t="s">
        <v>64</v>
      </c>
      <c r="O273" s="100"/>
      <c r="P273" s="116"/>
      <c r="Q273" s="117"/>
      <c r="R273" s="118"/>
      <c r="S273" s="119"/>
      <c r="T273" s="119"/>
      <c r="U273" s="119"/>
      <c r="V273" s="119"/>
      <c r="W273" s="119"/>
      <c r="X273" s="119"/>
      <c r="Y273" s="120"/>
      <c r="Z273" s="120"/>
      <c r="AA273" s="120"/>
      <c r="AB273" s="120"/>
      <c r="AC273" s="120"/>
    </row>
    <row r="274">
      <c r="A274" s="90"/>
      <c r="B274" s="37">
        <v>46219.0</v>
      </c>
      <c r="C274" s="96" t="s">
        <v>1839</v>
      </c>
      <c r="D274" s="22" t="s">
        <v>3023</v>
      </c>
      <c r="E274" s="102"/>
      <c r="F274" s="102"/>
      <c r="G274" s="113" t="s">
        <v>2794</v>
      </c>
      <c r="H274" s="114" t="s">
        <v>2783</v>
      </c>
      <c r="I274" s="115"/>
      <c r="J274" s="114" t="s">
        <v>2795</v>
      </c>
      <c r="K274" s="114" t="s">
        <v>2998</v>
      </c>
      <c r="L274" s="114" t="s">
        <v>2791</v>
      </c>
      <c r="M274" s="105" t="s">
        <v>3024</v>
      </c>
      <c r="N274" s="114" t="s">
        <v>64</v>
      </c>
      <c r="O274" s="100"/>
      <c r="P274" s="116"/>
      <c r="Q274" s="117"/>
      <c r="R274" s="118"/>
      <c r="S274" s="119"/>
      <c r="T274" s="119"/>
      <c r="U274" s="119"/>
      <c r="V274" s="119"/>
      <c r="W274" s="119"/>
      <c r="X274" s="119"/>
      <c r="Y274" s="120"/>
      <c r="Z274" s="120"/>
      <c r="AA274" s="120"/>
      <c r="AB274" s="120"/>
      <c r="AC274" s="120"/>
    </row>
    <row r="275">
      <c r="A275" s="90"/>
      <c r="B275" s="37">
        <v>46219.0</v>
      </c>
      <c r="C275" s="96" t="s">
        <v>1839</v>
      </c>
      <c r="D275" s="22" t="s">
        <v>3025</v>
      </c>
      <c r="E275" s="102"/>
      <c r="F275" s="102"/>
      <c r="G275" s="113" t="s">
        <v>2788</v>
      </c>
      <c r="H275" s="114" t="s">
        <v>2783</v>
      </c>
      <c r="I275" s="115"/>
      <c r="J275" s="114" t="s">
        <v>2789</v>
      </c>
      <c r="K275" s="114" t="s">
        <v>2995</v>
      </c>
      <c r="L275" s="114" t="s">
        <v>2791</v>
      </c>
      <c r="M275" s="105" t="s">
        <v>3026</v>
      </c>
      <c r="N275" s="114" t="s">
        <v>64</v>
      </c>
      <c r="O275" s="100"/>
      <c r="P275" s="116"/>
      <c r="Q275" s="117"/>
      <c r="R275" s="118"/>
      <c r="S275" s="119"/>
      <c r="T275" s="119"/>
      <c r="U275" s="119"/>
      <c r="V275" s="119"/>
      <c r="W275" s="119"/>
      <c r="X275" s="119"/>
      <c r="Y275" s="120"/>
      <c r="Z275" s="120"/>
      <c r="AA275" s="120"/>
      <c r="AB275" s="120"/>
      <c r="AC275" s="120"/>
    </row>
    <row r="276">
      <c r="A276" s="90"/>
      <c r="B276" s="37">
        <v>46219.0</v>
      </c>
      <c r="C276" s="96" t="s">
        <v>1839</v>
      </c>
      <c r="D276" s="22" t="s">
        <v>3027</v>
      </c>
      <c r="E276" s="102"/>
      <c r="F276" s="102"/>
      <c r="G276" s="113" t="s">
        <v>2794</v>
      </c>
      <c r="H276" s="114" t="s">
        <v>2783</v>
      </c>
      <c r="I276" s="115"/>
      <c r="J276" s="114" t="s">
        <v>2795</v>
      </c>
      <c r="K276" s="114" t="s">
        <v>2998</v>
      </c>
      <c r="L276" s="114" t="s">
        <v>2791</v>
      </c>
      <c r="M276" s="105" t="s">
        <v>3028</v>
      </c>
      <c r="N276" s="114" t="s">
        <v>64</v>
      </c>
      <c r="O276" s="100"/>
      <c r="P276" s="116"/>
      <c r="Q276" s="117"/>
      <c r="R276" s="118"/>
      <c r="S276" s="119"/>
      <c r="T276" s="119"/>
      <c r="U276" s="119"/>
      <c r="V276" s="119"/>
      <c r="W276" s="119"/>
      <c r="X276" s="119"/>
      <c r="Y276" s="120"/>
      <c r="Z276" s="120"/>
      <c r="AA276" s="120"/>
      <c r="AB276" s="120"/>
      <c r="AC276" s="120"/>
    </row>
    <row r="277">
      <c r="A277" s="90"/>
      <c r="B277" s="37">
        <v>46220.0</v>
      </c>
      <c r="C277" s="96" t="s">
        <v>1839</v>
      </c>
      <c r="D277" s="22" t="s">
        <v>3029</v>
      </c>
      <c r="E277" s="102"/>
      <c r="F277" s="102"/>
      <c r="G277" s="113" t="s">
        <v>1967</v>
      </c>
      <c r="H277" s="114" t="s">
        <v>3030</v>
      </c>
      <c r="I277" s="115"/>
      <c r="J277" s="114" t="s">
        <v>3031</v>
      </c>
      <c r="K277" s="114" t="s">
        <v>3032</v>
      </c>
      <c r="L277" s="114" t="s">
        <v>3033</v>
      </c>
      <c r="M277" s="105" t="s">
        <v>3034</v>
      </c>
      <c r="N277" s="114" t="s">
        <v>64</v>
      </c>
      <c r="O277" s="100"/>
      <c r="P277" s="116"/>
      <c r="Q277" s="117"/>
      <c r="R277" s="118"/>
      <c r="S277" s="119"/>
      <c r="T277" s="119"/>
      <c r="U277" s="119"/>
      <c r="V277" s="119"/>
      <c r="W277" s="119"/>
      <c r="X277" s="119"/>
      <c r="Y277" s="120"/>
      <c r="Z277" s="120"/>
      <c r="AA277" s="120"/>
      <c r="AB277" s="120"/>
      <c r="AC277" s="120"/>
    </row>
    <row r="278">
      <c r="A278" s="90"/>
      <c r="B278" s="37">
        <v>46220.0</v>
      </c>
      <c r="C278" s="96" t="s">
        <v>1839</v>
      </c>
      <c r="D278" s="22" t="s">
        <v>3035</v>
      </c>
      <c r="E278" s="102"/>
      <c r="F278" s="102"/>
      <c r="G278" s="113" t="s">
        <v>1935</v>
      </c>
      <c r="H278" s="114" t="s">
        <v>3030</v>
      </c>
      <c r="I278" s="115"/>
      <c r="J278" s="114" t="s">
        <v>3036</v>
      </c>
      <c r="K278" s="114" t="s">
        <v>3037</v>
      </c>
      <c r="L278" s="114" t="s">
        <v>3038</v>
      </c>
      <c r="M278" s="105" t="s">
        <v>3039</v>
      </c>
      <c r="N278" s="114" t="s">
        <v>64</v>
      </c>
      <c r="O278" s="100"/>
      <c r="P278" s="116"/>
      <c r="Q278" s="117"/>
      <c r="R278" s="118"/>
      <c r="S278" s="119"/>
      <c r="T278" s="119"/>
      <c r="U278" s="119"/>
      <c r="V278" s="119"/>
      <c r="W278" s="119"/>
      <c r="X278" s="119"/>
      <c r="Y278" s="120"/>
      <c r="Z278" s="120"/>
      <c r="AA278" s="120"/>
      <c r="AB278" s="120"/>
      <c r="AC278" s="120"/>
    </row>
    <row r="279">
      <c r="A279" s="90"/>
      <c r="B279" s="37">
        <v>46220.0</v>
      </c>
      <c r="C279" s="96" t="s">
        <v>1839</v>
      </c>
      <c r="D279" s="22" t="s">
        <v>3040</v>
      </c>
      <c r="E279" s="102"/>
      <c r="F279" s="102"/>
      <c r="G279" s="113" t="s">
        <v>3041</v>
      </c>
      <c r="H279" s="114" t="s">
        <v>3030</v>
      </c>
      <c r="I279" s="115"/>
      <c r="J279" s="114" t="s">
        <v>3042</v>
      </c>
      <c r="K279" s="114" t="s">
        <v>3043</v>
      </c>
      <c r="L279" s="114" t="s">
        <v>3044</v>
      </c>
      <c r="M279" s="105" t="s">
        <v>3045</v>
      </c>
      <c r="N279" s="114" t="s">
        <v>64</v>
      </c>
      <c r="O279" s="100"/>
      <c r="P279" s="116"/>
      <c r="Q279" s="117"/>
      <c r="R279" s="118"/>
      <c r="S279" s="119"/>
      <c r="T279" s="119"/>
      <c r="U279" s="119"/>
      <c r="V279" s="119"/>
      <c r="W279" s="119"/>
      <c r="X279" s="119"/>
      <c r="Y279" s="120"/>
      <c r="Z279" s="120"/>
      <c r="AA279" s="120"/>
      <c r="AB279" s="120"/>
      <c r="AC279" s="120"/>
    </row>
    <row r="280">
      <c r="A280" s="90"/>
      <c r="B280" s="37">
        <v>46220.0</v>
      </c>
      <c r="C280" s="96" t="s">
        <v>1839</v>
      </c>
      <c r="D280" s="22" t="s">
        <v>3046</v>
      </c>
      <c r="E280" s="102"/>
      <c r="F280" s="102"/>
      <c r="G280" s="113" t="s">
        <v>3047</v>
      </c>
      <c r="H280" s="114" t="s">
        <v>3030</v>
      </c>
      <c r="I280" s="115"/>
      <c r="J280" s="114" t="s">
        <v>3048</v>
      </c>
      <c r="K280" s="114" t="s">
        <v>3049</v>
      </c>
      <c r="L280" s="114" t="s">
        <v>3050</v>
      </c>
      <c r="M280" s="105" t="s">
        <v>3051</v>
      </c>
      <c r="N280" s="114" t="s">
        <v>64</v>
      </c>
      <c r="O280" s="100"/>
      <c r="P280" s="116"/>
      <c r="Q280" s="117"/>
      <c r="R280" s="118"/>
      <c r="S280" s="119"/>
      <c r="T280" s="119"/>
      <c r="U280" s="119"/>
      <c r="V280" s="119"/>
      <c r="W280" s="119"/>
      <c r="X280" s="119"/>
      <c r="Y280" s="120"/>
      <c r="Z280" s="120"/>
      <c r="AA280" s="120"/>
      <c r="AB280" s="120"/>
      <c r="AC280" s="120"/>
    </row>
    <row r="281">
      <c r="A281" s="90"/>
      <c r="B281" s="37">
        <v>46220.0</v>
      </c>
      <c r="C281" s="96" t="s">
        <v>1839</v>
      </c>
      <c r="D281" s="22" t="s">
        <v>3052</v>
      </c>
      <c r="E281" s="102"/>
      <c r="F281" s="102"/>
      <c r="G281" s="113" t="s">
        <v>3053</v>
      </c>
      <c r="H281" s="114" t="s">
        <v>3030</v>
      </c>
      <c r="I281" s="115"/>
      <c r="J281" s="114" t="s">
        <v>3042</v>
      </c>
      <c r="K281" s="113" t="s">
        <v>3054</v>
      </c>
      <c r="L281" s="114" t="s">
        <v>3055</v>
      </c>
      <c r="M281" s="105" t="s">
        <v>3056</v>
      </c>
      <c r="N281" s="114" t="s">
        <v>64</v>
      </c>
      <c r="O281" s="100"/>
      <c r="P281" s="116"/>
      <c r="Q281" s="117"/>
      <c r="R281" s="118"/>
      <c r="S281" s="119"/>
      <c r="T281" s="119"/>
      <c r="U281" s="119"/>
      <c r="V281" s="119"/>
      <c r="W281" s="119"/>
      <c r="X281" s="119"/>
      <c r="Y281" s="120"/>
      <c r="Z281" s="120"/>
      <c r="AA281" s="120"/>
      <c r="AB281" s="120"/>
      <c r="AC281" s="120"/>
    </row>
    <row r="282">
      <c r="A282" s="90"/>
      <c r="B282" s="37">
        <v>46220.0</v>
      </c>
      <c r="C282" s="96" t="s">
        <v>1839</v>
      </c>
      <c r="D282" s="22" t="s">
        <v>3057</v>
      </c>
      <c r="E282" s="102"/>
      <c r="F282" s="102"/>
      <c r="G282" s="113" t="s">
        <v>3058</v>
      </c>
      <c r="H282" s="114" t="s">
        <v>3030</v>
      </c>
      <c r="I282" s="115"/>
      <c r="J282" s="114" t="s">
        <v>3059</v>
      </c>
      <c r="K282" s="114" t="s">
        <v>3060</v>
      </c>
      <c r="L282" s="114" t="s">
        <v>3061</v>
      </c>
      <c r="M282" s="105" t="s">
        <v>3062</v>
      </c>
      <c r="N282" s="114" t="s">
        <v>64</v>
      </c>
      <c r="O282" s="100"/>
      <c r="P282" s="116"/>
      <c r="Q282" s="117"/>
      <c r="R282" s="118"/>
      <c r="S282" s="119"/>
      <c r="T282" s="119"/>
      <c r="U282" s="119"/>
      <c r="V282" s="119"/>
      <c r="W282" s="119"/>
      <c r="X282" s="119"/>
      <c r="Y282" s="120"/>
      <c r="Z282" s="120"/>
      <c r="AA282" s="120"/>
      <c r="AB282" s="120"/>
      <c r="AC282" s="120"/>
    </row>
    <row r="283">
      <c r="A283" s="90"/>
      <c r="B283" s="37">
        <v>46220.0</v>
      </c>
      <c r="C283" s="96" t="s">
        <v>1839</v>
      </c>
      <c r="D283" s="22" t="s">
        <v>3063</v>
      </c>
      <c r="E283" s="102"/>
      <c r="F283" s="102"/>
      <c r="G283" s="113" t="s">
        <v>3064</v>
      </c>
      <c r="H283" s="114" t="s">
        <v>3030</v>
      </c>
      <c r="I283" s="115"/>
      <c r="J283" s="114" t="s">
        <v>3065</v>
      </c>
      <c r="K283" s="114" t="s">
        <v>3066</v>
      </c>
      <c r="L283" s="114" t="s">
        <v>3067</v>
      </c>
      <c r="M283" s="105" t="s">
        <v>3068</v>
      </c>
      <c r="N283" s="114" t="s">
        <v>64</v>
      </c>
      <c r="O283" s="100"/>
      <c r="P283" s="116"/>
      <c r="Q283" s="117"/>
      <c r="R283" s="118"/>
      <c r="S283" s="119"/>
      <c r="T283" s="119"/>
      <c r="U283" s="119"/>
      <c r="V283" s="119"/>
      <c r="W283" s="119"/>
      <c r="X283" s="119"/>
      <c r="Y283" s="120"/>
      <c r="Z283" s="120"/>
      <c r="AA283" s="120"/>
      <c r="AB283" s="120"/>
      <c r="AC283" s="120"/>
    </row>
    <row r="284">
      <c r="A284" s="90"/>
      <c r="B284" s="37">
        <v>46220.0</v>
      </c>
      <c r="C284" s="96" t="s">
        <v>1839</v>
      </c>
      <c r="D284" s="22" t="s">
        <v>3069</v>
      </c>
      <c r="E284" s="102"/>
      <c r="F284" s="102"/>
      <c r="G284" s="113" t="s">
        <v>3070</v>
      </c>
      <c r="H284" s="114" t="s">
        <v>3030</v>
      </c>
      <c r="I284" s="115"/>
      <c r="J284" s="114" t="s">
        <v>3065</v>
      </c>
      <c r="K284" s="114" t="s">
        <v>3071</v>
      </c>
      <c r="L284" s="114" t="s">
        <v>3072</v>
      </c>
      <c r="M284" s="105" t="s">
        <v>3073</v>
      </c>
      <c r="N284" s="114" t="s">
        <v>64</v>
      </c>
      <c r="O284" s="100"/>
      <c r="P284" s="116"/>
      <c r="Q284" s="117"/>
      <c r="R284" s="118"/>
      <c r="S284" s="119"/>
      <c r="T284" s="119"/>
      <c r="U284" s="119"/>
      <c r="V284" s="119"/>
      <c r="W284" s="119"/>
      <c r="X284" s="119"/>
      <c r="Y284" s="120"/>
      <c r="Z284" s="120"/>
      <c r="AA284" s="120"/>
      <c r="AB284" s="120"/>
      <c r="AC284" s="120"/>
    </row>
    <row r="285">
      <c r="A285" s="90"/>
      <c r="B285" s="37">
        <v>46220.0</v>
      </c>
      <c r="C285" s="96" t="s">
        <v>1839</v>
      </c>
      <c r="D285" s="22" t="s">
        <v>3074</v>
      </c>
      <c r="E285" s="102"/>
      <c r="F285" s="102"/>
      <c r="G285" s="113" t="s">
        <v>3075</v>
      </c>
      <c r="H285" s="114" t="s">
        <v>3030</v>
      </c>
      <c r="I285" s="115"/>
      <c r="J285" s="114" t="s">
        <v>3065</v>
      </c>
      <c r="K285" s="114" t="s">
        <v>3076</v>
      </c>
      <c r="L285" s="114" t="s">
        <v>3077</v>
      </c>
      <c r="M285" s="105" t="s">
        <v>3078</v>
      </c>
      <c r="N285" s="114" t="s">
        <v>64</v>
      </c>
      <c r="O285" s="100"/>
      <c r="P285" s="116"/>
      <c r="Q285" s="117"/>
      <c r="R285" s="118"/>
      <c r="S285" s="119"/>
      <c r="T285" s="119"/>
      <c r="U285" s="119"/>
      <c r="V285" s="119"/>
      <c r="W285" s="119"/>
      <c r="X285" s="119"/>
      <c r="Y285" s="120"/>
      <c r="Z285" s="120"/>
      <c r="AA285" s="120"/>
      <c r="AB285" s="120"/>
      <c r="AC285" s="120"/>
    </row>
    <row r="286">
      <c r="A286" s="90"/>
      <c r="B286" s="37">
        <v>46220.0</v>
      </c>
      <c r="C286" s="96" t="s">
        <v>1839</v>
      </c>
      <c r="D286" s="22" t="s">
        <v>3079</v>
      </c>
      <c r="E286" s="102"/>
      <c r="F286" s="102"/>
      <c r="G286" s="113" t="s">
        <v>3080</v>
      </c>
      <c r="H286" s="114" t="s">
        <v>3030</v>
      </c>
      <c r="I286" s="115"/>
      <c r="J286" s="114" t="s">
        <v>3081</v>
      </c>
      <c r="K286" s="114" t="s">
        <v>3082</v>
      </c>
      <c r="L286" s="114" t="s">
        <v>3083</v>
      </c>
      <c r="M286" s="105" t="s">
        <v>3084</v>
      </c>
      <c r="N286" s="114" t="s">
        <v>64</v>
      </c>
      <c r="O286" s="100"/>
      <c r="P286" s="116"/>
      <c r="Q286" s="117"/>
      <c r="R286" s="118"/>
      <c r="S286" s="119"/>
      <c r="T286" s="119"/>
      <c r="U286" s="119"/>
      <c r="V286" s="119"/>
      <c r="W286" s="119"/>
      <c r="X286" s="119"/>
      <c r="Y286" s="120"/>
      <c r="Z286" s="120"/>
      <c r="AA286" s="120"/>
      <c r="AB286" s="120"/>
      <c r="AC286" s="120"/>
    </row>
    <row r="287">
      <c r="A287" s="90"/>
      <c r="B287" s="37">
        <v>46220.0</v>
      </c>
      <c r="C287" s="96" t="s">
        <v>1839</v>
      </c>
      <c r="D287" s="22" t="s">
        <v>3085</v>
      </c>
      <c r="E287" s="102"/>
      <c r="F287" s="102"/>
      <c r="G287" s="113" t="s">
        <v>1804</v>
      </c>
      <c r="H287" s="114" t="s">
        <v>3030</v>
      </c>
      <c r="I287" s="115"/>
      <c r="J287" s="114" t="s">
        <v>3086</v>
      </c>
      <c r="K287" s="114" t="s">
        <v>3087</v>
      </c>
      <c r="L287" s="114" t="s">
        <v>3088</v>
      </c>
      <c r="M287" s="105" t="s">
        <v>3089</v>
      </c>
      <c r="N287" s="114" t="s">
        <v>64</v>
      </c>
      <c r="O287" s="100"/>
      <c r="P287" s="116"/>
      <c r="Q287" s="117"/>
      <c r="R287" s="118"/>
      <c r="S287" s="119"/>
      <c r="T287" s="119"/>
      <c r="U287" s="119"/>
      <c r="V287" s="119"/>
      <c r="W287" s="119"/>
      <c r="X287" s="119"/>
      <c r="Y287" s="120"/>
      <c r="Z287" s="120"/>
      <c r="AA287" s="120"/>
      <c r="AB287" s="120"/>
      <c r="AC287" s="120"/>
    </row>
    <row r="288">
      <c r="A288" s="90"/>
      <c r="B288" s="37">
        <v>46220.0</v>
      </c>
      <c r="C288" s="96" t="s">
        <v>1839</v>
      </c>
      <c r="D288" s="22" t="s">
        <v>3090</v>
      </c>
      <c r="E288" s="102"/>
      <c r="F288" s="102"/>
      <c r="G288" s="113" t="s">
        <v>3091</v>
      </c>
      <c r="H288" s="114" t="s">
        <v>3092</v>
      </c>
      <c r="I288" s="115"/>
      <c r="J288" s="114" t="s">
        <v>3093</v>
      </c>
      <c r="K288" s="114" t="s">
        <v>3094</v>
      </c>
      <c r="L288" s="114" t="s">
        <v>3095</v>
      </c>
      <c r="M288" s="122" t="s">
        <v>3096</v>
      </c>
      <c r="N288" s="114" t="s">
        <v>64</v>
      </c>
      <c r="O288" s="100"/>
      <c r="P288" s="116"/>
      <c r="Q288" s="117"/>
      <c r="R288" s="118"/>
      <c r="S288" s="119"/>
      <c r="T288" s="119"/>
      <c r="U288" s="119"/>
      <c r="V288" s="119"/>
      <c r="W288" s="119"/>
      <c r="X288" s="119"/>
      <c r="Y288" s="120"/>
      <c r="Z288" s="120"/>
      <c r="AA288" s="120"/>
      <c r="AB288" s="120"/>
      <c r="AC288" s="120"/>
    </row>
    <row r="289">
      <c r="A289" s="90"/>
      <c r="B289" s="37">
        <v>46220.0</v>
      </c>
      <c r="C289" s="96" t="s">
        <v>1839</v>
      </c>
      <c r="D289" s="22" t="s">
        <v>3097</v>
      </c>
      <c r="E289" s="102"/>
      <c r="F289" s="102"/>
      <c r="G289" s="113" t="s">
        <v>3098</v>
      </c>
      <c r="H289" s="114" t="s">
        <v>3099</v>
      </c>
      <c r="I289" s="115"/>
      <c r="J289" s="114" t="s">
        <v>3100</v>
      </c>
      <c r="K289" s="114" t="s">
        <v>3101</v>
      </c>
      <c r="L289" s="114" t="s">
        <v>3102</v>
      </c>
      <c r="M289" s="105" t="s">
        <v>3103</v>
      </c>
      <c r="N289" s="114" t="s">
        <v>64</v>
      </c>
      <c r="O289" s="100"/>
      <c r="P289" s="116"/>
      <c r="Q289" s="117"/>
      <c r="R289" s="118"/>
      <c r="S289" s="119"/>
      <c r="T289" s="119"/>
      <c r="U289" s="119"/>
      <c r="V289" s="119"/>
      <c r="W289" s="119"/>
      <c r="X289" s="119"/>
      <c r="Y289" s="120"/>
      <c r="Z289" s="120"/>
      <c r="AA289" s="120"/>
      <c r="AB289" s="120"/>
      <c r="AC289" s="120"/>
    </row>
    <row r="290">
      <c r="A290" s="90"/>
      <c r="B290" s="37">
        <v>46220.0</v>
      </c>
      <c r="C290" s="96" t="s">
        <v>1839</v>
      </c>
      <c r="D290" s="22" t="s">
        <v>3104</v>
      </c>
      <c r="E290" s="102"/>
      <c r="F290" s="102"/>
      <c r="G290" s="113" t="s">
        <v>2099</v>
      </c>
      <c r="H290" s="114" t="s">
        <v>3030</v>
      </c>
      <c r="I290" s="115"/>
      <c r="J290" s="114" t="s">
        <v>3105</v>
      </c>
      <c r="K290" s="114" t="s">
        <v>3106</v>
      </c>
      <c r="L290" s="114" t="s">
        <v>3107</v>
      </c>
      <c r="M290" s="105" t="s">
        <v>3108</v>
      </c>
      <c r="N290" s="114" t="s">
        <v>64</v>
      </c>
      <c r="O290" s="100"/>
      <c r="P290" s="116"/>
      <c r="Q290" s="117"/>
      <c r="R290" s="118"/>
      <c r="S290" s="119"/>
      <c r="T290" s="119"/>
      <c r="U290" s="119"/>
      <c r="V290" s="119"/>
      <c r="W290" s="119"/>
      <c r="X290" s="119"/>
      <c r="Y290" s="120"/>
      <c r="Z290" s="120"/>
      <c r="AA290" s="120"/>
      <c r="AB290" s="120"/>
      <c r="AC290" s="120"/>
    </row>
    <row r="291">
      <c r="A291" s="90"/>
      <c r="B291" s="37">
        <v>46220.0</v>
      </c>
      <c r="C291" s="96" t="s">
        <v>1839</v>
      </c>
      <c r="D291" s="22" t="s">
        <v>3109</v>
      </c>
      <c r="E291" s="102"/>
      <c r="F291" s="102"/>
      <c r="G291" s="113" t="s">
        <v>3110</v>
      </c>
      <c r="H291" s="114" t="s">
        <v>3111</v>
      </c>
      <c r="I291" s="115"/>
      <c r="J291" s="114" t="s">
        <v>3112</v>
      </c>
      <c r="K291" s="114" t="s">
        <v>1770</v>
      </c>
      <c r="L291" s="114" t="s">
        <v>3113</v>
      </c>
      <c r="M291" s="105" t="s">
        <v>3114</v>
      </c>
      <c r="N291" s="114" t="s">
        <v>64</v>
      </c>
      <c r="O291" s="100"/>
      <c r="P291" s="116"/>
      <c r="Q291" s="117"/>
      <c r="R291" s="118"/>
      <c r="S291" s="119"/>
      <c r="T291" s="119"/>
      <c r="U291" s="119"/>
      <c r="V291" s="119"/>
      <c r="W291" s="119"/>
      <c r="X291" s="119"/>
      <c r="Y291" s="120"/>
      <c r="Z291" s="120"/>
      <c r="AA291" s="120"/>
      <c r="AB291" s="120"/>
      <c r="AC291" s="120"/>
    </row>
    <row r="292">
      <c r="A292" s="90"/>
      <c r="B292" s="37">
        <v>46220.0</v>
      </c>
      <c r="C292" s="96" t="s">
        <v>1839</v>
      </c>
      <c r="D292" s="22" t="s">
        <v>3115</v>
      </c>
      <c r="E292" s="102"/>
      <c r="F292" s="102"/>
      <c r="G292" s="113" t="s">
        <v>3116</v>
      </c>
      <c r="H292" s="114" t="s">
        <v>3030</v>
      </c>
      <c r="I292" s="115"/>
      <c r="J292" s="114" t="s">
        <v>3117</v>
      </c>
      <c r="K292" s="113" t="s">
        <v>1399</v>
      </c>
      <c r="L292" s="114" t="s">
        <v>3118</v>
      </c>
      <c r="M292" s="105" t="s">
        <v>3119</v>
      </c>
      <c r="N292" s="114" t="s">
        <v>64</v>
      </c>
      <c r="O292" s="100"/>
      <c r="P292" s="116"/>
      <c r="Q292" s="117"/>
      <c r="R292" s="118"/>
      <c r="S292" s="119"/>
      <c r="T292" s="119"/>
      <c r="U292" s="119"/>
      <c r="V292" s="119"/>
      <c r="W292" s="119"/>
      <c r="X292" s="119"/>
      <c r="Y292" s="120"/>
      <c r="Z292" s="120"/>
      <c r="AA292" s="120"/>
      <c r="AB292" s="120"/>
      <c r="AC292" s="120"/>
    </row>
    <row r="293">
      <c r="A293" s="90"/>
      <c r="B293" s="37">
        <v>46220.0</v>
      </c>
      <c r="C293" s="96" t="s">
        <v>1839</v>
      </c>
      <c r="D293" s="22" t="s">
        <v>3120</v>
      </c>
      <c r="E293" s="102"/>
      <c r="F293" s="102"/>
      <c r="G293" s="113" t="s">
        <v>3121</v>
      </c>
      <c r="H293" s="114" t="s">
        <v>3030</v>
      </c>
      <c r="I293" s="115"/>
      <c r="J293" s="114" t="s">
        <v>3122</v>
      </c>
      <c r="K293" s="113" t="s">
        <v>1399</v>
      </c>
      <c r="L293" s="114" t="s">
        <v>3123</v>
      </c>
      <c r="M293" s="105" t="s">
        <v>3124</v>
      </c>
      <c r="N293" s="114" t="s">
        <v>64</v>
      </c>
      <c r="O293" s="100"/>
      <c r="P293" s="116"/>
      <c r="Q293" s="117"/>
      <c r="R293" s="118"/>
      <c r="S293" s="119"/>
      <c r="T293" s="119"/>
      <c r="U293" s="119"/>
      <c r="V293" s="119"/>
      <c r="W293" s="119"/>
      <c r="X293" s="119"/>
      <c r="Y293" s="120"/>
      <c r="Z293" s="120"/>
      <c r="AA293" s="120"/>
      <c r="AB293" s="120"/>
      <c r="AC293" s="120"/>
    </row>
    <row r="294">
      <c r="A294" s="90"/>
      <c r="B294" s="37">
        <v>46220.0</v>
      </c>
      <c r="C294" s="96" t="s">
        <v>1839</v>
      </c>
      <c r="D294" s="22" t="s">
        <v>3125</v>
      </c>
      <c r="E294" s="102"/>
      <c r="F294" s="102"/>
      <c r="G294" s="113" t="s">
        <v>3126</v>
      </c>
      <c r="H294" s="114" t="s">
        <v>3030</v>
      </c>
      <c r="I294" s="115"/>
      <c r="J294" s="114" t="s">
        <v>3127</v>
      </c>
      <c r="K294" s="113" t="s">
        <v>1399</v>
      </c>
      <c r="L294" s="114" t="s">
        <v>3128</v>
      </c>
      <c r="M294" s="105" t="s">
        <v>3129</v>
      </c>
      <c r="N294" s="114" t="s">
        <v>64</v>
      </c>
      <c r="O294" s="100"/>
      <c r="P294" s="116"/>
      <c r="Q294" s="117"/>
      <c r="R294" s="118"/>
      <c r="S294" s="119"/>
      <c r="T294" s="119"/>
      <c r="U294" s="119"/>
      <c r="V294" s="119"/>
      <c r="W294" s="119"/>
      <c r="X294" s="119"/>
      <c r="Y294" s="120"/>
      <c r="Z294" s="120"/>
      <c r="AA294" s="120"/>
      <c r="AB294" s="120"/>
      <c r="AC294" s="120"/>
    </row>
    <row r="295">
      <c r="A295" s="90"/>
      <c r="B295" s="37">
        <v>46220.0</v>
      </c>
      <c r="C295" s="96" t="s">
        <v>1839</v>
      </c>
      <c r="D295" s="22" t="s">
        <v>3130</v>
      </c>
      <c r="E295" s="102"/>
      <c r="F295" s="102"/>
      <c r="G295" s="113" t="s">
        <v>3131</v>
      </c>
      <c r="H295" s="114" t="s">
        <v>3030</v>
      </c>
      <c r="I295" s="115"/>
      <c r="J295" s="114" t="s">
        <v>3127</v>
      </c>
      <c r="K295" s="113" t="s">
        <v>3132</v>
      </c>
      <c r="L295" s="114" t="s">
        <v>3133</v>
      </c>
      <c r="M295" s="105" t="s">
        <v>3134</v>
      </c>
      <c r="N295" s="114" t="s">
        <v>64</v>
      </c>
      <c r="O295" s="100"/>
      <c r="P295" s="116"/>
      <c r="Q295" s="117"/>
      <c r="R295" s="118"/>
      <c r="S295" s="119"/>
      <c r="T295" s="119"/>
      <c r="U295" s="119"/>
      <c r="V295" s="119"/>
      <c r="W295" s="119"/>
      <c r="X295" s="119"/>
      <c r="Y295" s="120"/>
      <c r="Z295" s="120"/>
      <c r="AA295" s="120"/>
      <c r="AB295" s="120"/>
      <c r="AC295" s="120"/>
    </row>
    <row r="296">
      <c r="A296" s="90"/>
      <c r="B296" s="37">
        <v>46220.0</v>
      </c>
      <c r="C296" s="96" t="s">
        <v>1839</v>
      </c>
      <c r="D296" s="22" t="s">
        <v>3135</v>
      </c>
      <c r="E296" s="102"/>
      <c r="F296" s="102"/>
      <c r="G296" s="113" t="s">
        <v>3136</v>
      </c>
      <c r="H296" s="114" t="s">
        <v>3030</v>
      </c>
      <c r="I296" s="115"/>
      <c r="J296" s="114" t="s">
        <v>3127</v>
      </c>
      <c r="K296" s="113" t="s">
        <v>3137</v>
      </c>
      <c r="L296" s="114" t="s">
        <v>3138</v>
      </c>
      <c r="M296" s="105" t="s">
        <v>3139</v>
      </c>
      <c r="N296" s="114" t="s">
        <v>64</v>
      </c>
      <c r="O296" s="104" t="s">
        <v>3140</v>
      </c>
      <c r="P296" s="116"/>
      <c r="Q296" s="117"/>
      <c r="R296" s="118"/>
      <c r="S296" s="119"/>
      <c r="T296" s="119"/>
      <c r="U296" s="119"/>
      <c r="V296" s="119"/>
      <c r="W296" s="119"/>
      <c r="X296" s="119"/>
      <c r="Y296" s="120"/>
      <c r="Z296" s="120"/>
      <c r="AA296" s="120"/>
      <c r="AB296" s="120"/>
      <c r="AC296" s="120"/>
    </row>
    <row r="297">
      <c r="A297" s="90"/>
      <c r="B297" s="37">
        <v>46220.0</v>
      </c>
      <c r="C297" s="96" t="s">
        <v>1839</v>
      </c>
      <c r="D297" s="22" t="s">
        <v>3141</v>
      </c>
      <c r="E297" s="102"/>
      <c r="F297" s="102"/>
      <c r="G297" s="113" t="s">
        <v>2425</v>
      </c>
      <c r="H297" s="114" t="s">
        <v>3030</v>
      </c>
      <c r="I297" s="115"/>
      <c r="J297" s="114" t="s">
        <v>3142</v>
      </c>
      <c r="K297" s="114" t="s">
        <v>3143</v>
      </c>
      <c r="L297" s="114" t="s">
        <v>3144</v>
      </c>
      <c r="M297" s="105" t="s">
        <v>3145</v>
      </c>
      <c r="N297" s="114" t="s">
        <v>64</v>
      </c>
      <c r="O297" s="100"/>
      <c r="P297" s="116"/>
      <c r="Q297" s="117"/>
      <c r="R297" s="118"/>
      <c r="S297" s="119"/>
      <c r="T297" s="119"/>
      <c r="U297" s="119"/>
      <c r="V297" s="119"/>
      <c r="W297" s="119"/>
      <c r="X297" s="119"/>
      <c r="Y297" s="120"/>
      <c r="Z297" s="120"/>
      <c r="AA297" s="120"/>
      <c r="AB297" s="120"/>
      <c r="AC297" s="120"/>
    </row>
    <row r="298">
      <c r="A298" s="90"/>
      <c r="B298" s="37">
        <v>46220.0</v>
      </c>
      <c r="C298" s="96" t="s">
        <v>1839</v>
      </c>
      <c r="D298" s="22" t="s">
        <v>3146</v>
      </c>
      <c r="E298" s="102"/>
      <c r="F298" s="102"/>
      <c r="G298" s="113" t="s">
        <v>3147</v>
      </c>
      <c r="H298" s="114" t="s">
        <v>3148</v>
      </c>
      <c r="I298" s="115"/>
      <c r="J298" s="114" t="s">
        <v>3142</v>
      </c>
      <c r="K298" s="114" t="s">
        <v>3149</v>
      </c>
      <c r="L298" s="114" t="s">
        <v>3150</v>
      </c>
      <c r="M298" s="105" t="s">
        <v>3151</v>
      </c>
      <c r="N298" s="114" t="s">
        <v>64</v>
      </c>
      <c r="O298" s="100"/>
      <c r="P298" s="116"/>
      <c r="Q298" s="117"/>
      <c r="R298" s="118"/>
      <c r="S298" s="119"/>
      <c r="T298" s="119"/>
      <c r="U298" s="119"/>
      <c r="V298" s="119"/>
      <c r="W298" s="119"/>
      <c r="X298" s="119"/>
      <c r="Y298" s="120"/>
      <c r="Z298" s="120"/>
      <c r="AA298" s="120"/>
      <c r="AB298" s="120"/>
      <c r="AC298" s="120"/>
    </row>
    <row r="299">
      <c r="A299" s="90"/>
      <c r="B299" s="37">
        <v>46220.0</v>
      </c>
      <c r="C299" s="96" t="s">
        <v>1839</v>
      </c>
      <c r="D299" s="22" t="s">
        <v>3152</v>
      </c>
      <c r="E299" s="102"/>
      <c r="F299" s="102"/>
      <c r="G299" s="113" t="s">
        <v>3153</v>
      </c>
      <c r="H299" s="114" t="s">
        <v>3154</v>
      </c>
      <c r="I299" s="115"/>
      <c r="J299" s="114" t="s">
        <v>3155</v>
      </c>
      <c r="K299" s="114" t="s">
        <v>3156</v>
      </c>
      <c r="L299" s="114" t="s">
        <v>3157</v>
      </c>
      <c r="M299" s="105" t="s">
        <v>3158</v>
      </c>
      <c r="N299" s="114" t="s">
        <v>64</v>
      </c>
      <c r="O299" s="100"/>
      <c r="P299" s="116"/>
      <c r="Q299" s="117"/>
      <c r="R299" s="118"/>
      <c r="S299" s="119"/>
      <c r="T299" s="119"/>
      <c r="U299" s="119"/>
      <c r="V299" s="119"/>
      <c r="W299" s="119"/>
      <c r="X299" s="119"/>
      <c r="Y299" s="120"/>
      <c r="Z299" s="120"/>
      <c r="AA299" s="120"/>
      <c r="AB299" s="120"/>
      <c r="AC299" s="120"/>
    </row>
    <row r="300">
      <c r="A300" s="90"/>
      <c r="B300" s="37">
        <v>46220.0</v>
      </c>
      <c r="C300" s="96" t="s">
        <v>1839</v>
      </c>
      <c r="D300" s="22" t="s">
        <v>3159</v>
      </c>
      <c r="E300" s="102"/>
      <c r="F300" s="102"/>
      <c r="G300" s="113" t="s">
        <v>3160</v>
      </c>
      <c r="H300" s="114" t="s">
        <v>3030</v>
      </c>
      <c r="I300" s="115"/>
      <c r="J300" s="114" t="s">
        <v>3161</v>
      </c>
      <c r="K300" s="114" t="s">
        <v>3162</v>
      </c>
      <c r="L300" s="114" t="s">
        <v>3163</v>
      </c>
      <c r="M300" s="105" t="s">
        <v>3164</v>
      </c>
      <c r="N300" s="114" t="s">
        <v>64</v>
      </c>
      <c r="O300" s="100"/>
      <c r="P300" s="116"/>
      <c r="Q300" s="117"/>
      <c r="R300" s="118"/>
      <c r="S300" s="119"/>
      <c r="T300" s="119"/>
      <c r="U300" s="119"/>
      <c r="V300" s="119"/>
      <c r="W300" s="119"/>
      <c r="X300" s="119"/>
      <c r="Y300" s="120"/>
      <c r="Z300" s="120"/>
      <c r="AA300" s="120"/>
      <c r="AB300" s="120"/>
      <c r="AC300" s="120"/>
    </row>
    <row r="301">
      <c r="A301" s="90"/>
      <c r="B301" s="37">
        <v>46220.0</v>
      </c>
      <c r="C301" s="96" t="s">
        <v>1839</v>
      </c>
      <c r="D301" s="22" t="s">
        <v>3165</v>
      </c>
      <c r="E301" s="102"/>
      <c r="F301" s="102"/>
      <c r="G301" s="113" t="s">
        <v>3166</v>
      </c>
      <c r="H301" s="114" t="s">
        <v>3030</v>
      </c>
      <c r="I301" s="115"/>
      <c r="J301" s="114" t="s">
        <v>3167</v>
      </c>
      <c r="K301" s="114" t="s">
        <v>3168</v>
      </c>
      <c r="L301" s="114" t="s">
        <v>3169</v>
      </c>
      <c r="M301" s="105" t="s">
        <v>3170</v>
      </c>
      <c r="N301" s="114" t="s">
        <v>64</v>
      </c>
      <c r="O301" s="100"/>
      <c r="P301" s="116"/>
      <c r="Q301" s="117"/>
      <c r="R301" s="118"/>
      <c r="S301" s="119"/>
      <c r="T301" s="119"/>
      <c r="U301" s="119"/>
      <c r="V301" s="119"/>
      <c r="W301" s="119"/>
      <c r="X301" s="119"/>
      <c r="Y301" s="120"/>
      <c r="Z301" s="120"/>
      <c r="AA301" s="120"/>
      <c r="AB301" s="120"/>
      <c r="AC301" s="120"/>
    </row>
  </sheetData>
  <autoFilter ref="$A$1:$AD$301"/>
  <dataValidations>
    <dataValidation type="list" allowBlank="1" showErrorMessage="1" sqref="C2:C301">
      <formula1>"Tuần 1,Tuần 2,Tuần 3,Tuần 4"</formula1>
    </dataValidation>
    <dataValidation type="list" allowBlank="1" showErrorMessage="1" sqref="P2:Q23 Q24:Q301">
      <formula1>"BA confirm,Reopen,InProcess,Pass,Reject,dev done,Open"</formula1>
    </dataValidation>
    <dataValidation type="list" allowBlank="1" showErrorMessage="1" sqref="P24:P301 V24:V301">
      <formula1>"New,Reopent,InProcess,Resoved,Reject,dev done"</formula1>
    </dataValidation>
    <dataValidation type="list" allowBlank="1" showErrorMessage="1" sqref="N2:N301 T24:T301">
      <formula1>"Pass,Fail,N/R"</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s>
  <drawing r:id="rId3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6" width="12.63"/>
    <col customWidth="1" min="8" max="8" width="2.0"/>
  </cols>
  <sheetData>
    <row r="1" ht="15.75" customHeight="1">
      <c r="A1" s="123"/>
      <c r="B1" s="124"/>
      <c r="C1" s="125" t="s">
        <v>28</v>
      </c>
      <c r="D1" s="126"/>
      <c r="E1" s="126"/>
      <c r="F1" s="126"/>
      <c r="G1" s="124"/>
      <c r="H1" s="127"/>
      <c r="I1" s="125" t="s">
        <v>1047</v>
      </c>
      <c r="J1" s="126"/>
      <c r="K1" s="126"/>
      <c r="L1" s="126"/>
      <c r="M1" s="126"/>
      <c r="N1" s="124"/>
    </row>
    <row r="2" ht="15.75" customHeight="1">
      <c r="A2" s="128" t="s">
        <v>3171</v>
      </c>
      <c r="B2" s="128" t="s">
        <v>3172</v>
      </c>
      <c r="C2" s="129">
        <v>46171.0</v>
      </c>
      <c r="D2" s="129">
        <v>46203.0</v>
      </c>
      <c r="E2" s="129">
        <v>46204.0</v>
      </c>
      <c r="F2" s="129">
        <v>46205.0</v>
      </c>
      <c r="G2" s="129">
        <v>46206.0</v>
      </c>
      <c r="H2" s="130"/>
      <c r="I2" s="129">
        <v>46209.0</v>
      </c>
      <c r="J2" s="129">
        <v>46210.0</v>
      </c>
      <c r="K2" s="129">
        <v>46211.0</v>
      </c>
      <c r="L2" s="129">
        <v>46212.0</v>
      </c>
      <c r="M2" s="129">
        <v>46213.0</v>
      </c>
      <c r="N2" s="129">
        <v>46214.0</v>
      </c>
    </row>
    <row r="3" ht="15.75" customHeight="1">
      <c r="A3" s="131" t="s">
        <v>3173</v>
      </c>
      <c r="B3" s="132"/>
      <c r="C3" s="132"/>
      <c r="D3" s="132"/>
      <c r="E3" s="132"/>
      <c r="F3" s="132"/>
      <c r="G3" s="132"/>
      <c r="H3" s="133"/>
      <c r="I3" s="133"/>
      <c r="J3" s="133"/>
      <c r="K3" s="133"/>
      <c r="L3" s="133"/>
      <c r="M3" s="133"/>
      <c r="N3" s="133"/>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G1"/>
    <mergeCell ref="I1:N1"/>
  </mergeCells>
  <drawing r:id="rId1"/>
</worksheet>
</file>