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UAT_TGPL Doanh Nghiệp" sheetId="1" state="visible" r:id="rId1"/>
    <sheet name="Tổng hợp tiến độ" sheetId="2" state="visible" r:id="rId2"/>
  </sheets>
  <definedNames>
    <definedName name="Z_DC5B1B68_330E_4044_BD50_33A068A7DDC5_.wvu.FilterData" localSheetId="0" hidden="1">'UAT_TGPL Doanh Nghiệp'!$A$1:$W$275</definedName>
    <definedName name="Z_54F7B556_DF5B_4D0B_9928_E2C152A104C2_.wvu.FilterData" localSheetId="0" hidden="1">'UAT_TGPL Doanh Nghiệp'!$A$1:$W$275</definedName>
    <definedName name="_xlnm._FilterDatabase" localSheetId="0" hidden="1">'UAT_TGPL Doanh Nghiệp'!$A$1:$W$275</definedName>
  </definedNames>
  <calcPr calcId="124519" fullCalcOnLoad="1"/>
</workbook>
</file>

<file path=xl/styles.xml><?xml version="1.0" encoding="utf-8"?>
<styleSheet xmlns="http://schemas.openxmlformats.org/spreadsheetml/2006/main">
  <numFmts count="2">
    <numFmt numFmtId="164" formatCode="d/m"/>
    <numFmt numFmtId="165" formatCode="dd/mm/yyyy"/>
  </numFmts>
  <fonts count="15">
    <font>
      <name val="Arial"/>
      <color rgb="FF000000"/>
      <sz val="10"/>
      <scheme val="minor"/>
    </font>
    <font>
      <name val="Times New Roman"/>
      <b val="1"/>
      <color theme="0"/>
      <sz val="12"/>
    </font>
    <font>
      <name val="Times New Roman"/>
      <b val="1"/>
      <color rgb="FFFFFFFF"/>
      <sz val="12"/>
    </font>
    <font>
      <name val="Times New Roman"/>
      <color theme="0"/>
      <sz val="12"/>
    </font>
    <font>
      <name val="Times New Roman"/>
      <b val="1"/>
      <color theme="1"/>
      <sz val="12"/>
    </font>
    <font>
      <name val="Times New Roman"/>
      <color theme="1"/>
      <sz val="12"/>
    </font>
    <font>
      <name val="Times New Roman"/>
      <color rgb="FF0000FF"/>
      <sz val="12"/>
      <u val="single"/>
    </font>
    <font>
      <name val="Times New Roman"/>
      <color rgb="FF000000"/>
      <sz val="12"/>
    </font>
    <font>
      <name val="Times New Roman"/>
      <color theme="1"/>
      <sz val="12"/>
      <u val="single"/>
    </font>
    <font>
      <name val="Calibri"/>
      <color rgb="FF000000"/>
      <sz val="11"/>
    </font>
    <font>
      <name val="Arial"/>
      <color theme="1"/>
      <scheme val="minor"/>
    </font>
    <font>
      <name val="Arial"/>
      <color theme="1"/>
    </font>
    <font/>
    <font>
      <name val="Times New Roman"/>
      <b val="1"/>
      <color theme="1"/>
      <sz val="14"/>
    </font>
    <font>
      <name val="Times New Roman"/>
      <color theme="1"/>
      <sz val="14"/>
    </font>
  </fonts>
  <fills count="10">
    <fill>
      <patternFill/>
    </fill>
    <fill>
      <patternFill patternType="lightGray"/>
    </fill>
    <fill>
      <patternFill patternType="solid">
        <fgColor rgb="FFEA9999"/>
        <bgColor rgb="FFEA9999"/>
      </patternFill>
    </fill>
    <fill>
      <patternFill patternType="solid">
        <fgColor rgb="FFB6D7A8"/>
        <bgColor rgb="FFB6D7A8"/>
      </patternFill>
    </fill>
    <fill>
      <patternFill patternType="solid">
        <fgColor rgb="FF9FC5E8"/>
        <bgColor rgb="FF9FC5E8"/>
      </patternFill>
    </fill>
    <fill>
      <patternFill patternType="solid">
        <fgColor rgb="FFFFFFFF"/>
        <bgColor rgb="FFFFFFFF"/>
      </patternFill>
    </fill>
    <fill>
      <patternFill patternType="solid">
        <fgColor rgb="FFFFE599"/>
        <bgColor rgb="FFFFE599"/>
      </patternFill>
    </fill>
    <fill>
      <patternFill patternType="solid">
        <fgColor rgb="FFFF0000"/>
        <bgColor rgb="FFFF0000"/>
      </patternFill>
    </fill>
    <fill>
      <patternFill patternType="solid">
        <fgColor theme="0"/>
        <bgColor theme="0"/>
      </patternFill>
    </fill>
    <fill>
      <patternFill patternType="solid">
        <fgColor rgb="FFF9CB9C"/>
        <bgColor rgb="FFF9CB9C"/>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60">
    <xf numFmtId="0" fontId="0" fillId="0" borderId="0" applyAlignment="1" pivotButton="0" quotePrefix="0" xfId="0">
      <alignment vertical="bottom"/>
    </xf>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1" applyAlignment="1" pivotButton="0" quotePrefix="0" xfId="0">
      <alignment vertical="center" wrapText="1"/>
    </xf>
    <xf numFmtId="0" fontId="4" fillId="2" borderId="0" applyAlignment="1" pivotButton="0" quotePrefix="0" xfId="0">
      <alignment horizontal="center" vertical="center" wrapText="1"/>
    </xf>
    <xf numFmtId="0" fontId="4"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5" fillId="0" borderId="1" applyAlignment="1" pivotButton="0" quotePrefix="0" xfId="0">
      <alignment vertical="center"/>
    </xf>
    <xf numFmtId="0" fontId="6" fillId="0" borderId="1" applyAlignment="1" pivotButton="0" quotePrefix="0" xfId="0">
      <alignment vertical="center" wrapText="1"/>
    </xf>
    <xf numFmtId="0" fontId="5" fillId="0" borderId="1" applyAlignment="1" pivotButton="0" quotePrefix="0" xfId="0">
      <alignment vertical="center" wrapText="1"/>
    </xf>
    <xf numFmtId="0" fontId="5" fillId="0" borderId="1" applyAlignment="1" pivotButton="0" quotePrefix="0" xfId="0">
      <alignment horizontal="center" vertical="center" wrapText="1"/>
    </xf>
    <xf numFmtId="0" fontId="5" fillId="0" borderId="1" applyAlignment="1" pivotButton="0" quotePrefix="0" xfId="0">
      <alignment vertical="center" wrapText="1"/>
    </xf>
    <xf numFmtId="164" fontId="5" fillId="0" borderId="0" applyAlignment="1" pivotButton="0" quotePrefix="0" xfId="0">
      <alignment horizontal="center" vertical="center" wrapText="1"/>
    </xf>
    <xf numFmtId="164" fontId="5"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8" fillId="0" borderId="1" applyAlignment="1" pivotButton="0" quotePrefix="0" xfId="0">
      <alignment vertical="center" wrapText="1"/>
    </xf>
    <xf numFmtId="0" fontId="5" fillId="0" borderId="1" applyAlignment="1" pivotButton="0" quotePrefix="0" xfId="0">
      <alignment vertical="center" wrapText="1"/>
    </xf>
    <xf numFmtId="0" fontId="5" fillId="3" borderId="0" applyAlignment="1" pivotButton="0" quotePrefix="0" xfId="0">
      <alignment horizontal="center" vertical="center" wrapText="1"/>
    </xf>
    <xf numFmtId="0" fontId="5" fillId="3" borderId="1" applyAlignment="1" pivotButton="0" quotePrefix="0" xfId="0">
      <alignment horizontal="center" vertical="center" wrapText="1"/>
    </xf>
    <xf numFmtId="0" fontId="5" fillId="3" borderId="1" applyAlignment="1" pivotButton="0" quotePrefix="0" xfId="0">
      <alignment vertical="center" wrapText="1"/>
    </xf>
    <xf numFmtId="0" fontId="5" fillId="4" borderId="1" applyAlignment="1" pivotButton="0" quotePrefix="0" xfId="0">
      <alignment vertical="center" wrapText="1"/>
    </xf>
    <xf numFmtId="0" fontId="5" fillId="5" borderId="0" applyAlignment="1" pivotButton="0" quotePrefix="0" xfId="0">
      <alignment horizontal="center" vertical="center" wrapText="1"/>
    </xf>
    <xf numFmtId="0" fontId="5" fillId="5" borderId="1" applyAlignment="1" pivotButton="0" quotePrefix="0" xfId="0">
      <alignment horizontal="center" vertical="center" wrapText="1"/>
    </xf>
    <xf numFmtId="0" fontId="5" fillId="5" borderId="1" applyAlignment="1" pivotButton="0" quotePrefix="0" xfId="0">
      <alignment vertical="center" wrapText="1"/>
    </xf>
    <xf numFmtId="0" fontId="5" fillId="3" borderId="1" applyAlignment="1" pivotButton="0" quotePrefix="0" xfId="0">
      <alignment horizontal="left" vertical="center" wrapText="1"/>
    </xf>
    <xf numFmtId="0" fontId="5" fillId="0" borderId="0" applyAlignment="1" pivotButton="0" quotePrefix="0" xfId="0">
      <alignment horizontal="center" vertical="center" wrapText="1"/>
    </xf>
    <xf numFmtId="0" fontId="5" fillId="0" borderId="1" applyAlignment="1" pivotButton="0" quotePrefix="0" xfId="0">
      <alignment horizontal="left" vertical="center" wrapText="1"/>
    </xf>
    <xf numFmtId="0" fontId="5" fillId="4" borderId="1" applyAlignment="1" pivotButton="0" quotePrefix="0" xfId="0">
      <alignment horizontal="left" vertical="center" wrapText="1"/>
    </xf>
    <xf numFmtId="0" fontId="5" fillId="5" borderId="1" applyAlignment="1" pivotButton="0" quotePrefix="0" xfId="0">
      <alignment horizontal="left" vertical="center" wrapText="1"/>
    </xf>
    <xf numFmtId="0" fontId="5" fillId="6" borderId="0" applyAlignment="1" pivotButton="0" quotePrefix="0" xfId="0">
      <alignment horizontal="center" vertical="center" wrapText="1"/>
    </xf>
    <xf numFmtId="0" fontId="5"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9" fillId="0" borderId="1" applyAlignment="1" pivotButton="0" quotePrefix="0" xfId="0">
      <alignment horizontal="left" vertical="center"/>
    </xf>
    <xf numFmtId="165" fontId="5" fillId="5" borderId="1" applyAlignment="1" pivotButton="0" quotePrefix="0" xfId="0">
      <alignment horizontal="center" vertical="center" wrapText="1"/>
    </xf>
    <xf numFmtId="0" fontId="5" fillId="7" borderId="1" applyAlignment="1" pivotButton="0" quotePrefix="0" xfId="0">
      <alignment horizontal="left" vertical="center" wrapText="1"/>
    </xf>
    <xf numFmtId="0" fontId="5" fillId="8" borderId="1" applyAlignment="1" pivotButton="0" quotePrefix="0" xfId="0">
      <alignment horizontal="left" vertical="center" wrapText="1"/>
    </xf>
    <xf numFmtId="0" fontId="5" fillId="0" borderId="1" applyAlignment="1" pivotButton="0" quotePrefix="0" xfId="0">
      <alignment horizontal="right" vertical="center" wrapText="1"/>
    </xf>
    <xf numFmtId="0" fontId="7" fillId="4" borderId="1" applyAlignment="1" pivotButton="0" quotePrefix="0" xfId="0">
      <alignment horizontal="left" vertical="center" wrapText="1"/>
    </xf>
    <xf numFmtId="0" fontId="10" fillId="0" borderId="0" pivotButton="0" quotePrefix="0" xfId="0"/>
    <xf numFmtId="0" fontId="5" fillId="5" borderId="0" applyAlignment="1" pivotButton="0" quotePrefix="0" xfId="0">
      <alignment horizontal="center" vertical="center" wrapTex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5" borderId="1" applyAlignment="1" pivotButton="0" quotePrefix="0" xfId="0">
      <alignment vertical="center" wrapText="1"/>
    </xf>
    <xf numFmtId="0" fontId="5" fillId="0" borderId="0" applyAlignment="1" pivotButton="0" quotePrefix="0" xfId="0">
      <alignment horizontal="center" vertical="center" wrapText="1"/>
    </xf>
    <xf numFmtId="0" fontId="11" fillId="0" borderId="2" pivotButton="0" quotePrefix="0" xfId="0"/>
    <xf numFmtId="0" fontId="12" fillId="0" borderId="3" pivotButton="0" quotePrefix="0" xfId="0"/>
    <xf numFmtId="0" fontId="13" fillId="3" borderId="2" applyAlignment="1" pivotButton="0" quotePrefix="0" xfId="0">
      <alignment horizontal="center" wrapText="1"/>
    </xf>
    <xf numFmtId="0" fontId="12" fillId="0" borderId="4" pivotButton="0" quotePrefix="0" xfId="0"/>
    <xf numFmtId="0" fontId="13" fillId="0" borderId="1" applyAlignment="1" pivotButton="0" quotePrefix="0" xfId="0">
      <alignment horizontal="center" wrapText="1"/>
    </xf>
    <xf numFmtId="0" fontId="13" fillId="3" borderId="1" applyAlignment="1" pivotButton="0" quotePrefix="0" xfId="0">
      <alignment horizontal="center" wrapText="1"/>
    </xf>
    <xf numFmtId="164" fontId="13" fillId="9" borderId="1" applyAlignment="1" pivotButton="0" quotePrefix="0" xfId="0">
      <alignment horizontal="center" wrapText="1"/>
    </xf>
    <xf numFmtId="164" fontId="13" fillId="0" borderId="1" applyAlignment="1" pivotButton="0" quotePrefix="0" xfId="0">
      <alignment horizontal="center" wrapText="1"/>
    </xf>
    <xf numFmtId="0" fontId="13" fillId="0" borderId="1" applyAlignment="1" pivotButton="0" quotePrefix="0" xfId="0">
      <alignment wrapText="1"/>
    </xf>
    <xf numFmtId="0" fontId="14" fillId="0" borderId="1" applyAlignment="1" pivotButton="0" quotePrefix="0" xfId="0">
      <alignment horizontal="center" wrapText="1"/>
    </xf>
    <xf numFmtId="0" fontId="11" fillId="0" borderId="1" pivotButton="0" quotePrefix="0" xfId="0"/>
    <xf numFmtId="0" fontId="0" fillId="0" borderId="0" pivotButton="0" quotePrefix="0" xfId="0"/>
    <xf numFmtId="0" fontId="0" fillId="0" borderId="3" pivotButton="0" quotePrefix="0" xfId="0"/>
    <xf numFmtId="0" fontId="0" fillId="0" borderId="4" pivotButton="0" quotePrefix="0" xfId="0"/>
    <xf numFmtId="0" fontId="5" fillId="0" borderId="1" applyAlignment="1" pivotButton="0" quotePrefix="0" xfId="0">
      <alignment vertical="top" wrapText="1"/>
    </xf>
  </cellXfs>
  <cellStyles count="1">
    <cellStyle name="Normal" xfId="0" builtinId="0"/>
  </cellStyles>
  <dxfs count="4">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defaultTableStyle="TableStyleMedium9" defaultPivotStyle="PivotStyleLight16">
    <tableStyle name="UAT_TGPL Doanh Nghiệp-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able_1" displayName="Table_1" ref="A1:W275" headerRowCount="1">
  <tableColumns count="23">
    <tableColumn id="1" name="Tên"/>
    <tableColumn id="2" name="STT"/>
    <tableColumn id="3" name="Tuần"/>
    <tableColumn id="4" name="Mã TC"/>
    <tableColumn id="5" name="Tên chức năng"/>
    <tableColumn id="6" name="Tác nhân_x000a_&quot;cbnv_tw        Test@1234_x000a_cbnv_bn        Test@1234_x000a_cbnv_dp Test@1234_x000a_cbpd_tw Test@1234_x000a_cbpd_bn Test@1234_x000a_cbpd_dp Test@1234&quot;"/>
    <tableColumn id="7" name="Mô tả"/>
    <tableColumn id="8" name="Điều kiện"/>
    <tableColumn id="9" name="Dữ liệu đầu vào"/>
    <tableColumn id="10" name="Các bước thực hiện"/>
    <tableColumn id="11" name="Kết quả mong đợi"/>
    <tableColumn id="12" name="Kết quả thực tế"/>
    <tableColumn id="13" name="Ảnh/vieo 1"/>
    <tableColumn id="14" name="Trạng thái 1"/>
    <tableColumn id="15" name="TKM phản hồi lần 1"/>
    <tableColumn id="16" name="Trạng thái dev fix 1"/>
    <tableColumn id="17" name="DEV phản hồi lần 1"/>
    <tableColumn id="18" name="Kết quả thực tế lần 2"/>
    <tableColumn id="19" name="Ảnh/video 2"/>
    <tableColumn id="20" name="Trạng thái 2"/>
    <tableColumn id="21" name="TKM phản hồi lần 2"/>
    <tableColumn id="22" name="Trạng thái dev fix 2"/>
    <tableColumn id="23" name="DEV phản hồi lần 2"/>
  </tableColumns>
  <tableStyleInfo name="UAT_TGPL Doanh Nghiệp-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htpldn-uat.ospgroup.vn/login" TargetMode="External" Id="rId1" /><Relationship Type="http://schemas.openxmlformats.org/officeDocument/2006/relationships/hyperlink" Target="https://drive.google.com/file/d/1RRMEIhZVZWLZak8zB7uaJeDssnhNvTeD/view?usp=drive_link" TargetMode="External" Id="rId2" /><Relationship Type="http://schemas.openxmlformats.org/officeDocument/2006/relationships/hyperlink" Target="https://drive.google.com/file/d/1RRMEIhZVZWLZak8zB7uaJeDssnhNvTeD/view?usp=drive_link" TargetMode="External" Id="rId3" /><Relationship Type="http://schemas.openxmlformats.org/officeDocument/2006/relationships/hyperlink" Target="https://drive.google.com/file/d/1RRMEIhZVZWLZak8zB7uaJeDssnhNvTeD/view?usp=drive_link" TargetMode="External" Id="rId4" /><Relationship Type="http://schemas.openxmlformats.org/officeDocument/2006/relationships/hyperlink" Target="https://drive.google.com/file/d/1bN0Bb30SAnMBpoTuMqzAw9meYWJvVeTj/view?usp=drive_link" TargetMode="External" Id="rId5" /><Relationship Type="http://schemas.openxmlformats.org/officeDocument/2006/relationships/hyperlink" Target="https://drive.google.com/file/d/1ThkVZoHd_7WE8LTA8TrFJ79iwtqzUEJy/view?usp=drive_link" TargetMode="External" Id="rId6" /><Relationship Type="http://schemas.openxmlformats.org/officeDocument/2006/relationships/hyperlink" Target="https://drive.google.com/file/d/1ot9bmUP4sYZLfu2q5mEcgUODIgo4Tefj/view?usp=drive_link" TargetMode="External" Id="rId7" /><Relationship Type="http://schemas.openxmlformats.org/officeDocument/2006/relationships/hyperlink" Target="https://drive.google.com/file/d/15bN_Cz0woJ8t_yTv3DiXAPdUoGDEumoL/view?usp=drive_link" TargetMode="External" Id="rId8" /><Relationship Type="http://schemas.openxmlformats.org/officeDocument/2006/relationships/hyperlink" Target="https://drive.google.com/file/d/1_sEam8ErkVzhp4--JGccDhQL6dL7PwDJ/view?usp=drive_link" TargetMode="External" Id="rId9" /><Relationship Type="http://schemas.openxmlformats.org/officeDocument/2006/relationships/hyperlink" Target="https://drive.google.com/file/d/1H_boEiIzGqvOTvUaNhUSjM9lx9ajfl6I/view?usp=drive_link" TargetMode="External" Id="rId10" /><Relationship Type="http://schemas.openxmlformats.org/officeDocument/2006/relationships/hyperlink" Target="https://drive.google.com/file/d/1XdRE6bLPr3QLRum0ylwks7h35xMlx5-d/view?usp=drive_link" TargetMode="External" Id="rId11" /><Relationship Type="http://schemas.openxmlformats.org/officeDocument/2006/relationships/hyperlink" Target="https://drive.google.com/file/d/13HLbvRwEBnU1zGLcslmNWJaJbPS3LMBx/view?usp=drive_link" TargetMode="External" Id="rId12" /><Relationship Type="http://schemas.openxmlformats.org/officeDocument/2006/relationships/hyperlink" Target="https://drive.google.com/file/d/13HLbvRwEBnU1zGLcslmNWJaJbPS3LMBx/view?usp=drive_link" TargetMode="External" Id="rId13" /><Relationship Type="http://schemas.openxmlformats.org/officeDocument/2006/relationships/hyperlink" Target="https://drive.google.com/file/d/13HLbvRwEBnU1zGLcslmNWJaJbPS3LMBx/view?usp=drive_link" TargetMode="External" Id="rId14" /><Relationship Type="http://schemas.openxmlformats.org/officeDocument/2006/relationships/hyperlink" Target="https://drive.google.com/file/d/1z9eH-iZeU5R3p1Xf27Dpihrl2_Y_3HMy/view?usp=drive_link" TargetMode="External" Id="rId15" /><Relationship Type="http://schemas.openxmlformats.org/officeDocument/2006/relationships/hyperlink" Target="https://drive.google.com/file/d/1z9eH-iZeU5R3p1Xf27Dpihrl2_Y_3HMy/view?usp=drive_link" TargetMode="External" Id="rId16" /><Relationship Type="http://schemas.openxmlformats.org/officeDocument/2006/relationships/hyperlink" Target="https://drive.google.com/file/d/1fblKhfVqwhzsmSw0JazomIvB4dRtfbsq/view?usp=drive_link" TargetMode="External" Id="rId17" /><Relationship Type="http://schemas.openxmlformats.org/officeDocument/2006/relationships/hyperlink" Target="https://drive.google.com/file/d/1yYHKV9SNRP-3e3dcssfWw6L4DRnhYGjl/view?usp=drive_link" TargetMode="External" Id="rId18" /><Relationship Type="http://schemas.openxmlformats.org/officeDocument/2006/relationships/hyperlink" Target="https://drive.google.com/file/d/13wgG-KkTvelc2Q4fXjMRxU-vosFB1hv0/view?usp=drive_link" TargetMode="External" Id="rId19" /><Relationship Type="http://schemas.openxmlformats.org/officeDocument/2006/relationships/hyperlink" Target="https://drive.google.com/file/d/1FTxsYqGAQ8s252TQVXr3ve4cAcjBuo2a/view?usp=drive_link" TargetMode="External" Id="rId20" /><Relationship Type="http://schemas.openxmlformats.org/officeDocument/2006/relationships/hyperlink" Target="https://drive.google.com/file/d/1A6Z010Mh0KCPaaD17VH5d1B19we0eiec/view?usp=drive_link" TargetMode="External" Id="rId21" /><Relationship Type="http://schemas.openxmlformats.org/officeDocument/2006/relationships/hyperlink" Target="https://drive.google.com/file/d/1iDTWBtpd8Vd9FMUIg194vPg3ituC-AAH/view?usp=drive_link" TargetMode="External" Id="rId22" /><Relationship Type="http://schemas.openxmlformats.org/officeDocument/2006/relationships/hyperlink" Target="https://drive.google.com/file/d/1DZV6EkR0rvFSY7OSj4rJxiApDCtwXH6u/view?usp=drive_link" TargetMode="External" Id="rId23" /><Relationship Type="http://schemas.openxmlformats.org/officeDocument/2006/relationships/hyperlink" Target="https://drive.google.com/file/d/1GHWE7frRaeykl3pPYp0jOQ88ixjqgtXP/view?usp=drive_link" TargetMode="External" Id="rId24" /><Relationship Type="http://schemas.openxmlformats.org/officeDocument/2006/relationships/hyperlink" Target="https://drive.google.com/file/d/1aBbx4_LhhBeZAd88F8C6JFNswVHLgMp_/view?usp=drive_link" TargetMode="External" Id="rId25" /><Relationship Type="http://schemas.openxmlformats.org/officeDocument/2006/relationships/hyperlink" Target="https://drive.google.com/file/d/1h36vyd3TBSBLEIeMU0JsTblzIZPCkOAM/view?usp=drive_link" TargetMode="External" Id="rId26" /><Relationship Type="http://schemas.openxmlformats.org/officeDocument/2006/relationships/hyperlink" Target="https://drive.google.com/file/d/1p696YEgRSBfY00ubqUOGItM6xhXfSt13/view?usp=drive_link" TargetMode="External" Id="rId27" /><Relationship Type="http://schemas.openxmlformats.org/officeDocument/2006/relationships/hyperlink" Target="https://drive.google.com/file/d/1aHTfXEpDZSP9z76lqbjT6SdL01sM-IvO/view?usp=drive_link" TargetMode="External" Id="rId28" /><Relationship Type="http://schemas.openxmlformats.org/officeDocument/2006/relationships/hyperlink" Target="https://drive.google.com/file/d/1UFrEMFd8z0B6zR0_2x91qBM_WNKeN8Hv/view?usp=drive_link" TargetMode="External" Id="rId29" /><Relationship Type="http://schemas.openxmlformats.org/officeDocument/2006/relationships/hyperlink" Target="https://drive.google.com/file/d/1r1iloIumKnQ7oi4FhB8FQ4EtqLKJGGYL/view?usp=drive_link" TargetMode="External" Id="rId30" /><Relationship Type="http://schemas.openxmlformats.org/officeDocument/2006/relationships/hyperlink" Target="https://drive.google.com/file/d/1UVh--zb2A4deiXc13SEJXH7cmFX_hfqu/view?usp=drive_link" TargetMode="External" Id="rId31" /><Relationship Type="http://schemas.openxmlformats.org/officeDocument/2006/relationships/hyperlink" Target="https://drive.google.com/file/d/1riNYan8JX9IHpKQHUDReymqEPROz3mVc/view?usp=drive_link" TargetMode="External" Id="rId32" /><Relationship Type="http://schemas.openxmlformats.org/officeDocument/2006/relationships/hyperlink" Target="https://drive.google.com/file/d/1riNYan8JX9IHpKQHUDReymqEPROz3mVc/view?usp=drive_link" TargetMode="External" Id="rId33" /><Relationship Type="http://schemas.openxmlformats.org/officeDocument/2006/relationships/hyperlink" Target="https://drive.google.com/file/d/1RdxBxEqiE2qioMF-ybmyztyzP1FQ8_jX/view?usp=drive_link" TargetMode="External" Id="rId34" /><Relationship Type="http://schemas.openxmlformats.org/officeDocument/2006/relationships/hyperlink" Target="https://drive.google.com/file/d/1WB04EJu1UkFRQnzcwBhLUOWwyLCHse7a/view?usp=drive_link" TargetMode="External" Id="rId35" /><Relationship Type="http://schemas.openxmlformats.org/officeDocument/2006/relationships/hyperlink" Target="https://drive.google.com/file/d/1RVjaGnXJlJk3ktdXfy-HnWMQ3x3Gu9-z/view?usp=drive_link" TargetMode="External" Id="rId36" /><Relationship Type="http://schemas.openxmlformats.org/officeDocument/2006/relationships/hyperlink" Target="https://drive.google.com/open?id=1lbUUJZwgyhM-nceuAMFsw_AbAU9ANFcv&amp;usp=drive_copy" TargetMode="External" Id="rId37" /><Relationship Type="http://schemas.openxmlformats.org/officeDocument/2006/relationships/hyperlink" Target="https://drive.google.com/open?id=1r4ub3g7tTKEHY8B8d5_050UrzC2J5sD0&amp;usp=drive_copy" TargetMode="External" Id="rId38" /><Relationship Type="http://schemas.openxmlformats.org/officeDocument/2006/relationships/hyperlink" Target="https://drive.google.com/open?id=1VxNxJdqZ66ZCzGqj19MW3wAwG4wyw54j&amp;usp=drive_copy" TargetMode="External" Id="rId39" /><Relationship Type="http://schemas.openxmlformats.org/officeDocument/2006/relationships/hyperlink" Target="https://drive.google.com/open?id=1KuQFDQ4UV0KLnkeOcJHxuB1gm3_VsY8m&amp;usp=drive_copy" TargetMode="External" Id="rId40" /><Relationship Type="http://schemas.openxmlformats.org/officeDocument/2006/relationships/hyperlink" Target="https://drive.google.com/open?id=15Us4XpwhnPUBgBvj_S6MM8fk6zegnG53&amp;usp=drive_copy" TargetMode="External" Id="rId41" /><Relationship Type="http://schemas.openxmlformats.org/officeDocument/2006/relationships/hyperlink" Target="https://drive.google.com/open?id=1QSrHT9iLktF6lRXseQFjrTV9Mm2VutZj&amp;usp=drive_copy" TargetMode="External" Id="rId42" /><Relationship Type="http://schemas.openxmlformats.org/officeDocument/2006/relationships/hyperlink" Target="https://drive.google.com/open?id=1rxZUCRKEKHbE3fEzXwNgP9sQ3pASSSpQ&amp;usp=drive_copy" TargetMode="External" Id="rId43" /><Relationship Type="http://schemas.openxmlformats.org/officeDocument/2006/relationships/hyperlink" Target="https://drive.google.com/open?id=1jtTQkWU78fFcJ1whG1WetOiZvrbTrLzJ&amp;usp=drive_copy" TargetMode="External" Id="rId44" /><Relationship Type="http://schemas.openxmlformats.org/officeDocument/2006/relationships/hyperlink" Target="https://drive.google.com/open?id=1usOyiXKNNTCPx1ddeQzVMY28_3jCDtlp&amp;usp=drive_copy" TargetMode="External" Id="rId45" /><Relationship Type="http://schemas.openxmlformats.org/officeDocument/2006/relationships/hyperlink" Target="https://drive.google.com/open?id=1uXhWPWD9Wy-BwFBv67xX5ICXRdMBWwoI&amp;usp=drive_copy" TargetMode="External" Id="rId46" /><Relationship Type="http://schemas.openxmlformats.org/officeDocument/2006/relationships/hyperlink" Target="https://drive.google.com/open?id=1A3JpWCifojalKYJqkxyb3lMrr_I_tHG2&amp;usp=drive_copy" TargetMode="External" Id="rId47" /><Relationship Type="http://schemas.openxmlformats.org/officeDocument/2006/relationships/hyperlink" Target="https://drive.google.com/open?id=1-pjOZe9zJnH52a1ipb0iCv1cEmFZGrvq&amp;usp=drive_copy" TargetMode="External" Id="rId48" /><Relationship Type="http://schemas.openxmlformats.org/officeDocument/2006/relationships/hyperlink" Target="https://drive.google.com/open?id=1-vh6BULEH9bb8aTXAHB4HUqjH7s7ntFT&amp;usp=drive_copy" TargetMode="External" Id="rId49" /><Relationship Type="http://schemas.openxmlformats.org/officeDocument/2006/relationships/hyperlink" Target="https://drive.google.com/open?id=1GN2NB2vZTsJ770jYAbpqKcSf-ld-jeFk&amp;usp=drive_copy" TargetMode="External" Id="rId50" /><Relationship Type="http://schemas.openxmlformats.org/officeDocument/2006/relationships/hyperlink" Target="https://drive.google.com/open?id=1o5rEHtESyEF4Teb9aBBr_PCFC3G_UFk5&amp;usp=drive_copy" TargetMode="External" Id="rId51" /><Relationship Type="http://schemas.openxmlformats.org/officeDocument/2006/relationships/hyperlink" Target="https://drive.google.com/open?id=1B7IJo9P7Z_yO7mBcOYe8hC4MQDSeSD7S&amp;usp=drive_copy" TargetMode="External" Id="rId52" /><Relationship Type="http://schemas.openxmlformats.org/officeDocument/2006/relationships/hyperlink" Target="https://drive.google.com/open?id=1nAfX3qk3_t4ZLa2cWXbs0iq_bUyPlTNX&amp;usp=drive_copy" TargetMode="External" Id="rId53" /><Relationship Type="http://schemas.openxmlformats.org/officeDocument/2006/relationships/hyperlink" Target="https://drive.google.com/open?id=1hrEatlIxyOGw7spL0RKsTZucWHPR3hCN&amp;usp=drive_copy" TargetMode="External" Id="rId54" /><Relationship Type="http://schemas.openxmlformats.org/officeDocument/2006/relationships/hyperlink" Target="https://drive.google.com/open?id=1FQOHxfEb6aKvqOsnydT4AS--jdt0RJLe&amp;usp=drive_copy" TargetMode="External" Id="rId55" /><Relationship Type="http://schemas.openxmlformats.org/officeDocument/2006/relationships/hyperlink" Target="https://drive.google.com/open?id=1FDQK_GPQoLszgtuxaCwmbRG-l1ioB9lw&amp;usp=drive_copy" TargetMode="External" Id="rId56" /><Relationship Type="http://schemas.openxmlformats.org/officeDocument/2006/relationships/hyperlink" Target="https://drive.google.com/open?id=1XGZjCXVZMBnQ8RCNYNNxemNjY1Rb6Hmr&amp;usp=drive_copy" TargetMode="External" Id="rId57" /><Relationship Type="http://schemas.openxmlformats.org/officeDocument/2006/relationships/hyperlink" Target="https://drive.google.com/open?id=131qrfvfj45RjQUN6IFZXOw9oZ9J6sILc&amp;usp=drive_copy" TargetMode="External" Id="rId58" /><Relationship Type="http://schemas.openxmlformats.org/officeDocument/2006/relationships/hyperlink" Target="https://drive.google.com/open?id=1w1PQnPMbl9t96LRgNyFx0b62ud7df0yK&amp;usp=drive_copy" TargetMode="External" Id="rId59" /><Relationship Type="http://schemas.openxmlformats.org/officeDocument/2006/relationships/hyperlink" Target="https://drive.google.com/open?id=1CBOp4G8i91nTGGPCPge41xpvsfOh-hc4&amp;usp=drive_copy" TargetMode="External" Id="rId60" /><Relationship Type="http://schemas.openxmlformats.org/officeDocument/2006/relationships/hyperlink" Target="https://drive.google.com/open?id=1ih8OIqdKXzyu_uAnWzZgxcKQVs2k-rdw&amp;usp=drive_copy" TargetMode="External" Id="rId61" /><Relationship Type="http://schemas.openxmlformats.org/officeDocument/2006/relationships/hyperlink" Target="https://drive.google.com/open?id=1ZpP-HLHp5EXkzFbVjFt3wg7xyv_Dg60Q&amp;usp=drive_copy" TargetMode="External" Id="rId62" /><Relationship Type="http://schemas.openxmlformats.org/officeDocument/2006/relationships/hyperlink" Target="https://drive.google.com/open?id=1jf3EPM0ekvf_1ucyHuid0TrH5MKALmbN&amp;usp=drive_copy" TargetMode="External" Id="rId63" /><Relationship Type="http://schemas.openxmlformats.org/officeDocument/2006/relationships/hyperlink" Target="https://drive.google.com/open?id=1N2n_4-uYxQV6mqmZ34kIrvFix7atsC6C&amp;usp=drive_copy" TargetMode="External" Id="rId64" /><Relationship Type="http://schemas.openxmlformats.org/officeDocument/2006/relationships/hyperlink" Target="https://drive.google.com/open?id=12iX08fnniPRZAhpI9kWNPzjiMQhqMObA&amp;usp=drive_copy" TargetMode="External" Id="rId65" /><Relationship Type="http://schemas.openxmlformats.org/officeDocument/2006/relationships/hyperlink" Target="https://drive.google.com/open?id=1ADyf14O9Bdws3sS3HECUg7fOfLCQZWLd&amp;usp=drive_copy" TargetMode="External" Id="rId66" /><Relationship Type="http://schemas.openxmlformats.org/officeDocument/2006/relationships/hyperlink" Target="https://drive.google.com/open?id=17eeHxhLPuoxn-t7qVsFPVkxWfDHC7rYH&amp;usp=drive_copy" TargetMode="External" Id="rId67" /><Relationship Type="http://schemas.openxmlformats.org/officeDocument/2006/relationships/hyperlink" Target="https://drive.google.com/open?id=12Sk2bW5caJIqF9S0Ib9V7Hs0421_TKfC&amp;usp=drive_copy" TargetMode="External" Id="rId68" /><Relationship Type="http://schemas.openxmlformats.org/officeDocument/2006/relationships/hyperlink" Target="https://drive.google.com/open?id=1kZJy27vzy41pPGQ-2hIs3_82qtcXXlq6&amp;usp=drive_copy" TargetMode="External" Id="rId69" /><Relationship Type="http://schemas.openxmlformats.org/officeDocument/2006/relationships/hyperlink" Target="https://drive.google.com/open?id=1cFtq3-4miUbsnUmAKBMwERqjWzAf65fm&amp;usp=drive_copy" TargetMode="External" Id="rId70" /><Relationship Type="http://schemas.openxmlformats.org/officeDocument/2006/relationships/hyperlink" Target="https://drive.google.com/open?id=1yNTjNBnVqlZSvlq0yVWBmD4575Z8N8J1&amp;usp=drive_copy" TargetMode="External" Id="rId71" /><Relationship Type="http://schemas.openxmlformats.org/officeDocument/2006/relationships/hyperlink" Target="https://drive.google.com/open?id=10Mdvj_JwgABxTB8FEDMWutHar0BgAIUM&amp;usp=drive_copy" TargetMode="External" Id="rId72" /><Relationship Type="http://schemas.openxmlformats.org/officeDocument/2006/relationships/hyperlink" Target="https://drive.google.com/open?id=1jnggzQYF0h4e0pYEJRXsgrd-9BTQ-C58&amp;usp=drive_copy" TargetMode="External" Id="rId73" /><Relationship Type="http://schemas.openxmlformats.org/officeDocument/2006/relationships/hyperlink" Target="https://drive.google.com/open?id=10igs877Fr2o_BnBanL6H6221jloWHKh8&amp;usp=drive_copy" TargetMode="External" Id="rId74" /><Relationship Type="http://schemas.openxmlformats.org/officeDocument/2006/relationships/hyperlink" Target="https://drive.google.com/open?id=16Y71UfCmRxnjcaT5enLW8RWGx8QjpX4w&amp;usp=drive_copy" TargetMode="External" Id="rId75" /><Relationship Type="http://schemas.openxmlformats.org/officeDocument/2006/relationships/hyperlink" Target="https://drive.google.com/open?id=1Wbu3vpYDawE6a8jCOmqmq432D5KncCpn&amp;usp=drive_copy" TargetMode="External" Id="rId76" /><Relationship Type="http://schemas.openxmlformats.org/officeDocument/2006/relationships/hyperlink" Target="https://drive.google.com/open?id=1pSBbWRBs7c3YfuanEEmlt0eMQEPQI0P_&amp;usp=drive_copy" TargetMode="External" Id="rId77" /><Relationship Type="http://schemas.openxmlformats.org/officeDocument/2006/relationships/hyperlink" Target="https://drive.google.com/open?id=19djlS85Q2vbd7tyqRlxHHy7fd0GSNKhS&amp;usp=drive_copy" TargetMode="External" Id="rId78" /><Relationship Type="http://schemas.openxmlformats.org/officeDocument/2006/relationships/hyperlink" Target="https://drive.google.com/open?id=1sMDbXNlGz7CPXSwmwF59HmIi6nVQ7eVG&amp;usp=drive_copy" TargetMode="External" Id="rId79" /><Relationship Type="http://schemas.openxmlformats.org/officeDocument/2006/relationships/hyperlink" Target="https://drive.google.com/open?id=1rlvcNd_eb-Es4Tp2t8zHoJnXEqWAtO3J&amp;usp=drive_copy" TargetMode="External" Id="rId80" /><Relationship Type="http://schemas.openxmlformats.org/officeDocument/2006/relationships/hyperlink" Target="https://drive.google.com/open?id=10pYRbs5GFTeHs_QxrDMpAmZSrvyLvsRl&amp;usp=drive_copy" TargetMode="External" Id="rId81" /><Relationship Type="http://schemas.openxmlformats.org/officeDocument/2006/relationships/hyperlink" Target="https://drive.google.com/open?id=1sevu59zPE-DqAq0Da9Cp7lwlxdCUktXR&amp;usp=drive_copy" TargetMode="External" Id="rId82" /><Relationship Type="http://schemas.openxmlformats.org/officeDocument/2006/relationships/hyperlink" Target="https://drive.google.com/open?id=1ICx5BuB-VpUB-WnGaHjHH3mvK_lqfJBw&amp;usp=drive_copy" TargetMode="External" Id="rId83" /><Relationship Type="http://schemas.openxmlformats.org/officeDocument/2006/relationships/hyperlink" Target="https://drive.google.com/open?id=1Cvv3Dn91sRcEjqqvXPf4BhHOkJRsRiP8&amp;usp=drive_copy" TargetMode="External" Id="rId84" /><Relationship Type="http://schemas.openxmlformats.org/officeDocument/2006/relationships/hyperlink" Target="https://drive.google.com/open?id=1q4YB0S0hIYpCswc8l05t-B9jJcxoP0En&amp;usp=drive_copy" TargetMode="External" Id="rId85" /><Relationship Type="http://schemas.openxmlformats.org/officeDocument/2006/relationships/hyperlink" Target="https://drive.google.com/open?id=16GrUCh35bOZ3MBC3QuYpwYZaPjO_-LrW&amp;usp=drive_copy" TargetMode="External" Id="rId86" /><Relationship Type="http://schemas.openxmlformats.org/officeDocument/2006/relationships/hyperlink" Target="https://drive.google.com/open?id=12OL9FEQOEAnV-9LhMCuc4pbTfWpMLFXl&amp;usp=drive_copy" TargetMode="External" Id="rId87" /><Relationship Type="http://schemas.openxmlformats.org/officeDocument/2006/relationships/hyperlink" Target="https://drive.google.com/open?id=12cyp3a4RG4mE4M8ON58WaffTIc9btfhl&amp;usp=drive_copy" TargetMode="External" Id="rId88" /><Relationship Type="http://schemas.openxmlformats.org/officeDocument/2006/relationships/hyperlink" Target="https://drive.google.com/open?id=1SmOSQVoUpsH7gkI3YX36dckyTrB-Vv1o&amp;usp=drive_copy" TargetMode="External" Id="rId89" /><Relationship Type="http://schemas.openxmlformats.org/officeDocument/2006/relationships/hyperlink" Target="https://drive.google.com/open?id=104ZlxocZw9a3j6M0l3zJYSjBqaUS8xuK&amp;usp=drive_copy" TargetMode="External" Id="rId90" /><Relationship Type="http://schemas.openxmlformats.org/officeDocument/2006/relationships/hyperlink" Target="https://drive.google.com/open?id=1bo4DFhq8LuszN1naUGCFnE55PaZWXE0q&amp;usp=drive_copy" TargetMode="External" Id="rId91" /><Relationship Type="http://schemas.openxmlformats.org/officeDocument/2006/relationships/hyperlink" Target="https://drive.google.com/open?id=1v9ZukoBpX0KSfaQH7O2sji8c7iA2qyMg&amp;usp=drive_copy" TargetMode="External" Id="rId92" /><Relationship Type="http://schemas.openxmlformats.org/officeDocument/2006/relationships/hyperlink" Target="https://drive.google.com/open?id=1UjUeX-Z3hJjMEXMebAQF5FucBi8oCq-4&amp;usp=drive_copy" TargetMode="External" Id="rId93" /><Relationship Type="http://schemas.openxmlformats.org/officeDocument/2006/relationships/hyperlink" Target="https://drive.google.com/open?id=1BQLPm_FqNBdS35Vn4cXqV8YKphV0YIGu&amp;usp=drive_copy" TargetMode="External" Id="rId94" /><Relationship Type="http://schemas.openxmlformats.org/officeDocument/2006/relationships/hyperlink" Target="https://drive.google.com/open?id=1ubeeu-QlRR93gysAS3_uE_NPBcSajfzS&amp;usp=drive_copy" TargetMode="External" Id="rId95" /><Relationship Type="http://schemas.openxmlformats.org/officeDocument/2006/relationships/hyperlink" Target="https://drive.google.com/open?id=1s6HK0uWYADJlNPQ4pNLycwRb_2e0Ka7x&amp;usp=drive_copy" TargetMode="External" Id="rId96" /><Relationship Type="http://schemas.openxmlformats.org/officeDocument/2006/relationships/hyperlink" Target="https://drive.google.com/open?id=1rQXRS2PP4ZcmGBT6qZpGZOEFD3orDllB&amp;usp=drive_copy" TargetMode="External" Id="rId97" /><Relationship Type="http://schemas.openxmlformats.org/officeDocument/2006/relationships/hyperlink" Target="https://drive.google.com/open?id=1SqeT1EMDweOQmO44sDUvu9Me4ZJ5bNGz&amp;usp=drive_copy" TargetMode="External" Id="rId98" /><Relationship Type="http://schemas.openxmlformats.org/officeDocument/2006/relationships/hyperlink" Target="https://drive.google.com/open?id=1skqixg6hq_zF2hBhTBNz5EjRIp0IKMkz&amp;usp=drive_copy" TargetMode="External" Id="rId99" /><Relationship Type="http://schemas.openxmlformats.org/officeDocument/2006/relationships/hyperlink" Target="https://drive.google.com/open?id=1zwg6suGm5bHULmsep7OOcIzMd941btMx&amp;usp=drive_copy" TargetMode="External" Id="rId100" /><Relationship Type="http://schemas.openxmlformats.org/officeDocument/2006/relationships/hyperlink" Target="https://drive.google.com/open?id=1CyOmHP_4nV-KpMMDmG_40TzVW6VUGA17&amp;usp=drive_copy" TargetMode="External" Id="rId101" /><Relationship Type="http://schemas.openxmlformats.org/officeDocument/2006/relationships/hyperlink" Target="https://drive.google.com/open?id=1vECVt1uetypx-RV7P04Mwr1BVyH9Aaea&amp;usp=drive_copy" TargetMode="External" Id="rId102" /><Relationship Type="http://schemas.openxmlformats.org/officeDocument/2006/relationships/hyperlink" Target="https://drive.google.com/open?id=1baPhGSdUhkHOgZJBGQv0WBnd9vznSPpK&amp;usp=drive_copy" TargetMode="External" Id="rId103" /><Relationship Type="http://schemas.openxmlformats.org/officeDocument/2006/relationships/hyperlink" Target="https://drive.google.com/open?id=1Ps5ol5YjisGabvSjxUVcm8ij4q4wNKDY&amp;usp=drive_copy" TargetMode="External" Id="rId104" /><Relationship Type="http://schemas.openxmlformats.org/officeDocument/2006/relationships/hyperlink" Target="https://drive.google.com/open?id=1jakAKiNK8984od2U4Yx2rzOFGpaagqiw&amp;usp=drive_copy" TargetMode="External" Id="rId105" /><Relationship Type="http://schemas.openxmlformats.org/officeDocument/2006/relationships/hyperlink" Target="https://drive.google.com/open?id=1UArb3GcZebcYdIaq9viamJ2U6WbdFFBA&amp;usp=drive_copy" TargetMode="External" Id="rId106" /><Relationship Type="http://schemas.openxmlformats.org/officeDocument/2006/relationships/hyperlink" Target="https://drive.google.com/open?id=1dFmWYd0CmdmFBG2gytaO-hoPo6gyt9Cg&amp;usp=drive_copy" TargetMode="External" Id="rId107" /><Relationship Type="http://schemas.openxmlformats.org/officeDocument/2006/relationships/hyperlink" Target="https://drive.google.com/open?id=1aPU12U_6FmcXi0sYtwbahFXNvKAoy7Td&amp;usp=drive_copy" TargetMode="External" Id="rId108" /><Relationship Type="http://schemas.openxmlformats.org/officeDocument/2006/relationships/hyperlink" Target="https://drive.google.com/open?id=1o2VbBgQb__6WS2-0hbH98h86CkbOVyaE&amp;usp=drive_copy" TargetMode="External" Id="rId109" /><Relationship Type="http://schemas.openxmlformats.org/officeDocument/2006/relationships/hyperlink" Target="https://drive.google.com/open?id=1Xa6MOVFGaQrTeij271FVTLu5iEFXYhs_&amp;usp=drive_copy" TargetMode="External" Id="rId110" /><Relationship Type="http://schemas.openxmlformats.org/officeDocument/2006/relationships/hyperlink" Target="https://drive.google.com/open?id=1E0w12kOAVLh-fL-YjQqhJH5TSPf0V_a1&amp;usp=drive_copy" TargetMode="External" Id="rId111" /><Relationship Type="http://schemas.openxmlformats.org/officeDocument/2006/relationships/hyperlink" Target="https://drive.google.com/open?id=1RUDkoMz161mqmt81ShqTkaxBbvfFUUzL&amp;usp=drive_copy" TargetMode="External" Id="rId112" /><Relationship Type="http://schemas.openxmlformats.org/officeDocument/2006/relationships/hyperlink" Target="https://drive.google.com/open?id=1ZBy4hxk2RpPsB3onXQ_EdghF_d_4Wo5N&amp;usp=drive_copy" TargetMode="External" Id="rId113" /><Relationship Type="http://schemas.openxmlformats.org/officeDocument/2006/relationships/hyperlink" Target="https://drive.google.com/open?id=1SBJCLKRpQg8cwqFoh16v7iX4N_9Ngj9c&amp;usp=drive_copy" TargetMode="External" Id="rId114" /><Relationship Type="http://schemas.openxmlformats.org/officeDocument/2006/relationships/hyperlink" Target="https://drive.google.com/open?id=1qIWOPcyPjYRo9UwFkjcLND-fXr96hZDY&amp;usp=drive_copy" TargetMode="External" Id="rId115" /><Relationship Type="http://schemas.openxmlformats.org/officeDocument/2006/relationships/hyperlink" Target="https://drive.google.com/open?id=1kXeRfKCIUqRssk0STKq1v0DtO2nq9qb0&amp;usp=drive_copy" TargetMode="External" Id="rId116" /><Relationship Type="http://schemas.openxmlformats.org/officeDocument/2006/relationships/hyperlink" Target="https://drive.google.com/open?id=18jp0qfn9RvJyM9GoPf-ietIp-sxb8sQ8&amp;usp=drive_copy" TargetMode="External" Id="rId117" /><Relationship Type="http://schemas.openxmlformats.org/officeDocument/2006/relationships/hyperlink" Target="https://drive.google.com/open?id=1Xo0kwgkGgk5QOW5VA6lR4ENrWUAVss1I&amp;usp=drive_copy" TargetMode="External" Id="rId118" /><Relationship Type="http://schemas.openxmlformats.org/officeDocument/2006/relationships/hyperlink" Target="https://drive.google.com/open?id=1nh4CUKjzQfoj21CuwYEPUkEojivoI3x9&amp;usp=drive_copy" TargetMode="External" Id="rId119" /><Relationship Type="http://schemas.openxmlformats.org/officeDocument/2006/relationships/hyperlink" Target="https://drive.google.com/open?id=17CdqeGiTJKJH7_IwKZNOGLJxTZF22aeF&amp;usp=drive_copy" TargetMode="External" Id="rId120" /><Relationship Type="http://schemas.openxmlformats.org/officeDocument/2006/relationships/hyperlink" Target="https://drive.google.com/open?id=19d7-jxaW_1MrVdaHyadxJuy5i6z5lQSp&amp;usp=drive_copy" TargetMode="External" Id="rId121" /><Relationship Type="http://schemas.openxmlformats.org/officeDocument/2006/relationships/hyperlink" Target="https://drive.google.com/open?id=1D3M195VfYTE9Y6Z7rblWcePEi9isa424&amp;usp=drive_copy" TargetMode="External" Id="rId122" /><Relationship Type="http://schemas.openxmlformats.org/officeDocument/2006/relationships/hyperlink" Target="https://drive.google.com/open?id=1PF-GTl_XT9KHeTB0n4yrsz3fh2w59WBN&amp;usp=drive_copy" TargetMode="External" Id="rId123" /><Relationship Type="http://schemas.openxmlformats.org/officeDocument/2006/relationships/hyperlink" Target="https://drive.google.com/open?id=1FSqCCS6AlKnvrE6TAlaessJ0LHTgj7ge&amp;usp=drive_copy" TargetMode="External" Id="rId124" /><Relationship Type="http://schemas.openxmlformats.org/officeDocument/2006/relationships/hyperlink" Target="https://drive.google.com/open?id=106I2J95m4BCsssnjIlMy7aodBgnysBXk&amp;usp=drive_copy" TargetMode="External" Id="rId125" /><Relationship Type="http://schemas.openxmlformats.org/officeDocument/2006/relationships/hyperlink" Target="https://drive.google.com/open?id=1jXRzsHg846F-YW5MayO2Oo_GI0X36_Kz&amp;usp=drive_copy" TargetMode="External" Id="rId126" /><Relationship Type="http://schemas.openxmlformats.org/officeDocument/2006/relationships/hyperlink" Target="https://drive.google.com/open?id=1jpI-4UD0die_C1t3H-q4iOT4uDTdrYFq&amp;usp=drive_copy" TargetMode="External" Id="rId127" /><Relationship Type="http://schemas.openxmlformats.org/officeDocument/2006/relationships/hyperlink" Target="https://drive.google.com/open?id=1vxI7jb8i2GX0wFNnWwx7OAKPxgmLMaq-&amp;usp=drive_copy" TargetMode="External" Id="rId128" /><Relationship Type="http://schemas.openxmlformats.org/officeDocument/2006/relationships/hyperlink" Target="https://drive.google.com/open?id=1Me7IFHfvy4y4UcKogrnZKPb2Oy3ldU10&amp;usp=drive_copy" TargetMode="External" Id="rId129" /><Relationship Type="http://schemas.openxmlformats.org/officeDocument/2006/relationships/hyperlink" Target="https://drive.google.com/open?id=1w-EfVWGAkxNIAJYkjxfKjoDSWAZoBmlY&amp;usp=drive_copy" TargetMode="External" Id="rId130" /><Relationship Type="http://schemas.openxmlformats.org/officeDocument/2006/relationships/hyperlink" Target="https://drive.google.com/open?id=11oPBxRds6iux7nBiMJxIUMO9q4BXGi0m&amp;usp=drive_copy" TargetMode="External" Id="rId131" /><Relationship Type="http://schemas.openxmlformats.org/officeDocument/2006/relationships/hyperlink" Target="https://drive.google.com/open?id=1pwZGGeAsHoBu00kzetCf66U2Y_5kl9qd&amp;usp=drive_copy" TargetMode="External" Id="rId132" /><Relationship Type="http://schemas.openxmlformats.org/officeDocument/2006/relationships/hyperlink" Target="https://drive.google.com/open?id=1xg5qHF-zhaEHTDkXQ7y9F2FVf5kKhSWB&amp;usp=drive_copy" TargetMode="External" Id="rId133" /><Relationship Type="http://schemas.openxmlformats.org/officeDocument/2006/relationships/hyperlink" Target="https://drive.google.com/open?id=1Fir5KOk9oaT6XVhsnn_3xv7ncaFsrKGo&amp;usp=drive_copy" TargetMode="External" Id="rId134" /><Relationship Type="http://schemas.openxmlformats.org/officeDocument/2006/relationships/hyperlink" Target="https://drive.google.com/open?id=1qTpPGarLc1B1VKXBCoAIwgdGIJE1aEtO&amp;usp=drive_copy" TargetMode="External" Id="rId135" /><Relationship Type="http://schemas.openxmlformats.org/officeDocument/2006/relationships/hyperlink" Target="https://drive.google.com/open?id=1U_QcrjKKZXwg2dzYTpZFM1B5bhZAyh9e&amp;usp=drive_copy" TargetMode="External" Id="rId136" /><Relationship Type="http://schemas.openxmlformats.org/officeDocument/2006/relationships/hyperlink" Target="https://drive.google.com/open?id=1Nmcno-e5yTHtjfLOF6lYGu760mr3F1Ju&amp;usp=drive_copy" TargetMode="External" Id="rId137" /><Relationship Type="http://schemas.openxmlformats.org/officeDocument/2006/relationships/hyperlink" Target="https://drive.google.com/open?id=1JjaRWKHW9TpaPc_Fz3fAqxyvqT993Z86&amp;usp=drive_copy" TargetMode="External" Id="rId138" /><Relationship Type="http://schemas.openxmlformats.org/officeDocument/2006/relationships/hyperlink" Target="https://drive.google.com/open?id=14P30np_44rmLUCot4Nj6DI1weEaap4JR&amp;usp=drive_copy" TargetMode="External" Id="rId139" /><Relationship Type="http://schemas.openxmlformats.org/officeDocument/2006/relationships/hyperlink" Target="https://drive.google.com/open?id=1QBQEBu2R1rBm77a4S0QbbScVMcr6Ooeh&amp;usp=drive_copy" TargetMode="External" Id="rId140" /><Relationship Type="http://schemas.openxmlformats.org/officeDocument/2006/relationships/hyperlink" Target="https://drive.google.com/open?id=1wPW4uwsk7_9VaMxHtQzIgQqZoaOj3QLQ&amp;usp=drive_copy" TargetMode="External" Id="rId141" /><Relationship Type="http://schemas.openxmlformats.org/officeDocument/2006/relationships/hyperlink" Target="https://drive.google.com/open?id=13g-QJsP3ExJzWXiwQJjysGt7VVMKaE65&amp;usp=drive_copy" TargetMode="External" Id="rId142" /><Relationship Type="http://schemas.openxmlformats.org/officeDocument/2006/relationships/hyperlink" Target="https://drive.google.com/open?id=1StNiU4vs1CeWG-016U1F6zNxCFiN8yk9&amp;usp=drive_copy" TargetMode="External" Id="rId143" /><Relationship Type="http://schemas.openxmlformats.org/officeDocument/2006/relationships/hyperlink" Target="https://drive.google.com/open?id=1npJy9RYk2GTxVEodO4i7dBRp44heq1VI&amp;usp=drive_copy" TargetMode="External" Id="rId144" /><Relationship Type="http://schemas.openxmlformats.org/officeDocument/2006/relationships/hyperlink" Target="https://drive.google.com/open?id=1dBbDQg_IR24yYKiZJyC3ScLp8lwZeaq6&amp;usp=drive_copy" TargetMode="External" Id="rId145" /><Relationship Type="http://schemas.openxmlformats.org/officeDocument/2006/relationships/hyperlink" Target="https://drive.google.com/open?id=1Kyln3iXV7bnGlpdAVs8Lg5NtlZbM350L&amp;usp=drive_copy" TargetMode="External" Id="rId146" /><Relationship Type="http://schemas.openxmlformats.org/officeDocument/2006/relationships/hyperlink" Target="https://drive.google.com/open?id=1lcP_tIPMIb3BWSoGGdLXLSGqSqEpkpAU&amp;usp=drive_copy" TargetMode="External" Id="rId147" /><Relationship Type="http://schemas.openxmlformats.org/officeDocument/2006/relationships/hyperlink" Target="https://drive.google.com/open?id=1vK73HrWbYPjoV6OeqJviAB1vE1koB_Pf&amp;usp=drive_copy" TargetMode="External" Id="rId148" /><Relationship Type="http://schemas.openxmlformats.org/officeDocument/2006/relationships/hyperlink" Target="https://drive.google.com/open?id=1Y8W2W3wOy5UHQoZNQC55BrMEMkVr5Jy3&amp;usp=drive_copy" TargetMode="External" Id="rId149" /><Relationship Type="http://schemas.openxmlformats.org/officeDocument/2006/relationships/hyperlink" Target="https://drive.google.com/open?id=1dEOqE1QgsXcK_oaUGqSCPXIIRDrBs5xl&amp;usp=drive_copy" TargetMode="External" Id="rId150" /><Relationship Type="http://schemas.openxmlformats.org/officeDocument/2006/relationships/hyperlink" Target="https://drive.google.com/open?id=1gZo2UHvOQfjLochGwSmSkebHqIzIU4lM&amp;usp=drive_copy" TargetMode="External" Id="rId151" /><Relationship Type="http://schemas.openxmlformats.org/officeDocument/2006/relationships/hyperlink" Target="https://drive.google.com/open?id=1_DcSivCf9tXKgoRUvU4avs3UsZaBXLvp&amp;usp=drive_copy" TargetMode="External" Id="rId152" /><Relationship Type="http://schemas.openxmlformats.org/officeDocument/2006/relationships/hyperlink" Target="https://drive.google.com/open?id=1yro5fgZmPhdyvHgULxBLlCQZWvRC5nRM&amp;usp=drive_copy" TargetMode="External" Id="rId153" /><Relationship Type="http://schemas.openxmlformats.org/officeDocument/2006/relationships/hyperlink" Target="https://drive.google.com/open?id=1WHBejaLr6cVeCxtNRqHnefDVEMYFRcIc&amp;usp=drive_copy" TargetMode="External" Id="rId154" /><Relationship Type="http://schemas.openxmlformats.org/officeDocument/2006/relationships/hyperlink" Target="https://drive.google.com/open?id=1bUfAKcQoa7icMLk7GoHLhNgisP9_HF8S&amp;usp=drive_copy" TargetMode="External" Id="rId155" /><Relationship Type="http://schemas.openxmlformats.org/officeDocument/2006/relationships/hyperlink" Target="https://drive.google.com/open?id=1HYBySgdDXx7o8xth0-D4TEquuzVy3V8R&amp;usp=drive_copy" TargetMode="External" Id="rId156" /><Relationship Type="http://schemas.openxmlformats.org/officeDocument/2006/relationships/hyperlink" Target="https://drive.google.com/open?id=1t4S7iENXYuczAZbpaqPbz7KWtiOyADF0&amp;usp=drive_copy" TargetMode="External" Id="rId157" /><Relationship Type="http://schemas.openxmlformats.org/officeDocument/2006/relationships/hyperlink" Target="https://drive.google.com/open?id=1i4hgERZ4ezMhFdGuvz7q_B756zwlr-Ah&amp;usp=drive_copy" TargetMode="External" Id="rId158" /><Relationship Type="http://schemas.openxmlformats.org/officeDocument/2006/relationships/hyperlink" Target="https://drive.google.com/open?id=1c3U3mNCHHApCYu2MKf3kYBLS31htNlUY&amp;usp=drive_copy" TargetMode="External" Id="rId159" /><Relationship Type="http://schemas.openxmlformats.org/officeDocument/2006/relationships/hyperlink" Target="https://drive.google.com/open?id=1_kbHeOHxd8jPKkyxRhudgmdxQxZ4_kVQ&amp;usp=drive_copy" TargetMode="External" Id="rId160" /><Relationship Type="http://schemas.openxmlformats.org/officeDocument/2006/relationships/hyperlink" Target="https://drive.google.com/open?id=14sPzH8OGjN8vWA665Sh0L55robDA59ns&amp;usp=drive_copy" TargetMode="External" Id="rId161" /><Relationship Type="http://schemas.openxmlformats.org/officeDocument/2006/relationships/hyperlink" Target="https://drive.google.com/open?id=1-djJ1OwgRiC9Wzo6VacFISz_A9FtI9qr&amp;usp=drive_copy" TargetMode="External" Id="rId162" /><Relationship Type="http://schemas.openxmlformats.org/officeDocument/2006/relationships/hyperlink" Target="https://drive.google.com/open?id=1Lb6VJDs1S8noqe9m7cUsGK6GCteTQffq&amp;usp=drive_copy" TargetMode="External" Id="rId163" /><Relationship Type="http://schemas.openxmlformats.org/officeDocument/2006/relationships/hyperlink" Target="https://drive.google.com/open?id=1EedftX7vm_-2unXSG-hVoY4T0F-AQ_QA&amp;usp=drive_copy" TargetMode="External" Id="rId164" /><Relationship Type="http://schemas.openxmlformats.org/officeDocument/2006/relationships/hyperlink" Target="https://drive.google.com/open?id=1d9EMtnB1Ik0SI-ndsmc_O-ZwK_8LfYfY&amp;usp=drive_copy" TargetMode="External" Id="rId165" /><Relationship Type="http://schemas.openxmlformats.org/officeDocument/2006/relationships/hyperlink" Target="https://drive.google.com/open?id=1utuC-5S4iBNpQxLGNTWiMRg61mG2cSl_&amp;usp=drive_copy" TargetMode="External" Id="rId166" /><Relationship Type="http://schemas.openxmlformats.org/officeDocument/2006/relationships/hyperlink" Target="https://drive.google.com/open?id=1cSBx4BSrZhAUenSWBRkzVov5vYzRocGY&amp;usp=drive_copy" TargetMode="External" Id="rId167" /><Relationship Type="http://schemas.openxmlformats.org/officeDocument/2006/relationships/hyperlink" Target="https://drive.google.com/open?id=1xiSdQEFIdz3j4gQLZVcIBwz7XWYF9AYU&amp;usp=drive_copy" TargetMode="External" Id="rId168" /><Relationship Type="http://schemas.openxmlformats.org/officeDocument/2006/relationships/hyperlink" Target="https://drive.google.com/open?id=1N5tIKeVV5XT6xcmE_PD7I3sYcK9SAzLs&amp;usp=drive_copy" TargetMode="External" Id="rId169" /><Relationship Type="http://schemas.openxmlformats.org/officeDocument/2006/relationships/hyperlink" Target="https://drive.google.com/open?id=1SJpTdLwTjx0XSTHQ4RXPa9zB9_sjOtkq&amp;usp=drive_copy" TargetMode="External" Id="rId170" /><Relationship Type="http://schemas.openxmlformats.org/officeDocument/2006/relationships/hyperlink" Target="https://drive.google.com/open?id=19XVwPZpyFpRmaZrVdihGCxxCVclUo5c8&amp;usp=drive_copy" TargetMode="External" Id="rId171" /><Relationship Type="http://schemas.openxmlformats.org/officeDocument/2006/relationships/hyperlink" Target="https://drive.google.com/open?id=1m6NZOIw14QJKv0eOG__X-Rf4lCZ-LMal&amp;usp=drive_copy" TargetMode="External" Id="rId172" /><Relationship Type="http://schemas.openxmlformats.org/officeDocument/2006/relationships/hyperlink" Target="https://drive.google.com/open?id=1n1l3YxjaPFIPUl5biVRybrQK9XuxnXPT&amp;usp=drive_copy" TargetMode="External" Id="rId173" /><Relationship Type="http://schemas.openxmlformats.org/officeDocument/2006/relationships/hyperlink" Target="https://drive.google.com/open?id=1lKZnhPG1stNCPP0ir_YD07tiw93O8J4F&amp;usp=drive_copy" TargetMode="External" Id="rId174" /><Relationship Type="http://schemas.openxmlformats.org/officeDocument/2006/relationships/hyperlink" Target="https://drive.google.com/open?id=1AmZDlgoKKgUNkUZhKZuAL6waENooLdH6&amp;usp=drive_copy" TargetMode="External" Id="rId175" /><Relationship Type="http://schemas.openxmlformats.org/officeDocument/2006/relationships/hyperlink" Target="https://drive.google.com/open?id=1PxFlr5JLgxl6ytiX_QT16JGDfmpmrsrN&amp;usp=drive_copy" TargetMode="External" Id="rId176" /><Relationship Type="http://schemas.openxmlformats.org/officeDocument/2006/relationships/hyperlink" Target="https://drive.google.com/open?id=1Q7MQil5qlJPpMZmQoKJKa20puAeG4Fcx&amp;usp=drive_copy" TargetMode="External" Id="rId177" /><Relationship Type="http://schemas.openxmlformats.org/officeDocument/2006/relationships/hyperlink" Target="https://drive.google.com/open?id=1Mp3U4dKCTXSLl61sQ_QFEyHx9WjsxKXK&amp;usp=drive_copy" TargetMode="External" Id="rId178" /><Relationship Type="http://schemas.openxmlformats.org/officeDocument/2006/relationships/hyperlink" Target="https://drive.google.com/open?id=1MOUf7Qi_gZqctSOjnpmkMs6zgevhkiMB&amp;usp=drive_copy" TargetMode="External" Id="rId179" /><Relationship Type="http://schemas.openxmlformats.org/officeDocument/2006/relationships/hyperlink" Target="https://drive.google.com/open?id=1bwtX9yK7HskIQ3fF7QowSS-QBcV2P_F6&amp;usp=drive_copy" TargetMode="External" Id="rId180" /><Relationship Type="http://schemas.openxmlformats.org/officeDocument/2006/relationships/hyperlink" Target="https://drive.google.com/open?id=1xwIUjxtKYd7viM2BOZ-Z0LMTFjw5CNR3&amp;usp=drive_copy" TargetMode="External" Id="rId181" /><Relationship Type="http://schemas.openxmlformats.org/officeDocument/2006/relationships/hyperlink" Target="https://drive.google.com/open?id=1ggepdB6tFjF2lva-4V8WMPv_E5Urq1S3&amp;usp=drive_copy" TargetMode="External" Id="rId182" /><Relationship Type="http://schemas.openxmlformats.org/officeDocument/2006/relationships/hyperlink" Target="https://drive.google.com/open?id=1Nk-ofxZqH94oeOK65rDWmVsTBmqfEEbY&amp;usp=drive_copy" TargetMode="External" Id="rId183" /><Relationship Type="http://schemas.openxmlformats.org/officeDocument/2006/relationships/hyperlink" Target="https://drive.google.com/open?id=1Ku33Z7YU6JZEU1fO3S6-kcjwmIAsWz_z&amp;usp=drive_copy" TargetMode="External" Id="rId184" /><Relationship Type="http://schemas.openxmlformats.org/officeDocument/2006/relationships/hyperlink" Target="https://drive.google.com/open?id=1qfbwRv72Lh9fln2C6TSN7ALIQcQaXbXh&amp;usp=drive_copy" TargetMode="External" Id="rId185" /><Relationship Type="http://schemas.openxmlformats.org/officeDocument/2006/relationships/hyperlink" Target="https://drive.google.com/open?id=1xBpIPXWQiALOjT2j6iNdf5gXnB03TSte&amp;usp=drive_copy" TargetMode="External" Id="rId186" /><Relationship Type="http://schemas.openxmlformats.org/officeDocument/2006/relationships/hyperlink" Target="https://drive.google.com/open?id=19Yz1IokHAUXQnf7nNqiAeldHwBy_6Snd&amp;usp=drive_copy" TargetMode="External" Id="rId187" /><Relationship Type="http://schemas.openxmlformats.org/officeDocument/2006/relationships/hyperlink" Target="https://drive.google.com/open?id=1ofuk6ZqKLeWiF4y6tK0MYxVs2ixfWKqB&amp;usp=drive_copy" TargetMode="External" Id="rId188" /><Relationship Type="http://schemas.openxmlformats.org/officeDocument/2006/relationships/hyperlink" Target="https://drive.google.com/open?id=1jkeAXNIhR-M3R9yvaqc1BJ94C0INwOdD&amp;usp=drive_copy" TargetMode="External" Id="rId189" /><Relationship Type="http://schemas.openxmlformats.org/officeDocument/2006/relationships/hyperlink" Target="https://drive.google.com/open?id=1y_Rp3xlPi5qDWaYW_b9sY1eJQvKL_429&amp;usp=drive_copy" TargetMode="External" Id="rId190" /><Relationship Type="http://schemas.openxmlformats.org/officeDocument/2006/relationships/hyperlink" Target="https://drive.google.com/open?id=1lD7J507WneErUPPYIR6hupMh6E1FNw4V&amp;usp=drive_copy" TargetMode="External" Id="rId191" /><Relationship Type="http://schemas.openxmlformats.org/officeDocument/2006/relationships/hyperlink" Target="https://drive.google.com/open?id=1nzZLIxVuzrNGtHz6IjYyz2tizMbueDxt&amp;usp=drive_copy" TargetMode="External" Id="rId192" /><Relationship Type="http://schemas.openxmlformats.org/officeDocument/2006/relationships/hyperlink" Target="https://drive.google.com/open?id=1JQeakWFPvubncc42zNA2OxzHUObqZtMc&amp;usp=drive_copy" TargetMode="External" Id="rId193" /><Relationship Type="http://schemas.openxmlformats.org/officeDocument/2006/relationships/hyperlink" Target="https://drive.google.com/open?id=1DqfEeNdtX-D4G5NY61c1gUiIsRLuWAgZ&amp;usp=drive_copy" TargetMode="External" Id="rId194" /><Relationship Type="http://schemas.openxmlformats.org/officeDocument/2006/relationships/hyperlink" Target="https://drive.google.com/open?id=1l1ZhmFg_6oF5qfC1K3e14GBflch5hvOM&amp;usp=drive_copy" TargetMode="External" Id="rId195" /><Relationship Type="http://schemas.openxmlformats.org/officeDocument/2006/relationships/hyperlink" Target="https://drive.google.com/open?id=1WNUi-p8dzUhh7Ot1SbMyifQ0mrY3rMXV&amp;usp=drive_copy" TargetMode="External" Id="rId196" /><Relationship Type="http://schemas.openxmlformats.org/officeDocument/2006/relationships/hyperlink" Target="https://drive.google.com/open?id=1W44LdBQygq_faqtHFVPlmHs96SKBMIEl&amp;usp=drive_copy" TargetMode="External" Id="rId197" /><Relationship Type="http://schemas.openxmlformats.org/officeDocument/2006/relationships/hyperlink" Target="https://drive.google.com/open?id=19oDxprQ2SjAPesG991Bp01-TUywFMVe0&amp;usp=drive_copy" TargetMode="External" Id="rId198" /><Relationship Type="http://schemas.openxmlformats.org/officeDocument/2006/relationships/table" Target="/xl/tables/table1.xml" Id="rId199" /></Relationships>
</file>

<file path=xl/worksheets/sheet1.xml><?xml version="1.0" encoding="utf-8"?>
<worksheet xmlns="http://schemas.openxmlformats.org/spreadsheetml/2006/main">
  <sheetPr>
    <outlinePr summaryBelow="0" summaryRight="0"/>
    <pageSetUpPr/>
  </sheetPr>
  <dimension ref="A1:AC447"/>
  <sheetViews>
    <sheetView workbookViewId="0">
      <pane xSplit="4" ySplit="1" topLeftCell="E2" activePane="bottomRight" state="frozen"/>
      <selection pane="topRight" activeCell="E1" sqref="E1"/>
      <selection pane="bottomLeft" activeCell="A2" sqref="A2"/>
      <selection pane="bottomRight" activeCell="E2" sqref="E2"/>
    </sheetView>
  </sheetViews>
  <sheetFormatPr baseColWidth="8" defaultColWidth="12.63" defaultRowHeight="15" customHeight="1"/>
  <cols>
    <col width="4.38" customWidth="1" style="56" min="1" max="1"/>
    <col width="10.75" customWidth="1" style="56" min="2" max="2"/>
    <col width="13.13" customWidth="1" style="56" min="3" max="3"/>
    <col width="18.63" customWidth="1" style="56" min="4" max="4"/>
    <col width="20.25" customWidth="1" style="56" min="5" max="5"/>
    <col width="32" customWidth="1" style="56" min="6" max="6"/>
    <col width="37.5" customWidth="1" style="56" min="7" max="7"/>
    <col width="17.25" customWidth="1" style="56" min="8" max="9"/>
    <col width="24.88" customWidth="1" style="56" min="10" max="10"/>
    <col width="27.75" customWidth="1" style="56" min="11" max="12"/>
    <col width="23.38" customWidth="1" style="56" min="13" max="13"/>
    <col width="14.13" customWidth="1" style="56" min="15" max="15"/>
    <col width="17.38" customWidth="1" style="56" min="16" max="16"/>
  </cols>
  <sheetData>
    <row r="1">
      <c r="A1" s="1" t="inlineStr">
        <is>
          <t>Tên</t>
        </is>
      </c>
      <c r="B1" s="1" t="inlineStr">
        <is>
          <t>STT</t>
        </is>
      </c>
      <c r="C1" s="1" t="inlineStr">
        <is>
          <t>Tuần</t>
        </is>
      </c>
      <c r="D1" s="1" t="inlineStr">
        <is>
          <t>Mã TC</t>
        </is>
      </c>
      <c r="E1" s="1" t="inlineStr">
        <is>
          <t>Tên chức năng</t>
        </is>
      </c>
      <c r="F1" s="2" t="inlineStr">
        <is>
          <t>Tác nhân
"cbnv_tw        Test@1234
cbnv_bn        Test@1234
cbnv_dp Test@1234
cbpd_tw Test@1234
cbpd_bn Test@1234
cbpd_dp Test@1234"</t>
        </is>
      </c>
      <c r="G1" s="1" t="inlineStr">
        <is>
          <t>Mô tả</t>
        </is>
      </c>
      <c r="H1" s="1" t="inlineStr">
        <is>
          <t>Điều kiện</t>
        </is>
      </c>
      <c r="I1" s="1" t="inlineStr">
        <is>
          <t>Dữ liệu đầu vào</t>
        </is>
      </c>
      <c r="J1" s="1" t="inlineStr">
        <is>
          <t>Các bước thực hiện</t>
        </is>
      </c>
      <c r="K1" s="1" t="inlineStr">
        <is>
          <t>Kết quả mong đợi</t>
        </is>
      </c>
      <c r="L1" s="1" t="inlineStr">
        <is>
          <t>Kết quả thực tế</t>
        </is>
      </c>
      <c r="M1" s="1" t="inlineStr">
        <is>
          <t>Ảnh/vieo 1</t>
        </is>
      </c>
      <c r="N1" s="1" t="inlineStr">
        <is>
          <t>Trạng thái 1</t>
        </is>
      </c>
      <c r="O1" s="1" t="inlineStr">
        <is>
          <t>TKM phản hồi lần 1</t>
        </is>
      </c>
      <c r="P1" s="1" t="inlineStr">
        <is>
          <t>Trạng thái dev fix 1</t>
        </is>
      </c>
      <c r="Q1" s="1" t="inlineStr">
        <is>
          <t>DEV phản hồi lần 1</t>
        </is>
      </c>
      <c r="R1" s="1" t="inlineStr">
        <is>
          <t>Kết quả thực tế lần 2</t>
        </is>
      </c>
      <c r="S1" s="1" t="inlineStr">
        <is>
          <t>Ảnh/video 2</t>
        </is>
      </c>
      <c r="T1" s="1" t="inlineStr">
        <is>
          <t>Trạng thái 2</t>
        </is>
      </c>
      <c r="U1" s="1" t="inlineStr">
        <is>
          <t>TKM phản hồi lần 2</t>
        </is>
      </c>
      <c r="V1" s="1" t="inlineStr">
        <is>
          <t>Trạng thái dev fix 2</t>
        </is>
      </c>
      <c r="W1" s="1" t="inlineStr">
        <is>
          <t>DEV phản hồi lần 2</t>
        </is>
      </c>
      <c r="X1" s="3" t="n"/>
      <c r="Y1" s="3" t="n"/>
      <c r="Z1" s="3" t="n"/>
      <c r="AA1" s="3" t="n"/>
      <c r="AB1" s="3" t="n"/>
      <c r="AC1" s="3" t="n"/>
    </row>
    <row r="2">
      <c r="A2" s="4" t="n"/>
      <c r="B2" s="5" t="inlineStr">
        <is>
          <t>I</t>
        </is>
      </c>
      <c r="C2" s="5" t="n"/>
      <c r="D2" s="6" t="n"/>
      <c r="E2" s="6" t="inlineStr">
        <is>
          <t>Dashboard</t>
        </is>
      </c>
      <c r="F2" s="7" t="inlineStr">
        <is>
          <t>cbnv_tw        Test@1234
cbnv_bn        Test@1234
cbnv_dp Test@1234
cbpd_tw Test@1234
cbpd_bn Test@1234
cbpd_dp Test@1234</t>
        </is>
      </c>
      <c r="G2" s="8" t="inlineStr">
        <is>
          <t>https://htpldn-uat.ospgroup.vn/login</t>
        </is>
      </c>
      <c r="H2" s="16" t="n"/>
      <c r="I2" s="16" t="n"/>
      <c r="J2" s="16" t="n"/>
      <c r="K2" s="16" t="n"/>
      <c r="L2" s="16" t="n"/>
      <c r="M2" s="16" t="n"/>
      <c r="N2" s="42" t="n"/>
      <c r="O2" s="16" t="n"/>
      <c r="P2" s="16" t="n"/>
      <c r="Q2" s="16" t="n"/>
      <c r="R2" s="16" t="n"/>
      <c r="S2" s="16" t="n"/>
      <c r="T2" s="16" t="n"/>
      <c r="U2" s="16" t="n"/>
      <c r="V2" s="16" t="n"/>
      <c r="W2" s="16" t="n"/>
      <c r="X2" s="16" t="n"/>
      <c r="Y2" s="16" t="n"/>
      <c r="Z2" s="16" t="n"/>
      <c r="AA2" s="16" t="n"/>
      <c r="AB2" s="16" t="n"/>
      <c r="AC2" s="16" t="n"/>
    </row>
    <row r="3">
      <c r="A3" s="12" t="n"/>
      <c r="B3" s="13" t="n">
        <v>46203</v>
      </c>
      <c r="C3" s="42" t="inlineStr">
        <is>
          <t>Tuần 1</t>
        </is>
      </c>
      <c r="D3" s="16" t="inlineStr">
        <is>
          <t>DB_01</t>
        </is>
      </c>
      <c r="E3" s="16" t="n"/>
      <c r="F3" s="14" t="inlineStr">
        <is>
          <t>Cán bộ nghiệp vụ TW,BN,ĐP/Cán bộ phê duyệt TW,BN,ĐP</t>
        </is>
      </c>
      <c r="G3" s="14" t="inlineStr">
        <is>
          <t>Mở Dashboard thành công</t>
        </is>
      </c>
      <c r="H3" s="14" t="inlineStr">
        <is>
          <t>Đăng nhập hợp lệ</t>
        </is>
      </c>
      <c r="I3" s="16" t="inlineStr">
        <is>
          <t>Không có</t>
        </is>
      </c>
      <c r="J3" s="14" t="inlineStr">
        <is>
          <t>1. Đăng nhập
 2. Mở Tổng quan hệ thống</t>
        </is>
      </c>
      <c r="K3" s="14" t="inlineStr">
        <is>
          <t>Hiển thị Dashboard, loading các widget</t>
        </is>
      </c>
      <c r="L3" s="14" t="inlineStr">
        <is>
          <t>Hiển thị Dashboard, loading các widget</t>
        </is>
      </c>
      <c r="M3" s="15" t="inlineStr">
        <is>
          <t>DB_01.png</t>
        </is>
      </c>
      <c r="N3" s="42" t="inlineStr">
        <is>
          <t>Pass</t>
        </is>
      </c>
      <c r="O3" s="16" t="n"/>
      <c r="P3" s="16" t="n"/>
      <c r="Q3" s="16" t="n"/>
      <c r="R3" s="16" t="n"/>
      <c r="S3" s="16" t="n"/>
      <c r="T3" s="16" t="n"/>
      <c r="U3" s="16" t="n"/>
      <c r="V3" s="16" t="n"/>
      <c r="W3" s="16" t="n"/>
      <c r="X3" s="16" t="n"/>
      <c r="Y3" s="16" t="n"/>
      <c r="Z3" s="16" t="n"/>
      <c r="AA3" s="16" t="n"/>
      <c r="AB3" s="16" t="n"/>
      <c r="AC3" s="16" t="n"/>
    </row>
    <row r="4">
      <c r="A4" s="12" t="n"/>
      <c r="B4" s="13" t="n">
        <v>46203</v>
      </c>
      <c r="C4" s="42" t="inlineStr">
        <is>
          <t>Tuần 1</t>
        </is>
      </c>
      <c r="D4" s="16" t="inlineStr">
        <is>
          <t>DB_02</t>
        </is>
      </c>
      <c r="E4" s="16" t="n"/>
      <c r="F4" s="14" t="inlineStr">
        <is>
          <t>Cán bộ nghiệp vụ TW,BN,ĐP/Cán bộ phê duyệt TW,BN,ĐP</t>
        </is>
      </c>
      <c r="G4" s="14" t="inlineStr">
        <is>
          <t>Kiểm tra giá trị mặc định</t>
        </is>
      </c>
      <c r="H4" s="14" t="inlineStr">
        <is>
          <t>Có quyền xem</t>
        </is>
      </c>
      <c r="I4" s="16" t="inlineStr">
        <is>
          <t>Không có</t>
        </is>
      </c>
      <c r="J4" s="14" t="inlineStr">
        <is>
          <t>Mở Dashboard</t>
        </is>
      </c>
      <c r="K4" s="14" t="inlineStr">
        <is>
          <t>Năm hiện tại, phạm vi đúng quyền, đơn vị đúng theo vai trò</t>
        </is>
      </c>
      <c r="L4" s="14" t="inlineStr">
        <is>
          <t>Năm hiện tại, phạm vi đúng quyền, đơn vị đúng theo vai trò</t>
        </is>
      </c>
      <c r="M4" s="15" t="inlineStr">
        <is>
          <t>DB_01.png</t>
        </is>
      </c>
      <c r="N4" s="42" t="inlineStr">
        <is>
          <t>Pass</t>
        </is>
      </c>
      <c r="O4" s="16" t="n"/>
      <c r="P4" s="16" t="n"/>
      <c r="Q4" s="16" t="n"/>
      <c r="R4" s="16" t="n"/>
      <c r="S4" s="16" t="n"/>
      <c r="T4" s="16" t="n"/>
      <c r="U4" s="16" t="n"/>
      <c r="V4" s="16" t="n"/>
      <c r="W4" s="16" t="n"/>
      <c r="X4" s="16" t="n"/>
      <c r="Y4" s="16" t="n"/>
      <c r="Z4" s="16" t="n"/>
      <c r="AA4" s="16" t="n"/>
      <c r="AB4" s="16" t="n"/>
      <c r="AC4" s="16" t="n"/>
    </row>
    <row r="5">
      <c r="A5" s="12" t="n"/>
      <c r="B5" s="13" t="n">
        <v>46203</v>
      </c>
      <c r="C5" s="42" t="inlineStr">
        <is>
          <t>Tuần 1</t>
        </is>
      </c>
      <c r="D5" s="16" t="inlineStr">
        <is>
          <t>DB_03</t>
        </is>
      </c>
      <c r="E5" s="16" t="n"/>
      <c r="F5" s="14" t="inlineStr">
        <is>
          <t>Cán bộ nghiệp vụ TW,BN,ĐP/Cán bộ phê duyệt TW,BN,ĐP</t>
        </is>
      </c>
      <c r="G5" s="14" t="inlineStr">
        <is>
          <t>Người dùng TW xem toàn quốc</t>
        </is>
      </c>
      <c r="H5" s="14" t="inlineStr">
        <is>
          <t>TK Trung ương</t>
        </is>
      </c>
      <c r="I5" s="16" t="inlineStr">
        <is>
          <t>Không có</t>
        </is>
      </c>
      <c r="J5" s="14" t="inlineStr">
        <is>
          <t>Mở Dashboard</t>
        </is>
      </c>
      <c r="K5" s="14" t="inlineStr">
        <is>
          <t>Xem được dữ liệu toàn quốc</t>
        </is>
      </c>
      <c r="L5" s="14" t="inlineStr">
        <is>
          <t>Xem được dữ liệu toàn quốc</t>
        </is>
      </c>
      <c r="M5" s="15" t="inlineStr">
        <is>
          <t>DB_01.png</t>
        </is>
      </c>
      <c r="N5" s="42" t="inlineStr">
        <is>
          <t>Pass</t>
        </is>
      </c>
      <c r="O5" s="16" t="n"/>
      <c r="P5" s="16" t="n"/>
      <c r="Q5" s="16" t="n"/>
      <c r="R5" s="16" t="n"/>
      <c r="S5" s="16" t="n"/>
      <c r="T5" s="16" t="n"/>
      <c r="U5" s="16" t="n"/>
      <c r="V5" s="16" t="n"/>
      <c r="W5" s="16" t="n"/>
      <c r="X5" s="16" t="n"/>
      <c r="Y5" s="16" t="n"/>
      <c r="Z5" s="16" t="n"/>
      <c r="AA5" s="16" t="n"/>
      <c r="AB5" s="16" t="n"/>
      <c r="AC5" s="16" t="n"/>
    </row>
    <row r="6">
      <c r="A6" s="12" t="n"/>
      <c r="B6" s="13" t="n">
        <v>46203</v>
      </c>
      <c r="C6" s="42" t="inlineStr">
        <is>
          <t>Tuần 1</t>
        </is>
      </c>
      <c r="D6" s="16" t="inlineStr">
        <is>
          <t>DB_04</t>
        </is>
      </c>
      <c r="E6" s="16" t="n"/>
      <c r="F6" s="14" t="inlineStr">
        <is>
          <t>Cán bộ nghiệp vụ TW,BN,ĐP/Cán bộ phê duyệt TW,BN,ĐP</t>
        </is>
      </c>
      <c r="G6" s="14" t="inlineStr">
        <is>
          <t>Người dùng Bộ chỉ xem đơn vị mình</t>
        </is>
      </c>
      <c r="H6" s="14" t="inlineStr">
        <is>
          <t>TK Bộ</t>
        </is>
      </c>
      <c r="I6" s="16" t="inlineStr">
        <is>
          <t>Không có</t>
        </is>
      </c>
      <c r="J6" s="14" t="inlineStr">
        <is>
          <t>Mở Dashboard</t>
        </is>
      </c>
      <c r="K6" s="14" t="inlineStr">
        <is>
          <t>Không xem dữ liệu đơn vị khác</t>
        </is>
      </c>
      <c r="L6" s="14" t="inlineStr">
        <is>
          <t>Không xem dữ liệu đơn vị khác</t>
        </is>
      </c>
      <c r="M6" s="15" t="inlineStr">
        <is>
          <t>DB_04.png</t>
        </is>
      </c>
      <c r="N6" s="42" t="inlineStr">
        <is>
          <t>Pass</t>
        </is>
      </c>
      <c r="O6" s="16" t="n"/>
      <c r="P6" s="16" t="n"/>
      <c r="Q6" s="16" t="n"/>
      <c r="R6" s="16" t="n"/>
      <c r="S6" s="16" t="n"/>
      <c r="T6" s="16" t="n"/>
      <c r="U6" s="16" t="n"/>
      <c r="V6" s="16" t="n"/>
      <c r="W6" s="16" t="n"/>
      <c r="X6" s="16" t="n"/>
      <c r="Y6" s="16" t="n"/>
      <c r="Z6" s="16" t="n"/>
      <c r="AA6" s="16" t="n"/>
      <c r="AB6" s="16" t="n"/>
      <c r="AC6" s="16" t="n"/>
    </row>
    <row r="7">
      <c r="A7" s="12" t="n"/>
      <c r="B7" s="13" t="n">
        <v>46203</v>
      </c>
      <c r="C7" s="42" t="inlineStr">
        <is>
          <t>Tuần 1</t>
        </is>
      </c>
      <c r="D7" s="16" t="inlineStr">
        <is>
          <t>DB_05</t>
        </is>
      </c>
      <c r="E7" s="16" t="n"/>
      <c r="F7" s="14" t="inlineStr">
        <is>
          <t>Cán bộ nghiệp vụ TW,BN,ĐP/Cán bộ phê duyệt TW,BN,ĐP</t>
        </is>
      </c>
      <c r="G7" s="14" t="inlineStr">
        <is>
          <t>Người dùng ĐP chỉ xem địa phương</t>
        </is>
      </c>
      <c r="H7" s="14" t="inlineStr">
        <is>
          <t>TK ĐP</t>
        </is>
      </c>
      <c r="I7" s="16" t="inlineStr">
        <is>
          <t>Không có</t>
        </is>
      </c>
      <c r="J7" s="14" t="inlineStr">
        <is>
          <t>Mở Dashboard</t>
        </is>
      </c>
      <c r="K7" s="14" t="inlineStr">
        <is>
          <t>Không đổi được đơn vị</t>
        </is>
      </c>
      <c r="L7" s="14" t="inlineStr">
        <is>
          <t>Không đổi được đơn vị</t>
        </is>
      </c>
      <c r="M7" s="15" t="inlineStr">
        <is>
          <t>DB_05.png</t>
        </is>
      </c>
      <c r="N7" s="42" t="inlineStr">
        <is>
          <t>Pass</t>
        </is>
      </c>
      <c r="O7" s="16" t="n"/>
      <c r="P7" s="16" t="n"/>
      <c r="Q7" s="16" t="n"/>
      <c r="R7" s="16" t="n"/>
      <c r="S7" s="16" t="n"/>
      <c r="T7" s="16" t="n"/>
      <c r="U7" s="16" t="n"/>
      <c r="V7" s="16" t="n"/>
      <c r="W7" s="16" t="n"/>
      <c r="X7" s="16" t="n"/>
      <c r="Y7" s="16" t="n"/>
      <c r="Z7" s="16" t="n"/>
      <c r="AA7" s="16" t="n"/>
      <c r="AB7" s="16" t="n"/>
      <c r="AC7" s="16" t="n"/>
    </row>
    <row r="8">
      <c r="A8" s="12" t="n"/>
      <c r="B8" s="13" t="n">
        <v>46203</v>
      </c>
      <c r="C8" s="42" t="inlineStr">
        <is>
          <t>Tuần 1</t>
        </is>
      </c>
      <c r="D8" s="16" t="inlineStr">
        <is>
          <t>DB_06</t>
        </is>
      </c>
      <c r="E8" s="16" t="n"/>
      <c r="F8" s="14" t="inlineStr">
        <is>
          <t>Cán bộ nghiệp vụ TW,BN,ĐP/Cán bộ phê duyệt TW,BN,ĐP</t>
        </is>
      </c>
      <c r="G8" s="14" t="inlineStr">
        <is>
          <t>Lọc theo năm</t>
        </is>
      </c>
      <c r="H8" s="14" t="inlineStr">
        <is>
          <t>Có dữ liệu</t>
        </is>
      </c>
      <c r="I8" s="16" t="inlineStr">
        <is>
          <t>Không có</t>
        </is>
      </c>
      <c r="J8" s="14" t="inlineStr">
        <is>
          <t>Chọn năm-&gt;Áp dụng</t>
        </is>
      </c>
      <c r="K8" s="14" t="inlineStr">
        <is>
          <t>Các chỉ số cập nhật đúng</t>
        </is>
      </c>
      <c r="L8" s="14" t="inlineStr">
        <is>
          <t>Chức năng lọc thông tin theo năm không chính xác</t>
        </is>
      </c>
      <c r="M8" s="15" t="inlineStr">
        <is>
          <t>DB_06.mp4</t>
        </is>
      </c>
      <c r="N8" s="42" t="inlineStr">
        <is>
          <t>Fail</t>
        </is>
      </c>
      <c r="O8" s="16" t="n"/>
      <c r="P8" s="16" t="inlineStr">
        <is>
          <t>dev done</t>
        </is>
      </c>
      <c r="Q8" s="16" t="n"/>
      <c r="R8" s="16" t="inlineStr">
        <is>
          <t>Cập nhật 2026-07-08 sau re-check SRS/UI: Pass. DB_06 là KPI-03 ảnh chụp/trạng thái, không áp tiêu chí ngày phát sinh trong kỳ. Dashboard năm 2025 card Vụ việc đang xử lý = 2; drill-down hiển thị 1-2 / 2 và cả 2 bản ghi đều trạng thái Đang xử lý, khớp SRS.</t>
        </is>
      </c>
      <c r="S8" s="16" t="inlineStr">
        <is>
          <t>round2-2026-07-08/DB_06-recheck-2026-07-08-dashboard-2025.png; round2-2026-07-08/DB_06-recheck-2026-07-08-list.png</t>
        </is>
      </c>
      <c r="T8" s="16" t="inlineStr">
        <is>
          <t>Pass</t>
        </is>
      </c>
      <c r="U8" s="16" t="inlineStr">
        <is>
          <t>Re-check 2026-07-08: kết luận Fail trước đó do áp nhầm tiêu chí ngày cho KPI ảnh chụp/trạng thái; không cần dev xử lý tiếp.</t>
        </is>
      </c>
      <c r="V8" s="16" t="n"/>
      <c r="W8" s="16" t="n"/>
      <c r="X8" s="16" t="n"/>
      <c r="Y8" s="16" t="n"/>
      <c r="Z8" s="16" t="n"/>
      <c r="AA8" s="16" t="n"/>
      <c r="AB8" s="16" t="n"/>
      <c r="AC8" s="16" t="n"/>
    </row>
    <row r="9">
      <c r="A9" s="12" t="n"/>
      <c r="B9" s="13" t="n">
        <v>46203</v>
      </c>
      <c r="C9" s="42" t="inlineStr">
        <is>
          <t>Tuần 1</t>
        </is>
      </c>
      <c r="D9" s="16" t="inlineStr">
        <is>
          <t>DB_07</t>
        </is>
      </c>
      <c r="E9" s="16" t="n"/>
      <c r="F9" s="14" t="inlineStr">
        <is>
          <t>Cán bộ nghiệp vụ TW,BN,ĐP/Cán bộ phê duyệt TW,BN,ĐP</t>
        </is>
      </c>
      <c r="G9" s="14" t="inlineStr">
        <is>
          <t>Lọc theo tháng</t>
        </is>
      </c>
      <c r="H9" s="14" t="inlineStr">
        <is>
          <t>Có dữ liệu</t>
        </is>
      </c>
      <c r="I9" s="16" t="inlineStr">
        <is>
          <t>Không có</t>
        </is>
      </c>
      <c r="J9" s="14" t="inlineStr">
        <is>
          <t>Chọn tháng-&gt;Áp dụng</t>
        </is>
      </c>
      <c r="K9" s="14" t="inlineStr">
        <is>
          <t>Dữ liệu đúng kỳ</t>
        </is>
      </c>
      <c r="L9" s="16" t="inlineStr">
        <is>
          <t>Chức năng lọc theo tháng không hoạt động  chính xác</t>
        </is>
      </c>
      <c r="M9" s="15" t="inlineStr">
        <is>
          <t>DB_07.mp4</t>
        </is>
      </c>
      <c r="N9" s="42" t="inlineStr">
        <is>
          <t>Fail</t>
        </is>
      </c>
      <c r="O9" s="16" t="n"/>
      <c r="P9" s="16" t="inlineStr">
        <is>
          <t>dev done</t>
        </is>
      </c>
      <c r="Q9" s="16" t="n"/>
      <c r="R9" s="16" t="inlineStr">
        <is>
          <t>Cập nhật 2026-07-08 sau re-check SRS/UI: Pass. DB_07 là KPI-05 ảnh chụp/trạng thái, không yêu cầu lọc ngày bắt đầu trong tháng. Dashboard tháng 5/2026 card Đào tạo đang diễn ra = 2; drill-down hiển thị 1-2 / 2 và cả 2 khóa đều trạng thái Đang diễn ra, khớp SRS.</t>
        </is>
      </c>
      <c r="S9" s="16" t="inlineStr">
        <is>
          <t>round2-2026-07-08/DB_07-recheck-2026-07-08-dashboard-thang-5.png; round2-2026-07-08/DB_07-recheck-2026-07-08-list.png</t>
        </is>
      </c>
      <c r="T9" s="16" t="inlineStr">
        <is>
          <t>Pass</t>
        </is>
      </c>
      <c r="U9" s="16" t="inlineStr">
        <is>
          <t>Re-check 2026-07-08: không cần dev xử lý tiếp.</t>
        </is>
      </c>
      <c r="V9" s="16" t="n"/>
      <c r="W9" s="16" t="n"/>
      <c r="X9" s="16" t="n"/>
      <c r="Y9" s="16" t="n"/>
      <c r="Z9" s="16" t="n"/>
      <c r="AA9" s="16" t="n"/>
      <c r="AB9" s="16" t="n"/>
      <c r="AC9" s="16" t="n"/>
    </row>
    <row r="10">
      <c r="A10" s="12" t="n"/>
      <c r="B10" s="13" t="n">
        <v>46203</v>
      </c>
      <c r="C10" s="42" t="inlineStr">
        <is>
          <t>Tuần 1</t>
        </is>
      </c>
      <c r="D10" s="16" t="inlineStr">
        <is>
          <t>DB_08</t>
        </is>
      </c>
      <c r="E10" s="16" t="n"/>
      <c r="F10" s="14" t="inlineStr">
        <is>
          <t>Cán bộ nghiệp vụ TW,BN,ĐP/Cán bộ phê duyệt TW,BN,ĐP</t>
        </is>
      </c>
      <c r="G10" s="14" t="inlineStr">
        <is>
          <t>Đổi cấp đơn vị</t>
        </is>
      </c>
      <c r="H10" s="14" t="inlineStr">
        <is>
          <t>TK TW</t>
        </is>
      </c>
      <c r="I10" s="16" t="inlineStr">
        <is>
          <t>Không có</t>
        </is>
      </c>
      <c r="J10" s="14" t="inlineStr">
        <is>
          <t>Chọn cấp đơn vị</t>
        </is>
      </c>
      <c r="K10" s="14" t="inlineStr">
        <is>
          <t>Danh sách đơn vị thay đổi</t>
        </is>
      </c>
      <c r="L10" s="16" t="inlineStr">
        <is>
          <t>Chức năng đổi cấp đơn vị không hoạt động</t>
        </is>
      </c>
      <c r="M10" s="15" t="inlineStr">
        <is>
          <t>DB_08.mp4</t>
        </is>
      </c>
      <c r="N10" s="42" t="inlineStr">
        <is>
          <t>Fail</t>
        </is>
      </c>
      <c r="O10" s="16" t="n"/>
      <c r="P10" s="16" t="inlineStr">
        <is>
          <t>dev done</t>
        </is>
      </c>
      <c r="Q10" s="16" t="n"/>
      <c r="R10" s="16" t="n"/>
      <c r="S10" s="16" t="n"/>
      <c r="T10" s="16" t="n"/>
      <c r="U10" s="16" t="n"/>
      <c r="V10" s="16" t="n"/>
      <c r="W10" s="16" t="n"/>
      <c r="X10" s="16" t="n"/>
      <c r="Y10" s="16" t="n"/>
      <c r="Z10" s="16" t="n"/>
      <c r="AA10" s="16" t="n"/>
      <c r="AB10" s="16" t="n"/>
      <c r="AC10" s="16" t="n"/>
    </row>
    <row r="11">
      <c r="A11" s="12" t="n"/>
      <c r="B11" s="13" t="n">
        <v>46203</v>
      </c>
      <c r="C11" s="42" t="inlineStr">
        <is>
          <t>Tuần 1</t>
        </is>
      </c>
      <c r="D11" s="16" t="inlineStr">
        <is>
          <t>DB_09</t>
        </is>
      </c>
      <c r="E11" s="16" t="n"/>
      <c r="F11" s="14" t="inlineStr">
        <is>
          <t>Cán bộ nghiệp vụ TW,BN,ĐP/Cán bộ phê duyệt TW,BN,ĐP</t>
        </is>
      </c>
      <c r="G11" s="14" t="inlineStr">
        <is>
          <t>Xóa bộ lọc</t>
        </is>
      </c>
      <c r="H11" s="14" t="inlineStr">
        <is>
          <t>Đã lọc</t>
        </is>
      </c>
      <c r="I11" s="16" t="inlineStr">
        <is>
          <t>Không có</t>
        </is>
      </c>
      <c r="J11" s="14" t="inlineStr">
        <is>
          <t>Bấm Xóa bộ lọc</t>
        </is>
      </c>
      <c r="K11" s="14" t="inlineStr">
        <is>
          <t>Trở về mặc định</t>
        </is>
      </c>
      <c r="L11" s="14" t="inlineStr">
        <is>
          <t>Trở về mặc định</t>
        </is>
      </c>
      <c r="M11" s="15" t="inlineStr">
        <is>
          <t>DB_09.png</t>
        </is>
      </c>
      <c r="N11" s="42" t="inlineStr">
        <is>
          <t>Pass</t>
        </is>
      </c>
      <c r="O11" s="16" t="n"/>
      <c r="P11" s="16" t="n"/>
      <c r="Q11" s="16" t="n"/>
      <c r="R11" s="16" t="n"/>
      <c r="S11" s="16" t="n"/>
      <c r="T11" s="16" t="n"/>
      <c r="U11" s="16" t="n"/>
      <c r="V11" s="16" t="n"/>
      <c r="W11" s="16" t="n"/>
      <c r="X11" s="16" t="n"/>
      <c r="Y11" s="16" t="n"/>
      <c r="Z11" s="16" t="n"/>
      <c r="AA11" s="16" t="n"/>
      <c r="AB11" s="16" t="n"/>
      <c r="AC11" s="16" t="n"/>
    </row>
    <row r="12">
      <c r="A12" s="12" t="n"/>
      <c r="B12" s="13" t="n">
        <v>46203</v>
      </c>
      <c r="C12" s="42" t="inlineStr">
        <is>
          <t>Tuần 1</t>
        </is>
      </c>
      <c r="D12" s="16" t="inlineStr">
        <is>
          <t>DB_10</t>
        </is>
      </c>
      <c r="E12" s="16" t="n"/>
      <c r="F12" s="14" t="inlineStr">
        <is>
          <t>Cán bộ nghiệp vụ TW,BN,ĐP/Cán bộ phê duyệt TW,BN,ĐP</t>
        </is>
      </c>
      <c r="G12" s="14" t="inlineStr">
        <is>
          <t>Làm mới</t>
        </is>
      </c>
      <c r="H12" s="14" t="n"/>
      <c r="I12" s="16" t="inlineStr">
        <is>
          <t>Không có</t>
        </is>
      </c>
      <c r="J12" s="14" t="inlineStr">
        <is>
          <t>Bấm Làm mới</t>
        </is>
      </c>
      <c r="K12" s="14" t="inlineStr">
        <is>
          <t>Dữ liệu cập nhật</t>
        </is>
      </c>
      <c r="L12" s="14" t="inlineStr">
        <is>
          <t>Dữ liệu cập nhật</t>
        </is>
      </c>
      <c r="M12" s="15" t="inlineStr">
        <is>
          <t>DB_10.png</t>
        </is>
      </c>
      <c r="N12" s="42" t="inlineStr">
        <is>
          <t>Pass</t>
        </is>
      </c>
      <c r="O12" s="16" t="n"/>
      <c r="P12" s="16" t="n"/>
      <c r="Q12" s="16" t="n"/>
      <c r="R12" s="16" t="n"/>
      <c r="S12" s="16" t="n"/>
      <c r="T12" s="16" t="n"/>
      <c r="U12" s="16" t="n"/>
      <c r="V12" s="16" t="n"/>
      <c r="W12" s="16" t="n"/>
      <c r="X12" s="16" t="n"/>
      <c r="Y12" s="16" t="n"/>
      <c r="Z12" s="16" t="n"/>
      <c r="AA12" s="16" t="n"/>
      <c r="AB12" s="16" t="n"/>
      <c r="AC12" s="16" t="n"/>
    </row>
    <row r="13">
      <c r="A13" s="12" t="n"/>
      <c r="B13" s="13" t="n">
        <v>46203</v>
      </c>
      <c r="C13" s="42" t="inlineStr">
        <is>
          <t>Tuần 1</t>
        </is>
      </c>
      <c r="D13" s="16" t="inlineStr">
        <is>
          <t>DB_11</t>
        </is>
      </c>
      <c r="E13" s="16" t="n"/>
      <c r="F13" s="14" t="inlineStr">
        <is>
          <t>Cán bộ nghiệp vụ TW,BN,ĐP/Cán bộ phê duyệt TW,BN,ĐP</t>
        </is>
      </c>
      <c r="G13" s="14" t="inlineStr">
        <is>
          <t>Hiển thị mũi tên tăng</t>
        </is>
      </c>
      <c r="H13" s="14" t="inlineStr">
        <is>
          <t>Có dữ liệu</t>
        </is>
      </c>
      <c r="I13" s="16" t="inlineStr">
        <is>
          <t>Không có</t>
        </is>
      </c>
      <c r="J13" s="14" t="inlineStr">
        <is>
          <t>Mở Dashboard</t>
        </is>
      </c>
      <c r="K13" s="14" t="inlineStr">
        <is>
          <t>Màu xanh khi tăng</t>
        </is>
      </c>
      <c r="L13" s="14" t="inlineStr">
        <is>
          <t>Màu xanh khi tăng</t>
        </is>
      </c>
      <c r="M13" s="15" t="inlineStr">
        <is>
          <t>DB_11.png</t>
        </is>
      </c>
      <c r="N13" s="42" t="inlineStr">
        <is>
          <t>Pass</t>
        </is>
      </c>
      <c r="O13" s="16" t="n"/>
      <c r="P13" s="16" t="n"/>
      <c r="Q13" s="16" t="n"/>
      <c r="R13" s="16" t="n"/>
      <c r="S13" s="16" t="n"/>
      <c r="T13" s="16" t="n"/>
      <c r="U13" s="16" t="n"/>
      <c r="V13" s="16" t="n"/>
      <c r="W13" s="16" t="n"/>
      <c r="X13" s="16" t="n"/>
      <c r="Y13" s="16" t="n"/>
      <c r="Z13" s="16" t="n"/>
      <c r="AA13" s="16" t="n"/>
      <c r="AB13" s="16" t="n"/>
      <c r="AC13" s="16" t="n"/>
    </row>
    <row r="14">
      <c r="A14" s="12" t="n"/>
      <c r="B14" s="13" t="n">
        <v>46203</v>
      </c>
      <c r="C14" s="42" t="inlineStr">
        <is>
          <t>Tuần 1</t>
        </is>
      </c>
      <c r="D14" s="16" t="inlineStr">
        <is>
          <t>DB_12</t>
        </is>
      </c>
      <c r="E14" s="16" t="n"/>
      <c r="F14" s="14" t="inlineStr">
        <is>
          <t>Cán bộ nghiệp vụ TW,BN,ĐP/Cán bộ phê duyệt TW,BN,ĐP</t>
        </is>
      </c>
      <c r="G14" s="14" t="inlineStr">
        <is>
          <t>Hiển thị mũi tên giảm</t>
        </is>
      </c>
      <c r="H14" s="14" t="inlineStr">
        <is>
          <t>Có dữ liệu</t>
        </is>
      </c>
      <c r="I14" s="16" t="inlineStr">
        <is>
          <t>Không có</t>
        </is>
      </c>
      <c r="J14" s="14" t="inlineStr">
        <is>
          <t>Mở Dashboard</t>
        </is>
      </c>
      <c r="K14" s="14" t="inlineStr">
        <is>
          <t>Màu đỏ khi giảm</t>
        </is>
      </c>
      <c r="L14" s="14" t="inlineStr">
        <is>
          <t>Màu đỏ khi giảm</t>
        </is>
      </c>
      <c r="M14" s="15" t="inlineStr">
        <is>
          <t>DB_11.png</t>
        </is>
      </c>
      <c r="N14" s="42" t="inlineStr">
        <is>
          <t>Pass</t>
        </is>
      </c>
      <c r="O14" s="16" t="n"/>
      <c r="P14" s="16" t="n"/>
      <c r="Q14" s="16" t="n"/>
      <c r="R14" s="16" t="n"/>
      <c r="S14" s="16" t="n"/>
      <c r="T14" s="16" t="n"/>
      <c r="U14" s="16" t="n"/>
      <c r="V14" s="16" t="n"/>
      <c r="W14" s="16" t="n"/>
      <c r="X14" s="16" t="n"/>
      <c r="Y14" s="16" t="n"/>
      <c r="Z14" s="16" t="n"/>
      <c r="AA14" s="16" t="n"/>
      <c r="AB14" s="16" t="n"/>
      <c r="AC14" s="16" t="n"/>
    </row>
    <row r="15">
      <c r="A15" s="12" t="n"/>
      <c r="B15" s="13" t="n">
        <v>46203</v>
      </c>
      <c r="C15" s="42" t="inlineStr">
        <is>
          <t>Tuần 1</t>
        </is>
      </c>
      <c r="D15" s="16" t="inlineStr">
        <is>
          <t>DB_13</t>
        </is>
      </c>
      <c r="E15" s="16" t="n"/>
      <c r="F15" s="14" t="inlineStr">
        <is>
          <t>Cán bộ nghiệp vụ TW,BN,ĐP/Cán bộ phê duyệt TW,BN,ĐP</t>
        </is>
      </c>
      <c r="G15" s="14" t="inlineStr">
        <is>
          <t>Không có dữ liệu kỳ trước</t>
        </is>
      </c>
      <c r="H15" s="14" t="inlineStr">
        <is>
          <t>Có dữ liệu</t>
        </is>
      </c>
      <c r="I15" s="16" t="inlineStr">
        <is>
          <t>Không có</t>
        </is>
      </c>
      <c r="J15" s="14" t="inlineStr">
        <is>
          <t>Mở Dashboard</t>
        </is>
      </c>
      <c r="K15" s="14" t="inlineStr">
        <is>
          <t>Hiển thị '-'</t>
        </is>
      </c>
      <c r="L15" s="14" t="inlineStr">
        <is>
          <t>Hiển thị '-'</t>
        </is>
      </c>
      <c r="M15" s="15" t="inlineStr">
        <is>
          <t>DB_11.png</t>
        </is>
      </c>
      <c r="N15" s="42" t="inlineStr">
        <is>
          <t>Pass</t>
        </is>
      </c>
      <c r="O15" s="16" t="n"/>
      <c r="P15" s="16" t="n"/>
      <c r="Q15" s="16" t="n"/>
      <c r="R15" s="16" t="n"/>
      <c r="S15" s="16" t="n"/>
      <c r="T15" s="16" t="n"/>
      <c r="U15" s="16" t="n"/>
      <c r="V15" s="16" t="n"/>
      <c r="W15" s="16" t="n"/>
      <c r="X15" s="16" t="n"/>
      <c r="Y15" s="16" t="n"/>
      <c r="Z15" s="16" t="n"/>
      <c r="AA15" s="16" t="n"/>
      <c r="AB15" s="16" t="n"/>
      <c r="AC15" s="16" t="n"/>
    </row>
    <row r="16">
      <c r="A16" s="17" t="n"/>
      <c r="B16" s="18" t="n">
        <v>1</v>
      </c>
      <c r="C16" s="42" t="inlineStr">
        <is>
          <t>Tuần 1</t>
        </is>
      </c>
      <c r="D16" s="19" t="inlineStr">
        <is>
          <t>THHDVM_01</t>
        </is>
      </c>
      <c r="E16" s="19" t="inlineStr">
        <is>
          <t>Tổng hợp hỏi đáp, vướng mắc được gửi về</t>
        </is>
      </c>
      <c r="F16" s="19" t="inlineStr">
        <is>
          <t>Cán bộ nghiệp vụ TW,BN,ĐP/Cán bộ phê duyệt TW,BN,ĐP</t>
        </is>
      </c>
      <c r="G16" s="20" t="inlineStr">
        <is>
          <t>Cung cấp chức năng tổng hợp số liệu và hiển thị chỉ số chính về số lượng yêu cầu hỏi đáp/vướng mắc mới đã tiếp nhận.</t>
        </is>
      </c>
      <c r="H16" s="14" t="inlineStr">
        <is>
          <t>Có dữ liệu</t>
        </is>
      </c>
      <c r="I16" s="14" t="n"/>
      <c r="J16" s="14" t="inlineStr">
        <is>
          <t>Mở Dashboard</t>
        </is>
      </c>
      <c r="K16" s="14" t="inlineStr">
        <is>
          <t>Số liệu đúng DB</t>
        </is>
      </c>
      <c r="L16" s="14" t="inlineStr">
        <is>
          <t>Số liệu đúng DB</t>
        </is>
      </c>
      <c r="M16" s="15" t="inlineStr">
        <is>
          <t>THHDVM_01.png</t>
        </is>
      </c>
      <c r="N16" s="42" t="inlineStr">
        <is>
          <t>Pass</t>
        </is>
      </c>
      <c r="O16" s="16" t="n"/>
      <c r="P16" s="16" t="n"/>
      <c r="Q16" s="16" t="n"/>
      <c r="R16" s="16" t="n"/>
      <c r="S16" s="16" t="n"/>
      <c r="T16" s="16" t="n"/>
      <c r="U16" s="16" t="n"/>
      <c r="V16" s="16" t="n"/>
      <c r="W16" s="16" t="n"/>
      <c r="X16" s="16" t="n"/>
      <c r="Y16" s="16" t="n"/>
      <c r="Z16" s="16" t="n"/>
      <c r="AA16" s="16" t="n"/>
      <c r="AB16" s="16" t="n"/>
      <c r="AC16" s="16" t="n"/>
    </row>
    <row r="17">
      <c r="A17" s="39" t="n"/>
      <c r="B17" s="40" t="n"/>
      <c r="C17" s="42" t="inlineStr">
        <is>
          <t>Tuần 1</t>
        </is>
      </c>
      <c r="D17" s="16" t="inlineStr">
        <is>
          <t>THHDVM_02</t>
        </is>
      </c>
      <c r="E17" s="43" t="n"/>
      <c r="F17" s="43" t="n"/>
      <c r="G17" s="14" t="inlineStr">
        <is>
          <t>Kiểm tra Hỏi đáp mới</t>
        </is>
      </c>
      <c r="H17" s="14" t="inlineStr">
        <is>
          <t>Có dữ liệu</t>
        </is>
      </c>
      <c r="I17" s="14" t="n"/>
      <c r="J17" s="14" t="inlineStr">
        <is>
          <t>Mở Dashboard</t>
        </is>
      </c>
      <c r="K17" s="14" t="inlineStr">
        <is>
          <t>Số liệu đúng DB</t>
        </is>
      </c>
      <c r="L17" s="14" t="inlineStr">
        <is>
          <t>Số liệu đúng DB</t>
        </is>
      </c>
      <c r="M17" s="15" t="inlineStr">
        <is>
          <t>THHDVM_01.png</t>
        </is>
      </c>
      <c r="N17" s="42" t="inlineStr">
        <is>
          <t>Pass</t>
        </is>
      </c>
      <c r="O17" s="16" t="n"/>
      <c r="P17" s="16" t="n"/>
      <c r="Q17" s="16" t="n"/>
      <c r="R17" s="16" t="n"/>
      <c r="S17" s="16" t="n"/>
      <c r="T17" s="16" t="n"/>
      <c r="U17" s="16" t="n"/>
      <c r="V17" s="16" t="n"/>
      <c r="W17" s="16" t="n"/>
      <c r="X17" s="16" t="n"/>
      <c r="Y17" s="16" t="n"/>
      <c r="Z17" s="16" t="n"/>
      <c r="AA17" s="16" t="n"/>
      <c r="AB17" s="16" t="n"/>
      <c r="AC17" s="16" t="n"/>
    </row>
    <row r="18">
      <c r="A18" s="39" t="n"/>
      <c r="B18" s="40" t="n"/>
      <c r="C18" s="42" t="inlineStr">
        <is>
          <t>Tuần 1</t>
        </is>
      </c>
      <c r="D18" s="16" t="inlineStr">
        <is>
          <t>THHDVM_03</t>
        </is>
      </c>
      <c r="E18" s="43" t="n"/>
      <c r="F18" s="43" t="n"/>
      <c r="G18" s="14" t="inlineStr">
        <is>
          <t>Click Hỏi đáp</t>
        </is>
      </c>
      <c r="H18" s="14" t="inlineStr">
        <is>
          <t>Có dữ liệu</t>
        </is>
      </c>
      <c r="I18" s="14" t="n"/>
      <c r="J18" s="14" t="inlineStr">
        <is>
          <t>Click thẻ hỏi đáp mới</t>
        </is>
      </c>
      <c r="K18" s="14" t="inlineStr">
        <is>
          <t>Mở DS hỏi đáp mới</t>
        </is>
      </c>
      <c r="L18" s="14" t="inlineStr">
        <is>
          <t>Mở DS hỏi đáp mới</t>
        </is>
      </c>
      <c r="M18" s="15" t="inlineStr">
        <is>
          <t>THHDVM_03.png</t>
        </is>
      </c>
      <c r="N18" s="42" t="inlineStr">
        <is>
          <t>Pass</t>
        </is>
      </c>
      <c r="O18" s="16" t="n"/>
      <c r="P18" s="16" t="n"/>
      <c r="Q18" s="16" t="n"/>
      <c r="R18" s="16" t="n"/>
      <c r="S18" s="16" t="n"/>
      <c r="T18" s="16" t="n"/>
      <c r="U18" s="16" t="n"/>
      <c r="V18" s="16" t="n"/>
      <c r="W18" s="16" t="n"/>
      <c r="X18" s="16" t="n"/>
      <c r="Y18" s="16" t="n"/>
      <c r="Z18" s="16" t="n"/>
      <c r="AA18" s="16" t="n"/>
      <c r="AB18" s="16" t="n"/>
      <c r="AC18" s="16" t="n"/>
    </row>
    <row r="19">
      <c r="A19" s="39" t="n"/>
      <c r="B19" s="40" t="n"/>
      <c r="C19" s="42" t="inlineStr">
        <is>
          <t>Tuần 1</t>
        </is>
      </c>
      <c r="D19" s="16" t="inlineStr">
        <is>
          <t>THHDVM_04</t>
        </is>
      </c>
      <c r="E19" s="43" t="n"/>
      <c r="F19" s="43" t="n"/>
      <c r="G19" s="14" t="inlineStr">
        <is>
          <t>Khoảng thời gian không có dữ liệu</t>
        </is>
      </c>
      <c r="H19" s="14" t="n"/>
      <c r="I19" s="14" t="n"/>
      <c r="J19" s="14" t="inlineStr">
        <is>
          <t>Lọc</t>
        </is>
      </c>
      <c r="K19" s="14" t="inlineStr">
        <is>
          <t>Hiển thị 0/Không có dữ liệu, không lỗi</t>
        </is>
      </c>
      <c r="L19" s="14" t="inlineStr">
        <is>
          <t>Hiển thị 0/Không có dữ liệu, không lỗi</t>
        </is>
      </c>
      <c r="M19" s="15" t="inlineStr">
        <is>
          <t>THHDVM_04.png</t>
        </is>
      </c>
      <c r="N19" s="42" t="inlineStr">
        <is>
          <t>Pass</t>
        </is>
      </c>
      <c r="O19" s="16" t="n"/>
      <c r="P19" s="16" t="n"/>
      <c r="Q19" s="16" t="n"/>
      <c r="R19" s="16" t="n"/>
      <c r="S19" s="16" t="n"/>
      <c r="T19" s="16" t="n"/>
      <c r="U19" s="16" t="n"/>
      <c r="V19" s="16" t="n"/>
      <c r="W19" s="16" t="n"/>
      <c r="X19" s="16" t="n"/>
      <c r="Y19" s="16" t="n"/>
      <c r="Z19" s="16" t="n"/>
      <c r="AA19" s="16" t="n"/>
      <c r="AB19" s="16" t="n"/>
      <c r="AC19" s="16" t="n"/>
    </row>
    <row r="20">
      <c r="A20" s="17" t="n"/>
      <c r="B20" s="18" t="n">
        <v>2</v>
      </c>
      <c r="C20" s="42" t="inlineStr">
        <is>
          <t>Tuần 1</t>
        </is>
      </c>
      <c r="D20" s="24" t="inlineStr">
        <is>
          <t>VVDTN_01</t>
        </is>
      </c>
      <c r="E20" s="24" t="inlineStr">
        <is>
          <t>Tổng hợp các vụ việc đã tiếp nhận</t>
        </is>
      </c>
      <c r="F20" s="19" t="inlineStr">
        <is>
          <t>Cán bộ nghiệp vụ TW,BN,ĐP/Cán bộ phê duyệt TW,BN,ĐP</t>
        </is>
      </c>
      <c r="G20" s="20" t="inlineStr">
        <is>
          <t>Cung cấp chỉ số tổng số vụ việc đã được ghi nhận vào hệ thống (bao gồm cả đang chờ xử lý).</t>
        </is>
      </c>
      <c r="H20" s="14" t="inlineStr">
        <is>
          <t>Có dữ liệu</t>
        </is>
      </c>
      <c r="I20" s="14" t="n"/>
      <c r="J20" s="14" t="inlineStr">
        <is>
          <t>Mở Dashboard</t>
        </is>
      </c>
      <c r="K20" s="14" t="inlineStr">
        <is>
          <t>Số liệu đúng DB</t>
        </is>
      </c>
      <c r="L20" s="14" t="inlineStr">
        <is>
          <t>Số liệu đúng DB</t>
        </is>
      </c>
      <c r="M20" s="15" t="inlineStr">
        <is>
          <t>VVDTN_01.png</t>
        </is>
      </c>
      <c r="N20" s="42" t="inlineStr">
        <is>
          <t>Pass</t>
        </is>
      </c>
      <c r="O20" s="16" t="n"/>
      <c r="P20" s="16" t="n"/>
      <c r="Q20" s="16" t="n"/>
      <c r="R20" s="16" t="n"/>
      <c r="S20" s="16" t="n"/>
      <c r="T20" s="16" t="n"/>
      <c r="U20" s="16" t="n"/>
      <c r="V20" s="16" t="n"/>
      <c r="W20" s="16" t="n"/>
      <c r="X20" s="16" t="n"/>
      <c r="Y20" s="16" t="n"/>
      <c r="Z20" s="16" t="n"/>
      <c r="AA20" s="16" t="n"/>
      <c r="AB20" s="16" t="n"/>
      <c r="AC20" s="16" t="n"/>
    </row>
    <row r="21">
      <c r="A21" s="44" t="n"/>
      <c r="B21" s="42" t="n"/>
      <c r="C21" s="42" t="inlineStr">
        <is>
          <t>Tuần 1</t>
        </is>
      </c>
      <c r="D21" s="26" t="inlineStr">
        <is>
          <t>VVDTN_02</t>
        </is>
      </c>
      <c r="E21" s="26" t="n"/>
      <c r="F21" s="16" t="n"/>
      <c r="G21" s="14" t="inlineStr">
        <is>
          <t>Click Vụ việc tiếp nhận</t>
        </is>
      </c>
      <c r="H21" s="14" t="inlineStr">
        <is>
          <t>Có dữ liệu</t>
        </is>
      </c>
      <c r="I21" s="14" t="n"/>
      <c r="J21" s="14" t="inlineStr">
        <is>
          <t>Click thẻ Vụ việc tiếp nhận</t>
        </is>
      </c>
      <c r="K21" s="14" t="inlineStr">
        <is>
          <t>Mở DS Vụ việc tiếp nhận</t>
        </is>
      </c>
      <c r="L21" s="14" t="inlineStr">
        <is>
          <t>Mở DS Vụ việc tiếp nhận</t>
        </is>
      </c>
      <c r="M21" s="15" t="inlineStr">
        <is>
          <t>VVDTN_02.png</t>
        </is>
      </c>
      <c r="N21" s="42" t="inlineStr">
        <is>
          <t>Pass</t>
        </is>
      </c>
      <c r="O21" s="16" t="n"/>
      <c r="P21" s="16" t="n"/>
      <c r="Q21" s="16" t="n"/>
      <c r="R21" s="16" t="n"/>
      <c r="S21" s="16" t="n"/>
      <c r="T21" s="16" t="n"/>
      <c r="U21" s="16" t="n"/>
      <c r="V21" s="16" t="n"/>
      <c r="W21" s="16" t="n"/>
      <c r="X21" s="16" t="n"/>
      <c r="Y21" s="16" t="n"/>
      <c r="Z21" s="16" t="n"/>
      <c r="AA21" s="16" t="n"/>
      <c r="AB21" s="16" t="n"/>
      <c r="AC21" s="16" t="n"/>
    </row>
    <row r="22">
      <c r="A22" s="44" t="n"/>
      <c r="B22" s="42" t="n"/>
      <c r="C22" s="42" t="inlineStr">
        <is>
          <t>Tuần 1</t>
        </is>
      </c>
      <c r="D22" s="26" t="inlineStr">
        <is>
          <t>VVDTN_03</t>
        </is>
      </c>
      <c r="E22" s="26" t="n"/>
      <c r="F22" s="16" t="n"/>
      <c r="G22" s="14" t="inlineStr">
        <is>
          <t>Khoảng thời gian không có dữ liệu</t>
        </is>
      </c>
      <c r="H22" s="14" t="n"/>
      <c r="I22" s="14" t="n"/>
      <c r="J22" s="14" t="inlineStr">
        <is>
          <t>Lọc</t>
        </is>
      </c>
      <c r="K22" s="14" t="inlineStr">
        <is>
          <t>Hiển thị 0/Không có dữ liệu, không lỗi</t>
        </is>
      </c>
      <c r="L22" s="14" t="inlineStr">
        <is>
          <t>Hiển thị 0/Không có dữ liệu, không lỗi</t>
        </is>
      </c>
      <c r="M22" s="15" t="inlineStr">
        <is>
          <t>VVDTN_03.png</t>
        </is>
      </c>
      <c r="N22" s="42" t="inlineStr">
        <is>
          <t>Pass</t>
        </is>
      </c>
      <c r="O22" s="16" t="n"/>
      <c r="P22" s="16" t="n"/>
      <c r="Q22" s="16" t="n"/>
      <c r="R22" s="16" t="n"/>
      <c r="S22" s="16" t="n"/>
      <c r="T22" s="16" t="n"/>
      <c r="U22" s="16" t="n"/>
      <c r="V22" s="16" t="n"/>
      <c r="W22" s="16" t="n"/>
      <c r="X22" s="16" t="n"/>
      <c r="Y22" s="16" t="n"/>
      <c r="Z22" s="16" t="n"/>
      <c r="AA22" s="16" t="n"/>
      <c r="AB22" s="16" t="n"/>
      <c r="AC22" s="16" t="n"/>
    </row>
    <row r="23">
      <c r="A23" s="17" t="n"/>
      <c r="B23" s="18" t="n">
        <v>3</v>
      </c>
      <c r="C23" s="42" t="inlineStr">
        <is>
          <t>Tuần 1</t>
        </is>
      </c>
      <c r="D23" s="24" t="inlineStr">
        <is>
          <t>VVDHT_01</t>
        </is>
      </c>
      <c r="E23" s="24" t="inlineStr">
        <is>
          <t>Tổng hợp các vụ việc đang hỗ trợ</t>
        </is>
      </c>
      <c r="F23" s="19" t="inlineStr">
        <is>
          <t>Cán bộ nghiệp vụ TW,BN,ĐP/Cán bộ phê duyệt TW,BN,ĐP</t>
        </is>
      </c>
      <c r="G23" s="20" t="inlineStr">
        <is>
          <t>Cung cấp chỉ số về số lượng vụ việc đang trong quá trình phân công hoặc đang được chuyên gia thực hiện hỗ trợ.</t>
        </is>
      </c>
      <c r="H23" s="14" t="inlineStr">
        <is>
          <t>Có dữ liệu</t>
        </is>
      </c>
      <c r="I23" s="14" t="n"/>
      <c r="J23" s="14" t="inlineStr">
        <is>
          <t>Mở Dashboard</t>
        </is>
      </c>
      <c r="K23" s="14" t="inlineStr">
        <is>
          <t>Số liệu đúng DB</t>
        </is>
      </c>
      <c r="L23" s="14" t="inlineStr">
        <is>
          <t>Số liệu đúng DB</t>
        </is>
      </c>
      <c r="M23" s="15" t="inlineStr">
        <is>
          <t>VVDHT_01.png</t>
        </is>
      </c>
      <c r="N23" s="42" t="inlineStr">
        <is>
          <t>Pass</t>
        </is>
      </c>
      <c r="O23" s="16" t="n"/>
      <c r="P23" s="16" t="n"/>
      <c r="Q23" s="16" t="n"/>
      <c r="R23" s="16" t="n"/>
      <c r="S23" s="16" t="n"/>
      <c r="T23" s="16" t="n"/>
      <c r="U23" s="16" t="n"/>
      <c r="V23" s="16" t="n"/>
      <c r="W23" s="16" t="n"/>
      <c r="X23" s="16" t="n"/>
      <c r="Y23" s="16" t="n"/>
      <c r="Z23" s="16" t="n"/>
      <c r="AA23" s="16" t="n"/>
      <c r="AB23" s="16" t="n"/>
      <c r="AC23" s="16" t="n"/>
    </row>
    <row r="24">
      <c r="A24" s="44" t="n"/>
      <c r="B24" s="42" t="n"/>
      <c r="C24" s="42" t="inlineStr">
        <is>
          <t>Tuần 1</t>
        </is>
      </c>
      <c r="D24" s="26" t="inlineStr">
        <is>
          <t>VVDHT_03</t>
        </is>
      </c>
      <c r="E24" s="16" t="n"/>
      <c r="F24" s="16" t="n"/>
      <c r="G24" s="14" t="inlineStr">
        <is>
          <t>Click Vụ việc đang xử lý</t>
        </is>
      </c>
      <c r="H24" s="14" t="inlineStr">
        <is>
          <t>Có dữ liệu</t>
        </is>
      </c>
      <c r="I24" s="14" t="n"/>
      <c r="J24" s="14" t="inlineStr">
        <is>
          <t xml:space="preserve">Click thẻ vụ việc đang xử lý </t>
        </is>
      </c>
      <c r="K24" s="14" t="inlineStr">
        <is>
          <t>Mở DS Vụ việc đang xử lý</t>
        </is>
      </c>
      <c r="L24" s="14" t="inlineStr">
        <is>
          <t>Mở DS Vụ việc đang xử lý</t>
        </is>
      </c>
      <c r="M24" s="15" t="inlineStr">
        <is>
          <t>VVDHT_02.png</t>
        </is>
      </c>
      <c r="N24" s="42" t="inlineStr">
        <is>
          <t>Pass</t>
        </is>
      </c>
      <c r="O24" s="16" t="n"/>
      <c r="P24" s="16" t="n"/>
      <c r="Q24" s="16" t="n"/>
      <c r="R24" s="16" t="n"/>
      <c r="S24" s="16" t="n"/>
      <c r="T24" s="16" t="n"/>
      <c r="U24" s="16" t="n"/>
      <c r="V24" s="16" t="n"/>
      <c r="W24" s="16" t="n"/>
      <c r="X24" s="16" t="n"/>
      <c r="Y24" s="16" t="n"/>
      <c r="Z24" s="16" t="n"/>
      <c r="AA24" s="16" t="n"/>
      <c r="AB24" s="16" t="n"/>
      <c r="AC24" s="16" t="n"/>
    </row>
    <row r="25">
      <c r="A25" s="44" t="n"/>
      <c r="B25" s="42" t="n"/>
      <c r="C25" s="42" t="inlineStr">
        <is>
          <t>Tuần 1</t>
        </is>
      </c>
      <c r="D25" s="26" t="inlineStr">
        <is>
          <t>VVDHT_04</t>
        </is>
      </c>
      <c r="E25" s="16" t="n"/>
      <c r="F25" s="16" t="n"/>
      <c r="G25" s="14" t="inlineStr">
        <is>
          <t>Khoảng thời gian không có dữ liệu</t>
        </is>
      </c>
      <c r="H25" s="14" t="n"/>
      <c r="I25" s="14" t="n"/>
      <c r="J25" s="14" t="inlineStr">
        <is>
          <t>Lọc</t>
        </is>
      </c>
      <c r="K25" s="14" t="inlineStr">
        <is>
          <t>Hiển thị 0/Không có dữ liệu, không lỗi</t>
        </is>
      </c>
      <c r="L25" s="14" t="inlineStr">
        <is>
          <t>Hiển thị 0/Không có dữ liệu, không lỗi</t>
        </is>
      </c>
      <c r="M25" s="15" t="inlineStr">
        <is>
          <t>VVDHT_04.png</t>
        </is>
      </c>
      <c r="N25" s="42" t="inlineStr">
        <is>
          <t>Pass</t>
        </is>
      </c>
      <c r="O25" s="16" t="n"/>
      <c r="P25" s="16" t="n"/>
      <c r="Q25" s="16" t="n"/>
      <c r="R25" s="16" t="n"/>
      <c r="S25" s="16" t="n"/>
      <c r="T25" s="16" t="n"/>
      <c r="U25" s="16" t="n"/>
      <c r="V25" s="16" t="n"/>
      <c r="W25" s="16" t="n"/>
      <c r="X25" s="16" t="n"/>
      <c r="Y25" s="16" t="n"/>
      <c r="Z25" s="16" t="n"/>
      <c r="AA25" s="16" t="n"/>
      <c r="AB25" s="16" t="n"/>
      <c r="AC25" s="16" t="n"/>
    </row>
    <row r="26">
      <c r="A26" s="17" t="n"/>
      <c r="B26" s="18" t="n">
        <v>4</v>
      </c>
      <c r="C26" s="42" t="inlineStr">
        <is>
          <t>Tuần 1</t>
        </is>
      </c>
      <c r="D26" s="19" t="inlineStr">
        <is>
          <t>VVDHTHT_01</t>
        </is>
      </c>
      <c r="E26" s="19" t="inlineStr">
        <is>
          <t>Tổng hợp các vụ việc đã hoàn thành hỗ trợ</t>
        </is>
      </c>
      <c r="F26" s="19" t="inlineStr">
        <is>
          <t>Cán bộ nghiệp vụ TW,BN,ĐP/Cán bộ phê duyệt TW,BN,ĐP</t>
        </is>
      </c>
      <c r="G26" s="20" t="inlineStr">
        <is>
          <t>Cung cấp chỉ số tổng số vụ việc đã được xử lý xong và đóng hồ sơ.</t>
        </is>
      </c>
      <c r="H26" s="14" t="inlineStr">
        <is>
          <t>Có dữ liệu</t>
        </is>
      </c>
      <c r="I26" s="14" t="n"/>
      <c r="J26" s="14" t="inlineStr">
        <is>
          <t>Mở Dashboard</t>
        </is>
      </c>
      <c r="K26" s="14" t="inlineStr">
        <is>
          <t>Số liệu đúng DB</t>
        </is>
      </c>
      <c r="L26" s="14" t="inlineStr">
        <is>
          <t>Số liệu đúng DB</t>
        </is>
      </c>
      <c r="M26" s="15" t="inlineStr">
        <is>
          <t>VVDHTHT_01.png</t>
        </is>
      </c>
      <c r="N26" s="42" t="inlineStr">
        <is>
          <t>Pass</t>
        </is>
      </c>
      <c r="O26" s="16" t="n"/>
      <c r="P26" s="16" t="n"/>
      <c r="Q26" s="16" t="n"/>
      <c r="R26" s="16" t="n"/>
      <c r="S26" s="16" t="n"/>
      <c r="T26" s="16" t="n"/>
      <c r="U26" s="16" t="n"/>
      <c r="V26" s="16" t="n"/>
      <c r="W26" s="16" t="n"/>
      <c r="X26" s="16" t="n"/>
      <c r="Y26" s="16" t="n"/>
      <c r="Z26" s="16" t="n"/>
      <c r="AA26" s="16" t="n"/>
      <c r="AB26" s="16" t="n"/>
      <c r="AC26" s="16" t="n"/>
    </row>
    <row r="27">
      <c r="A27" s="44" t="n"/>
      <c r="B27" s="42" t="n"/>
      <c r="C27" s="42" t="inlineStr">
        <is>
          <t>Tuần 1</t>
        </is>
      </c>
      <c r="D27" s="16" t="inlineStr">
        <is>
          <t>VVDHTHT_02</t>
        </is>
      </c>
      <c r="E27" s="26" t="n"/>
      <c r="F27" s="26" t="n"/>
      <c r="G27" s="14" t="inlineStr">
        <is>
          <t>Click Vụ việc hoàn thành</t>
        </is>
      </c>
      <c r="H27" s="14" t="inlineStr">
        <is>
          <t>Có dữ liệu</t>
        </is>
      </c>
      <c r="I27" s="14" t="n"/>
      <c r="J27" s="14" t="inlineStr">
        <is>
          <t>Click thẻ Vụ việc hoàn thành</t>
        </is>
      </c>
      <c r="K27" s="14" t="inlineStr">
        <is>
          <t>Mở DS Vụ việc hoàn thành</t>
        </is>
      </c>
      <c r="L27" s="14" t="inlineStr">
        <is>
          <t>Mở DS Vụ việc hoàn thành</t>
        </is>
      </c>
      <c r="M27" s="15" t="inlineStr">
        <is>
          <t>VVDHTHT_02.png</t>
        </is>
      </c>
      <c r="N27" s="42" t="inlineStr">
        <is>
          <t>Pass</t>
        </is>
      </c>
      <c r="O27" s="16" t="n"/>
      <c r="P27" s="16" t="n"/>
      <c r="Q27" s="16" t="n"/>
      <c r="R27" s="16" t="n"/>
      <c r="S27" s="16" t="n"/>
      <c r="T27" s="16" t="n"/>
      <c r="U27" s="16" t="n"/>
      <c r="V27" s="16" t="n"/>
      <c r="W27" s="16" t="n"/>
      <c r="X27" s="16" t="n"/>
      <c r="Y27" s="16" t="n"/>
      <c r="Z27" s="16" t="n"/>
      <c r="AA27" s="16" t="n"/>
      <c r="AB27" s="16" t="n"/>
      <c r="AC27" s="16" t="n"/>
    </row>
    <row r="28">
      <c r="A28" s="44" t="n"/>
      <c r="B28" s="42" t="n"/>
      <c r="C28" s="42" t="inlineStr">
        <is>
          <t>Tuần 1</t>
        </is>
      </c>
      <c r="D28" s="16" t="inlineStr">
        <is>
          <t>VVDHTHT_03</t>
        </is>
      </c>
      <c r="E28" s="26" t="n"/>
      <c r="F28" s="26" t="n"/>
      <c r="G28" s="14" t="inlineStr">
        <is>
          <t>Khoảng thời gian không có dữ liệu</t>
        </is>
      </c>
      <c r="H28" s="14" t="n"/>
      <c r="I28" s="14" t="n"/>
      <c r="J28" s="14" t="inlineStr">
        <is>
          <t>Lọc</t>
        </is>
      </c>
      <c r="K28" s="14" t="inlineStr">
        <is>
          <t>Hiển thị 0/Không có dữ liệu, không lỗi</t>
        </is>
      </c>
      <c r="L28" s="14" t="inlineStr">
        <is>
          <t>Hiển thị 0/Không có dữ liệu, không lỗi</t>
        </is>
      </c>
      <c r="M28" s="15" t="inlineStr">
        <is>
          <t>VVDHTHT_03.png</t>
        </is>
      </c>
      <c r="N28" s="42" t="inlineStr">
        <is>
          <t>Pass</t>
        </is>
      </c>
      <c r="O28" s="16" t="n"/>
      <c r="P28" s="16" t="n"/>
      <c r="Q28" s="16" t="n"/>
      <c r="R28" s="16" t="n"/>
      <c r="S28" s="16" t="n"/>
      <c r="T28" s="16" t="n"/>
      <c r="U28" s="16" t="n"/>
      <c r="V28" s="16" t="n"/>
      <c r="W28" s="16" t="n"/>
      <c r="X28" s="16" t="n"/>
      <c r="Y28" s="16" t="n"/>
      <c r="Z28" s="16" t="n"/>
      <c r="AA28" s="16" t="n"/>
      <c r="AB28" s="16" t="n"/>
      <c r="AC28" s="16" t="n"/>
    </row>
    <row r="29">
      <c r="A29" s="17" t="n"/>
      <c r="B29" s="18" t="n">
        <v>5</v>
      </c>
      <c r="C29" s="42" t="inlineStr">
        <is>
          <t>Tuần 1</t>
        </is>
      </c>
      <c r="D29" s="24" t="inlineStr">
        <is>
          <t>LDTBDDDR_01</t>
        </is>
      </c>
      <c r="E29" s="24" t="inlineStr">
        <is>
          <t>Tổng hợp các lớp đào tạo bồi dưỡng đang diễn ra</t>
        </is>
      </c>
      <c r="F29" s="24" t="inlineStr">
        <is>
          <t>Cán bộ nghiệp vụ TW,BN,ĐP/Cán bộ phê duyệt TW,BN,ĐP</t>
        </is>
      </c>
      <c r="G29" s="27" t="inlineStr">
        <is>
          <t>Hiển thị số lượng và danh sách các khóa đào tạo/tập huấn đang mở và đang diễn ra.</t>
        </is>
      </c>
      <c r="H29" s="14" t="inlineStr">
        <is>
          <t>Có dữ liệu</t>
        </is>
      </c>
      <c r="I29" s="14" t="n"/>
      <c r="J29" s="14" t="inlineStr">
        <is>
          <t>Mở Dashboard</t>
        </is>
      </c>
      <c r="K29" s="14" t="inlineStr">
        <is>
          <t>Số liệu đúng DB</t>
        </is>
      </c>
      <c r="L29" s="14" t="inlineStr">
        <is>
          <t>Số liệu đúng DB</t>
        </is>
      </c>
      <c r="M29" s="15" t="inlineStr">
        <is>
          <t>LDTBDDDR_01.png</t>
        </is>
      </c>
      <c r="N29" s="42" t="inlineStr">
        <is>
          <t>Pass</t>
        </is>
      </c>
      <c r="O29" s="16" t="n"/>
      <c r="P29" s="16" t="n"/>
      <c r="Q29" s="16" t="n"/>
      <c r="R29" s="16" t="n"/>
      <c r="S29" s="16" t="n"/>
      <c r="T29" s="16" t="n"/>
      <c r="U29" s="16" t="n"/>
      <c r="V29" s="16" t="n"/>
      <c r="W29" s="16" t="n"/>
      <c r="X29" s="16" t="n"/>
      <c r="Y29" s="16" t="n"/>
      <c r="Z29" s="16" t="n"/>
      <c r="AA29" s="16" t="n"/>
      <c r="AB29" s="16" t="n"/>
      <c r="AC29" s="16" t="n"/>
    </row>
    <row r="30">
      <c r="A30" s="44" t="n"/>
      <c r="B30" s="42" t="n"/>
      <c r="C30" s="42" t="inlineStr">
        <is>
          <t>Tuần 1</t>
        </is>
      </c>
      <c r="D30" s="26" t="inlineStr">
        <is>
          <t>LDTBDDDR_02</t>
        </is>
      </c>
      <c r="E30" s="26" t="n"/>
      <c r="F30" s="26" t="n"/>
      <c r="G30" s="14" t="inlineStr">
        <is>
          <t>Click Đào tạo đang diễn ra</t>
        </is>
      </c>
      <c r="H30" s="14" t="inlineStr">
        <is>
          <t>Có dữ liệu</t>
        </is>
      </c>
      <c r="I30" s="14" t="n"/>
      <c r="J30" s="14" t="inlineStr">
        <is>
          <t>Click thẻ Đào tạo đang diễn ra</t>
        </is>
      </c>
      <c r="K30" s="14" t="inlineStr">
        <is>
          <t>Mở DS Đào tạo đang diễn ra</t>
        </is>
      </c>
      <c r="L30" s="14" t="inlineStr">
        <is>
          <t>Mở DS Đào tạo đang diễn ra</t>
        </is>
      </c>
      <c r="M30" s="15" t="inlineStr">
        <is>
          <t>LDTBDDDR_02.png</t>
        </is>
      </c>
      <c r="N30" s="42" t="inlineStr">
        <is>
          <t>Pass</t>
        </is>
      </c>
      <c r="O30" s="16" t="n"/>
      <c r="P30" s="16" t="n"/>
      <c r="Q30" s="16" t="n"/>
      <c r="R30" s="16" t="n"/>
      <c r="S30" s="16" t="n"/>
      <c r="T30" s="16" t="n"/>
      <c r="U30" s="16" t="n"/>
      <c r="V30" s="16" t="n"/>
      <c r="W30" s="16" t="n"/>
      <c r="X30" s="16" t="n"/>
      <c r="Y30" s="16" t="n"/>
      <c r="Z30" s="16" t="n"/>
      <c r="AA30" s="16" t="n"/>
      <c r="AB30" s="16" t="n"/>
      <c r="AC30" s="16" t="n"/>
    </row>
    <row r="31">
      <c r="A31" s="44" t="n"/>
      <c r="B31" s="42" t="n"/>
      <c r="C31" s="42" t="inlineStr">
        <is>
          <t>Tuần 1</t>
        </is>
      </c>
      <c r="D31" s="26" t="inlineStr">
        <is>
          <t>LDTBDDDR_03</t>
        </is>
      </c>
      <c r="E31" s="26" t="n"/>
      <c r="F31" s="26" t="n"/>
      <c r="G31" s="14" t="inlineStr">
        <is>
          <t>Khoảng thời gian không có dữ liệu</t>
        </is>
      </c>
      <c r="H31" s="14" t="n"/>
      <c r="I31" s="14" t="n"/>
      <c r="J31" s="14" t="inlineStr">
        <is>
          <t>Lọc</t>
        </is>
      </c>
      <c r="K31" s="14" t="inlineStr">
        <is>
          <t>Hiển thị 0/Không có dữ liệu, không lỗi</t>
        </is>
      </c>
      <c r="L31" s="14" t="inlineStr">
        <is>
          <t>Hiển thị 0/Không có dữ liệu, không lỗi</t>
        </is>
      </c>
      <c r="M31" s="15" t="inlineStr">
        <is>
          <t>LDTBDDDR_03.png</t>
        </is>
      </c>
      <c r="N31" s="42" t="inlineStr">
        <is>
          <t>Pass</t>
        </is>
      </c>
      <c r="O31" s="16" t="n"/>
      <c r="P31" s="16" t="n"/>
      <c r="Q31" s="16" t="n"/>
      <c r="R31" s="16" t="n"/>
      <c r="S31" s="16" t="n"/>
      <c r="T31" s="16" t="n"/>
      <c r="U31" s="16" t="n"/>
      <c r="V31" s="16" t="n"/>
      <c r="W31" s="16" t="n"/>
      <c r="X31" s="16" t="n"/>
      <c r="Y31" s="16" t="n"/>
      <c r="Z31" s="16" t="n"/>
      <c r="AA31" s="16" t="n"/>
      <c r="AB31" s="16" t="n"/>
      <c r="AC31" s="16" t="n"/>
    </row>
    <row r="32">
      <c r="A32" s="17" t="n"/>
      <c r="B32" s="18" t="n">
        <v>6</v>
      </c>
      <c r="C32" s="42" t="inlineStr">
        <is>
          <t>Tuần 1</t>
        </is>
      </c>
      <c r="D32" s="24" t="inlineStr">
        <is>
          <t>LDTBDDHT_01</t>
        </is>
      </c>
      <c r="E32" s="24" t="inlineStr">
        <is>
          <t>Tổng hợp các lớp đào tạo bồi dưỡng đã diễn ra</t>
        </is>
      </c>
      <c r="F32" s="24" t="inlineStr">
        <is>
          <t>Cán bộ nghiệp vụ TW,BN,ĐP/Cán bộ phê duyệt TW,BN,ĐP</t>
        </is>
      </c>
      <c r="G32" s="27" t="inlineStr">
        <is>
          <t>Hiển thị số lượng và danh sách các khóa đào tạo/tập huấn đã hoàn thành và có kết quả.</t>
        </is>
      </c>
      <c r="H32" s="14" t="inlineStr">
        <is>
          <t>Có dữ liệu</t>
        </is>
      </c>
      <c r="I32" s="14" t="n"/>
      <c r="J32" s="14" t="inlineStr">
        <is>
          <t>Mở Dashboard</t>
        </is>
      </c>
      <c r="K32" s="14" t="inlineStr">
        <is>
          <t>Số liệu đúng DB</t>
        </is>
      </c>
      <c r="L32" s="14" t="inlineStr">
        <is>
          <t>Số liệu đúng DB</t>
        </is>
      </c>
      <c r="M32" s="15" t="inlineStr">
        <is>
          <t>LDTBDDHT_01.png</t>
        </is>
      </c>
      <c r="N32" s="42" t="inlineStr">
        <is>
          <t>Pass</t>
        </is>
      </c>
      <c r="O32" s="16" t="n"/>
      <c r="P32" s="16" t="n"/>
      <c r="Q32" s="16" t="n"/>
      <c r="R32" s="16" t="n"/>
      <c r="S32" s="16" t="n"/>
      <c r="T32" s="16" t="n"/>
      <c r="U32" s="16" t="n"/>
      <c r="V32" s="16" t="n"/>
      <c r="W32" s="16" t="n"/>
      <c r="X32" s="16" t="n"/>
      <c r="Y32" s="16" t="n"/>
      <c r="Z32" s="16" t="n"/>
      <c r="AA32" s="16" t="n"/>
      <c r="AB32" s="16" t="n"/>
      <c r="AC32" s="16" t="n"/>
    </row>
    <row r="33">
      <c r="A33" s="44" t="n"/>
      <c r="B33" s="42" t="n"/>
      <c r="C33" s="42" t="inlineStr">
        <is>
          <t>Tuần 1</t>
        </is>
      </c>
      <c r="D33" s="26" t="inlineStr">
        <is>
          <t>LDTBDDHT_02</t>
        </is>
      </c>
      <c r="E33" s="26" t="n"/>
      <c r="F33" s="26" t="n"/>
      <c r="G33" s="14" t="inlineStr">
        <is>
          <t>Click Đào tạo hoàn thành</t>
        </is>
      </c>
      <c r="H33" s="14" t="inlineStr">
        <is>
          <t>Có dữ liệu</t>
        </is>
      </c>
      <c r="I33" s="14" t="n"/>
      <c r="J33" s="14" t="inlineStr">
        <is>
          <t>Click thẻ Đào tạo hoàn thành</t>
        </is>
      </c>
      <c r="K33" s="14" t="inlineStr">
        <is>
          <t>Mở DS Đào tạo hoàn thành</t>
        </is>
      </c>
      <c r="L33" s="14" t="inlineStr">
        <is>
          <t>Mở DS Đào tạo hoàn thành</t>
        </is>
      </c>
      <c r="M33" s="15" t="inlineStr">
        <is>
          <t>LDTBDDHT_02.png</t>
        </is>
      </c>
      <c r="N33" s="42" t="inlineStr">
        <is>
          <t>Pass</t>
        </is>
      </c>
      <c r="O33" s="16" t="n"/>
      <c r="P33" s="16" t="n"/>
      <c r="Q33" s="16" t="n"/>
      <c r="R33" s="16" t="n"/>
      <c r="S33" s="16" t="n"/>
      <c r="T33" s="16" t="n"/>
      <c r="U33" s="16" t="n"/>
      <c r="V33" s="16" t="n"/>
      <c r="W33" s="16" t="n"/>
      <c r="X33" s="16" t="n"/>
      <c r="Y33" s="16" t="n"/>
      <c r="Z33" s="16" t="n"/>
      <c r="AA33" s="16" t="n"/>
      <c r="AB33" s="16" t="n"/>
      <c r="AC33" s="16" t="n"/>
    </row>
    <row r="34">
      <c r="A34" s="44" t="n"/>
      <c r="B34" s="42" t="n"/>
      <c r="C34" s="42" t="inlineStr">
        <is>
          <t>Tuần 1</t>
        </is>
      </c>
      <c r="D34" s="26" t="inlineStr">
        <is>
          <t>LDTBDDHT_03</t>
        </is>
      </c>
      <c r="E34" s="26" t="n"/>
      <c r="F34" s="26" t="n"/>
      <c r="G34" s="14" t="inlineStr">
        <is>
          <t>Khoảng thời gian không có dữ liệu</t>
        </is>
      </c>
      <c r="H34" s="14" t="n"/>
      <c r="I34" s="14" t="n"/>
      <c r="J34" s="14" t="inlineStr">
        <is>
          <t>Lọc</t>
        </is>
      </c>
      <c r="K34" s="14" t="inlineStr">
        <is>
          <t>Hiển thị 0/Không có dữ liệu, không lỗi</t>
        </is>
      </c>
      <c r="L34" s="14" t="inlineStr">
        <is>
          <t>Hiển thị 0/Không có dữ liệu, không lỗi</t>
        </is>
      </c>
      <c r="M34" s="15" t="inlineStr">
        <is>
          <t>LDTBDDHT_02.png</t>
        </is>
      </c>
      <c r="N34" s="42" t="inlineStr">
        <is>
          <t>Pass</t>
        </is>
      </c>
      <c r="O34" s="16" t="n"/>
      <c r="P34" s="16" t="n"/>
      <c r="Q34" s="16" t="n"/>
      <c r="R34" s="16" t="n"/>
      <c r="S34" s="16" t="n"/>
      <c r="T34" s="16" t="n"/>
      <c r="U34" s="16" t="n"/>
      <c r="V34" s="16" t="n"/>
      <c r="W34" s="16" t="n"/>
      <c r="X34" s="16" t="n"/>
      <c r="Y34" s="16" t="n"/>
      <c r="Z34" s="16" t="n"/>
      <c r="AA34" s="16" t="n"/>
      <c r="AB34" s="16" t="n"/>
      <c r="AC34" s="16" t="n"/>
    </row>
    <row r="35">
      <c r="A35" s="17" t="n"/>
      <c r="B35" s="18" t="n">
        <v>7</v>
      </c>
      <c r="C35" s="42" t="inlineStr">
        <is>
          <t>Tuần 1</t>
        </is>
      </c>
      <c r="D35" s="24" t="inlineStr">
        <is>
          <t>CGTVPL_01</t>
        </is>
      </c>
      <c r="E35" s="24" t="inlineStr">
        <is>
          <t>Tổng số chuyên gia tư vấn pháp luật</t>
        </is>
      </c>
      <c r="F35" s="24" t="inlineStr">
        <is>
          <t>Cán bộ nghiệp vụ TW,BN,ĐP/Cán bộ phê duyệt TW,BN,ĐP</t>
        </is>
      </c>
      <c r="G35" s="27" t="inlineStr">
        <is>
          <t>Hiển thị tổng số lượng chuyên gia, tư vấn viên đã được thẩm định và công nhận trong mạng lưới.</t>
        </is>
      </c>
      <c r="H35" s="14" t="inlineStr">
        <is>
          <t>Có dữ liệu</t>
        </is>
      </c>
      <c r="I35" s="14" t="n"/>
      <c r="J35" s="14" t="inlineStr">
        <is>
          <t>Mở Dashboard</t>
        </is>
      </c>
      <c r="K35" s="14" t="inlineStr">
        <is>
          <t>Số liệu đúng DB</t>
        </is>
      </c>
      <c r="L35" s="14" t="inlineStr">
        <is>
          <t>Số liệu đúng DB</t>
        </is>
      </c>
      <c r="M35" s="15" t="inlineStr">
        <is>
          <t>CGTVPL_01.png</t>
        </is>
      </c>
      <c r="N35" s="42" t="inlineStr">
        <is>
          <t>Pass</t>
        </is>
      </c>
      <c r="O35" s="16" t="n"/>
      <c r="P35" s="16" t="n"/>
      <c r="Q35" s="16" t="n"/>
      <c r="R35" s="16" t="n"/>
      <c r="S35" s="16" t="n"/>
      <c r="T35" s="16" t="n"/>
      <c r="U35" s="16" t="n"/>
      <c r="V35" s="16" t="n"/>
      <c r="W35" s="16" t="n"/>
      <c r="X35" s="16" t="n"/>
      <c r="Y35" s="16" t="n"/>
      <c r="Z35" s="16" t="n"/>
      <c r="AA35" s="16" t="n"/>
      <c r="AB35" s="16" t="n"/>
      <c r="AC35" s="16" t="n"/>
    </row>
    <row r="36">
      <c r="A36" s="39" t="n"/>
      <c r="B36" s="40" t="n"/>
      <c r="C36" s="42" t="inlineStr">
        <is>
          <t>Tuần 1</t>
        </is>
      </c>
      <c r="D36" s="26" t="inlineStr">
        <is>
          <t>CGTVPL_02</t>
        </is>
      </c>
      <c r="E36" s="41" t="n"/>
      <c r="F36" s="41" t="n"/>
      <c r="G36" s="14" t="inlineStr">
        <is>
          <t>Click Chuyên gia / Tư vấn viên</t>
        </is>
      </c>
      <c r="H36" s="14" t="inlineStr">
        <is>
          <t>Có dữ liệu</t>
        </is>
      </c>
      <c r="I36" s="14" t="n"/>
      <c r="J36" s="14" t="inlineStr">
        <is>
          <t>Click thẻ Chuyên gia / Tư vấn viên</t>
        </is>
      </c>
      <c r="K36" s="14" t="inlineStr">
        <is>
          <t>Mở DS Chuyên gia / Tư vấn viên</t>
        </is>
      </c>
      <c r="L36" s="14" t="inlineStr">
        <is>
          <t>Mở DS Chuyên gia / Tư vấn viên</t>
        </is>
      </c>
      <c r="M36" s="15" t="inlineStr">
        <is>
          <t>CGTVPL_02.png</t>
        </is>
      </c>
      <c r="N36" s="42" t="inlineStr">
        <is>
          <t>Pass</t>
        </is>
      </c>
      <c r="O36" s="16" t="n"/>
      <c r="P36" s="16" t="n"/>
      <c r="Q36" s="16" t="n"/>
      <c r="R36" s="16" t="n"/>
      <c r="S36" s="16" t="n"/>
      <c r="T36" s="16" t="n"/>
      <c r="U36" s="16" t="n"/>
      <c r="V36" s="16" t="n"/>
      <c r="W36" s="16" t="n"/>
      <c r="X36" s="16" t="n"/>
      <c r="Y36" s="16" t="n"/>
      <c r="Z36" s="16" t="n"/>
      <c r="AA36" s="16" t="n"/>
      <c r="AB36" s="16" t="n"/>
      <c r="AC36" s="16" t="n"/>
    </row>
    <row r="37">
      <c r="A37" s="39" t="n"/>
      <c r="B37" s="40" t="n"/>
      <c r="C37" s="42" t="inlineStr">
        <is>
          <t>Tuần 1</t>
        </is>
      </c>
      <c r="D37" s="26" t="inlineStr">
        <is>
          <t>CGTVPL_03</t>
        </is>
      </c>
      <c r="E37" s="41" t="n"/>
      <c r="F37" s="41" t="n"/>
      <c r="G37" s="14" t="inlineStr">
        <is>
          <t>Khoảng thời gian không có dữ liệu</t>
        </is>
      </c>
      <c r="H37" s="14" t="n"/>
      <c r="I37" s="14" t="n"/>
      <c r="J37" s="14" t="inlineStr">
        <is>
          <t>Lọc</t>
        </is>
      </c>
      <c r="K37" s="14" t="inlineStr">
        <is>
          <t>Hiển thị 0/Không có dữ liệu, không lỗi</t>
        </is>
      </c>
      <c r="L37" s="14" t="inlineStr">
        <is>
          <t>Hiển thị 0/Không có dữ liệu, không lỗi</t>
        </is>
      </c>
      <c r="M37" s="15" t="inlineStr">
        <is>
          <t>CGTVPL_03.png</t>
        </is>
      </c>
      <c r="N37" s="42" t="inlineStr">
        <is>
          <t>Pass</t>
        </is>
      </c>
      <c r="O37" s="16" t="n"/>
      <c r="P37" s="16" t="n"/>
      <c r="Q37" s="16" t="n"/>
      <c r="R37" s="16" t="n"/>
      <c r="S37" s="16" t="n"/>
      <c r="T37" s="16" t="n"/>
      <c r="U37" s="16" t="n"/>
      <c r="V37" s="16" t="n"/>
      <c r="W37" s="16" t="n"/>
      <c r="X37" s="16" t="n"/>
      <c r="Y37" s="16" t="n"/>
      <c r="Z37" s="16" t="n"/>
      <c r="AA37" s="16" t="n"/>
      <c r="AB37" s="16" t="n"/>
      <c r="AC37" s="16" t="n"/>
    </row>
    <row r="38">
      <c r="A38" s="29" t="n"/>
      <c r="B38" s="30" t="inlineStr">
        <is>
          <t>BS</t>
        </is>
      </c>
      <c r="C38" s="42" t="inlineStr">
        <is>
          <t>Tuần 1</t>
        </is>
      </c>
      <c r="D38" s="30" t="n"/>
      <c r="E38" s="30" t="inlineStr">
        <is>
          <t>Tỷ lệ hồ sơ bổ sung</t>
        </is>
      </c>
      <c r="F38" s="31" t="inlineStr">
        <is>
          <t>Cán bộ nghiệp vụ TW,BN,ĐP/Cán bộ phê duyệt TW,BN,ĐP</t>
        </is>
      </c>
      <c r="G38" s="26" t="n"/>
      <c r="H38" s="14" t="n"/>
      <c r="I38" s="14" t="n"/>
      <c r="J38" s="14" t="n"/>
      <c r="K38" s="14" t="n"/>
      <c r="L38" s="14" t="n"/>
      <c r="M38" s="16" t="n"/>
      <c r="N38" s="42" t="n"/>
      <c r="O38" s="16" t="n"/>
      <c r="P38" s="16" t="n"/>
      <c r="Q38" s="16" t="n"/>
      <c r="R38" s="16" t="n"/>
      <c r="S38" s="16" t="n"/>
      <c r="T38" s="16" t="n"/>
      <c r="U38" s="16" t="n"/>
      <c r="V38" s="16" t="n"/>
      <c r="W38" s="16" t="n"/>
      <c r="X38" s="16" t="n"/>
      <c r="Y38" s="16" t="n"/>
      <c r="Z38" s="16" t="n"/>
      <c r="AA38" s="16" t="n"/>
      <c r="AB38" s="16" t="n"/>
      <c r="AC38" s="16" t="n"/>
    </row>
    <row r="39">
      <c r="A39" s="44" t="n"/>
      <c r="B39" s="42" t="n"/>
      <c r="C39" s="42" t="inlineStr">
        <is>
          <t>Tuần 1</t>
        </is>
      </c>
      <c r="D39" s="26" t="n"/>
      <c r="E39" s="26" t="n"/>
      <c r="F39" s="26" t="n"/>
      <c r="G39" s="14" t="inlineStr">
        <is>
          <t>Kiểm tra Tỷ lệ hố sơ bổ sung</t>
        </is>
      </c>
      <c r="H39" s="14" t="inlineStr">
        <is>
          <t>Có dữ liệu</t>
        </is>
      </c>
      <c r="I39" s="14" t="n"/>
      <c r="J39" s="14" t="inlineStr">
        <is>
          <t>Mở Dashboard</t>
        </is>
      </c>
      <c r="K39" s="14" t="inlineStr">
        <is>
          <t>Số liệu đúng DB</t>
        </is>
      </c>
      <c r="L39" s="14" t="n"/>
      <c r="M39" s="16" t="n"/>
      <c r="N39" s="42" t="n"/>
      <c r="O39" s="16" t="n"/>
      <c r="P39" s="16" t="n"/>
      <c r="Q39" s="16" t="n"/>
      <c r="R39" s="16" t="n"/>
      <c r="S39" s="16" t="n"/>
      <c r="T39" s="16" t="n"/>
      <c r="U39" s="16" t="n"/>
      <c r="V39" s="16" t="n"/>
      <c r="W39" s="16" t="n"/>
      <c r="X39" s="16" t="n"/>
      <c r="Y39" s="16" t="n"/>
      <c r="Z39" s="16" t="n"/>
      <c r="AA39" s="16" t="n"/>
      <c r="AB39" s="16" t="n"/>
      <c r="AC39" s="16" t="n"/>
    </row>
    <row r="40">
      <c r="A40" s="44" t="n"/>
      <c r="B40" s="42" t="n"/>
      <c r="C40" s="42" t="inlineStr">
        <is>
          <t>Tuần 1</t>
        </is>
      </c>
      <c r="D40" s="26" t="n"/>
      <c r="E40" s="26" t="n"/>
      <c r="F40" s="26" t="n"/>
      <c r="G40" s="14" t="inlineStr">
        <is>
          <t>Click Tỷ lệ hố sơ bổ sung</t>
        </is>
      </c>
      <c r="H40" s="14" t="inlineStr">
        <is>
          <t>Có dữ liệu</t>
        </is>
      </c>
      <c r="I40" s="14" t="n"/>
      <c r="J40" s="14" t="inlineStr">
        <is>
          <t>Click thẻ Tỷ lệ hố sơ bổ sung</t>
        </is>
      </c>
      <c r="K40" s="14" t="inlineStr">
        <is>
          <t>Mở DS Tỷ lệ hố sơ bổ sung</t>
        </is>
      </c>
      <c r="L40" s="14" t="n"/>
      <c r="M40" s="16" t="n"/>
      <c r="N40" s="42" t="n"/>
      <c r="O40" s="16" t="n"/>
      <c r="P40" s="16" t="n"/>
      <c r="Q40" s="16" t="n"/>
      <c r="R40" s="16" t="n"/>
      <c r="S40" s="16" t="n"/>
      <c r="T40" s="16" t="n"/>
      <c r="U40" s="16" t="n"/>
      <c r="V40" s="16" t="n"/>
      <c r="W40" s="16" t="n"/>
      <c r="X40" s="16" t="n"/>
      <c r="Y40" s="16" t="n"/>
      <c r="Z40" s="16" t="n"/>
      <c r="AA40" s="16" t="n"/>
      <c r="AB40" s="16" t="n"/>
      <c r="AC40" s="16" t="n"/>
    </row>
    <row r="41">
      <c r="A41" s="44" t="n"/>
      <c r="B41" s="42" t="n"/>
      <c r="C41" s="42" t="inlineStr">
        <is>
          <t>Tuần 1</t>
        </is>
      </c>
      <c r="D41" s="26" t="n"/>
      <c r="E41" s="26" t="n"/>
      <c r="F41" s="26" t="n"/>
      <c r="G41" s="14" t="inlineStr">
        <is>
          <t>Khoảng thời gian không có dữ liệu</t>
        </is>
      </c>
      <c r="H41" s="14" t="n"/>
      <c r="I41" s="14" t="n"/>
      <c r="J41" s="14" t="inlineStr">
        <is>
          <t>Lọc</t>
        </is>
      </c>
      <c r="K41" s="14" t="inlineStr">
        <is>
          <t>Hiển thị 0/Không có dữ liệu, không lỗi</t>
        </is>
      </c>
      <c r="L41" s="14" t="n"/>
      <c r="M41" s="16" t="n"/>
      <c r="N41" s="42" t="n"/>
      <c r="O41" s="16" t="n"/>
      <c r="P41" s="16" t="n"/>
      <c r="Q41" s="16" t="n"/>
      <c r="R41" s="16" t="n"/>
      <c r="S41" s="16" t="n"/>
      <c r="T41" s="16" t="n"/>
      <c r="U41" s="16" t="n"/>
      <c r="V41" s="16" t="n"/>
      <c r="W41" s="16" t="n"/>
      <c r="X41" s="16" t="n"/>
      <c r="Y41" s="16" t="n"/>
      <c r="Z41" s="16" t="n"/>
      <c r="AA41" s="16" t="n"/>
      <c r="AB41" s="16" t="n"/>
      <c r="AC41" s="16" t="n"/>
    </row>
    <row r="42">
      <c r="A42" s="29" t="n"/>
      <c r="B42" s="30" t="inlineStr">
        <is>
          <t>BS</t>
        </is>
      </c>
      <c r="C42" s="42" t="inlineStr">
        <is>
          <t>Tuần 1</t>
        </is>
      </c>
      <c r="D42" s="30" t="n"/>
      <c r="E42" s="30" t="inlineStr">
        <is>
          <t>Thời gian xử lý trung bình</t>
        </is>
      </c>
      <c r="F42" s="31" t="inlineStr">
        <is>
          <t>Cán bộ nghiệp vụ TW,BN,ĐP/Cán bộ phê duyệt TW,BN,ĐP</t>
        </is>
      </c>
      <c r="G42" s="26" t="n"/>
      <c r="H42" s="14" t="n"/>
      <c r="I42" s="14" t="n"/>
      <c r="J42" s="14" t="n"/>
      <c r="K42" s="14" t="n"/>
      <c r="L42" s="14" t="n"/>
      <c r="M42" s="16" t="n"/>
      <c r="N42" s="42" t="n"/>
      <c r="O42" s="16" t="n"/>
      <c r="P42" s="16" t="n"/>
      <c r="Q42" s="16" t="n"/>
      <c r="R42" s="16" t="n"/>
      <c r="S42" s="16" t="n"/>
      <c r="T42" s="16" t="n"/>
      <c r="U42" s="16" t="n"/>
      <c r="V42" s="16" t="n"/>
      <c r="W42" s="16" t="n"/>
      <c r="X42" s="16" t="n"/>
      <c r="Y42" s="16" t="n"/>
      <c r="Z42" s="16" t="n"/>
      <c r="AA42" s="16" t="n"/>
      <c r="AB42" s="16" t="n"/>
      <c r="AC42" s="16" t="n"/>
    </row>
    <row r="43">
      <c r="A43" s="44" t="n"/>
      <c r="B43" s="42" t="n"/>
      <c r="C43" s="42" t="inlineStr">
        <is>
          <t>Tuần 1</t>
        </is>
      </c>
      <c r="D43" s="26" t="n"/>
      <c r="E43" s="26" t="n"/>
      <c r="F43" s="26" t="n"/>
      <c r="G43" s="14" t="inlineStr">
        <is>
          <t>Kiểm tra Thời gian xử lý trung bình</t>
        </is>
      </c>
      <c r="H43" s="14" t="inlineStr">
        <is>
          <t>Có dữ liệu</t>
        </is>
      </c>
      <c r="I43" s="14" t="n"/>
      <c r="J43" s="14" t="inlineStr">
        <is>
          <t>Mở Dashboard</t>
        </is>
      </c>
      <c r="K43" s="14" t="inlineStr">
        <is>
          <t>Số liệu đúng DB</t>
        </is>
      </c>
      <c r="L43" s="14" t="n"/>
      <c r="M43" s="16" t="n"/>
      <c r="N43" s="42" t="n"/>
      <c r="O43" s="16" t="n"/>
      <c r="P43" s="16" t="n"/>
      <c r="Q43" s="16" t="n"/>
      <c r="R43" s="16" t="n"/>
      <c r="S43" s="16" t="n"/>
      <c r="T43" s="16" t="n"/>
      <c r="U43" s="16" t="n"/>
      <c r="V43" s="16" t="n"/>
      <c r="W43" s="16" t="n"/>
      <c r="X43" s="16" t="n"/>
      <c r="Y43" s="16" t="n"/>
      <c r="Z43" s="16" t="n"/>
      <c r="AA43" s="16" t="n"/>
      <c r="AB43" s="16" t="n"/>
      <c r="AC43" s="16" t="n"/>
    </row>
    <row r="44">
      <c r="A44" s="44" t="n"/>
      <c r="B44" s="42" t="n"/>
      <c r="C44" s="42" t="inlineStr">
        <is>
          <t>Tuần 1</t>
        </is>
      </c>
      <c r="D44" s="26" t="n"/>
      <c r="E44" s="26" t="n"/>
      <c r="F44" s="26" t="n"/>
      <c r="G44" s="14" t="inlineStr">
        <is>
          <t>Click Thời gian xử lý trung bình</t>
        </is>
      </c>
      <c r="H44" s="14" t="inlineStr">
        <is>
          <t>Có dữ liệu</t>
        </is>
      </c>
      <c r="I44" s="14" t="n"/>
      <c r="J44" s="14" t="inlineStr">
        <is>
          <t>Click thẻ Thời gian xử lý trung bình</t>
        </is>
      </c>
      <c r="K44" s="14" t="inlineStr">
        <is>
          <t>Mở DS Thời gian xử lý trung bình</t>
        </is>
      </c>
      <c r="L44" s="14" t="n"/>
      <c r="M44" s="16" t="n"/>
      <c r="N44" s="42" t="n"/>
      <c r="O44" s="16" t="n"/>
      <c r="P44" s="16" t="n"/>
      <c r="Q44" s="16" t="n"/>
      <c r="R44" s="16" t="n"/>
      <c r="S44" s="16" t="n"/>
      <c r="T44" s="16" t="n"/>
      <c r="U44" s="16" t="n"/>
      <c r="V44" s="16" t="n"/>
      <c r="W44" s="16" t="n"/>
      <c r="X44" s="16" t="n"/>
      <c r="Y44" s="16" t="n"/>
      <c r="Z44" s="16" t="n"/>
      <c r="AA44" s="16" t="n"/>
      <c r="AB44" s="16" t="n"/>
      <c r="AC44" s="16" t="n"/>
    </row>
    <row r="45">
      <c r="A45" s="44" t="n"/>
      <c r="B45" s="42" t="n"/>
      <c r="C45" s="42" t="inlineStr">
        <is>
          <t>Tuần 1</t>
        </is>
      </c>
      <c r="D45" s="26" t="n"/>
      <c r="E45" s="26" t="n"/>
      <c r="F45" s="26" t="n"/>
      <c r="G45" s="14" t="inlineStr">
        <is>
          <t>Khoảng thời gian không có dữ liệu</t>
        </is>
      </c>
      <c r="H45" s="14" t="n"/>
      <c r="I45" s="14" t="n"/>
      <c r="J45" s="14" t="inlineStr">
        <is>
          <t>Lọc</t>
        </is>
      </c>
      <c r="K45" s="14" t="inlineStr">
        <is>
          <t>Hiển thị 0/Không có dữ liệu, không lỗi</t>
        </is>
      </c>
      <c r="L45" s="14" t="n"/>
      <c r="M45" s="16" t="n"/>
      <c r="N45" s="42" t="n"/>
      <c r="O45" s="16" t="n"/>
      <c r="P45" s="16" t="n"/>
      <c r="Q45" s="16" t="n"/>
      <c r="R45" s="16" t="n"/>
      <c r="S45" s="16" t="n"/>
      <c r="T45" s="16" t="n"/>
      <c r="U45" s="16" t="n"/>
      <c r="V45" s="16" t="n"/>
      <c r="W45" s="16" t="n"/>
      <c r="X45" s="16" t="n"/>
      <c r="Y45" s="16" t="n"/>
      <c r="Z45" s="16" t="n"/>
      <c r="AA45" s="16" t="n"/>
      <c r="AB45" s="16" t="n"/>
      <c r="AC45" s="16" t="n"/>
    </row>
    <row r="46">
      <c r="A46" s="17" t="n"/>
      <c r="B46" s="18" t="n">
        <v>8</v>
      </c>
      <c r="C46" s="42" t="inlineStr">
        <is>
          <t>Tuần 1</t>
        </is>
      </c>
      <c r="D46" s="24" t="inlineStr">
        <is>
          <t>TKDGHQHTPL_01</t>
        </is>
      </c>
      <c r="E46" s="24" t="inlineStr">
        <is>
          <t>Biểu đồ thống kê đánh giá hiệu quả hỗ trợ pháp lý</t>
        </is>
      </c>
      <c r="F46" s="24" t="inlineStr">
        <is>
          <t>Cán bộ nghiệp vụ TW,BN,ĐP/Cán bộ phê duyệt TW,BN,ĐP</t>
        </is>
      </c>
      <c r="G46" s="27" t="inlineStr">
        <is>
          <t>Trực quan hóa dữ liệu đánh giá chất lượng hỗ trợ, bao gồm điểm hài lòng và tỷ lệ tuân thủ (thời hạn xử lý).</t>
        </is>
      </c>
      <c r="H46" s="14" t="inlineStr">
        <is>
          <t>Có dữ liệu</t>
        </is>
      </c>
      <c r="I46" s="14" t="n"/>
      <c r="J46" s="14" t="inlineStr">
        <is>
          <t>Mở Dashboard</t>
        </is>
      </c>
      <c r="K46" s="14" t="inlineStr">
        <is>
          <t>Dữ liệu đúng KPI</t>
        </is>
      </c>
      <c r="L46" s="14" t="inlineStr">
        <is>
          <t>Dữ liệu đúng KPI</t>
        </is>
      </c>
      <c r="M46" s="8" t="inlineStr">
        <is>
          <t>TKDGHQHTPL_01.jpg</t>
        </is>
      </c>
      <c r="N46" s="42" t="inlineStr">
        <is>
          <t>Pass</t>
        </is>
      </c>
      <c r="O46" s="16" t="n"/>
      <c r="P46" s="16" t="n"/>
      <c r="Q46" s="16" t="n"/>
      <c r="R46" s="16" t="n"/>
      <c r="S46" s="16" t="n"/>
      <c r="T46" s="16" t="n"/>
      <c r="U46" s="16" t="n"/>
      <c r="V46" s="16" t="n"/>
      <c r="W46" s="16" t="n"/>
      <c r="X46" s="16" t="n"/>
      <c r="Y46" s="16" t="n"/>
      <c r="Z46" s="16" t="n"/>
      <c r="AA46" s="16" t="n"/>
      <c r="AB46" s="16" t="n"/>
      <c r="AC46" s="16" t="n"/>
    </row>
    <row r="47">
      <c r="A47" s="39" t="n"/>
      <c r="B47" s="40" t="n"/>
      <c r="C47" s="42" t="inlineStr">
        <is>
          <t>Tuần 1</t>
        </is>
      </c>
      <c r="D47" s="41" t="inlineStr">
        <is>
          <t>TKDGHQHTPL_02</t>
        </is>
      </c>
      <c r="E47" s="41" t="n"/>
      <c r="F47" s="41" t="n"/>
      <c r="G47" s="14" t="inlineStr">
        <is>
          <t>Biểu đồ hiệu quả hỗ trợ pháp lý</t>
        </is>
      </c>
      <c r="H47" s="14" t="inlineStr">
        <is>
          <t>Có dữ liệu</t>
        </is>
      </c>
      <c r="I47" s="14" t="n"/>
      <c r="J47" s="14" t="inlineStr">
        <is>
          <t>Mở Dashboard</t>
        </is>
      </c>
      <c r="K47" s="14" t="inlineStr">
        <is>
          <t>-Biểu đồ đúng thiết kế
- Dữ liệu đúng KPI</t>
        </is>
      </c>
      <c r="L47" s="14" t="inlineStr">
        <is>
          <t>Biểu đồ không giống với thiết kế</t>
        </is>
      </c>
      <c r="M47" s="8" t="inlineStr">
        <is>
          <t>TKDGHQHTPL_02.webm</t>
        </is>
      </c>
      <c r="N47" s="42" t="inlineStr">
        <is>
          <t>Fail</t>
        </is>
      </c>
      <c r="O47" s="16" t="n"/>
      <c r="P47" s="16" t="inlineStr">
        <is>
          <t>dev done</t>
        </is>
      </c>
      <c r="Q47" s="16" t="n"/>
      <c r="R47" s="16" t="n"/>
      <c r="S47" s="16" t="n"/>
      <c r="T47" s="16" t="n"/>
      <c r="U47" s="16" t="n"/>
      <c r="V47" s="16" t="n"/>
      <c r="W47" s="16" t="n"/>
      <c r="X47" s="16" t="n"/>
      <c r="Y47" s="16" t="n"/>
      <c r="Z47" s="16" t="n"/>
      <c r="AA47" s="16" t="n"/>
      <c r="AB47" s="16" t="n"/>
      <c r="AC47" s="16" t="n"/>
    </row>
    <row r="48">
      <c r="A48" s="17" t="n"/>
      <c r="B48" s="18" t="n">
        <v>9</v>
      </c>
      <c r="C48" s="42" t="inlineStr">
        <is>
          <t>Tuần 1</t>
        </is>
      </c>
      <c r="D48" s="24" t="inlineStr">
        <is>
          <t>TKCLDTBDPL_01</t>
        </is>
      </c>
      <c r="E48" s="24" t="inlineStr">
        <is>
          <t>Biểu đồ thống kê chất lượng đào tạo bồi dưỡng pháp lý</t>
        </is>
      </c>
      <c r="F48" s="24" t="inlineStr">
        <is>
          <t>Cán bộ nghiệp vụ TW,BN,ĐP/Cán bộ phê duyệt TW,BN,ĐP</t>
        </is>
      </c>
      <c r="G48" s="27" t="inlineStr">
        <is>
          <t>Trực quan hóa dữ liệu về hiệu quả đào tạo (ví dụ: Tỷ lệ đạt chứng nhận, điểm trung bình kiểm tra).</t>
        </is>
      </c>
      <c r="H48" s="14" t="inlineStr">
        <is>
          <t>Có dữ liệu</t>
        </is>
      </c>
      <c r="I48" s="14" t="n"/>
      <c r="J48" s="14" t="inlineStr">
        <is>
          <t>Mở Dashboard</t>
        </is>
      </c>
      <c r="K48" s="14" t="inlineStr">
        <is>
          <t>Hiển thị đúng %</t>
        </is>
      </c>
      <c r="L48" s="14" t="n"/>
      <c r="M48" s="16" t="n"/>
      <c r="N48" s="42" t="inlineStr">
        <is>
          <t>N/R</t>
        </is>
      </c>
      <c r="O48" s="16" t="inlineStr">
        <is>
          <t>chưa có dữ liệu test</t>
        </is>
      </c>
      <c r="P48" s="16" t="n"/>
      <c r="Q48" s="16" t="n"/>
      <c r="R48" s="16" t="n"/>
      <c r="S48" s="16" t="n"/>
      <c r="T48" s="16" t="n"/>
      <c r="U48" s="16" t="n"/>
      <c r="V48" s="16" t="n"/>
      <c r="W48" s="16" t="n"/>
      <c r="X48" s="16" t="n"/>
      <c r="Y48" s="16" t="n"/>
      <c r="Z48" s="16" t="n"/>
      <c r="AA48" s="16" t="n"/>
      <c r="AB48" s="16" t="n"/>
      <c r="AC48" s="16" t="n"/>
    </row>
    <row r="49">
      <c r="A49" s="39" t="n"/>
      <c r="B49" s="40" t="n"/>
      <c r="C49" s="42" t="inlineStr">
        <is>
          <t>Tuần 1</t>
        </is>
      </c>
      <c r="D49" s="41" t="inlineStr">
        <is>
          <t>TKCLDTBDPL_02</t>
        </is>
      </c>
      <c r="E49" s="41" t="n"/>
      <c r="F49" s="41" t="n"/>
      <c r="G49" s="14" t="inlineStr">
        <is>
          <t>Biểu đồ tuân thủ thời hạn</t>
        </is>
      </c>
      <c r="H49" s="14" t="inlineStr">
        <is>
          <t>Có dữ liệu</t>
        </is>
      </c>
      <c r="I49" s="14" t="n"/>
      <c r="J49" s="14" t="inlineStr">
        <is>
          <t>Mở Dashboard</t>
        </is>
      </c>
      <c r="K49" s="14" t="inlineStr">
        <is>
          <t>Hiển thị đúng %</t>
        </is>
      </c>
      <c r="L49" s="14" t="n"/>
      <c r="M49" s="16" t="n"/>
      <c r="N49" s="42" t="inlineStr">
        <is>
          <t>N/R</t>
        </is>
      </c>
      <c r="O49" s="16" t="inlineStr">
        <is>
          <t>chưa có dữ liệu test</t>
        </is>
      </c>
      <c r="P49" s="16" t="n"/>
      <c r="Q49" s="16" t="n"/>
      <c r="R49" s="16" t="n"/>
      <c r="S49" s="16" t="n"/>
      <c r="T49" s="16" t="n"/>
      <c r="U49" s="16" t="n"/>
      <c r="V49" s="16" t="n"/>
      <c r="W49" s="16" t="n"/>
      <c r="X49" s="16" t="n"/>
      <c r="Y49" s="16" t="n"/>
      <c r="Z49" s="16" t="n"/>
      <c r="AA49" s="16" t="n"/>
      <c r="AB49" s="16" t="n"/>
      <c r="AC49" s="16" t="n"/>
    </row>
    <row r="50">
      <c r="A50" s="4" t="n"/>
      <c r="B50" s="5" t="inlineStr">
        <is>
          <t>II</t>
        </is>
      </c>
      <c r="C50" s="42" t="inlineStr">
        <is>
          <t>Tuần 1</t>
        </is>
      </c>
      <c r="D50" s="6" t="n"/>
      <c r="E50" s="6" t="inlineStr">
        <is>
          <t>Quản lý tiếp nhận hỏi đáp, vướng mắc pháp lý</t>
        </is>
      </c>
      <c r="F50" s="26" t="n"/>
      <c r="G50" s="26" t="n"/>
      <c r="H50" s="26" t="n"/>
      <c r="I50" s="16" t="n"/>
      <c r="J50" s="16" t="n"/>
      <c r="K50" s="16" t="n"/>
      <c r="L50" s="16" t="n"/>
      <c r="M50" s="16" t="n"/>
      <c r="N50" s="42" t="n"/>
      <c r="O50" s="16" t="n"/>
      <c r="P50" s="16" t="n"/>
      <c r="Q50" s="16" t="n"/>
      <c r="R50" s="16" t="n"/>
      <c r="S50" s="16" t="n"/>
      <c r="T50" s="16" t="n"/>
      <c r="U50" s="16" t="n"/>
      <c r="V50" s="16" t="n"/>
      <c r="W50" s="16" t="n"/>
      <c r="X50" s="16" t="n"/>
      <c r="Y50" s="16" t="n"/>
      <c r="Z50" s="16" t="n"/>
      <c r="AA50" s="16" t="n"/>
      <c r="AB50" s="16" t="n"/>
      <c r="AC50" s="16" t="n"/>
    </row>
    <row r="51">
      <c r="A51" s="4" t="n"/>
      <c r="B51" s="5" t="inlineStr">
        <is>
          <t>II.1</t>
        </is>
      </c>
      <c r="C51" s="42" t="inlineStr">
        <is>
          <t>Tuần 1</t>
        </is>
      </c>
      <c r="D51" s="6" t="n"/>
      <c r="E51" s="6" t="inlineStr">
        <is>
          <t>Quản lý tổng hợp hỏi đáp, vướng mắc pháp lý</t>
        </is>
      </c>
      <c r="F51" s="26" t="n"/>
      <c r="G51" s="26" t="n"/>
      <c r="H51" s="26" t="n"/>
      <c r="I51" s="26" t="n"/>
      <c r="J51" s="26" t="n"/>
      <c r="K51" s="16" t="n"/>
      <c r="L51" s="16" t="n"/>
      <c r="M51" s="16" t="n"/>
      <c r="N51" s="42" t="n"/>
      <c r="O51" s="16" t="n"/>
      <c r="P51" s="16" t="n"/>
      <c r="Q51" s="16" t="n"/>
      <c r="R51" s="16" t="n"/>
      <c r="S51" s="16" t="n"/>
      <c r="T51" s="16" t="n"/>
      <c r="U51" s="16" t="n"/>
      <c r="V51" s="16" t="n"/>
      <c r="W51" s="16" t="n"/>
      <c r="X51" s="16" t="n"/>
      <c r="Y51" s="16" t="n"/>
      <c r="Z51" s="16" t="n"/>
      <c r="AA51" s="16" t="n"/>
      <c r="AB51" s="16" t="n"/>
      <c r="AC51" s="16" t="n"/>
    </row>
    <row r="52">
      <c r="A52" s="29" t="n"/>
      <c r="B52" s="30" t="inlineStr">
        <is>
          <t>BS</t>
        </is>
      </c>
      <c r="C52" s="42" t="inlineStr">
        <is>
          <t>Tuần 1</t>
        </is>
      </c>
      <c r="D52" s="30" t="n"/>
      <c r="E52" s="30" t="inlineStr">
        <is>
          <t>Thêm mới hỏi đáp vướng mắc pháp lý</t>
        </is>
      </c>
      <c r="F52" s="31" t="n"/>
      <c r="G52" s="26" t="n"/>
      <c r="H52" s="14" t="n"/>
      <c r="I52" s="42" t="n"/>
      <c r="J52" s="16" t="n"/>
      <c r="K52" s="16" t="n"/>
      <c r="L52" s="16" t="n"/>
      <c r="M52" s="16" t="n"/>
      <c r="N52" s="42" t="n"/>
      <c r="O52" s="16" t="n"/>
      <c r="P52" s="16" t="n"/>
      <c r="Q52" s="16" t="n"/>
      <c r="R52" s="16" t="n"/>
      <c r="S52" s="16" t="n"/>
      <c r="T52" s="16" t="n"/>
      <c r="U52" s="16" t="n"/>
      <c r="V52" s="16" t="n"/>
      <c r="W52" s="16" t="n"/>
      <c r="X52" s="16" t="n"/>
      <c r="Y52" s="16" t="n"/>
      <c r="Z52" s="16" t="n"/>
      <c r="AA52" s="16" t="n"/>
      <c r="AB52" s="16" t="n"/>
      <c r="AC52" s="16" t="n"/>
    </row>
    <row r="53">
      <c r="A53" s="44" t="n"/>
      <c r="B53" s="42" t="n"/>
      <c r="C53" s="42" t="inlineStr">
        <is>
          <t>Tuần 1</t>
        </is>
      </c>
      <c r="D53" s="26" t="n"/>
      <c r="E53" s="26" t="n"/>
      <c r="F53" s="14" t="n"/>
      <c r="G53" s="14" t="inlineStr">
        <is>
          <t>Mở màn hình thêm mới</t>
        </is>
      </c>
      <c r="H53" s="14" t="inlineStr">
        <is>
          <t>Có quyền thao tác</t>
        </is>
      </c>
      <c r="I53" s="42" t="n"/>
      <c r="J53" s="14" t="inlineStr">
        <is>
          <t>1. Mở màn hình
 2. Thực hiện theo TC
 3. Nhấn Lưu</t>
        </is>
      </c>
      <c r="K53" s="14" t="inlineStr">
        <is>
          <t>Hiển thị đầy đủ trường nhập</t>
        </is>
      </c>
      <c r="L53" s="16" t="n"/>
      <c r="M53" s="16" t="n"/>
      <c r="N53" s="42" t="n"/>
      <c r="O53" s="16" t="n"/>
      <c r="P53" s="16" t="n"/>
      <c r="Q53" s="16" t="n"/>
      <c r="R53" s="16" t="n"/>
      <c r="S53" s="16" t="n"/>
      <c r="T53" s="16" t="n"/>
      <c r="U53" s="16" t="n"/>
      <c r="V53" s="16" t="n"/>
      <c r="W53" s="16" t="n"/>
      <c r="X53" s="16" t="n"/>
      <c r="Y53" s="16" t="n"/>
      <c r="Z53" s="16" t="n"/>
      <c r="AA53" s="16" t="n"/>
      <c r="AB53" s="16" t="n"/>
      <c r="AC53" s="16" t="n"/>
    </row>
    <row r="54">
      <c r="A54" s="44" t="n"/>
      <c r="B54" s="42" t="n"/>
      <c r="C54" s="42" t="inlineStr">
        <is>
          <t>Tuần 1</t>
        </is>
      </c>
      <c r="D54" s="26" t="n"/>
      <c r="E54" s="26" t="n"/>
      <c r="F54" s="14" t="n"/>
      <c r="G54" s="14" t="inlineStr">
        <is>
          <t>Không nhập Nội dung</t>
        </is>
      </c>
      <c r="H54" s="14" t="inlineStr">
        <is>
          <t>Có quyền thao tác</t>
        </is>
      </c>
      <c r="I54" s="42" t="n"/>
      <c r="J54" s="14" t="inlineStr">
        <is>
          <t>1. Mở màn hình
 2. Thực hiện theo TC
 3. Nhấn Lưu</t>
        </is>
      </c>
      <c r="K54" s="14" t="inlineStr">
        <is>
          <t>Báo lỗi bắt buộc</t>
        </is>
      </c>
      <c r="L54" s="16" t="n"/>
      <c r="M54" s="16" t="n"/>
      <c r="N54" s="42" t="n"/>
      <c r="O54" s="16" t="n"/>
      <c r="P54" s="16" t="n"/>
      <c r="Q54" s="16" t="n"/>
      <c r="R54" s="16" t="n"/>
      <c r="S54" s="16" t="n"/>
      <c r="T54" s="16" t="n"/>
      <c r="U54" s="16" t="n"/>
      <c r="V54" s="16" t="n"/>
      <c r="W54" s="16" t="n"/>
      <c r="X54" s="16" t="n"/>
      <c r="Y54" s="16" t="n"/>
      <c r="Z54" s="16" t="n"/>
      <c r="AA54" s="16" t="n"/>
      <c r="AB54" s="16" t="n"/>
      <c r="AC54" s="16" t="n"/>
    </row>
    <row r="55">
      <c r="A55" s="44" t="n"/>
      <c r="B55" s="42" t="n"/>
      <c r="C55" s="42" t="inlineStr">
        <is>
          <t>Tuần 1</t>
        </is>
      </c>
      <c r="D55" s="26" t="n"/>
      <c r="E55" s="26" t="n"/>
      <c r="F55" s="14" t="n"/>
      <c r="G55" s="14" t="inlineStr">
        <is>
          <t>Không chọn Lĩnh vực</t>
        </is>
      </c>
      <c r="H55" s="14" t="inlineStr">
        <is>
          <t>Có quyền thao tác</t>
        </is>
      </c>
      <c r="I55" s="42" t="n"/>
      <c r="J55" s="14" t="inlineStr">
        <is>
          <t>1. Mở màn hình
 2. Thực hiện theo TC
 3. Nhấn Lưu</t>
        </is>
      </c>
      <c r="K55" s="14" t="inlineStr">
        <is>
          <t>Báo lỗi</t>
        </is>
      </c>
      <c r="L55" s="16" t="n"/>
      <c r="M55" s="16" t="n"/>
      <c r="N55" s="42" t="n"/>
      <c r="O55" s="16" t="n"/>
      <c r="P55" s="16" t="n"/>
      <c r="Q55" s="16" t="n"/>
      <c r="R55" s="16" t="n"/>
      <c r="S55" s="16" t="n"/>
      <c r="T55" s="16" t="n"/>
      <c r="U55" s="16" t="n"/>
      <c r="V55" s="16" t="n"/>
      <c r="W55" s="16" t="n"/>
      <c r="X55" s="16" t="n"/>
      <c r="Y55" s="16" t="n"/>
      <c r="Z55" s="16" t="n"/>
      <c r="AA55" s="16" t="n"/>
      <c r="AB55" s="16" t="n"/>
      <c r="AC55" s="16" t="n"/>
    </row>
    <row r="56">
      <c r="A56" s="44" t="n"/>
      <c r="B56" s="42" t="n"/>
      <c r="C56" s="42" t="inlineStr">
        <is>
          <t>Tuần 1</t>
        </is>
      </c>
      <c r="D56" s="26" t="n"/>
      <c r="E56" s="26" t="n"/>
      <c r="F56" s="14" t="n"/>
      <c r="G56" s="14" t="inlineStr">
        <is>
          <t>Không chọn Kênh</t>
        </is>
      </c>
      <c r="H56" s="14" t="inlineStr">
        <is>
          <t>Có quyền thao tác</t>
        </is>
      </c>
      <c r="I56" s="42" t="n"/>
      <c r="J56" s="14" t="inlineStr">
        <is>
          <t>1. Mở màn hình
 2. Thực hiện theo TC
 3. Nhấn Lưu</t>
        </is>
      </c>
      <c r="K56" s="14" t="inlineStr">
        <is>
          <t>Báo lỗi</t>
        </is>
      </c>
      <c r="L56" s="16" t="n"/>
      <c r="M56" s="16" t="n"/>
      <c r="N56" s="42" t="n"/>
      <c r="O56" s="16" t="n"/>
      <c r="P56" s="16" t="n"/>
      <c r="Q56" s="16" t="n"/>
      <c r="R56" s="16" t="n"/>
      <c r="S56" s="16" t="n"/>
      <c r="T56" s="16" t="n"/>
      <c r="U56" s="16" t="n"/>
      <c r="V56" s="16" t="n"/>
      <c r="W56" s="16" t="n"/>
      <c r="X56" s="16" t="n"/>
      <c r="Y56" s="16" t="n"/>
      <c r="Z56" s="16" t="n"/>
      <c r="AA56" s="16" t="n"/>
      <c r="AB56" s="16" t="n"/>
      <c r="AC56" s="16" t="n"/>
    </row>
    <row r="57">
      <c r="A57" s="44" t="n"/>
      <c r="B57" s="42" t="n"/>
      <c r="C57" s="42" t="inlineStr">
        <is>
          <t>Tuần 1</t>
        </is>
      </c>
      <c r="D57" s="26" t="n"/>
      <c r="E57" s="26" t="n"/>
      <c r="F57" s="14" t="n"/>
      <c r="G57" s="14" t="inlineStr">
        <is>
          <t>Không chọn Mức độ</t>
        </is>
      </c>
      <c r="H57" s="14" t="inlineStr">
        <is>
          <t>Có quyền thao tác</t>
        </is>
      </c>
      <c r="I57" s="42" t="n"/>
      <c r="J57" s="14" t="inlineStr">
        <is>
          <t>1. Mở màn hình
 2. Thực hiện theo TC
 3. Nhấn Lưu</t>
        </is>
      </c>
      <c r="K57" s="14" t="inlineStr">
        <is>
          <t>Báo lỗi</t>
        </is>
      </c>
      <c r="L57" s="16" t="n"/>
      <c r="M57" s="16" t="n"/>
      <c r="N57" s="42" t="n"/>
      <c r="O57" s="16" t="n"/>
      <c r="P57" s="16" t="n"/>
      <c r="Q57" s="16" t="n"/>
      <c r="R57" s="16" t="n"/>
      <c r="S57" s="16" t="n"/>
      <c r="T57" s="16" t="n"/>
      <c r="U57" s="16" t="n"/>
      <c r="V57" s="16" t="n"/>
      <c r="W57" s="16" t="n"/>
      <c r="X57" s="16" t="n"/>
      <c r="Y57" s="16" t="n"/>
      <c r="Z57" s="16" t="n"/>
      <c r="AA57" s="16" t="n"/>
      <c r="AB57" s="16" t="n"/>
      <c r="AC57" s="16" t="n"/>
    </row>
    <row r="58">
      <c r="A58" s="44" t="n"/>
      <c r="B58" s="42" t="n"/>
      <c r="C58" s="42" t="inlineStr">
        <is>
          <t>Tuần 1</t>
        </is>
      </c>
      <c r="D58" s="26" t="n"/>
      <c r="E58" s="26" t="n"/>
      <c r="F58" s="14" t="n"/>
      <c r="G58" s="14" t="inlineStr">
        <is>
          <t>Nội dung 1 ký tự</t>
        </is>
      </c>
      <c r="H58" s="14" t="inlineStr">
        <is>
          <t>Có quyền thao tác</t>
        </is>
      </c>
      <c r="I58" s="42" t="n"/>
      <c r="J58" s="14" t="inlineStr">
        <is>
          <t>1. Mở màn hình
 2. Thực hiện theo TC
 3. Nhấn Lưu</t>
        </is>
      </c>
      <c r="K58" s="14" t="inlineStr">
        <is>
          <t>Lưu thành công</t>
        </is>
      </c>
      <c r="L58" s="16" t="n"/>
      <c r="M58" s="16" t="n"/>
      <c r="N58" s="42" t="n"/>
      <c r="O58" s="16" t="n"/>
      <c r="P58" s="16" t="n"/>
      <c r="Q58" s="16" t="n"/>
      <c r="R58" s="16" t="n"/>
      <c r="S58" s="16" t="n"/>
      <c r="T58" s="16" t="n"/>
      <c r="U58" s="16" t="n"/>
      <c r="V58" s="16" t="n"/>
      <c r="W58" s="16" t="n"/>
      <c r="X58" s="16" t="n"/>
      <c r="Y58" s="16" t="n"/>
      <c r="Z58" s="16" t="n"/>
      <c r="AA58" s="16" t="n"/>
      <c r="AB58" s="16" t="n"/>
      <c r="AC58" s="16" t="n"/>
    </row>
    <row r="59">
      <c r="A59" s="44" t="n"/>
      <c r="B59" s="42" t="n"/>
      <c r="C59" s="42" t="inlineStr">
        <is>
          <t>Tuần 1</t>
        </is>
      </c>
      <c r="D59" s="26" t="n"/>
      <c r="E59" s="26" t="n"/>
      <c r="F59" s="14" t="n"/>
      <c r="G59" s="14" t="inlineStr">
        <is>
          <t>Nội dung 5000 ký tự</t>
        </is>
      </c>
      <c r="H59" s="14" t="inlineStr">
        <is>
          <t>Có quyền thao tác</t>
        </is>
      </c>
      <c r="I59" s="42" t="n"/>
      <c r="J59" s="14" t="inlineStr">
        <is>
          <t>1. Mở màn hình
 2. Thực hiện theo TC
 3. Nhấn Lưu</t>
        </is>
      </c>
      <c r="K59" s="14" t="inlineStr">
        <is>
          <t>Lưu thành công</t>
        </is>
      </c>
      <c r="L59" s="16" t="n"/>
      <c r="M59" s="16" t="n"/>
      <c r="N59" s="42" t="n"/>
      <c r="O59" s="16" t="n"/>
      <c r="P59" s="16" t="n"/>
      <c r="Q59" s="16" t="n"/>
      <c r="R59" s="16" t="n"/>
      <c r="S59" s="16" t="n"/>
      <c r="T59" s="16" t="n"/>
      <c r="U59" s="16" t="n"/>
      <c r="V59" s="16" t="n"/>
      <c r="W59" s="16" t="n"/>
      <c r="X59" s="16" t="n"/>
      <c r="Y59" s="16" t="n"/>
      <c r="Z59" s="16" t="n"/>
      <c r="AA59" s="16" t="n"/>
      <c r="AB59" s="16" t="n"/>
      <c r="AC59" s="16" t="n"/>
    </row>
    <row r="60">
      <c r="A60" s="44" t="n"/>
      <c r="B60" s="42" t="n"/>
      <c r="C60" s="42" t="inlineStr">
        <is>
          <t>Tuần 1</t>
        </is>
      </c>
      <c r="D60" s="26" t="n"/>
      <c r="E60" s="26" t="n"/>
      <c r="F60" s="14" t="n"/>
      <c r="G60" s="14" t="inlineStr">
        <is>
          <t>Nội dung &gt;5000 ký tự</t>
        </is>
      </c>
      <c r="H60" s="14" t="inlineStr">
        <is>
          <t>Có quyền thao tác</t>
        </is>
      </c>
      <c r="I60" s="42" t="n"/>
      <c r="J60" s="14" t="inlineStr">
        <is>
          <t>1. Mở màn hình
 2. Thực hiện theo TC
 3. Nhấn Lưu</t>
        </is>
      </c>
      <c r="K60" s="14" t="inlineStr">
        <is>
          <t>Không cho lưu</t>
        </is>
      </c>
      <c r="L60" s="16" t="n"/>
      <c r="M60" s="16" t="n"/>
      <c r="N60" s="42" t="n"/>
      <c r="O60" s="16" t="n"/>
      <c r="P60" s="16" t="n"/>
      <c r="Q60" s="16" t="n"/>
      <c r="R60" s="16" t="n"/>
      <c r="S60" s="16" t="n"/>
      <c r="T60" s="16" t="n"/>
      <c r="U60" s="16" t="n"/>
      <c r="V60" s="16" t="n"/>
      <c r="W60" s="16" t="n"/>
      <c r="X60" s="16" t="n"/>
      <c r="Y60" s="16" t="n"/>
      <c r="Z60" s="16" t="n"/>
      <c r="AA60" s="16" t="n"/>
      <c r="AB60" s="16" t="n"/>
      <c r="AC60" s="16" t="n"/>
    </row>
    <row r="61">
      <c r="A61" s="44" t="n"/>
      <c r="B61" s="42" t="n"/>
      <c r="C61" s="42" t="inlineStr">
        <is>
          <t>Tuần 1</t>
        </is>
      </c>
      <c r="D61" s="26" t="n"/>
      <c r="E61" s="26" t="n"/>
      <c r="F61" s="14" t="n"/>
      <c r="G61" s="14" t="inlineStr">
        <is>
          <t>Email hợp lệ</t>
        </is>
      </c>
      <c r="H61" s="14" t="inlineStr">
        <is>
          <t>Có quyền thao tác</t>
        </is>
      </c>
      <c r="I61" s="42" t="n"/>
      <c r="J61" s="14" t="inlineStr">
        <is>
          <t>1. Mở màn hình
 2. Thực hiện theo TC
 3. Nhấn Lưu</t>
        </is>
      </c>
      <c r="K61" s="14" t="inlineStr">
        <is>
          <t>Lưu thành công</t>
        </is>
      </c>
      <c r="L61" s="16" t="n"/>
      <c r="M61" s="16" t="n"/>
      <c r="N61" s="42" t="n"/>
      <c r="O61" s="16" t="n"/>
      <c r="P61" s="16" t="n"/>
      <c r="Q61" s="16" t="n"/>
      <c r="R61" s="16" t="n"/>
      <c r="S61" s="16" t="n"/>
      <c r="T61" s="16" t="n"/>
      <c r="U61" s="16" t="n"/>
      <c r="V61" s="16" t="n"/>
      <c r="W61" s="16" t="n"/>
      <c r="X61" s="16" t="n"/>
      <c r="Y61" s="16" t="n"/>
      <c r="Z61" s="16" t="n"/>
      <c r="AA61" s="16" t="n"/>
      <c r="AB61" s="16" t="n"/>
      <c r="AC61" s="16" t="n"/>
    </row>
    <row r="62">
      <c r="A62" s="44" t="n"/>
      <c r="B62" s="42" t="n"/>
      <c r="C62" s="42" t="inlineStr">
        <is>
          <t>Tuần 1</t>
        </is>
      </c>
      <c r="D62" s="26" t="n"/>
      <c r="E62" s="26" t="n"/>
      <c r="F62" s="14" t="n"/>
      <c r="G62" s="14" t="inlineStr">
        <is>
          <t>Email sai</t>
        </is>
      </c>
      <c r="H62" s="14" t="inlineStr">
        <is>
          <t>Có quyền thao tác</t>
        </is>
      </c>
      <c r="I62" s="42" t="n"/>
      <c r="J62" s="14" t="inlineStr">
        <is>
          <t>1. Mở màn hình
 2. Thực hiện theo TC
 3. Nhấn Lưu</t>
        </is>
      </c>
      <c r="K62" s="14" t="inlineStr">
        <is>
          <t>Báo lỗi</t>
        </is>
      </c>
      <c r="L62" s="16" t="n"/>
      <c r="M62" s="16" t="n"/>
      <c r="N62" s="42" t="n"/>
      <c r="O62" s="16" t="n"/>
      <c r="P62" s="16" t="n"/>
      <c r="Q62" s="16" t="n"/>
      <c r="R62" s="16" t="n"/>
      <c r="S62" s="16" t="n"/>
      <c r="T62" s="16" t="n"/>
      <c r="U62" s="16" t="n"/>
      <c r="V62" s="16" t="n"/>
      <c r="W62" s="16" t="n"/>
      <c r="X62" s="16" t="n"/>
      <c r="Y62" s="16" t="n"/>
      <c r="Z62" s="16" t="n"/>
      <c r="AA62" s="16" t="n"/>
      <c r="AB62" s="16" t="n"/>
      <c r="AC62" s="16" t="n"/>
    </row>
    <row r="63">
      <c r="A63" s="44" t="n"/>
      <c r="B63" s="42" t="n"/>
      <c r="C63" s="42" t="inlineStr">
        <is>
          <t>Tuần 1</t>
        </is>
      </c>
      <c r="D63" s="26" t="n"/>
      <c r="E63" s="26" t="n"/>
      <c r="F63" s="14" t="n"/>
      <c r="G63" s="14" t="inlineStr">
        <is>
          <t>SĐT hợp lệ</t>
        </is>
      </c>
      <c r="H63" s="14" t="inlineStr">
        <is>
          <t>Có quyền thao tác</t>
        </is>
      </c>
      <c r="I63" s="42" t="n"/>
      <c r="J63" s="14" t="inlineStr">
        <is>
          <t>1. Mở màn hình
 2. Thực hiện theo TC
 3. Nhấn Lưu</t>
        </is>
      </c>
      <c r="K63" s="14" t="inlineStr">
        <is>
          <t>Lưu thành công</t>
        </is>
      </c>
      <c r="L63" s="16" t="n"/>
      <c r="M63" s="16" t="n"/>
      <c r="N63" s="42" t="n"/>
      <c r="O63" s="16" t="n"/>
      <c r="P63" s="16" t="n"/>
      <c r="Q63" s="16" t="n"/>
      <c r="R63" s="16" t="n"/>
      <c r="S63" s="16" t="n"/>
      <c r="T63" s="16" t="n"/>
      <c r="U63" s="16" t="n"/>
      <c r="V63" s="16" t="n"/>
      <c r="W63" s="16" t="n"/>
      <c r="X63" s="16" t="n"/>
      <c r="Y63" s="16" t="n"/>
      <c r="Z63" s="16" t="n"/>
      <c r="AA63" s="16" t="n"/>
      <c r="AB63" s="16" t="n"/>
      <c r="AC63" s="16" t="n"/>
    </row>
    <row r="64">
      <c r="A64" s="44" t="n"/>
      <c r="B64" s="42" t="n"/>
      <c r="C64" s="42" t="inlineStr">
        <is>
          <t>Tuần 1</t>
        </is>
      </c>
      <c r="D64" s="26" t="n"/>
      <c r="E64" s="26" t="n"/>
      <c r="F64" s="14" t="n"/>
      <c r="G64" s="14" t="inlineStr">
        <is>
          <t>SĐT sai</t>
        </is>
      </c>
      <c r="H64" s="14" t="inlineStr">
        <is>
          <t>Có quyền thao tác</t>
        </is>
      </c>
      <c r="I64" s="42" t="n"/>
      <c r="J64" s="14" t="inlineStr">
        <is>
          <t>1. Mở màn hình
 2. Thực hiện theo TC
 3. Nhấn Lưu</t>
        </is>
      </c>
      <c r="K64" s="14" t="inlineStr">
        <is>
          <t>Báo lỗi</t>
        </is>
      </c>
      <c r="L64" s="16" t="n"/>
      <c r="M64" s="16" t="n"/>
      <c r="N64" s="42" t="n"/>
      <c r="O64" s="16" t="n"/>
      <c r="P64" s="16" t="n"/>
      <c r="Q64" s="16" t="n"/>
      <c r="R64" s="16" t="n"/>
      <c r="S64" s="16" t="n"/>
      <c r="T64" s="16" t="n"/>
      <c r="U64" s="16" t="n"/>
      <c r="V64" s="16" t="n"/>
      <c r="W64" s="16" t="n"/>
      <c r="X64" s="16" t="n"/>
      <c r="Y64" s="16" t="n"/>
      <c r="Z64" s="16" t="n"/>
      <c r="AA64" s="16" t="n"/>
      <c r="AB64" s="16" t="n"/>
      <c r="AC64" s="16" t="n"/>
    </row>
    <row r="65">
      <c r="A65" s="44" t="n"/>
      <c r="B65" s="42" t="n"/>
      <c r="C65" s="42" t="inlineStr">
        <is>
          <t>Tuần 1</t>
        </is>
      </c>
      <c r="D65" s="26" t="n"/>
      <c r="E65" s="26" t="n"/>
      <c r="F65" s="14" t="n"/>
      <c r="G65" s="14" t="inlineStr">
        <is>
          <t>Chọn doanh nghiệp</t>
        </is>
      </c>
      <c r="H65" s="14" t="inlineStr">
        <is>
          <t>Có quyền thao tác</t>
        </is>
      </c>
      <c r="I65" s="42" t="n"/>
      <c r="J65" s="14" t="inlineStr">
        <is>
          <t>1. Mở màn hình
 2. Thực hiện theo TC
 3. Nhấn Lưu</t>
        </is>
      </c>
      <c r="K65" s="14" t="inlineStr">
        <is>
          <t>Lưu đúng</t>
        </is>
      </c>
      <c r="L65" s="16" t="n"/>
      <c r="M65" s="16" t="n"/>
      <c r="N65" s="42" t="n"/>
      <c r="O65" s="16" t="n"/>
      <c r="P65" s="16" t="n"/>
      <c r="Q65" s="16" t="n"/>
      <c r="R65" s="16" t="n"/>
      <c r="S65" s="16" t="n"/>
      <c r="T65" s="16" t="n"/>
      <c r="U65" s="16" t="n"/>
      <c r="V65" s="16" t="n"/>
      <c r="W65" s="16" t="n"/>
      <c r="X65" s="16" t="n"/>
      <c r="Y65" s="16" t="n"/>
      <c r="Z65" s="16" t="n"/>
      <c r="AA65" s="16" t="n"/>
      <c r="AB65" s="16" t="n"/>
      <c r="AC65" s="16" t="n"/>
    </row>
    <row r="66">
      <c r="A66" s="44" t="n"/>
      <c r="B66" s="42" t="n"/>
      <c r="C66" s="42" t="inlineStr">
        <is>
          <t>Tuần 1</t>
        </is>
      </c>
      <c r="D66" s="26" t="n"/>
      <c r="E66" s="26" t="n"/>
      <c r="F66" s="14" t="n"/>
      <c r="G66" s="14" t="inlineStr">
        <is>
          <t>Kênh Từ tư vấn nhanh</t>
        </is>
      </c>
      <c r="H66" s="14" t="inlineStr">
        <is>
          <t>Có quyền thao tác</t>
        </is>
      </c>
      <c r="I66" s="42" t="n"/>
      <c r="J66" s="14" t="inlineStr">
        <is>
          <t>1. Mở màn hình
 2. Thực hiện theo TC
 3. Nhấn Lưu</t>
        </is>
      </c>
      <c r="K66" s="14" t="inlineStr">
        <is>
          <t>Không cho chọn</t>
        </is>
      </c>
      <c r="L66" s="16" t="n"/>
      <c r="M66" s="16" t="n"/>
      <c r="N66" s="42" t="n"/>
      <c r="O66" s="16" t="n"/>
      <c r="P66" s="16" t="n"/>
      <c r="Q66" s="16" t="n"/>
      <c r="R66" s="16" t="n"/>
      <c r="S66" s="16" t="n"/>
      <c r="T66" s="16" t="n"/>
      <c r="U66" s="16" t="n"/>
      <c r="V66" s="16" t="n"/>
      <c r="W66" s="16" t="n"/>
      <c r="X66" s="16" t="n"/>
      <c r="Y66" s="16" t="n"/>
      <c r="Z66" s="16" t="n"/>
      <c r="AA66" s="16" t="n"/>
      <c r="AB66" s="16" t="n"/>
      <c r="AC66" s="16" t="n"/>
    </row>
    <row r="67">
      <c r="A67" s="44" t="n"/>
      <c r="B67" s="42" t="n"/>
      <c r="C67" s="42" t="inlineStr">
        <is>
          <t>Tuần 1</t>
        </is>
      </c>
      <c r="D67" s="26" t="n"/>
      <c r="E67" s="26" t="n"/>
      <c r="F67" s="14" t="n"/>
      <c r="G67" s="14" t="inlineStr">
        <is>
          <t>Mức Thường</t>
        </is>
      </c>
      <c r="H67" s="14" t="inlineStr">
        <is>
          <t>Có quyền thao tác</t>
        </is>
      </c>
      <c r="I67" s="42" t="n"/>
      <c r="J67" s="14" t="inlineStr">
        <is>
          <t>1. Mở màn hình
 2. Thực hiện theo TC
 3. Nhấn Lưu</t>
        </is>
      </c>
      <c r="K67" s="14" t="inlineStr">
        <is>
          <t>Deadline 15 ngày</t>
        </is>
      </c>
      <c r="L67" s="16" t="n"/>
      <c r="M67" s="16" t="n"/>
      <c r="N67" s="42" t="n"/>
      <c r="O67" s="16" t="n"/>
      <c r="P67" s="16" t="n"/>
      <c r="Q67" s="16" t="n"/>
      <c r="R67" s="16" t="n"/>
      <c r="S67" s="16" t="n"/>
      <c r="T67" s="16" t="n"/>
      <c r="U67" s="16" t="n"/>
      <c r="V67" s="16" t="n"/>
      <c r="W67" s="16" t="n"/>
      <c r="X67" s="16" t="n"/>
      <c r="Y67" s="16" t="n"/>
      <c r="Z67" s="16" t="n"/>
      <c r="AA67" s="16" t="n"/>
      <c r="AB67" s="16" t="n"/>
      <c r="AC67" s="16" t="n"/>
    </row>
    <row r="68">
      <c r="A68" s="44" t="n"/>
      <c r="B68" s="42" t="n"/>
      <c r="C68" s="42" t="inlineStr">
        <is>
          <t>Tuần 1</t>
        </is>
      </c>
      <c r="D68" s="26" t="n"/>
      <c r="E68" s="26" t="n"/>
      <c r="F68" s="14" t="n"/>
      <c r="G68" s="14" t="inlineStr">
        <is>
          <t>Mức Phức tạp</t>
        </is>
      </c>
      <c r="H68" s="14" t="inlineStr">
        <is>
          <t>Có quyền thao tác</t>
        </is>
      </c>
      <c r="I68" s="42" t="n"/>
      <c r="J68" s="14" t="inlineStr">
        <is>
          <t>1. Mở màn hình
 2. Thực hiện theo TC
 3. Nhấn Lưu</t>
        </is>
      </c>
      <c r="K68" s="14" t="inlineStr">
        <is>
          <t>Deadline 30 ngày</t>
        </is>
      </c>
      <c r="L68" s="16" t="n"/>
      <c r="M68" s="16" t="n"/>
      <c r="N68" s="42" t="n"/>
      <c r="O68" s="16" t="n"/>
      <c r="P68" s="16" t="n"/>
      <c r="Q68" s="16" t="n"/>
      <c r="R68" s="16" t="n"/>
      <c r="S68" s="16" t="n"/>
      <c r="T68" s="16" t="n"/>
      <c r="U68" s="16" t="n"/>
      <c r="V68" s="16" t="n"/>
      <c r="W68" s="16" t="n"/>
      <c r="X68" s="16" t="n"/>
      <c r="Y68" s="16" t="n"/>
      <c r="Z68" s="16" t="n"/>
      <c r="AA68" s="16" t="n"/>
      <c r="AB68" s="16" t="n"/>
      <c r="AC68" s="16" t="n"/>
    </row>
    <row r="69">
      <c r="A69" s="44" t="n"/>
      <c r="B69" s="42" t="n"/>
      <c r="C69" s="42" t="inlineStr">
        <is>
          <t>Tuần 1</t>
        </is>
      </c>
      <c r="D69" s="26" t="n"/>
      <c r="E69" s="26" t="n"/>
      <c r="F69" s="14" t="n"/>
      <c r="G69" s="14" t="inlineStr">
        <is>
          <t>Đơn vị mặc định</t>
        </is>
      </c>
      <c r="H69" s="14" t="inlineStr">
        <is>
          <t>Có quyền thao tác</t>
        </is>
      </c>
      <c r="I69" s="42" t="n"/>
      <c r="J69" s="14" t="inlineStr">
        <is>
          <t>1. Mở màn hình
 2. Thực hiện theo TC
 3. Nhấn Lưu</t>
        </is>
      </c>
      <c r="K69" s="14" t="inlineStr">
        <is>
          <t>Đúng user</t>
        </is>
      </c>
      <c r="L69" s="16" t="n"/>
      <c r="M69" s="16" t="n"/>
      <c r="N69" s="42" t="n"/>
      <c r="O69" s="16" t="n"/>
      <c r="P69" s="16" t="n"/>
      <c r="Q69" s="16" t="n"/>
      <c r="R69" s="16" t="n"/>
      <c r="S69" s="16" t="n"/>
      <c r="T69" s="16" t="n"/>
      <c r="U69" s="16" t="n"/>
      <c r="V69" s="16" t="n"/>
      <c r="W69" s="16" t="n"/>
      <c r="X69" s="16" t="n"/>
      <c r="Y69" s="16" t="n"/>
      <c r="Z69" s="16" t="n"/>
      <c r="AA69" s="16" t="n"/>
      <c r="AB69" s="16" t="n"/>
      <c r="AC69" s="16" t="n"/>
    </row>
    <row r="70">
      <c r="A70" s="44" t="n"/>
      <c r="B70" s="42" t="n"/>
      <c r="C70" s="42" t="inlineStr">
        <is>
          <t>Tuần 1</t>
        </is>
      </c>
      <c r="D70" s="26" t="n"/>
      <c r="E70" s="26" t="n"/>
      <c r="F70" s="14" t="n"/>
      <c r="G70" s="14" t="inlineStr">
        <is>
          <t>Upload PDF</t>
        </is>
      </c>
      <c r="H70" s="14" t="inlineStr">
        <is>
          <t>Có quyền thao tác</t>
        </is>
      </c>
      <c r="I70" s="42" t="n"/>
      <c r="J70" s="14" t="inlineStr">
        <is>
          <t>1. Mở màn hình
 2. Thực hiện theo TC
 3. Nhấn Lưu</t>
        </is>
      </c>
      <c r="K70" s="14" t="inlineStr">
        <is>
          <t>Thành công</t>
        </is>
      </c>
      <c r="L70" s="16" t="n"/>
      <c r="M70" s="16" t="n"/>
      <c r="N70" s="42" t="n"/>
      <c r="O70" s="16" t="n"/>
      <c r="P70" s="16" t="n"/>
      <c r="Q70" s="16" t="n"/>
      <c r="R70" s="16" t="n"/>
      <c r="S70" s="16" t="n"/>
      <c r="T70" s="16" t="n"/>
      <c r="U70" s="16" t="n"/>
      <c r="V70" s="16" t="n"/>
      <c r="W70" s="16" t="n"/>
      <c r="X70" s="16" t="n"/>
      <c r="Y70" s="16" t="n"/>
      <c r="Z70" s="16" t="n"/>
      <c r="AA70" s="16" t="n"/>
      <c r="AB70" s="16" t="n"/>
      <c r="AC70" s="16" t="n"/>
    </row>
    <row r="71">
      <c r="A71" s="44" t="n"/>
      <c r="B71" s="42" t="n"/>
      <c r="C71" s="42" t="inlineStr">
        <is>
          <t>Tuần 1</t>
        </is>
      </c>
      <c r="D71" s="26" t="n"/>
      <c r="E71" s="26" t="n"/>
      <c r="F71" s="14" t="n"/>
      <c r="G71" s="14" t="inlineStr">
        <is>
          <t>Upload Word</t>
        </is>
      </c>
      <c r="H71" s="14" t="inlineStr">
        <is>
          <t>Có quyền thao tác</t>
        </is>
      </c>
      <c r="I71" s="42" t="n"/>
      <c r="J71" s="14" t="inlineStr">
        <is>
          <t>1. Mở màn hình
 2. Thực hiện theo TC
 3. Nhấn Lưu</t>
        </is>
      </c>
      <c r="K71" s="14" t="inlineStr">
        <is>
          <t>Thành công</t>
        </is>
      </c>
      <c r="L71" s="16" t="n"/>
      <c r="M71" s="16" t="n"/>
      <c r="N71" s="42" t="n"/>
      <c r="O71" s="16" t="n"/>
      <c r="P71" s="16" t="n"/>
      <c r="Q71" s="16" t="n"/>
      <c r="R71" s="16" t="n"/>
      <c r="S71" s="16" t="n"/>
      <c r="T71" s="16" t="n"/>
      <c r="U71" s="16" t="n"/>
      <c r="V71" s="16" t="n"/>
      <c r="W71" s="16" t="n"/>
      <c r="X71" s="16" t="n"/>
      <c r="Y71" s="16" t="n"/>
      <c r="Z71" s="16" t="n"/>
      <c r="AA71" s="16" t="n"/>
      <c r="AB71" s="16" t="n"/>
      <c r="AC71" s="16" t="n"/>
    </row>
    <row r="72">
      <c r="A72" s="44" t="n"/>
      <c r="B72" s="42" t="n"/>
      <c r="C72" s="42" t="inlineStr">
        <is>
          <t>Tuần 1</t>
        </is>
      </c>
      <c r="D72" s="26" t="n"/>
      <c r="E72" s="26" t="n"/>
      <c r="F72" s="14" t="n"/>
      <c r="G72" s="14" t="inlineStr">
        <is>
          <t>Upload Excel</t>
        </is>
      </c>
      <c r="H72" s="14" t="inlineStr">
        <is>
          <t>Có quyền thao tác</t>
        </is>
      </c>
      <c r="I72" s="42" t="n"/>
      <c r="J72" s="14" t="inlineStr">
        <is>
          <t>1. Mở màn hình
 2. Thực hiện theo TC
 3. Nhấn Lưu</t>
        </is>
      </c>
      <c r="K72" s="14" t="inlineStr">
        <is>
          <t>Thành công</t>
        </is>
      </c>
      <c r="L72" s="16" t="n"/>
      <c r="M72" s="16" t="n"/>
      <c r="N72" s="42" t="n"/>
      <c r="O72" s="16" t="n"/>
      <c r="P72" s="16" t="n"/>
      <c r="Q72" s="16" t="n"/>
      <c r="R72" s="16" t="n"/>
      <c r="S72" s="16" t="n"/>
      <c r="T72" s="16" t="n"/>
      <c r="U72" s="16" t="n"/>
      <c r="V72" s="16" t="n"/>
      <c r="W72" s="16" t="n"/>
      <c r="X72" s="16" t="n"/>
      <c r="Y72" s="16" t="n"/>
      <c r="Z72" s="16" t="n"/>
      <c r="AA72" s="16" t="n"/>
      <c r="AB72" s="16" t="n"/>
      <c r="AC72" s="16" t="n"/>
    </row>
    <row r="73">
      <c r="A73" s="44" t="n"/>
      <c r="B73" s="42" t="n"/>
      <c r="C73" s="42" t="inlineStr">
        <is>
          <t>Tuần 1</t>
        </is>
      </c>
      <c r="D73" s="26" t="n"/>
      <c r="E73" s="26" t="n"/>
      <c r="F73" s="14" t="n"/>
      <c r="G73" s="14" t="inlineStr">
        <is>
          <t>Upload JPG</t>
        </is>
      </c>
      <c r="H73" s="14" t="inlineStr">
        <is>
          <t>Có quyền thao tác</t>
        </is>
      </c>
      <c r="I73" s="42" t="n"/>
      <c r="J73" s="14" t="inlineStr">
        <is>
          <t>1. Mở màn hình
 2. Thực hiện theo TC
 3. Nhấn Lưu</t>
        </is>
      </c>
      <c r="K73" s="14" t="inlineStr">
        <is>
          <t>Báo lỗi</t>
        </is>
      </c>
      <c r="L73" s="16" t="n"/>
      <c r="M73" s="16" t="n"/>
      <c r="N73" s="42" t="n"/>
      <c r="O73" s="16" t="n"/>
      <c r="P73" s="16" t="n"/>
      <c r="Q73" s="16" t="n"/>
      <c r="R73" s="16" t="n"/>
      <c r="S73" s="16" t="n"/>
      <c r="T73" s="16" t="n"/>
      <c r="U73" s="16" t="n"/>
      <c r="V73" s="16" t="n"/>
      <c r="W73" s="16" t="n"/>
      <c r="X73" s="16" t="n"/>
      <c r="Y73" s="16" t="n"/>
      <c r="Z73" s="16" t="n"/>
      <c r="AA73" s="16" t="n"/>
      <c r="AB73" s="16" t="n"/>
      <c r="AC73" s="16" t="n"/>
    </row>
    <row r="74">
      <c r="A74" s="44" t="n"/>
      <c r="B74" s="42" t="n"/>
      <c r="C74" s="42" t="inlineStr">
        <is>
          <t>Tuần 1</t>
        </is>
      </c>
      <c r="D74" s="26" t="n"/>
      <c r="E74" s="26" t="n"/>
      <c r="F74" s="14" t="n"/>
      <c r="G74" s="14" t="inlineStr">
        <is>
          <t>File &gt;20MB</t>
        </is>
      </c>
      <c r="H74" s="14" t="inlineStr">
        <is>
          <t>Có quyền thao tác</t>
        </is>
      </c>
      <c r="I74" s="42" t="n"/>
      <c r="J74" s="14" t="inlineStr">
        <is>
          <t>1. Mở màn hình
 2. Thực hiện theo TC
 3. Nhấn Lưu</t>
        </is>
      </c>
      <c r="K74" s="14" t="inlineStr">
        <is>
          <t>Báo lỗi</t>
        </is>
      </c>
      <c r="L74" s="16" t="n"/>
      <c r="M74" s="16" t="n"/>
      <c r="N74" s="42" t="n"/>
      <c r="O74" s="16" t="n"/>
      <c r="P74" s="16" t="n"/>
      <c r="Q74" s="16" t="n"/>
      <c r="R74" s="16" t="n"/>
      <c r="S74" s="16" t="n"/>
      <c r="T74" s="16" t="n"/>
      <c r="U74" s="16" t="n"/>
      <c r="V74" s="16" t="n"/>
      <c r="W74" s="16" t="n"/>
      <c r="X74" s="16" t="n"/>
      <c r="Y74" s="16" t="n"/>
      <c r="Z74" s="16" t="n"/>
      <c r="AA74" s="16" t="n"/>
      <c r="AB74" s="16" t="n"/>
      <c r="AC74" s="16" t="n"/>
    </row>
    <row r="75">
      <c r="A75" s="44" t="n"/>
      <c r="B75" s="42" t="n"/>
      <c r="C75" s="42" t="inlineStr">
        <is>
          <t>Tuần 1</t>
        </is>
      </c>
      <c r="D75" s="26" t="n"/>
      <c r="E75" s="26" t="n"/>
      <c r="F75" s="14" t="n"/>
      <c r="G75" s="14" t="inlineStr">
        <is>
          <t>10 file</t>
        </is>
      </c>
      <c r="H75" s="14" t="inlineStr">
        <is>
          <t>Có quyền thao tác</t>
        </is>
      </c>
      <c r="I75" s="42" t="n"/>
      <c r="J75" s="14" t="inlineStr">
        <is>
          <t>1. Mở màn hình
 2. Thực hiện theo TC
 3. Nhấn Lưu</t>
        </is>
      </c>
      <c r="K75" s="14" t="inlineStr">
        <is>
          <t>Thành công</t>
        </is>
      </c>
      <c r="L75" s="16" t="n"/>
      <c r="M75" s="16" t="n"/>
      <c r="N75" s="42" t="n"/>
      <c r="O75" s="16" t="n"/>
      <c r="P75" s="16" t="n"/>
      <c r="Q75" s="16" t="n"/>
      <c r="R75" s="16" t="n"/>
      <c r="S75" s="16" t="n"/>
      <c r="T75" s="16" t="n"/>
      <c r="U75" s="16" t="n"/>
      <c r="V75" s="16" t="n"/>
      <c r="W75" s="16" t="n"/>
      <c r="X75" s="16" t="n"/>
      <c r="Y75" s="16" t="n"/>
      <c r="Z75" s="16" t="n"/>
      <c r="AA75" s="16" t="n"/>
      <c r="AB75" s="16" t="n"/>
      <c r="AC75" s="16" t="n"/>
    </row>
    <row r="76">
      <c r="A76" s="44" t="n"/>
      <c r="B76" s="42" t="n"/>
      <c r="C76" s="42" t="inlineStr">
        <is>
          <t>Tuần 1</t>
        </is>
      </c>
      <c r="D76" s="26" t="n"/>
      <c r="E76" s="26" t="n"/>
      <c r="F76" s="14" t="n"/>
      <c r="G76" s="14" t="inlineStr">
        <is>
          <t>11 file</t>
        </is>
      </c>
      <c r="H76" s="14" t="inlineStr">
        <is>
          <t>Có quyền thao tác</t>
        </is>
      </c>
      <c r="I76" s="42" t="n"/>
      <c r="J76" s="14" t="inlineStr">
        <is>
          <t>1. Mở màn hình
 2. Thực hiện theo TC
 3. Nhấn Lưu</t>
        </is>
      </c>
      <c r="K76" s="14" t="inlineStr">
        <is>
          <t>Báo lỗi</t>
        </is>
      </c>
      <c r="L76" s="16" t="n"/>
      <c r="M76" s="16" t="n"/>
      <c r="N76" s="42" t="n"/>
      <c r="O76" s="16" t="n"/>
      <c r="P76" s="16" t="n"/>
      <c r="Q76" s="16" t="n"/>
      <c r="R76" s="16" t="n"/>
      <c r="S76" s="16" t="n"/>
      <c r="T76" s="16" t="n"/>
      <c r="U76" s="16" t="n"/>
      <c r="V76" s="16" t="n"/>
      <c r="W76" s="16" t="n"/>
      <c r="X76" s="16" t="n"/>
      <c r="Y76" s="16" t="n"/>
      <c r="Z76" s="16" t="n"/>
      <c r="AA76" s="16" t="n"/>
      <c r="AB76" s="16" t="n"/>
      <c r="AC76" s="16" t="n"/>
    </row>
    <row r="77">
      <c r="A77" s="44" t="n"/>
      <c r="B77" s="42" t="n"/>
      <c r="C77" s="42" t="inlineStr">
        <is>
          <t>Tuần 1</t>
        </is>
      </c>
      <c r="D77" s="26" t="n"/>
      <c r="E77" s="26" t="n"/>
      <c r="F77" s="14" t="n"/>
      <c r="G77" s="14" t="inlineStr">
        <is>
          <t>Tổng &gt;100MB</t>
        </is>
      </c>
      <c r="H77" s="14" t="inlineStr">
        <is>
          <t>Có quyền thao tác</t>
        </is>
      </c>
      <c r="I77" s="42" t="n"/>
      <c r="J77" s="14" t="inlineStr">
        <is>
          <t>1. Mở màn hình
 2. Thực hiện theo TC
 3. Nhấn Lưu</t>
        </is>
      </c>
      <c r="K77" s="14" t="inlineStr">
        <is>
          <t>Báo lỗi</t>
        </is>
      </c>
      <c r="L77" s="16" t="n"/>
      <c r="M77" s="16" t="n"/>
      <c r="N77" s="42" t="n"/>
      <c r="O77" s="16" t="n"/>
      <c r="P77" s="16" t="n"/>
      <c r="Q77" s="16" t="n"/>
      <c r="R77" s="16" t="n"/>
      <c r="S77" s="16" t="n"/>
      <c r="T77" s="16" t="n"/>
      <c r="U77" s="16" t="n"/>
      <c r="V77" s="16" t="n"/>
      <c r="W77" s="16" t="n"/>
      <c r="X77" s="16" t="n"/>
      <c r="Y77" s="16" t="n"/>
      <c r="Z77" s="16" t="n"/>
      <c r="AA77" s="16" t="n"/>
      <c r="AB77" s="16" t="n"/>
      <c r="AC77" s="16" t="n"/>
    </row>
    <row r="78">
      <c r="A78" s="44" t="n"/>
      <c r="B78" s="42" t="n"/>
      <c r="C78" s="42" t="inlineStr">
        <is>
          <t>Tuần 1</t>
        </is>
      </c>
      <c r="D78" s="26" t="n"/>
      <c r="E78" s="26" t="n"/>
      <c r="F78" s="14" t="n"/>
      <c r="G78" s="14" t="inlineStr">
        <is>
          <t>Lưu hợp lệ</t>
        </is>
      </c>
      <c r="H78" s="14" t="inlineStr">
        <is>
          <t>Có quyền thao tác</t>
        </is>
      </c>
      <c r="I78" s="42" t="n"/>
      <c r="J78" s="14" t="inlineStr">
        <is>
          <t>1. Mở màn hình
 2. Thực hiện theo TC
 3. Nhấn Lưu</t>
        </is>
      </c>
      <c r="K78" s="14" t="inlineStr">
        <is>
          <t>Tạo mới thành công</t>
        </is>
      </c>
      <c r="L78" s="16" t="n"/>
      <c r="M78" s="16" t="n"/>
      <c r="N78" s="42" t="n"/>
      <c r="O78" s="16" t="n"/>
      <c r="P78" s="16" t="n"/>
      <c r="Q78" s="16" t="n"/>
      <c r="R78" s="16" t="n"/>
      <c r="S78" s="16" t="n"/>
      <c r="T78" s="16" t="n"/>
      <c r="U78" s="16" t="n"/>
      <c r="V78" s="16" t="n"/>
      <c r="W78" s="16" t="n"/>
      <c r="X78" s="16" t="n"/>
      <c r="Y78" s="16" t="n"/>
      <c r="Z78" s="16" t="n"/>
      <c r="AA78" s="16" t="n"/>
      <c r="AB78" s="16" t="n"/>
      <c r="AC78" s="16" t="n"/>
    </row>
    <row r="79">
      <c r="A79" s="44" t="n"/>
      <c r="B79" s="42" t="n"/>
      <c r="C79" s="42" t="inlineStr">
        <is>
          <t>Tuần 1</t>
        </is>
      </c>
      <c r="D79" s="26" t="n"/>
      <c r="E79" s="26" t="n"/>
      <c r="F79" s="14" t="n"/>
      <c r="G79" s="14" t="inlineStr">
        <is>
          <t>Nhấn Hủy</t>
        </is>
      </c>
      <c r="H79" s="14" t="inlineStr">
        <is>
          <t>Có quyền thao tác</t>
        </is>
      </c>
      <c r="I79" s="42" t="n"/>
      <c r="J79" s="14" t="inlineStr">
        <is>
          <t>1. Mở màn hình
 2. Thực hiện theo TC
 3. Nhấn Lưu</t>
        </is>
      </c>
      <c r="K79" s="14" t="inlineStr">
        <is>
          <t>Không lưu</t>
        </is>
      </c>
      <c r="L79" s="16" t="n"/>
      <c r="M79" s="16" t="n"/>
      <c r="N79" s="42" t="n"/>
      <c r="O79" s="16" t="n"/>
      <c r="P79" s="16" t="n"/>
      <c r="Q79" s="16" t="n"/>
      <c r="R79" s="16" t="n"/>
      <c r="S79" s="16" t="n"/>
      <c r="T79" s="16" t="n"/>
      <c r="U79" s="16" t="n"/>
      <c r="V79" s="16" t="n"/>
      <c r="W79" s="16" t="n"/>
      <c r="X79" s="16" t="n"/>
      <c r="Y79" s="16" t="n"/>
      <c r="Z79" s="16" t="n"/>
      <c r="AA79" s="16" t="n"/>
      <c r="AB79" s="16" t="n"/>
      <c r="AC79" s="16" t="n"/>
    </row>
    <row r="80">
      <c r="A80" s="44" t="n"/>
      <c r="B80" s="42" t="n"/>
      <c r="C80" s="42" t="inlineStr">
        <is>
          <t>Tuần 1</t>
        </is>
      </c>
      <c r="D80" s="26" t="n"/>
      <c r="E80" s="26" t="n"/>
      <c r="F80" s="14" t="n"/>
      <c r="G80" s="14" t="inlineStr">
        <is>
          <t>Double click Lưu</t>
        </is>
      </c>
      <c r="H80" s="14" t="inlineStr">
        <is>
          <t>Có quyền thao tác</t>
        </is>
      </c>
      <c r="I80" s="42" t="n"/>
      <c r="J80" s="14" t="inlineStr">
        <is>
          <t>1. Mở màn hình
 2. Thực hiện theo TC
 3. Nhấn Lưu</t>
        </is>
      </c>
      <c r="K80" s="14" t="inlineStr">
        <is>
          <t>Chỉ tạo 1 bản ghi</t>
        </is>
      </c>
      <c r="L80" s="16" t="n"/>
      <c r="M80" s="16" t="n"/>
      <c r="N80" s="42" t="n"/>
      <c r="O80" s="16" t="n"/>
      <c r="P80" s="16" t="n"/>
      <c r="Q80" s="16" t="n"/>
      <c r="R80" s="16" t="n"/>
      <c r="S80" s="16" t="n"/>
      <c r="T80" s="16" t="n"/>
      <c r="U80" s="16" t="n"/>
      <c r="V80" s="16" t="n"/>
      <c r="W80" s="16" t="n"/>
      <c r="X80" s="16" t="n"/>
      <c r="Y80" s="16" t="n"/>
      <c r="Z80" s="16" t="n"/>
      <c r="AA80" s="16" t="n"/>
      <c r="AB80" s="16" t="n"/>
      <c r="AC80" s="16" t="n"/>
    </row>
    <row r="81">
      <c r="A81" s="29" t="n"/>
      <c r="B81" s="30" t="inlineStr">
        <is>
          <t>BS</t>
        </is>
      </c>
      <c r="C81" s="42" t="inlineStr">
        <is>
          <t>Tuần 1</t>
        </is>
      </c>
      <c r="D81" s="30" t="n"/>
      <c r="E81" s="30" t="inlineStr">
        <is>
          <t>Sửa hỏi đáp vướng mắc pháp lý</t>
        </is>
      </c>
      <c r="F81" s="26" t="n"/>
      <c r="G81" s="26" t="n"/>
      <c r="H81" s="14" t="n"/>
      <c r="I81" s="42" t="n"/>
      <c r="J81" s="16" t="n"/>
      <c r="K81" s="16" t="n"/>
      <c r="L81" s="16" t="n"/>
      <c r="M81" s="16" t="n"/>
      <c r="N81" s="42" t="n"/>
      <c r="O81" s="16" t="n"/>
      <c r="P81" s="16" t="n"/>
      <c r="Q81" s="16" t="n"/>
      <c r="R81" s="16" t="n"/>
      <c r="S81" s="16" t="n"/>
      <c r="T81" s="16" t="n"/>
      <c r="U81" s="16" t="n"/>
      <c r="V81" s="16" t="n"/>
      <c r="W81" s="16" t="n"/>
      <c r="X81" s="16" t="n"/>
      <c r="Y81" s="16" t="n"/>
      <c r="Z81" s="16" t="n"/>
      <c r="AA81" s="16" t="n"/>
      <c r="AB81" s="16" t="n"/>
      <c r="AC81" s="16" t="n"/>
    </row>
    <row r="82">
      <c r="A82" s="44" t="n"/>
      <c r="B82" s="42" t="n"/>
      <c r="C82" s="42" t="inlineStr">
        <is>
          <t>Tuần 1</t>
        </is>
      </c>
      <c r="D82" s="26" t="n"/>
      <c r="E82" s="26" t="n"/>
      <c r="F82" s="14" t="n"/>
      <c r="G82" s="14" t="inlineStr">
        <is>
          <t>Mở màn sửa</t>
        </is>
      </c>
      <c r="H82" s="14" t="inlineStr">
        <is>
          <t>Có quyền thao tác</t>
        </is>
      </c>
      <c r="I82" s="14" t="n"/>
      <c r="J82" s="14" t="inlineStr">
        <is>
          <t>1. Mở màn hình
 2. Thực hiện theo TC
 3. Nhấn Lưu/Xóa</t>
        </is>
      </c>
      <c r="K82" s="14" t="inlineStr">
        <is>
          <t>Hiển thị dữ liệu</t>
        </is>
      </c>
      <c r="L82" s="16" t="n"/>
      <c r="M82" s="16" t="n"/>
      <c r="N82" s="42" t="n"/>
      <c r="O82" s="16" t="n"/>
      <c r="P82" s="16" t="n"/>
      <c r="Q82" s="16" t="n"/>
      <c r="R82" s="16" t="n"/>
      <c r="S82" s="16" t="n"/>
      <c r="T82" s="16" t="n"/>
      <c r="U82" s="16" t="n"/>
      <c r="V82" s="16" t="n"/>
      <c r="W82" s="16" t="n"/>
      <c r="X82" s="16" t="n"/>
      <c r="Y82" s="16" t="n"/>
      <c r="Z82" s="16" t="n"/>
      <c r="AA82" s="16" t="n"/>
      <c r="AB82" s="16" t="n"/>
      <c r="AC82" s="16" t="n"/>
    </row>
    <row r="83">
      <c r="A83" s="44" t="n"/>
      <c r="B83" s="42" t="n"/>
      <c r="C83" s="42" t="inlineStr">
        <is>
          <t>Tuần 1</t>
        </is>
      </c>
      <c r="D83" s="26" t="n"/>
      <c r="E83" s="26" t="n"/>
      <c r="F83" s="14" t="n"/>
      <c r="G83" s="14" t="inlineStr">
        <is>
          <t>Sửa nội dung</t>
        </is>
      </c>
      <c r="H83" s="14" t="inlineStr">
        <is>
          <t>Có quyền thao tác</t>
        </is>
      </c>
      <c r="I83" s="14" t="n"/>
      <c r="J83" s="14" t="inlineStr">
        <is>
          <t>1. Mở màn hình
 2. Thực hiện theo TC
 3. Nhấn Lưu/Xóa</t>
        </is>
      </c>
      <c r="K83" s="14" t="inlineStr">
        <is>
          <t>Cập nhật thành công</t>
        </is>
      </c>
      <c r="L83" s="16" t="n"/>
      <c r="M83" s="16" t="n"/>
      <c r="N83" s="42" t="n"/>
      <c r="O83" s="16" t="n"/>
      <c r="P83" s="16" t="n"/>
      <c r="Q83" s="16" t="n"/>
      <c r="R83" s="16" t="n"/>
      <c r="S83" s="16" t="n"/>
      <c r="T83" s="16" t="n"/>
      <c r="U83" s="16" t="n"/>
      <c r="V83" s="16" t="n"/>
      <c r="W83" s="16" t="n"/>
      <c r="X83" s="16" t="n"/>
      <c r="Y83" s="16" t="n"/>
      <c r="Z83" s="16" t="n"/>
      <c r="AA83" s="16" t="n"/>
      <c r="AB83" s="16" t="n"/>
      <c r="AC83" s="16" t="n"/>
    </row>
    <row r="84">
      <c r="A84" s="44" t="n"/>
      <c r="B84" s="42" t="n"/>
      <c r="C84" s="42" t="inlineStr">
        <is>
          <t>Tuần 1</t>
        </is>
      </c>
      <c r="D84" s="26" t="n"/>
      <c r="E84" s="26" t="n"/>
      <c r="F84" s="14" t="n"/>
      <c r="G84" s="14" t="inlineStr">
        <is>
          <t>Xóa nội dung</t>
        </is>
      </c>
      <c r="H84" s="14" t="inlineStr">
        <is>
          <t>Có quyền thao tác</t>
        </is>
      </c>
      <c r="I84" s="14" t="n"/>
      <c r="J84" s="14" t="inlineStr">
        <is>
          <t>1. Mở màn hình
 2. Thực hiện theo TC
 3. Nhấn Lưu/Xóa</t>
        </is>
      </c>
      <c r="K84" s="14" t="inlineStr">
        <is>
          <t>Báo lỗi</t>
        </is>
      </c>
      <c r="L84" s="16" t="n"/>
      <c r="M84" s="16" t="n"/>
      <c r="N84" s="42" t="n"/>
      <c r="O84" s="16" t="n"/>
      <c r="P84" s="16" t="n"/>
      <c r="Q84" s="16" t="n"/>
      <c r="R84" s="16" t="n"/>
      <c r="S84" s="16" t="n"/>
      <c r="T84" s="16" t="n"/>
      <c r="U84" s="16" t="n"/>
      <c r="V84" s="16" t="n"/>
      <c r="W84" s="16" t="n"/>
      <c r="X84" s="16" t="n"/>
      <c r="Y84" s="16" t="n"/>
      <c r="Z84" s="16" t="n"/>
      <c r="AA84" s="16" t="n"/>
      <c r="AB84" s="16" t="n"/>
      <c r="AC84" s="16" t="n"/>
    </row>
    <row r="85">
      <c r="A85" s="44" t="n"/>
      <c r="B85" s="42" t="n"/>
      <c r="C85" s="42" t="inlineStr">
        <is>
          <t>Tuần 1</t>
        </is>
      </c>
      <c r="D85" s="26" t="n"/>
      <c r="E85" s="26" t="n"/>
      <c r="F85" s="14" t="n"/>
      <c r="G85" s="14" t="inlineStr">
        <is>
          <t>Đổi lĩnh vực</t>
        </is>
      </c>
      <c r="H85" s="14" t="inlineStr">
        <is>
          <t>Có quyền thao tác</t>
        </is>
      </c>
      <c r="I85" s="14" t="n"/>
      <c r="J85" s="14" t="inlineStr">
        <is>
          <t>1. Mở màn hình
 2. Thực hiện theo TC
 3. Nhấn Lưu/Xóa</t>
        </is>
      </c>
      <c r="K85" s="14" t="inlineStr">
        <is>
          <t>Lưu thành công</t>
        </is>
      </c>
      <c r="L85" s="16" t="n"/>
      <c r="M85" s="16" t="n"/>
      <c r="N85" s="42" t="n"/>
      <c r="O85" s="16" t="n"/>
      <c r="P85" s="16" t="n"/>
      <c r="Q85" s="16" t="n"/>
      <c r="R85" s="16" t="n"/>
      <c r="S85" s="16" t="n"/>
      <c r="T85" s="16" t="n"/>
      <c r="U85" s="16" t="n"/>
      <c r="V85" s="16" t="n"/>
      <c r="W85" s="16" t="n"/>
      <c r="X85" s="16" t="n"/>
      <c r="Y85" s="16" t="n"/>
      <c r="Z85" s="16" t="n"/>
      <c r="AA85" s="16" t="n"/>
      <c r="AB85" s="16" t="n"/>
      <c r="AC85" s="16" t="n"/>
    </row>
    <row r="86">
      <c r="A86" s="44" t="n"/>
      <c r="B86" s="42" t="n"/>
      <c r="C86" s="42" t="inlineStr">
        <is>
          <t>Tuần 1</t>
        </is>
      </c>
      <c r="D86" s="26" t="n"/>
      <c r="E86" s="26" t="n"/>
      <c r="F86" s="14" t="n"/>
      <c r="G86" s="14" t="inlineStr">
        <is>
          <t>Đổi mức độ</t>
        </is>
      </c>
      <c r="H86" s="14" t="inlineStr">
        <is>
          <t>Có quyền thao tác</t>
        </is>
      </c>
      <c r="I86" s="14" t="n"/>
      <c r="J86" s="14" t="inlineStr">
        <is>
          <t>1. Mở màn hình
 2. Thực hiện theo TC
 3. Nhấn Lưu/Xóa</t>
        </is>
      </c>
      <c r="K86" s="14" t="inlineStr">
        <is>
          <t>Deadline cập nhật</t>
        </is>
      </c>
      <c r="L86" s="16" t="n"/>
      <c r="M86" s="16" t="n"/>
      <c r="N86" s="42" t="n"/>
      <c r="O86" s="16" t="n"/>
      <c r="P86" s="16" t="n"/>
      <c r="Q86" s="16" t="n"/>
      <c r="R86" s="16" t="n"/>
      <c r="S86" s="16" t="n"/>
      <c r="T86" s="16" t="n"/>
      <c r="U86" s="16" t="n"/>
      <c r="V86" s="16" t="n"/>
      <c r="W86" s="16" t="n"/>
      <c r="X86" s="16" t="n"/>
      <c r="Y86" s="16" t="n"/>
      <c r="Z86" s="16" t="n"/>
      <c r="AA86" s="16" t="n"/>
      <c r="AB86" s="16" t="n"/>
      <c r="AC86" s="16" t="n"/>
    </row>
    <row r="87">
      <c r="A87" s="44" t="n"/>
      <c r="B87" s="42" t="n"/>
      <c r="C87" s="42" t="inlineStr">
        <is>
          <t>Tuần 1</t>
        </is>
      </c>
      <c r="D87" s="26" t="n"/>
      <c r="E87" s="26" t="n"/>
      <c r="F87" s="14" t="n"/>
      <c r="G87" s="14" t="inlineStr">
        <is>
          <t>Thêm file</t>
        </is>
      </c>
      <c r="H87" s="14" t="inlineStr">
        <is>
          <t>Có quyền thao tác</t>
        </is>
      </c>
      <c r="I87" s="14" t="n"/>
      <c r="J87" s="14" t="inlineStr">
        <is>
          <t>1. Mở màn hình
 2. Thực hiện theo TC
 3. Nhấn Lưu/Xóa</t>
        </is>
      </c>
      <c r="K87" s="14" t="inlineStr">
        <is>
          <t>Upload thành công</t>
        </is>
      </c>
      <c r="L87" s="16" t="n"/>
      <c r="M87" s="16" t="n"/>
      <c r="N87" s="42" t="n"/>
      <c r="O87" s="16" t="n"/>
      <c r="P87" s="16" t="n"/>
      <c r="Q87" s="16" t="n"/>
      <c r="R87" s="16" t="n"/>
      <c r="S87" s="16" t="n"/>
      <c r="T87" s="16" t="n"/>
      <c r="U87" s="16" t="n"/>
      <c r="V87" s="16" t="n"/>
      <c r="W87" s="16" t="n"/>
      <c r="X87" s="16" t="n"/>
      <c r="Y87" s="16" t="n"/>
      <c r="Z87" s="16" t="n"/>
      <c r="AA87" s="16" t="n"/>
      <c r="AB87" s="16" t="n"/>
      <c r="AC87" s="16" t="n"/>
    </row>
    <row r="88">
      <c r="A88" s="44" t="n"/>
      <c r="B88" s="42" t="n"/>
      <c r="C88" s="42" t="inlineStr">
        <is>
          <t>Tuần 1</t>
        </is>
      </c>
      <c r="D88" s="26" t="n"/>
      <c r="E88" s="26" t="n"/>
      <c r="F88" s="14" t="n"/>
      <c r="G88" s="14" t="inlineStr">
        <is>
          <t>Xóa file</t>
        </is>
      </c>
      <c r="H88" s="14" t="inlineStr">
        <is>
          <t>Có quyền thao tác</t>
        </is>
      </c>
      <c r="I88" s="14" t="n"/>
      <c r="J88" s="14" t="inlineStr">
        <is>
          <t>1. Mở màn hình
 2. Thực hiện theo TC
 3. Nhấn Lưu/Xóa</t>
        </is>
      </c>
      <c r="K88" s="14" t="inlineStr">
        <is>
          <t>Xóa thành công</t>
        </is>
      </c>
      <c r="L88" s="16" t="n"/>
      <c r="M88" s="16" t="n"/>
      <c r="N88" s="42" t="n"/>
      <c r="O88" s="16" t="n"/>
      <c r="P88" s="16" t="n"/>
      <c r="Q88" s="16" t="n"/>
      <c r="R88" s="16" t="n"/>
      <c r="S88" s="16" t="n"/>
      <c r="T88" s="16" t="n"/>
      <c r="U88" s="16" t="n"/>
      <c r="V88" s="16" t="n"/>
      <c r="W88" s="16" t="n"/>
      <c r="X88" s="16" t="n"/>
      <c r="Y88" s="16" t="n"/>
      <c r="Z88" s="16" t="n"/>
      <c r="AA88" s="16" t="n"/>
      <c r="AB88" s="16" t="n"/>
      <c r="AC88" s="16" t="n"/>
    </row>
    <row r="89">
      <c r="A89" s="44" t="n"/>
      <c r="B89" s="42" t="n"/>
      <c r="C89" s="42" t="inlineStr">
        <is>
          <t>Tuần 1</t>
        </is>
      </c>
      <c r="D89" s="26" t="n"/>
      <c r="E89" s="26" t="n"/>
      <c r="F89" s="14" t="n"/>
      <c r="G89" s="14" t="inlineStr">
        <is>
          <t>Quá 10 file</t>
        </is>
      </c>
      <c r="H89" s="14" t="inlineStr">
        <is>
          <t>Có quyền thao tác</t>
        </is>
      </c>
      <c r="I89" s="14" t="n"/>
      <c r="J89" s="14" t="inlineStr">
        <is>
          <t>1. Mở màn hình
 2. Thực hiện theo TC
 3. Nhấn Lưu/Xóa</t>
        </is>
      </c>
      <c r="K89" s="14" t="inlineStr">
        <is>
          <t>Báo lỗi</t>
        </is>
      </c>
      <c r="L89" s="16" t="n"/>
      <c r="M89" s="16" t="n"/>
      <c r="N89" s="42" t="n"/>
      <c r="O89" s="16" t="n"/>
      <c r="P89" s="16" t="n"/>
      <c r="Q89" s="16" t="n"/>
      <c r="R89" s="16" t="n"/>
      <c r="S89" s="16" t="n"/>
      <c r="T89" s="16" t="n"/>
      <c r="U89" s="16" t="n"/>
      <c r="V89" s="16" t="n"/>
      <c r="W89" s="16" t="n"/>
      <c r="X89" s="16" t="n"/>
      <c r="Y89" s="16" t="n"/>
      <c r="Z89" s="16" t="n"/>
      <c r="AA89" s="16" t="n"/>
      <c r="AB89" s="16" t="n"/>
      <c r="AC89" s="16" t="n"/>
    </row>
    <row r="90">
      <c r="A90" s="44" t="n"/>
      <c r="B90" s="42" t="n"/>
      <c r="C90" s="42" t="inlineStr">
        <is>
          <t>Tuần 1</t>
        </is>
      </c>
      <c r="D90" s="26" t="n"/>
      <c r="E90" s="26" t="n"/>
      <c r="F90" s="14" t="n"/>
      <c r="G90" s="14" t="inlineStr">
        <is>
          <t>Email sai</t>
        </is>
      </c>
      <c r="H90" s="14" t="inlineStr">
        <is>
          <t>Có quyền thao tác</t>
        </is>
      </c>
      <c r="I90" s="14" t="n"/>
      <c r="J90" s="14" t="inlineStr">
        <is>
          <t>1. Mở màn hình
 2. Thực hiện theo TC
 3. Nhấn Lưu/Xóa</t>
        </is>
      </c>
      <c r="K90" s="14" t="inlineStr">
        <is>
          <t>Báo lỗi</t>
        </is>
      </c>
      <c r="L90" s="16" t="n"/>
      <c r="M90" s="16" t="n"/>
      <c r="N90" s="42" t="n"/>
      <c r="O90" s="16" t="n"/>
      <c r="P90" s="16" t="n"/>
      <c r="Q90" s="16" t="n"/>
      <c r="R90" s="16" t="n"/>
      <c r="S90" s="16" t="n"/>
      <c r="T90" s="16" t="n"/>
      <c r="U90" s="16" t="n"/>
      <c r="V90" s="16" t="n"/>
      <c r="W90" s="16" t="n"/>
      <c r="X90" s="16" t="n"/>
      <c r="Y90" s="16" t="n"/>
      <c r="Z90" s="16" t="n"/>
      <c r="AA90" s="16" t="n"/>
      <c r="AB90" s="16" t="n"/>
      <c r="AC90" s="16" t="n"/>
    </row>
    <row r="91">
      <c r="A91" s="44" t="n"/>
      <c r="B91" s="42" t="n"/>
      <c r="C91" s="42" t="inlineStr">
        <is>
          <t>Tuần 1</t>
        </is>
      </c>
      <c r="D91" s="26" t="n"/>
      <c r="E91" s="26" t="n"/>
      <c r="F91" s="14" t="n"/>
      <c r="G91" s="14" t="inlineStr">
        <is>
          <t>Double click Lưu</t>
        </is>
      </c>
      <c r="H91" s="14" t="inlineStr">
        <is>
          <t>Có quyền thao tác</t>
        </is>
      </c>
      <c r="I91" s="14" t="n"/>
      <c r="J91" s="14" t="inlineStr">
        <is>
          <t>1. Mở màn hình
 2. Thực hiện theo TC
 3. Nhấn Lưu/Xóa</t>
        </is>
      </c>
      <c r="K91" s="14" t="inlineStr">
        <is>
          <t>Chỉ cập nhật 1 lần</t>
        </is>
      </c>
      <c r="L91" s="16" t="n"/>
      <c r="M91" s="16" t="n"/>
      <c r="N91" s="42" t="n"/>
      <c r="O91" s="16" t="n"/>
      <c r="P91" s="16" t="n"/>
      <c r="Q91" s="16" t="n"/>
      <c r="R91" s="16" t="n"/>
      <c r="S91" s="16" t="n"/>
      <c r="T91" s="16" t="n"/>
      <c r="U91" s="16" t="n"/>
      <c r="V91" s="16" t="n"/>
      <c r="W91" s="16" t="n"/>
      <c r="X91" s="16" t="n"/>
      <c r="Y91" s="16" t="n"/>
      <c r="Z91" s="16" t="n"/>
      <c r="AA91" s="16" t="n"/>
      <c r="AB91" s="16" t="n"/>
      <c r="AC91" s="16" t="n"/>
    </row>
    <row r="92">
      <c r="A92" s="29" t="n"/>
      <c r="B92" s="30" t="inlineStr">
        <is>
          <t>BS</t>
        </is>
      </c>
      <c r="C92" s="42" t="inlineStr">
        <is>
          <t>Tuần 1</t>
        </is>
      </c>
      <c r="D92" s="30" t="n"/>
      <c r="E92" s="30" t="inlineStr">
        <is>
          <t>Xóa hỏi đáp vướng mắc pháp lý</t>
        </is>
      </c>
      <c r="F92" s="26" t="n"/>
      <c r="G92" s="26" t="n"/>
      <c r="H92" s="14" t="n"/>
      <c r="I92" s="42" t="n"/>
      <c r="J92" s="16" t="n"/>
      <c r="K92" s="16" t="n"/>
      <c r="L92" s="16" t="n"/>
      <c r="M92" s="16" t="n"/>
      <c r="N92" s="42" t="n"/>
      <c r="O92" s="16" t="n"/>
      <c r="P92" s="16" t="n"/>
      <c r="Q92" s="16" t="n"/>
      <c r="R92" s="16" t="n"/>
      <c r="S92" s="16" t="n"/>
      <c r="T92" s="16" t="n"/>
      <c r="U92" s="16" t="n"/>
      <c r="V92" s="16" t="n"/>
      <c r="W92" s="16" t="n"/>
      <c r="X92" s="16" t="n"/>
      <c r="Y92" s="16" t="n"/>
      <c r="Z92" s="16" t="n"/>
      <c r="AA92" s="16" t="n"/>
      <c r="AB92" s="16" t="n"/>
      <c r="AC92" s="16" t="n"/>
    </row>
    <row r="93">
      <c r="A93" s="44" t="n"/>
      <c r="B93" s="42" t="n"/>
      <c r="C93" s="42" t="inlineStr">
        <is>
          <t>Tuần 1</t>
        </is>
      </c>
      <c r="D93" s="26" t="n"/>
      <c r="E93" s="26" t="n"/>
      <c r="F93" s="32" t="n"/>
      <c r="G93" s="14" t="inlineStr">
        <is>
          <t>Xóa 1 câu hỏi</t>
        </is>
      </c>
      <c r="H93" s="14" t="inlineStr">
        <is>
          <t>Có quyền thao tác</t>
        </is>
      </c>
      <c r="I93" s="14" t="n"/>
      <c r="J93" s="14" t="inlineStr">
        <is>
          <t>1. Mở màn hình
 2. Thực hiện theo TC
 3. Nhấn Lưu/Xóa</t>
        </is>
      </c>
      <c r="K93" s="14" t="inlineStr">
        <is>
          <t>Thành công</t>
        </is>
      </c>
      <c r="L93" s="16" t="n"/>
      <c r="M93" s="16" t="n"/>
      <c r="N93" s="42" t="n"/>
      <c r="O93" s="16" t="n"/>
      <c r="P93" s="16" t="n"/>
      <c r="Q93" s="16" t="n"/>
      <c r="R93" s="16" t="n"/>
      <c r="S93" s="16" t="n"/>
      <c r="T93" s="16" t="n"/>
      <c r="U93" s="16" t="n"/>
      <c r="V93" s="16" t="n"/>
      <c r="W93" s="16" t="n"/>
      <c r="X93" s="16" t="n"/>
      <c r="Y93" s="16" t="n"/>
      <c r="Z93" s="16" t="n"/>
      <c r="AA93" s="16" t="n"/>
      <c r="AB93" s="16" t="n"/>
      <c r="AC93" s="16" t="n"/>
    </row>
    <row r="94">
      <c r="A94" s="44" t="n"/>
      <c r="B94" s="42" t="n"/>
      <c r="C94" s="42" t="inlineStr">
        <is>
          <t>Tuần 1</t>
        </is>
      </c>
      <c r="D94" s="26" t="n"/>
      <c r="E94" s="26" t="n"/>
      <c r="F94" s="32" t="n"/>
      <c r="G94" s="14" t="inlineStr">
        <is>
          <t>Chọn Không</t>
        </is>
      </c>
      <c r="H94" s="14" t="inlineStr">
        <is>
          <t>Có quyền thao tác</t>
        </is>
      </c>
      <c r="I94" s="14" t="n"/>
      <c r="J94" s="14" t="inlineStr">
        <is>
          <t>1. Mở màn hình
 2. Thực hiện theo TC
 3. Nhấn Lưu/Xóa</t>
        </is>
      </c>
      <c r="K94" s="14" t="inlineStr">
        <is>
          <t>Không xóa</t>
        </is>
      </c>
      <c r="L94" s="16" t="n"/>
      <c r="M94" s="16" t="n"/>
      <c r="N94" s="42" t="n"/>
      <c r="O94" s="16" t="n"/>
      <c r="P94" s="16" t="n"/>
      <c r="Q94" s="16" t="n"/>
      <c r="R94" s="16" t="n"/>
      <c r="S94" s="16" t="n"/>
      <c r="T94" s="16" t="n"/>
      <c r="U94" s="16" t="n"/>
      <c r="V94" s="16" t="n"/>
      <c r="W94" s="16" t="n"/>
      <c r="X94" s="16" t="n"/>
      <c r="Y94" s="16" t="n"/>
      <c r="Z94" s="16" t="n"/>
      <c r="AA94" s="16" t="n"/>
      <c r="AB94" s="16" t="n"/>
      <c r="AC94" s="16" t="n"/>
    </row>
    <row r="95">
      <c r="A95" s="44" t="n"/>
      <c r="B95" s="42" t="n"/>
      <c r="C95" s="42" t="inlineStr">
        <is>
          <t>Tuần 1</t>
        </is>
      </c>
      <c r="D95" s="26" t="n"/>
      <c r="E95" s="26" t="n"/>
      <c r="F95" s="32" t="n"/>
      <c r="G95" s="14" t="inlineStr">
        <is>
          <t>Chọn Có</t>
        </is>
      </c>
      <c r="H95" s="14" t="inlineStr">
        <is>
          <t>Có quyền thao tác</t>
        </is>
      </c>
      <c r="I95" s="14" t="n"/>
      <c r="J95" s="14" t="inlineStr">
        <is>
          <t>1. Mở màn hình
 2. Thực hiện theo TC
 3. Nhấn Lưu/Xóa</t>
        </is>
      </c>
      <c r="K95" s="14" t="inlineStr">
        <is>
          <t>Xóa thành công</t>
        </is>
      </c>
      <c r="L95" s="16" t="n"/>
      <c r="M95" s="16" t="n"/>
      <c r="N95" s="42" t="n"/>
      <c r="O95" s="16" t="n"/>
      <c r="P95" s="16" t="n"/>
      <c r="Q95" s="16" t="n"/>
      <c r="R95" s="16" t="n"/>
      <c r="S95" s="16" t="n"/>
      <c r="T95" s="16" t="n"/>
      <c r="U95" s="16" t="n"/>
      <c r="V95" s="16" t="n"/>
      <c r="W95" s="16" t="n"/>
      <c r="X95" s="16" t="n"/>
      <c r="Y95" s="16" t="n"/>
      <c r="Z95" s="16" t="n"/>
      <c r="AA95" s="16" t="n"/>
      <c r="AB95" s="16" t="n"/>
      <c r="AC95" s="16" t="n"/>
    </row>
    <row r="96">
      <c r="A96" s="44" t="n"/>
      <c r="B96" s="42" t="n"/>
      <c r="C96" s="42" t="inlineStr">
        <is>
          <t>Tuần 1</t>
        </is>
      </c>
      <c r="D96" s="26" t="n"/>
      <c r="E96" s="26" t="n"/>
      <c r="F96" s="32" t="n"/>
      <c r="G96" s="14" t="inlineStr">
        <is>
          <t>Không có quyền</t>
        </is>
      </c>
      <c r="H96" s="14" t="inlineStr">
        <is>
          <t>Có quyền thao tác</t>
        </is>
      </c>
      <c r="I96" s="14" t="n"/>
      <c r="J96" s="14" t="inlineStr">
        <is>
          <t>1. Mở màn hình
 2. Thực hiện theo TC
 3. Nhấn Lưu/Xóa</t>
        </is>
      </c>
      <c r="K96" s="14" t="inlineStr">
        <is>
          <t>Không được xóa</t>
        </is>
      </c>
      <c r="L96" s="16" t="n"/>
      <c r="M96" s="16" t="n"/>
      <c r="N96" s="42" t="n"/>
      <c r="O96" s="16" t="n"/>
      <c r="P96" s="16" t="n"/>
      <c r="Q96" s="16" t="n"/>
      <c r="R96" s="16" t="n"/>
      <c r="S96" s="16" t="n"/>
      <c r="T96" s="16" t="n"/>
      <c r="U96" s="16" t="n"/>
      <c r="V96" s="16" t="n"/>
      <c r="W96" s="16" t="n"/>
      <c r="X96" s="16" t="n"/>
      <c r="Y96" s="16" t="n"/>
      <c r="Z96" s="16" t="n"/>
      <c r="AA96" s="16" t="n"/>
      <c r="AB96" s="16" t="n"/>
      <c r="AC96" s="16" t="n"/>
    </row>
    <row r="97">
      <c r="A97" s="44" t="n"/>
      <c r="B97" s="42" t="n"/>
      <c r="C97" s="42" t="inlineStr">
        <is>
          <t>Tuần 1</t>
        </is>
      </c>
      <c r="D97" s="26" t="n"/>
      <c r="E97" s="26" t="n"/>
      <c r="F97" s="32" t="n"/>
      <c r="G97" s="14" t="inlineStr">
        <is>
          <t>Double click Xóa</t>
        </is>
      </c>
      <c r="H97" s="14" t="inlineStr">
        <is>
          <t>Có quyền thao tác</t>
        </is>
      </c>
      <c r="I97" s="14" t="n"/>
      <c r="J97" s="14" t="inlineStr">
        <is>
          <t>1. Mở màn hình
 2. Thực hiện theo TC
 3. Nhấn Lưu/Xóa</t>
        </is>
      </c>
      <c r="K97" s="14" t="inlineStr">
        <is>
          <t>Chỉ xóa 1 lần</t>
        </is>
      </c>
      <c r="L97" s="16" t="n"/>
      <c r="M97" s="16" t="n"/>
      <c r="N97" s="42" t="n"/>
      <c r="O97" s="16" t="n"/>
      <c r="P97" s="16" t="n"/>
      <c r="Q97" s="16" t="n"/>
      <c r="R97" s="16" t="n"/>
      <c r="S97" s="16" t="n"/>
      <c r="T97" s="16" t="n"/>
      <c r="U97" s="16" t="n"/>
      <c r="V97" s="16" t="n"/>
      <c r="W97" s="16" t="n"/>
      <c r="X97" s="16" t="n"/>
      <c r="Y97" s="16" t="n"/>
      <c r="Z97" s="16" t="n"/>
      <c r="AA97" s="16" t="n"/>
      <c r="AB97" s="16" t="n"/>
      <c r="AC97" s="16" t="n"/>
    </row>
    <row r="98">
      <c r="A98" s="17" t="n"/>
      <c r="B98" s="18" t="n">
        <v>10</v>
      </c>
      <c r="C98" s="42" t="inlineStr">
        <is>
          <t>Tuần 1</t>
        </is>
      </c>
      <c r="D98" s="24">
        <f>IF(G98&lt;&gt;"","QLTTHDVMPL_"&amp;TEXT(COUNTIF($G$98:G98,"&lt;&gt;"),"00"),"")</f>
        <v/>
      </c>
      <c r="E98" s="24" t="inlineStr">
        <is>
          <t>Quản lý thông tin hỏi đáp, vướng mắc pháp lý</t>
        </is>
      </c>
      <c r="F98" s="24" t="inlineStr">
        <is>
          <t>Cán  bộ 
 TW,BN,ĐP</t>
        </is>
      </c>
      <c r="G98" s="27" t="inlineStr">
        <is>
          <t>Quản lý các trường dữ liệu chi tiết của từng yêu cầu (nội dung, người gửi, lĩnh vực, thời gian gửi...).</t>
        </is>
      </c>
      <c r="H98" s="14" t="inlineStr">
        <is>
          <t>· Đã đăng nhập, có quyền Quản lý hỏi đáp.</t>
        </is>
      </c>
      <c r="I98" s="42" t="n"/>
      <c r="J98" s="14" t="inlineStr">
        <is>
          <t>1. Vào menu Trang chủ &gt; Hỏi đáp pháp lý</t>
        </is>
      </c>
      <c r="K98" s="16" t="inlineStr">
        <is>
          <t>Quản lý các trường dữ liệu chi tiết của từng yêu cầu (nội dung, người gửi, lĩnh vực, thời gian gửi...).</t>
        </is>
      </c>
      <c r="L98" s="16" t="inlineStr">
        <is>
          <t>Quản lý các trường dữ liệu chi tiết của từng yêu cầu (nội dung, người gửi, lĩnh vực, thời gian gửi...).</t>
        </is>
      </c>
      <c r="M98" s="8" t="inlineStr">
        <is>
          <t>QLTTHDVMPL_01.jpg</t>
        </is>
      </c>
      <c r="N98" s="42" t="inlineStr">
        <is>
          <t>Pass</t>
        </is>
      </c>
      <c r="O98" s="16" t="n"/>
      <c r="P98" s="16" t="n"/>
      <c r="Q98" s="16" t="n"/>
      <c r="R98" s="16" t="n"/>
      <c r="S98" s="16" t="n"/>
      <c r="T98" s="16" t="n"/>
      <c r="U98" s="16" t="n"/>
      <c r="V98" s="16" t="n"/>
      <c r="W98" s="16" t="n"/>
      <c r="X98" s="16" t="n"/>
      <c r="Y98" s="16" t="n"/>
      <c r="Z98" s="16" t="n"/>
      <c r="AA98" s="16" t="n"/>
      <c r="AB98" s="16" t="n"/>
      <c r="AC98" s="16" t="n"/>
    </row>
    <row r="99">
      <c r="A99" s="39" t="n"/>
      <c r="B99" s="33" t="n">
        <v>46203</v>
      </c>
      <c r="C99" s="42" t="inlineStr">
        <is>
          <t>Tuần 1</t>
        </is>
      </c>
      <c r="D99" s="41">
        <f>IF(G99&lt;&gt;"","QLTTHDVMPL_"&amp;TEXT(COUNTIF($G$98:G99,"&lt;&gt;"),"00"),"")</f>
        <v/>
      </c>
      <c r="E99" s="41" t="n"/>
      <c r="F99" s="41" t="n"/>
      <c r="G99" s="14" t="inlineStr">
        <is>
          <t>Kiểm tra truy cập màn hình danh sách hỏi đáp</t>
        </is>
      </c>
      <c r="H99" s="14" t="inlineStr">
        <is>
          <t>Tài khoản Cán bộ TW/BN/ĐP đã đăng nhập và có quyền xem màn hình</t>
        </is>
      </c>
      <c r="I99" s="14" t="inlineStr">
        <is>
          <t>Tài khoản hợp lệ</t>
        </is>
      </c>
      <c r="J99" s="14" t="inlineStr">
        <is>
          <t>1. Đăng nhập hệ thống
 2. Vào menu Trang chủ &gt; Hỏi đáp pháp lý</t>
        </is>
      </c>
      <c r="K99" s="14" t="inlineStr">
        <is>
          <t>Hiển thị đúng màn hình 'Quản lý hỏi đáp, vướng mắc pháp lý'; có breadcrumb, tiêu đề màn hình, bộ lọc, tab trạng thái, bảng danh sách và phân trang</t>
        </is>
      </c>
      <c r="L99" s="14" t="inlineStr">
        <is>
          <t>Hiển thị đúng màn hình 'Quản lý hỏi đáp, vướng mắc pháp lý'; có breadcrumb, tiêu đề màn hình, bộ lọc, tab trạng thái, bảng danh sách và phân trang</t>
        </is>
      </c>
      <c r="M99" s="8" t="inlineStr">
        <is>
          <t>QLTTHDVMPL_02.jpg</t>
        </is>
      </c>
      <c r="N99" s="42" t="inlineStr">
        <is>
          <t>Pass</t>
        </is>
      </c>
      <c r="O99" s="16" t="n"/>
      <c r="P99" s="16" t="n"/>
      <c r="Q99" s="16" t="n"/>
      <c r="R99" s="16" t="n"/>
      <c r="S99" s="16" t="n"/>
      <c r="T99" s="16" t="n"/>
      <c r="U99" s="16" t="n"/>
      <c r="V99" s="16" t="n"/>
      <c r="W99" s="16" t="n"/>
      <c r="X99" s="16" t="n"/>
      <c r="Y99" s="16" t="n"/>
      <c r="Z99" s="16" t="n"/>
      <c r="AA99" s="16" t="n"/>
      <c r="AB99" s="16" t="n"/>
      <c r="AC99" s="16" t="n"/>
    </row>
    <row r="100">
      <c r="A100" s="39" t="n"/>
      <c r="B100" s="33" t="n">
        <v>46203</v>
      </c>
      <c r="C100" s="42" t="inlineStr">
        <is>
          <t>Tuần 1</t>
        </is>
      </c>
      <c r="D100" s="41">
        <f>IF(G100&lt;&gt;"","QLTTHDVMPL_"&amp;TEXT(COUNTIF($G$98:G100,"&lt;&gt;"),"00"),"")</f>
        <v/>
      </c>
      <c r="E100" s="41" t="n"/>
      <c r="F100" s="41" t="n"/>
      <c r="G100" s="14" t="inlineStr">
        <is>
          <t>Kiểm tra các cột thông tin hiển thị trên bảng</t>
        </is>
      </c>
      <c r="H100" s="14" t="inlineStr">
        <is>
          <t>Có dữ liệu hỏi đáp</t>
        </is>
      </c>
      <c r="I100" s="14" t="inlineStr">
        <is>
          <t>Danh sách có ít nhất 1 bản ghi</t>
        </is>
      </c>
      <c r="J100" s="14" t="inlineStr">
        <is>
          <t>1. Truy cập màn hình
 2. Quan sát header bảng</t>
        </is>
      </c>
      <c r="K100" s="14" t="inlineStr">
        <is>
          <t>Bảng hiển thị đủ các cột: checkbox, Mã HĐ, Nội dung, Lĩnh vực PL, Người gửi, Kênh, Trạng thái, Mức độ, SLA/Thời hạn, Ngày tạo, Hành động</t>
        </is>
      </c>
      <c r="L100" s="14" t="inlineStr">
        <is>
          <t>Bảng hiển thị đủ các cột: checkbox, Mã HĐ, Nội dung, Lĩnh vực PL, Người gửi, Kênh, Trạng thái, Mức độ, SLA/Thời hạn, Ngày tạo, Hành động</t>
        </is>
      </c>
      <c r="M100" s="8" t="inlineStr">
        <is>
          <t>QLTTHDVMPL_03.jpg</t>
        </is>
      </c>
      <c r="N100" s="42" t="inlineStr">
        <is>
          <t>Pass</t>
        </is>
      </c>
      <c r="O100" s="16" t="n"/>
      <c r="P100" s="16" t="n"/>
      <c r="Q100" s="16" t="n"/>
      <c r="R100" s="16" t="n"/>
      <c r="S100" s="16" t="n"/>
      <c r="T100" s="16" t="n"/>
      <c r="U100" s="16" t="n"/>
      <c r="V100" s="16" t="n"/>
      <c r="W100" s="16" t="n"/>
      <c r="X100" s="16" t="n"/>
      <c r="Y100" s="16" t="n"/>
      <c r="Z100" s="16" t="n"/>
      <c r="AA100" s="16" t="n"/>
      <c r="AB100" s="16" t="n"/>
      <c r="AC100" s="16" t="n"/>
    </row>
    <row r="101">
      <c r="A101" s="39" t="n"/>
      <c r="B101" s="33" t="n">
        <v>46203</v>
      </c>
      <c r="C101" s="42" t="inlineStr">
        <is>
          <t>Tuần 1</t>
        </is>
      </c>
      <c r="D101" s="41">
        <f>IF(G101&lt;&gt;"","QLTTHDVMPL_"&amp;TEXT(COUNTIF($G$98:G101,"&lt;&gt;"),"00"),"")</f>
        <v/>
      </c>
      <c r="E101" s="41" t="n"/>
      <c r="F101" s="41" t="n"/>
      <c r="G101" s="14" t="inlineStr">
        <is>
          <t>Kiểm tra dữ liệu từng dòng hiển thị đúng thông tin chi tiết theo yêu cầu đề bài</t>
        </is>
      </c>
      <c r="H101" s="14" t="inlineStr">
        <is>
          <t>Có dữ liệu hỏi đáp đã tạo</t>
        </is>
      </c>
      <c r="I101" s="14" t="inlineStr">
        <is>
          <t>Bản ghi có mã, nội dung, lĩnh vực, người gửi, kênh, trạng thái, mức độ, SLA, ngày tạo</t>
        </is>
      </c>
      <c r="J101" s="14" t="inlineStr">
        <is>
          <t>1. Truy cập danh sách
 2. Đối chiếu thông tin 1 bản ghi với dữ liệu trong hệ thống/DB/API</t>
        </is>
      </c>
      <c r="K101" s="14" t="inlineStr">
        <is>
          <t>- Thông tin trên danh sách khớp với dữ liệu nguồn: mã hỏi đáp, nội dung ngắn gọn, lĩnh vực, người gửi, kênh, trạng thái, mức độ, SLA/thời hạn, ngày tạo
- Thông tin hiển thị rõ ràng và chính xác, không lỗi font, ghi đè/tràn dữ liệu</t>
        </is>
      </c>
      <c r="L101" s="16" t="inlineStr">
        <is>
          <t>Thông tin cột SLA/Thời hạn hiển thị không rõ ràng, khó tiếp cận</t>
        </is>
      </c>
      <c r="M101" s="8" t="inlineStr">
        <is>
          <t>QLTTHDVMPL_04.png</t>
        </is>
      </c>
      <c r="N101" s="42" t="inlineStr">
        <is>
          <t>Fail</t>
        </is>
      </c>
      <c r="O101" s="16" t="n"/>
      <c r="P101" s="16" t="inlineStr">
        <is>
          <t>dev done</t>
        </is>
      </c>
      <c r="Q101" s="16" t="n"/>
      <c r="R101" s="16" t="inlineStr">
        <is>
          <t>Reverify fresh qua UAT ngày 07/07/2026: Đối tác khoanh đỏ là vùng cột SLA/Thời hạn trên danh sách hỏi đáp, trước đó hiển thị không rõ/khó tiếp cận. Đã đăng nhập CB_NV_TW, mở /hoi-dap và kiểm tra bảng ở viewport 1920px. Bảng hiện hiển thị đủ các cột Mức độ, SLA / Thời hạn, Ngày tạo; dữ liệu dòng đọc được rõ như Mức độ = Thường, SLA / Thời hạn = Đã hoàn thành hoặc —, Ngày tạo = dd/mm/yyyy hh:mm. Đối chiếu SRS FR-II-01 các cột Mức độ, Cảnh báo thời hạn xử lý, Ngày tạo/Hạn xử lý: hiện không còn lỗi che/tràn/khó đọc tại danh sách.</t>
        </is>
      </c>
      <c r="S101" s="16" t="inlineStr">
        <is>
          <t>QLTTHDVMPL_04_fresh_view_1920.png</t>
        </is>
      </c>
      <c r="T101" s="16" t="inlineStr">
        <is>
          <t>Pass</t>
        </is>
      </c>
      <c r="U101" s="16" t="n"/>
      <c r="V101" s="16" t="n"/>
      <c r="W101" s="16" t="n"/>
      <c r="X101" s="16" t="n"/>
      <c r="Y101" s="16" t="n"/>
      <c r="Z101" s="16" t="n"/>
      <c r="AA101" s="16" t="n"/>
      <c r="AB101" s="16" t="n"/>
      <c r="AC101" s="16" t="n"/>
    </row>
    <row r="102">
      <c r="A102" s="39" t="n"/>
      <c r="B102" s="33" t="n">
        <v>46203</v>
      </c>
      <c r="C102" s="42" t="inlineStr">
        <is>
          <t>Tuần 1</t>
        </is>
      </c>
      <c r="D102" s="41">
        <f>IF(G102&lt;&gt;"","QLTTHDVMPL_"&amp;TEXT(COUNTIF($G$98:G102,"&lt;&gt;"),"00"),"")</f>
        <v/>
      </c>
      <c r="E102" s="41" t="n"/>
      <c r="F102" s="41" t="n"/>
      <c r="G102" s="14" t="inlineStr">
        <is>
          <t>Kiểm tra nội dung câu hỏi dài được rút gọn trên danh sách</t>
        </is>
      </c>
      <c r="H102" s="14" t="inlineStr">
        <is>
          <t>Có bản ghi có nội dung dài</t>
        </is>
      </c>
      <c r="I102" s="14" t="inlineStr">
        <is>
          <t>Nội dung câu hỏi &gt; độ rộng cột</t>
        </is>
      </c>
      <c r="J102" s="14" t="inlineStr">
        <is>
          <t>1. Truy cập danh sách
 2. Quan sát cột Nội dung</t>
        </is>
      </c>
      <c r="K102" s="14" t="inlineStr">
        <is>
          <t>Nội dung dài được hiển thị dạng rút gọn/dấu '...' và không làm vỡ giao diện bảng</t>
        </is>
      </c>
      <c r="L102" s="14" t="inlineStr">
        <is>
          <t>Nội dung dài được hiển thị dạng rút gọn/dấu '...' và không làm vỡ giao diện bảng</t>
        </is>
      </c>
      <c r="M102" s="8" t="inlineStr">
        <is>
          <t>QLTTHDVMPL_05.jpg</t>
        </is>
      </c>
      <c r="N102" s="42" t="inlineStr">
        <is>
          <t>Pass</t>
        </is>
      </c>
      <c r="O102" s="16" t="n"/>
      <c r="P102" s="16" t="n"/>
      <c r="Q102" s="16" t="n"/>
      <c r="R102" s="16" t="n"/>
      <c r="S102" s="16" t="n"/>
      <c r="T102" s="16" t="n"/>
      <c r="U102" s="16" t="n"/>
      <c r="V102" s="16" t="n"/>
      <c r="W102" s="16" t="n"/>
      <c r="X102" s="16" t="n"/>
      <c r="Y102" s="16" t="n"/>
      <c r="Z102" s="16" t="n"/>
      <c r="AA102" s="16" t="n"/>
      <c r="AB102" s="16" t="n"/>
      <c r="AC102" s="16" t="n"/>
    </row>
    <row r="103">
      <c r="A103" s="39" t="n"/>
      <c r="B103" s="33" t="n">
        <v>46203</v>
      </c>
      <c r="C103" s="42" t="inlineStr">
        <is>
          <t>Tuần 1</t>
        </is>
      </c>
      <c r="D103" s="41">
        <f>IF(G103&lt;&gt;"","QLTTHDVMPL_"&amp;TEXT(COUNTIF($G$98:G103,"&lt;&gt;"),"00"),"")</f>
        <v/>
      </c>
      <c r="E103" s="41" t="n"/>
      <c r="F103" s="41" t="n"/>
      <c r="G103" s="14" t="inlineStr">
        <is>
          <t>Kiểm tra mã hỏi đáp hiển thị dạng link có thể bấm</t>
        </is>
      </c>
      <c r="H103" s="14" t="inlineStr">
        <is>
          <t>Có bản ghi trong danh sách</t>
        </is>
      </c>
      <c r="I103" s="14" t="inlineStr">
        <is>
          <t>Mã HĐ bất kỳ</t>
        </is>
      </c>
      <c r="J103" s="14" t="inlineStr">
        <is>
          <t>1. Truy cập danh sách
 2. Bấm vào Mã HĐ</t>
        </is>
      </c>
      <c r="K103" s="14" t="inlineStr">
        <is>
          <t>Điều hướng/mở màn hình chi tiết hỏi đáp tương ứng với đúng bản ghi đã chọn</t>
        </is>
      </c>
      <c r="L103" s="14" t="inlineStr">
        <is>
          <t>Điều hướng/mở màn hình chi tiết hỏi đáp tương ứng với đúng bản ghi đã chọn</t>
        </is>
      </c>
      <c r="M103" s="8" t="inlineStr">
        <is>
          <t>QLTTHDVMPL_06.jpg</t>
        </is>
      </c>
      <c r="N103" s="42" t="inlineStr">
        <is>
          <t>Pass</t>
        </is>
      </c>
      <c r="O103" s="16" t="n"/>
      <c r="P103" s="16" t="n"/>
      <c r="Q103" s="16" t="n"/>
      <c r="R103" s="16" t="n"/>
      <c r="S103" s="16" t="n"/>
      <c r="T103" s="16" t="n"/>
      <c r="U103" s="16" t="n"/>
      <c r="V103" s="16" t="n"/>
      <c r="W103" s="16" t="n"/>
      <c r="X103" s="16" t="n"/>
      <c r="Y103" s="16" t="n"/>
      <c r="Z103" s="16" t="n"/>
      <c r="AA103" s="16" t="n"/>
      <c r="AB103" s="16" t="n"/>
      <c r="AC103" s="16" t="n"/>
    </row>
    <row r="104">
      <c r="A104" s="39" t="n"/>
      <c r="B104" s="33" t="n">
        <v>46203</v>
      </c>
      <c r="C104" s="42" t="inlineStr">
        <is>
          <t>Tuần 1</t>
        </is>
      </c>
      <c r="D104" s="41">
        <f>IF(G104&lt;&gt;"","QLTTHDVMPL_"&amp;TEXT(COUNTIF($G$98:G104,"&lt;&gt;"),"00"),"")</f>
        <v/>
      </c>
      <c r="E104" s="41" t="n"/>
      <c r="F104" s="41" t="n"/>
      <c r="G104" s="14" t="inlineStr">
        <is>
          <t>Kiểm tra các tab trạng thái và số lượng hiển thị</t>
        </is>
      </c>
      <c r="H104" s="14" t="inlineStr">
        <is>
          <t>Có dữ liệu ở các trạng thái</t>
        </is>
      </c>
      <c r="I104" s="14" t="inlineStr">
        <is>
          <t>Tất cả, Mới, Đang xử lý, Chờ phê duyệt, Đã duyệt, Công khai, Hoàn thành</t>
        </is>
      </c>
      <c r="J104" s="14" t="inlineStr">
        <is>
          <t>1. Truy cập màn hình
 2. Quan sát các tab và badge số lượng</t>
        </is>
      </c>
      <c r="K104" s="14" t="inlineStr">
        <is>
          <t>Hiển thị đủ tab trạng thái theo thiết kế; badge số lượng khớp với dữ liệu tương ứng</t>
        </is>
      </c>
      <c r="L104" s="14" t="inlineStr">
        <is>
          <t>Hiển thị đủ tab trạng thái theo thiết kế; badge số lượng khớp với dữ liệu tương ứng</t>
        </is>
      </c>
      <c r="M104" s="8" t="inlineStr">
        <is>
          <t>QLTTHDVMPL_07.jpg</t>
        </is>
      </c>
      <c r="N104" s="42" t="inlineStr">
        <is>
          <t>Pass</t>
        </is>
      </c>
      <c r="O104" s="16" t="n"/>
      <c r="P104" s="16" t="n"/>
      <c r="Q104" s="16" t="n"/>
      <c r="R104" s="16" t="n"/>
      <c r="S104" s="16" t="n"/>
      <c r="T104" s="16" t="n"/>
      <c r="U104" s="16" t="n"/>
      <c r="V104" s="16" t="n"/>
      <c r="W104" s="16" t="n"/>
      <c r="X104" s="16" t="n"/>
      <c r="Y104" s="16" t="n"/>
      <c r="Z104" s="16" t="n"/>
      <c r="AA104" s="16" t="n"/>
      <c r="AB104" s="16" t="n"/>
      <c r="AC104" s="16" t="n"/>
    </row>
    <row r="105">
      <c r="A105" s="39" t="n"/>
      <c r="B105" s="33" t="n">
        <v>46203</v>
      </c>
      <c r="C105" s="42" t="inlineStr">
        <is>
          <t>Tuần 1</t>
        </is>
      </c>
      <c r="D105" s="41">
        <f>IF(G105&lt;&gt;"","QLTTHDVMPL_"&amp;TEXT(COUNTIF($G$98:G105,"&lt;&gt;"),"00"),"")</f>
        <v/>
      </c>
      <c r="E105" s="41" t="n"/>
      <c r="F105" s="41" t="n"/>
      <c r="G105" s="14" t="inlineStr">
        <is>
          <t>Kiểm tra bấm tab Mới</t>
        </is>
      </c>
      <c r="H105" s="14" t="inlineStr">
        <is>
          <t>Có bản ghi trạng thái Mới</t>
        </is>
      </c>
      <c r="I105" s="14" t="inlineStr">
        <is>
          <t>Tab Mới</t>
        </is>
      </c>
      <c r="J105" s="14" t="inlineStr">
        <is>
          <t>1. Bấm tab Mới</t>
        </is>
      </c>
      <c r="K105" s="14" t="inlineStr">
        <is>
          <t>Danh sách chỉ hiển thị bản ghi trạng thái Mới; tab Mới được active; số lượng hiển thị đúng</t>
        </is>
      </c>
      <c r="L105" s="14" t="inlineStr">
        <is>
          <t>Danh sách chỉ hiển thị bản ghi trạng thái Mới; tab Mới được active; số lượng hiển thị đúng</t>
        </is>
      </c>
      <c r="M105" s="8" t="inlineStr">
        <is>
          <t>QLTTHDVMPL_08.jpg</t>
        </is>
      </c>
      <c r="N105" s="42" t="inlineStr">
        <is>
          <t>Pass</t>
        </is>
      </c>
      <c r="O105" s="16" t="n"/>
      <c r="P105" s="16" t="n"/>
      <c r="Q105" s="16" t="n"/>
      <c r="R105" s="16" t="n"/>
      <c r="S105" s="16" t="n"/>
      <c r="T105" s="16" t="n"/>
      <c r="U105" s="16" t="n"/>
      <c r="V105" s="16" t="n"/>
      <c r="W105" s="16" t="n"/>
      <c r="X105" s="16" t="n"/>
      <c r="Y105" s="16" t="n"/>
      <c r="Z105" s="16" t="n"/>
      <c r="AA105" s="16" t="n"/>
      <c r="AB105" s="16" t="n"/>
      <c r="AC105" s="16" t="n"/>
    </row>
    <row r="106">
      <c r="A106" s="39" t="n"/>
      <c r="B106" s="33" t="n">
        <v>46203</v>
      </c>
      <c r="C106" s="42" t="inlineStr">
        <is>
          <t>Tuần 1</t>
        </is>
      </c>
      <c r="D106" s="41">
        <f>IF(G106&lt;&gt;"","QLTTHDVMPL_"&amp;TEXT(COUNTIF($G$98:G106,"&lt;&gt;"),"00"),"")</f>
        <v/>
      </c>
      <c r="E106" s="41" t="n"/>
      <c r="F106" s="41" t="n"/>
      <c r="G106" s="14" t="inlineStr">
        <is>
          <t>Kiểm tra bấm tab Đang xử lý</t>
        </is>
      </c>
      <c r="H106" s="14" t="inlineStr">
        <is>
          <t>Có bản ghi trạng thái Đang xử lý</t>
        </is>
      </c>
      <c r="I106" s="14" t="inlineStr">
        <is>
          <t>Tab Đang xử lý</t>
        </is>
      </c>
      <c r="J106" s="14" t="inlineStr">
        <is>
          <t>1. Bấm tab Đang xử lý</t>
        </is>
      </c>
      <c r="K106" s="14" t="inlineStr">
        <is>
          <t>Danh sách chỉ hiển thị bản ghi trạng thái Đang xử lý; tab được active</t>
        </is>
      </c>
      <c r="L106" s="14" t="inlineStr">
        <is>
          <t>Danh sách chỉ hiển thị bản ghi trạng thái Đang xử lý; tab được active</t>
        </is>
      </c>
      <c r="M106" s="8" t="inlineStr">
        <is>
          <t>QLTTHDVMPL_09.jpg</t>
        </is>
      </c>
      <c r="N106" s="42" t="inlineStr">
        <is>
          <t>Pass</t>
        </is>
      </c>
      <c r="O106" s="16" t="n"/>
      <c r="P106" s="16" t="n"/>
      <c r="Q106" s="16" t="n"/>
      <c r="R106" s="16" t="n"/>
      <c r="S106" s="16" t="n"/>
      <c r="T106" s="16" t="n"/>
      <c r="U106" s="16" t="n"/>
      <c r="V106" s="16" t="n"/>
      <c r="W106" s="16" t="n"/>
      <c r="X106" s="16" t="n"/>
      <c r="Y106" s="16" t="n"/>
      <c r="Z106" s="16" t="n"/>
      <c r="AA106" s="16" t="n"/>
      <c r="AB106" s="16" t="n"/>
      <c r="AC106" s="16" t="n"/>
    </row>
    <row r="107">
      <c r="A107" s="39" t="n"/>
      <c r="B107" s="33" t="n">
        <v>46203</v>
      </c>
      <c r="C107" s="42" t="inlineStr">
        <is>
          <t>Tuần 1</t>
        </is>
      </c>
      <c r="D107" s="41">
        <f>IF(G107&lt;&gt;"","QLTTHDVMPL_"&amp;TEXT(COUNTIF($G$98:G107,"&lt;&gt;"),"00"),"")</f>
        <v/>
      </c>
      <c r="E107" s="41" t="n"/>
      <c r="F107" s="41" t="n"/>
      <c r="G107" s="14" t="inlineStr">
        <is>
          <t>Kiểm tra sắp xếp theo Ngày tạo</t>
        </is>
      </c>
      <c r="H107" s="14" t="inlineStr">
        <is>
          <t>Có nhiều bản ghi khác ngày tạo</t>
        </is>
      </c>
      <c r="I107" s="14" t="inlineStr">
        <is>
          <t>Cột Ngày tạo</t>
        </is>
      </c>
      <c r="J107" s="14" t="inlineStr">
        <is>
          <t>1. Bấm biểu tượng sắp xếp ở cột Ngày tạo
 2. Bấm lại lần nữa</t>
        </is>
      </c>
      <c r="K107" s="14" t="inlineStr">
        <is>
          <t>Lần 1 danh sách sắp xếp tăng/giảm theo ngày tạo; lần 2 đảo chiều sắp xếp; dữ liệu đúng thứ tự</t>
        </is>
      </c>
      <c r="L107" s="16" t="inlineStr">
        <is>
          <t>Danh sách không cập nhật lại thứ tự khi nhấn vào cột Ngày tạo</t>
        </is>
      </c>
      <c r="M107" s="8" t="inlineStr">
        <is>
          <t>QLTTHDVMPL_10.webm</t>
        </is>
      </c>
      <c r="N107" s="42" t="inlineStr">
        <is>
          <t>Fail</t>
        </is>
      </c>
      <c r="O107" s="16" t="n"/>
      <c r="P107" s="16" t="inlineStr">
        <is>
          <t>dev done</t>
        </is>
      </c>
      <c r="Q107" s="16" t="n"/>
      <c r="R107" s="16" t="n"/>
      <c r="S107" s="16" t="n"/>
      <c r="T107" s="16" t="n"/>
      <c r="U107" s="16" t="n"/>
      <c r="V107" s="16" t="n"/>
      <c r="W107" s="16" t="n"/>
      <c r="X107" s="16" t="n"/>
      <c r="Y107" s="16" t="n"/>
      <c r="Z107" s="16" t="n"/>
      <c r="AA107" s="16" t="n"/>
      <c r="AB107" s="16" t="n"/>
      <c r="AC107" s="16" t="n"/>
    </row>
    <row r="108">
      <c r="A108" s="39" t="n"/>
      <c r="B108" s="33" t="n">
        <v>46203</v>
      </c>
      <c r="C108" s="42" t="inlineStr">
        <is>
          <t>Tuần 1</t>
        </is>
      </c>
      <c r="D108" s="41">
        <f>IF(G108&lt;&gt;"","QLTTHDVMPL_"&amp;TEXT(COUNTIF($G$98:G108,"&lt;&gt;"),"00"),"")</f>
        <v/>
      </c>
      <c r="E108" s="41" t="n"/>
      <c r="F108" s="41" t="n"/>
      <c r="G108" s="14" t="inlineStr">
        <is>
          <t>Kiểm tra hiển thị số lượng bản ghi và phân trang</t>
        </is>
      </c>
      <c r="H108" s="14" t="inlineStr">
        <is>
          <t>Có nhiều hơn 20 bản ghi</t>
        </is>
      </c>
      <c r="I108" s="14" t="inlineStr">
        <is>
          <t>Dữ liệu 44 bản ghi</t>
        </is>
      </c>
      <c r="J108" s="14" t="inlineStr">
        <is>
          <t>1. Truy cập màn hình
 2. Quan sát dòng 'Hiển thị 1-20 / 44 kết quả' và các nút trang</t>
        </is>
      </c>
      <c r="K108" s="14" t="inlineStr">
        <is>
          <t>Hiển thị đúng khoảng bản ghi hiện tại, tổng số kết quả và các nút trang</t>
        </is>
      </c>
      <c r="L108" s="14" t="inlineStr">
        <is>
          <t>Hiển thị đúng khoảng bản ghi hiện tại, tổng số kết quả và các nút trang</t>
        </is>
      </c>
      <c r="M108" s="8" t="inlineStr">
        <is>
          <t>QLTTHDVMPL_11.jpg</t>
        </is>
      </c>
      <c r="N108" s="42" t="inlineStr">
        <is>
          <t>Pass</t>
        </is>
      </c>
      <c r="O108" s="16" t="n"/>
      <c r="P108" s="16" t="n"/>
      <c r="Q108" s="16" t="n"/>
      <c r="R108" s="16" t="n"/>
      <c r="S108" s="16" t="n"/>
      <c r="T108" s="16" t="n"/>
      <c r="U108" s="16" t="n"/>
      <c r="V108" s="16" t="n"/>
      <c r="W108" s="16" t="n"/>
      <c r="X108" s="16" t="n"/>
      <c r="Y108" s="16" t="n"/>
      <c r="Z108" s="16" t="n"/>
      <c r="AA108" s="16" t="n"/>
      <c r="AB108" s="16" t="n"/>
      <c r="AC108" s="16" t="n"/>
    </row>
    <row r="109">
      <c r="A109" s="39" t="n"/>
      <c r="B109" s="33" t="n">
        <v>46203</v>
      </c>
      <c r="C109" s="42" t="inlineStr">
        <is>
          <t>Tuần 1</t>
        </is>
      </c>
      <c r="D109" s="41">
        <f>IF(G109&lt;&gt;"","QLTTHDVMPL_"&amp;TEXT(COUNTIF($G$98:G109,"&lt;&gt;"),"00"),"")</f>
        <v/>
      </c>
      <c r="E109" s="41" t="n"/>
      <c r="F109" s="41" t="n"/>
      <c r="G109" s="14" t="inlineStr">
        <is>
          <t>Kiểm tra chuyển sang trang tiếp theo</t>
        </is>
      </c>
      <c r="H109" s="14" t="inlineStr">
        <is>
          <t>Có nhiều hơn 1 trang dữ liệu</t>
        </is>
      </c>
      <c r="I109" s="14" t="inlineStr">
        <is>
          <t>Bấm trang 2 hoặc nút &gt;</t>
        </is>
      </c>
      <c r="J109" s="14" t="inlineStr">
        <is>
          <t>1. Bấm trang 2 hoặc nút chuyển trang</t>
        </is>
      </c>
      <c r="K109" s="14" t="inlineStr">
        <is>
          <t>Danh sách tải dữ liệu trang 2; không trùng dữ liệu trang 1; chỉ số hiển thị cập nhật đúng</t>
        </is>
      </c>
      <c r="L109" s="14" t="inlineStr">
        <is>
          <t>Danh sách tải dữ liệu trang 2; không trùng dữ liệu trang 1; chỉ số hiển thị cập nhật đúng</t>
        </is>
      </c>
      <c r="M109" s="8" t="inlineStr">
        <is>
          <t>QLTTHDVMPL_12.jpg</t>
        </is>
      </c>
      <c r="N109" s="42" t="inlineStr">
        <is>
          <t>Pass</t>
        </is>
      </c>
      <c r="O109" s="16" t="n"/>
      <c r="P109" s="16" t="n"/>
      <c r="Q109" s="16" t="n"/>
      <c r="R109" s="16" t="n"/>
      <c r="S109" s="16" t="n"/>
      <c r="T109" s="16" t="n"/>
      <c r="U109" s="16" t="n"/>
      <c r="V109" s="16" t="n"/>
      <c r="W109" s="16" t="n"/>
      <c r="X109" s="16" t="n"/>
      <c r="Y109" s="16" t="n"/>
      <c r="Z109" s="16" t="n"/>
      <c r="AA109" s="16" t="n"/>
      <c r="AB109" s="16" t="n"/>
      <c r="AC109" s="16" t="n"/>
    </row>
    <row r="110">
      <c r="A110" s="39" t="n"/>
      <c r="B110" s="33" t="n">
        <v>46203</v>
      </c>
      <c r="C110" s="42" t="inlineStr">
        <is>
          <t>Tuần 1</t>
        </is>
      </c>
      <c r="D110" s="41">
        <f>IF(G110&lt;&gt;"","QLTTHDVMPL_"&amp;TEXT(COUNTIF($G$98:G110,"&lt;&gt;"),"00"),"")</f>
        <v/>
      </c>
      <c r="E110" s="41" t="n"/>
      <c r="F110" s="41" t="n"/>
      <c r="G110" s="14" t="inlineStr">
        <is>
          <t>Kiểm tra thay đổi số bản ghi/trang</t>
        </is>
      </c>
      <c r="H110" s="14" t="inlineStr">
        <is>
          <t>Có nhiều bản ghi</t>
        </is>
      </c>
      <c r="I110" s="14" t="inlineStr">
        <is>
          <t>Chọn 10/trang, 20/trang nếu hệ thống hỗ trợ</t>
        </is>
      </c>
      <c r="J110" s="14" t="inlineStr">
        <is>
          <t>1. Mở dropdown số dòng/trang
 2. Chọn giá trị khác</t>
        </is>
      </c>
      <c r="K110" s="14" t="inlineStr">
        <is>
          <t>Danh sách cập nhật số dòng theo lựa chọn; phân trang và tổng số kết quả cập nhật đúng</t>
        </is>
      </c>
      <c r="L110" s="14" t="inlineStr">
        <is>
          <t>Danh sách cập nhật số dòng theo lựa chọn; phân trang và tổng số kết quả cập nhật đúng</t>
        </is>
      </c>
      <c r="M110" s="8" t="inlineStr">
        <is>
          <t>QLTTHDVMPL_13.jpg</t>
        </is>
      </c>
      <c r="N110" s="42" t="inlineStr">
        <is>
          <t>Pass</t>
        </is>
      </c>
      <c r="O110" s="16" t="n"/>
      <c r="P110" s="16" t="n"/>
      <c r="Q110" s="16" t="n"/>
      <c r="R110" s="16" t="n"/>
      <c r="S110" s="16" t="n"/>
      <c r="T110" s="16" t="n"/>
      <c r="U110" s="16" t="n"/>
      <c r="V110" s="16" t="n"/>
      <c r="W110" s="16" t="n"/>
      <c r="X110" s="16" t="n"/>
      <c r="Y110" s="16" t="n"/>
      <c r="Z110" s="16" t="n"/>
      <c r="AA110" s="16" t="n"/>
      <c r="AB110" s="16" t="n"/>
      <c r="AC110" s="16" t="n"/>
    </row>
    <row r="111">
      <c r="A111" s="39" t="n"/>
      <c r="B111" s="33" t="n">
        <v>46203</v>
      </c>
      <c r="C111" s="42" t="inlineStr">
        <is>
          <t>Tuần 1</t>
        </is>
      </c>
      <c r="D111" s="41">
        <f>IF(G111&lt;&gt;"","QLTTHDVMPL_"&amp;TEXT(COUNTIF($G$98:G111,"&lt;&gt;"),"00"),"")</f>
        <v/>
      </c>
      <c r="E111" s="41" t="n"/>
      <c r="F111" s="41" t="n"/>
      <c r="G111" s="14" t="inlineStr">
        <is>
          <t>Kiểm tra icon Xem chi tiết</t>
        </is>
      </c>
      <c r="H111" s="14" t="inlineStr">
        <is>
          <t>Có bản ghi trong danh sách</t>
        </is>
      </c>
      <c r="I111" s="14" t="inlineStr">
        <is>
          <t>Icon mắt tại cột Hành động</t>
        </is>
      </c>
      <c r="J111" s="14" t="inlineStr">
        <is>
          <t>1. Bấm icon Xem của 1 bản ghi</t>
        </is>
      </c>
      <c r="K111" s="14" t="inlineStr">
        <is>
          <t>Mở màn hình chi tiết đúng bản ghi; thông tin chi tiết khớp với dòng đã chọn</t>
        </is>
      </c>
      <c r="L111" s="14" t="inlineStr">
        <is>
          <t>Mở màn hình chi tiết đúng bản ghi; thông tin chi tiết khớp với dòng đã chọn</t>
        </is>
      </c>
      <c r="M111" s="8" t="inlineStr">
        <is>
          <t>QLTTHDVMPL_14.jpg</t>
        </is>
      </c>
      <c r="N111" s="42" t="inlineStr">
        <is>
          <t>Pass</t>
        </is>
      </c>
      <c r="O111" s="16" t="n"/>
      <c r="P111" s="16" t="n"/>
      <c r="Q111" s="16" t="n"/>
      <c r="R111" s="16" t="n"/>
      <c r="S111" s="16" t="n"/>
      <c r="T111" s="16" t="n"/>
      <c r="U111" s="16" t="n"/>
      <c r="V111" s="16" t="n"/>
      <c r="W111" s="16" t="n"/>
      <c r="X111" s="16" t="n"/>
      <c r="Y111" s="16" t="n"/>
      <c r="Z111" s="16" t="n"/>
      <c r="AA111" s="16" t="n"/>
      <c r="AB111" s="16" t="n"/>
      <c r="AC111" s="16" t="n"/>
    </row>
    <row r="112">
      <c r="A112" s="39" t="n"/>
      <c r="B112" s="33" t="n">
        <v>46203</v>
      </c>
      <c r="C112" s="42" t="inlineStr">
        <is>
          <t>Tuần 1</t>
        </is>
      </c>
      <c r="D112" s="41">
        <f>IF(G112&lt;&gt;"","QLTTHDVMPL_"&amp;TEXT(COUNTIF($G$98:G112,"&lt;&gt;"),"00"),"")</f>
        <v/>
      </c>
      <c r="E112" s="41" t="n"/>
      <c r="F112" s="41" t="n"/>
      <c r="G112" s="14" t="inlineStr">
        <is>
          <t>Kiểm tra chọn từng bản ghi bằng checkbox</t>
        </is>
      </c>
      <c r="H112" s="14" t="inlineStr">
        <is>
          <t>Có bản ghi trong danh sách</t>
        </is>
      </c>
      <c r="I112" s="14" t="inlineStr">
        <is>
          <t>Checkbox từng dòng</t>
        </is>
      </c>
      <c r="J112" s="14" t="inlineStr">
        <is>
          <t>1. Tick checkbox 1 dòng
 2. Bỏ tick checkbox</t>
        </is>
      </c>
      <c r="K112" s="14" t="inlineStr">
        <is>
          <t>Dòng được chọn/bỏ chọn đúng; trạng thái checkbox phản ánh chính xác</t>
        </is>
      </c>
      <c r="L112" s="14" t="inlineStr">
        <is>
          <t>Dòng được chọn/bỏ chọn đúng; trạng thái checkbox phản ánh chính xác</t>
        </is>
      </c>
      <c r="M112" s="8" t="inlineStr">
        <is>
          <t>QLTTHDVMPL_15.jpg</t>
        </is>
      </c>
      <c r="N112" s="42" t="inlineStr">
        <is>
          <t>Pass</t>
        </is>
      </c>
      <c r="O112" s="16" t="n"/>
      <c r="P112" s="16" t="n"/>
      <c r="Q112" s="16" t="n"/>
      <c r="R112" s="16" t="n"/>
      <c r="S112" s="16" t="n"/>
      <c r="T112" s="16" t="n"/>
      <c r="U112" s="16" t="n"/>
      <c r="V112" s="16" t="n"/>
      <c r="W112" s="16" t="n"/>
      <c r="X112" s="16" t="n"/>
      <c r="Y112" s="16" t="n"/>
      <c r="Z112" s="16" t="n"/>
      <c r="AA112" s="16" t="n"/>
      <c r="AB112" s="16" t="n"/>
      <c r="AC112" s="16" t="n"/>
    </row>
    <row r="113">
      <c r="A113" s="39" t="n"/>
      <c r="B113" s="33" t="n">
        <v>46203</v>
      </c>
      <c r="C113" s="42" t="inlineStr">
        <is>
          <t>Tuần 1</t>
        </is>
      </c>
      <c r="D113" s="41">
        <f>IF(G113&lt;&gt;"","QLTTHDVMPL_"&amp;TEXT(COUNTIF($G$98:G113,"&lt;&gt;"),"00"),"")</f>
        <v/>
      </c>
      <c r="E113" s="41" t="n"/>
      <c r="F113" s="41" t="n"/>
      <c r="G113" s="14" t="inlineStr">
        <is>
          <t>Kiểm tra checkbox chọn tất cả trên trang hiện tại</t>
        </is>
      </c>
      <c r="H113" s="14" t="inlineStr">
        <is>
          <t>Có nhiều bản ghi trên trang</t>
        </is>
      </c>
      <c r="I113" s="14" t="inlineStr">
        <is>
          <t>Checkbox header</t>
        </is>
      </c>
      <c r="J113" s="14" t="inlineStr">
        <is>
          <t>1. Tick checkbox ở header
 2. Bỏ tick checkbox ở header</t>
        </is>
      </c>
      <c r="K113" s="14" t="inlineStr">
        <is>
          <t>Tất cả bản ghi trên trang hiện tại được chọn/bỏ chọn; không ảnh hưởng dữ liệu trang khác nếu chưa tải</t>
        </is>
      </c>
      <c r="L113" s="14" t="inlineStr">
        <is>
          <t>Tất cả bản ghi trên trang hiện tại được chọn/bỏ chọn; không ảnh hưởng dữ liệu trang khác nếu chưa tải</t>
        </is>
      </c>
      <c r="M113" s="8" t="inlineStr">
        <is>
          <t>QLTTHDVMPL_16.jpg</t>
        </is>
      </c>
      <c r="N113" s="42" t="inlineStr">
        <is>
          <t>Pass</t>
        </is>
      </c>
      <c r="O113" s="16" t="n"/>
      <c r="P113" s="16" t="n"/>
      <c r="Q113" s="16" t="n"/>
      <c r="R113" s="16" t="n"/>
      <c r="S113" s="16" t="n"/>
      <c r="T113" s="16" t="n"/>
      <c r="U113" s="16" t="n"/>
      <c r="V113" s="16" t="n"/>
      <c r="W113" s="16" t="n"/>
      <c r="X113" s="16" t="n"/>
      <c r="Y113" s="16" t="n"/>
      <c r="Z113" s="16" t="n"/>
      <c r="AA113" s="16" t="n"/>
      <c r="AB113" s="16" t="n"/>
      <c r="AC113" s="16" t="n"/>
    </row>
    <row r="114">
      <c r="A114" s="39" t="n"/>
      <c r="B114" s="33" t="n">
        <v>46203</v>
      </c>
      <c r="C114" s="42" t="inlineStr">
        <is>
          <t>Tuần 1</t>
        </is>
      </c>
      <c r="D114" s="41">
        <f>IF(G114&lt;&gt;"","QLTTHDVMPL_"&amp;TEXT(COUNTIF($G$98:G114,"&lt;&gt;"),"00"),"")</f>
        <v/>
      </c>
      <c r="E114" s="41" t="n"/>
      <c r="F114" s="41" t="n"/>
      <c r="G114" s="14" t="inlineStr">
        <is>
          <t>Kiểm tra xuất Excel danh sách hiện tại</t>
        </is>
      </c>
      <c r="H114" s="14" t="inlineStr">
        <is>
          <t>Có dữ liệu danh sách</t>
        </is>
      </c>
      <c r="I114" s="14" t="inlineStr">
        <is>
          <t>Nút Xuất Excel</t>
        </is>
      </c>
      <c r="J114" s="14" t="inlineStr">
        <is>
          <t>1. Lọc dữ liệu nếu cần
 2. Bấm Xuất Excel
 3. Mở file tải về</t>
        </is>
      </c>
      <c r="K114" s="14" t="inlineStr">
        <is>
          <t>File Excel được tải về thành công; dữ liệu trong file khớp với danh sách/điều kiện lọc; đúng các cột cần xuất</t>
        </is>
      </c>
      <c r="L114" s="14" t="inlineStr">
        <is>
          <t>File Excel được tải về thành công; dữ liệu trong file khớp với danh sách/điều kiện lọc; đúng các cột cần xuất</t>
        </is>
      </c>
      <c r="M114" s="8" t="inlineStr">
        <is>
          <t>QLTTHDVMPL_17.jpg</t>
        </is>
      </c>
      <c r="N114" s="42" t="inlineStr">
        <is>
          <t>Pass</t>
        </is>
      </c>
      <c r="O114" s="16" t="n"/>
      <c r="P114" s="16" t="n"/>
      <c r="Q114" s="16" t="n"/>
      <c r="R114" s="16" t="n"/>
      <c r="S114" s="16" t="n"/>
      <c r="T114" s="16" t="n"/>
      <c r="U114" s="16" t="n"/>
      <c r="V114" s="16" t="n"/>
      <c r="W114" s="16" t="n"/>
      <c r="X114" s="16" t="n"/>
      <c r="Y114" s="16" t="n"/>
      <c r="Z114" s="16" t="n"/>
      <c r="AA114" s="16" t="n"/>
      <c r="AB114" s="16" t="n"/>
      <c r="AC114" s="16" t="n"/>
    </row>
    <row r="115">
      <c r="A115" s="39" t="n"/>
      <c r="B115" s="33" t="n">
        <v>46203</v>
      </c>
      <c r="C115" s="42" t="inlineStr">
        <is>
          <t>Tuần 1</t>
        </is>
      </c>
      <c r="D115" s="41">
        <f>IF(G115&lt;&gt;"","QLTTHDVMPL_"&amp;TEXT(COUNTIF($G$98:G115,"&lt;&gt;"),"00"),"")</f>
        <v/>
      </c>
      <c r="E115" s="41" t="n"/>
      <c r="F115" s="41" t="n"/>
      <c r="G115" s="14" t="inlineStr">
        <is>
          <t>Kiểm tra nút Làm mới</t>
        </is>
      </c>
      <c r="H115" s="14" t="inlineStr">
        <is>
          <t>Danh sách đang hiển thị</t>
        </is>
      </c>
      <c r="I115" s="14" t="inlineStr">
        <is>
          <t>Nút Làm mới</t>
        </is>
      </c>
      <c r="J115" s="14" t="inlineStr">
        <is>
          <t>1. Bấm Làm mới</t>
        </is>
      </c>
      <c r="K115" s="14" t="inlineStr">
        <is>
          <t>Danh sách được tải lại; dữ liệu mới nhất hiển thị; không làm lỗi giao diện</t>
        </is>
      </c>
      <c r="L115" s="14" t="inlineStr">
        <is>
          <t>Danh sách được tải lại; dữ liệu mới nhất hiển thị; không làm lỗi giao diện</t>
        </is>
      </c>
      <c r="M115" s="8" t="inlineStr">
        <is>
          <t>QLTTHDVMPL_18.jpg</t>
        </is>
      </c>
      <c r="N115" s="42" t="inlineStr">
        <is>
          <t>Pass</t>
        </is>
      </c>
      <c r="O115" s="16" t="n"/>
      <c r="P115" s="16" t="n"/>
      <c r="Q115" s="16" t="n"/>
      <c r="R115" s="16" t="n"/>
      <c r="S115" s="16" t="n"/>
      <c r="T115" s="16" t="n"/>
      <c r="U115" s="16" t="n"/>
      <c r="V115" s="16" t="n"/>
      <c r="W115" s="16" t="n"/>
      <c r="X115" s="16" t="n"/>
      <c r="Y115" s="16" t="n"/>
      <c r="Z115" s="16" t="n"/>
      <c r="AA115" s="16" t="n"/>
      <c r="AB115" s="16" t="n"/>
      <c r="AC115" s="16" t="n"/>
    </row>
    <row r="116">
      <c r="A116" s="39" t="n"/>
      <c r="B116" s="33" t="n">
        <v>46203</v>
      </c>
      <c r="C116" s="42" t="inlineStr">
        <is>
          <t>Tuần 1</t>
        </is>
      </c>
      <c r="D116" s="41">
        <f>IF(G116&lt;&gt;"","QLTTHDVMPL_"&amp;TEXT(COUNTIF($G$98:G116,"&lt;&gt;"),"00"),"")</f>
        <v/>
      </c>
      <c r="E116" s="41" t="n"/>
      <c r="F116" s="41" t="n"/>
      <c r="G116" s="14" t="inlineStr">
        <is>
          <t>Kiểm tra giao diện khi màn hình nhỏ/zoom</t>
        </is>
      </c>
      <c r="H116" s="14" t="inlineStr">
        <is>
          <t>Có quyền truy cập</t>
        </is>
      </c>
      <c r="I116" s="14" t="inlineStr">
        <is>
          <t>Zoom 125%, màn hình laptop</t>
        </is>
      </c>
      <c r="J116" s="14" t="inlineStr">
        <is>
          <t>1. Mở màn hình ở kích thước nhỏ hoặc zoom trình duyệt
 2. Quan sát bảng và bộ lọc</t>
        </is>
      </c>
      <c r="K116" s="14" t="inlineStr">
        <is>
          <t>Giao diện không vỡ; bảng có scroll ngang nếu cần; nút chức năng vẫn thao tác được</t>
        </is>
      </c>
      <c r="L116" s="14" t="inlineStr">
        <is>
          <t>Giao diện không vỡ; bảng có scroll ngang nếu cần; nút chức năng vẫn thao tác được</t>
        </is>
      </c>
      <c r="M116" s="8" t="inlineStr">
        <is>
          <t>QLTTHDVMPL_19.jpg</t>
        </is>
      </c>
      <c r="N116" s="42" t="inlineStr">
        <is>
          <t>Pass</t>
        </is>
      </c>
      <c r="O116" s="16" t="n"/>
      <c r="P116" s="16" t="n"/>
      <c r="Q116" s="16" t="n"/>
      <c r="R116" s="16" t="n"/>
      <c r="S116" s="16" t="n"/>
      <c r="T116" s="16" t="n"/>
      <c r="U116" s="16" t="n"/>
      <c r="V116" s="16" t="n"/>
      <c r="W116" s="16" t="n"/>
      <c r="X116" s="16" t="n"/>
      <c r="Y116" s="16" t="n"/>
      <c r="Z116" s="16" t="n"/>
      <c r="AA116" s="16" t="n"/>
      <c r="AB116" s="16" t="n"/>
      <c r="AC116" s="16" t="n"/>
    </row>
    <row r="117">
      <c r="A117" s="17" t="n"/>
      <c r="B117" s="18" t="n">
        <v>11</v>
      </c>
      <c r="C117" s="42" t="inlineStr">
        <is>
          <t>Tuần 1</t>
        </is>
      </c>
      <c r="D117" s="24">
        <f>IF(G117&lt;&gt;"","TKHDVMTH_"&amp;TEXT(COUNTIF($G$117:G117,"&lt;&gt;"),"00"),"")</f>
        <v/>
      </c>
      <c r="E117" s="24" t="inlineStr">
        <is>
          <t>Tìm kiếm hỏi đáp, vướng mắc được tổng hợp</t>
        </is>
      </c>
      <c r="F117" s="24" t="inlineStr">
        <is>
          <t>Cán  bộ 
 TW,BN,ĐP</t>
        </is>
      </c>
      <c r="G117" s="27" t="inlineStr">
        <is>
          <t>Cung cấp công cụ tìm kiếm toàn văn, nâng cao theo lĩnh vực, thời gian đối với các yêu cầu hỏi đáp đã tổng hợp.</t>
        </is>
      </c>
      <c r="H117" s="34" t="inlineStr">
        <is>
          <t>Lưu ý uc 11.14.19 sẽ trùng chức năng tìm kiếm</t>
        </is>
      </c>
      <c r="I117" s="42" t="n"/>
      <c r="J117" s="14" t="inlineStr">
        <is>
          <t>1. Đăng nhập hệ thống
 2. Vào menu Trang chủ &gt; Hỏi đáp pháp lý</t>
        </is>
      </c>
      <c r="K117" s="16" t="inlineStr">
        <is>
          <t>Cung cấp công cụ tìm kiếm toàn văn, nâng cao theo lĩnh vực, thời gian đối với các yêu cầu hỏi đáp đã tổng hợp.</t>
        </is>
      </c>
      <c r="L117" s="16" t="inlineStr">
        <is>
          <t>Cung cấp công cụ tìm kiếm toàn văn, nâng cao theo lĩnh vực, thời gian đối với các yêu cầu hỏi đáp đã tổng hợp.</t>
        </is>
      </c>
      <c r="M117" s="8" t="inlineStr">
        <is>
          <t>TKHDVMTH_01.jpg</t>
        </is>
      </c>
      <c r="N117" s="42" t="inlineStr">
        <is>
          <t>Pass</t>
        </is>
      </c>
      <c r="O117" s="16" t="n"/>
      <c r="P117" s="16" t="n"/>
      <c r="Q117" s="16" t="n"/>
      <c r="R117" s="16" t="n"/>
      <c r="S117" s="16" t="n"/>
      <c r="T117" s="16" t="n"/>
      <c r="U117" s="16" t="n"/>
      <c r="V117" s="16" t="n"/>
      <c r="W117" s="16" t="n"/>
      <c r="X117" s="16" t="n"/>
      <c r="Y117" s="16" t="n"/>
      <c r="Z117" s="16" t="n"/>
      <c r="AA117" s="16" t="n"/>
      <c r="AB117" s="16" t="n"/>
      <c r="AC117" s="16" t="n"/>
    </row>
    <row r="118">
      <c r="A118" s="39" t="n"/>
      <c r="B118" s="33" t="n">
        <v>46203</v>
      </c>
      <c r="C118" s="42" t="inlineStr">
        <is>
          <t>Tuần 1</t>
        </is>
      </c>
      <c r="D118" s="41">
        <f>IF(G118&lt;&gt;"","TKHDVMTH_"&amp;TEXT(COUNTIF($G$117:G118,"&lt;&gt;"),"00"),"")</f>
        <v/>
      </c>
      <c r="E118" s="41" t="n"/>
      <c r="F118" s="41" t="n"/>
      <c r="G118" s="14" t="inlineStr">
        <is>
          <t>Kiểm tra tìm kiếm theo nội dung câu hỏi</t>
        </is>
      </c>
      <c r="H118" s="14" t="inlineStr">
        <is>
          <t>Có dữ liệu chứa từ khóa cần tìm</t>
        </is>
      </c>
      <c r="I118" s="14" t="inlineStr">
        <is>
          <t>Từ khóa: 'Doanh nghiệp'</t>
        </is>
      </c>
      <c r="J118" s="14" t="inlineStr">
        <is>
          <t>1. Nhập từ khóa vào ô tìm kiếm
 2. Bấm Tìm kiếm</t>
        </is>
      </c>
      <c r="K118" s="14" t="inlineStr">
        <is>
          <t>Danh sách chỉ hiển thị các bản ghi có nội dung/mã/người gửi phù hợp với từ khóa; số lượng kết quả được cập nhật đúng</t>
        </is>
      </c>
      <c r="L118" s="14" t="inlineStr">
        <is>
          <t>Danh sách chỉ hiển thị các bản ghi có nội dung/mã/người gửi phù hợp với từ khóa; số lượng kết quả được cập nhật đúng</t>
        </is>
      </c>
      <c r="M118" s="8" t="inlineStr">
        <is>
          <t>TKHDVMTH_02.jpg</t>
        </is>
      </c>
      <c r="N118" s="42" t="inlineStr">
        <is>
          <t>Pass</t>
        </is>
      </c>
      <c r="O118" s="16" t="n"/>
      <c r="P118" s="16" t="n"/>
      <c r="Q118" s="16" t="n"/>
      <c r="R118" s="16" t="n"/>
      <c r="S118" s="16" t="n"/>
      <c r="T118" s="16" t="n"/>
      <c r="U118" s="16" t="n"/>
      <c r="V118" s="16" t="n"/>
      <c r="W118" s="16" t="n"/>
      <c r="X118" s="16" t="n"/>
      <c r="Y118" s="16" t="n"/>
      <c r="Z118" s="16" t="n"/>
      <c r="AA118" s="16" t="n"/>
      <c r="AB118" s="16" t="n"/>
      <c r="AC118" s="16" t="n"/>
    </row>
    <row r="119">
      <c r="A119" s="39" t="n"/>
      <c r="B119" s="33" t="n">
        <v>46203</v>
      </c>
      <c r="C119" s="42" t="inlineStr">
        <is>
          <t>Tuần 1</t>
        </is>
      </c>
      <c r="D119" s="41">
        <f>IF(G119&lt;&gt;"","TKHDVMTH_"&amp;TEXT(COUNTIF($G$117:G119,"&lt;&gt;"),"00"),"")</f>
        <v/>
      </c>
      <c r="E119" s="41" t="n"/>
      <c r="F119" s="41" t="n"/>
      <c r="G119" s="14" t="inlineStr">
        <is>
          <t>Kiểm tra tìm kiếm theo mã hỏi đáp</t>
        </is>
      </c>
      <c r="H119" s="14" t="inlineStr">
        <is>
          <t>Có bản ghi có mã HĐ cụ thể</t>
        </is>
      </c>
      <c r="I119" s="14" t="inlineStr">
        <is>
          <t>Mã HĐ: HD-20260624-001</t>
        </is>
      </c>
      <c r="J119" s="14" t="inlineStr">
        <is>
          <t>1. Nhập mã HĐ vào ô tìm kiếm
 2. Bấm Tìm kiếm</t>
        </is>
      </c>
      <c r="K119" s="14" t="inlineStr">
        <is>
          <t>Hiển thị đúng bản ghi có mã HĐ tương ứng; không hiển thị bản ghi không liên quan</t>
        </is>
      </c>
      <c r="L119" s="14" t="inlineStr">
        <is>
          <t>Hiển thị đúng bản ghi có mã HĐ tương ứng; không hiển thị bản ghi không liên quan</t>
        </is>
      </c>
      <c r="M119" s="8" t="inlineStr">
        <is>
          <t>TKHDVMTH_03.jpg</t>
        </is>
      </c>
      <c r="N119" s="42" t="inlineStr">
        <is>
          <t>Pass</t>
        </is>
      </c>
      <c r="O119" s="16" t="n"/>
      <c r="P119" s="16" t="n"/>
      <c r="Q119" s="16" t="n"/>
      <c r="R119" s="16" t="n"/>
      <c r="S119" s="16" t="n"/>
      <c r="T119" s="16" t="n"/>
      <c r="U119" s="16" t="n"/>
      <c r="V119" s="16" t="n"/>
      <c r="W119" s="16" t="n"/>
      <c r="X119" s="16" t="n"/>
      <c r="Y119" s="16" t="n"/>
      <c r="Z119" s="16" t="n"/>
      <c r="AA119" s="16" t="n"/>
      <c r="AB119" s="16" t="n"/>
      <c r="AC119" s="16" t="n"/>
    </row>
    <row r="120">
      <c r="A120" s="39" t="n"/>
      <c r="B120" s="33" t="n">
        <v>46203</v>
      </c>
      <c r="C120" s="42" t="inlineStr">
        <is>
          <t>Tuần 1</t>
        </is>
      </c>
      <c r="D120" s="41">
        <f>IF(G120&lt;&gt;"","TKHDVMTH_"&amp;TEXT(COUNTIF($G$117:G120,"&lt;&gt;"),"00"),"")</f>
        <v/>
      </c>
      <c r="E120" s="41" t="n"/>
      <c r="F120" s="41" t="n"/>
      <c r="G120" s="14" t="inlineStr">
        <is>
          <t>Kiểm tra tìm kiếm theo người gửi</t>
        </is>
      </c>
      <c r="H120" s="14" t="inlineStr">
        <is>
          <t>Có bản ghi người gửi cụ thể</t>
        </is>
      </c>
      <c r="I120" s="14" t="inlineStr">
        <is>
          <t>Người gửi: Nguyễn Văn A</t>
        </is>
      </c>
      <c r="J120" s="14" t="inlineStr">
        <is>
          <t>1. Nhập tên người gửi vào ô tìm kiếm
 2. Bấm Tìm kiếm</t>
        </is>
      </c>
      <c r="K120" s="14" t="inlineStr">
        <is>
          <t>Danh sách hiển thị các bản ghi của người gửi phù hợp</t>
        </is>
      </c>
      <c r="L120" s="14" t="inlineStr">
        <is>
          <t>Danh sách hiển thị các bản ghi của người gửi phù hợp</t>
        </is>
      </c>
      <c r="M120" s="8" t="inlineStr">
        <is>
          <t>TKHDVMTH_04.jpg</t>
        </is>
      </c>
      <c r="N120" s="42" t="inlineStr">
        <is>
          <t>Pass</t>
        </is>
      </c>
      <c r="O120" s="16" t="n"/>
      <c r="P120" s="16" t="n"/>
      <c r="Q120" s="16" t="n"/>
      <c r="R120" s="16" t="n"/>
      <c r="S120" s="16" t="n"/>
      <c r="T120" s="16" t="n"/>
      <c r="U120" s="16" t="n"/>
      <c r="V120" s="16" t="n"/>
      <c r="W120" s="16" t="n"/>
      <c r="X120" s="16" t="n"/>
      <c r="Y120" s="16" t="n"/>
      <c r="Z120" s="16" t="n"/>
      <c r="AA120" s="16" t="n"/>
      <c r="AB120" s="16" t="n"/>
      <c r="AC120" s="16" t="n"/>
    </row>
    <row r="121">
      <c r="A121" s="39" t="n"/>
      <c r="B121" s="33" t="n">
        <v>46203</v>
      </c>
      <c r="C121" s="42" t="inlineStr">
        <is>
          <t>Tuần 1</t>
        </is>
      </c>
      <c r="D121" s="41">
        <f>IF(G121&lt;&gt;"","TKHDVMTH_"&amp;TEXT(COUNTIF($G$117:G121,"&lt;&gt;"),"00"),"")</f>
        <v/>
      </c>
      <c r="E121" s="41" t="n"/>
      <c r="F121" s="41" t="n"/>
      <c r="G121" s="14" t="inlineStr">
        <is>
          <t>Kiểm tra tìm kiếm khi không có kết quả</t>
        </is>
      </c>
      <c r="H121" s="14" t="inlineStr">
        <is>
          <t>Có quyền truy cập màn hình</t>
        </is>
      </c>
      <c r="I121" s="14" t="inlineStr">
        <is>
          <t>Từ khóa không tồn tại: xyz999</t>
        </is>
      </c>
      <c r="J121" s="14" t="inlineStr">
        <is>
          <t>1. Nhập từ khóa không tồn tại
 2. Bấm Tìm kiếm</t>
        </is>
      </c>
      <c r="K121" s="14" t="inlineStr">
        <is>
          <t>Hiển thị trạng thái không có dữ liệu/kết quả; không lỗi giao diện; phân trang hiển thị phù hợp</t>
        </is>
      </c>
      <c r="L121" s="14" t="inlineStr">
        <is>
          <t>Hiển thị trạng thái không có dữ liệu/kết quả; không lỗi giao diện; phân trang hiển thị phù hợp</t>
        </is>
      </c>
      <c r="M121" s="8" t="inlineStr">
        <is>
          <t>TKHDVMTH_05.jpg</t>
        </is>
      </c>
      <c r="N121" s="42" t="inlineStr">
        <is>
          <t>Pass</t>
        </is>
      </c>
      <c r="O121" s="16" t="n"/>
      <c r="P121" s="16" t="n"/>
      <c r="Q121" s="16" t="n"/>
      <c r="R121" s="16" t="n"/>
      <c r="S121" s="16" t="n"/>
      <c r="T121" s="16" t="n"/>
      <c r="U121" s="16" t="n"/>
      <c r="V121" s="16" t="n"/>
      <c r="W121" s="16" t="n"/>
      <c r="X121" s="16" t="n"/>
      <c r="Y121" s="16" t="n"/>
      <c r="Z121" s="16" t="n"/>
      <c r="AA121" s="16" t="n"/>
      <c r="AB121" s="16" t="n"/>
      <c r="AC121" s="16" t="n"/>
    </row>
    <row r="122">
      <c r="A122" s="39" t="n"/>
      <c r="B122" s="33" t="n">
        <v>46203</v>
      </c>
      <c r="C122" s="42" t="inlineStr">
        <is>
          <t>Tuần 1</t>
        </is>
      </c>
      <c r="D122" s="41">
        <f>IF(G122&lt;&gt;"","TKHDVMTH_"&amp;TEXT(COUNTIF($G$117:G122,"&lt;&gt;"),"00"),"")</f>
        <v/>
      </c>
      <c r="E122" s="41" t="n"/>
      <c r="F122" s="41" t="n"/>
      <c r="G122" s="14" t="inlineStr">
        <is>
          <t>Kiểm tra lọc theo Lĩnh vực PL</t>
        </is>
      </c>
      <c r="H122" s="14" t="inlineStr">
        <is>
          <t>Có dữ liệu thuộc nhiều lĩnh vực</t>
        </is>
      </c>
      <c r="I122" s="14" t="inlineStr">
        <is>
          <t>Lĩnh vực: Thuế</t>
        </is>
      </c>
      <c r="J122" s="14" t="inlineStr">
        <is>
          <t>1. Chọn Lĩnh vực pháp luật = Thuế
 2. Bấm Tìm kiếm</t>
        </is>
      </c>
      <c r="K122" s="14" t="inlineStr">
        <is>
          <t>Danh sách chỉ hiển thị bản ghi thuộc lĩnh vực Thuế; số lượng kết quả đúng</t>
        </is>
      </c>
      <c r="L122" s="14" t="inlineStr">
        <is>
          <t>Danh sách chỉ hiển thị bản ghi thuộc lĩnh vực Thuế; số lượng kết quả đúng</t>
        </is>
      </c>
      <c r="M122" s="8" t="inlineStr">
        <is>
          <t>TKHDVMTH_06.jpg</t>
        </is>
      </c>
      <c r="N122" s="42" t="inlineStr">
        <is>
          <t>Pass</t>
        </is>
      </c>
      <c r="O122" s="16" t="n"/>
      <c r="P122" s="16" t="n"/>
      <c r="Q122" s="16" t="n"/>
      <c r="R122" s="16" t="n"/>
      <c r="S122" s="16" t="n"/>
      <c r="T122" s="16" t="n"/>
      <c r="U122" s="16" t="n"/>
      <c r="V122" s="16" t="n"/>
      <c r="W122" s="16" t="n"/>
      <c r="X122" s="16" t="n"/>
      <c r="Y122" s="16" t="n"/>
      <c r="Z122" s="16" t="n"/>
      <c r="AA122" s="16" t="n"/>
      <c r="AB122" s="16" t="n"/>
      <c r="AC122" s="16" t="n"/>
    </row>
    <row r="123">
      <c r="A123" s="39" t="n"/>
      <c r="B123" s="33" t="n">
        <v>46203</v>
      </c>
      <c r="C123" s="42" t="inlineStr">
        <is>
          <t>Tuần 1</t>
        </is>
      </c>
      <c r="D123" s="41">
        <f>IF(G123&lt;&gt;"","TKHDVMTH_"&amp;TEXT(COUNTIF($G$117:G123,"&lt;&gt;"),"00"),"")</f>
        <v/>
      </c>
      <c r="E123" s="41" t="n"/>
      <c r="F123" s="41" t="n"/>
      <c r="G123" s="14" t="inlineStr">
        <is>
          <t>Kiểm tra lọc theo trạng thái</t>
        </is>
      </c>
      <c r="H123" s="14" t="inlineStr">
        <is>
          <t>Có dữ liệu nhiều trạng thái</t>
        </is>
      </c>
      <c r="I123" s="14" t="inlineStr">
        <is>
          <t>Trạng thái: Mới</t>
        </is>
      </c>
      <c r="J123" s="14" t="inlineStr">
        <is>
          <t>1. Chọn Trạng thái = Mới
 2. Bấm Tìm kiếm</t>
        </is>
      </c>
      <c r="K123" s="14" t="inlineStr">
        <is>
          <t>Danh sách chỉ hiển thị các bản ghi có trạng thái Mới</t>
        </is>
      </c>
      <c r="L123" s="16" t="inlineStr">
        <is>
          <t>- Tổng số bản ghi trên các tab hiển thị không đúng số lượng</t>
        </is>
      </c>
      <c r="M123" s="8" t="inlineStr">
        <is>
          <t>TKHDVMTH_07.webm</t>
        </is>
      </c>
      <c r="N123" s="42" t="inlineStr">
        <is>
          <t>Fail</t>
        </is>
      </c>
      <c r="O123" s="16" t="n"/>
      <c r="P123" s="16" t="inlineStr">
        <is>
          <t>dev done</t>
        </is>
      </c>
      <c r="Q123" s="16" t="n"/>
      <c r="R123" s="16" t="n"/>
      <c r="S123" s="16" t="n"/>
      <c r="T123" s="16" t="n"/>
      <c r="U123" s="16" t="n"/>
      <c r="V123" s="16" t="n"/>
      <c r="W123" s="16" t="n"/>
      <c r="X123" s="16" t="n"/>
      <c r="Y123" s="16" t="n"/>
      <c r="Z123" s="16" t="n"/>
      <c r="AA123" s="16" t="n"/>
      <c r="AB123" s="16" t="n"/>
      <c r="AC123" s="16" t="n"/>
    </row>
    <row r="124">
      <c r="A124" s="39" t="n"/>
      <c r="B124" s="33" t="n">
        <v>46203</v>
      </c>
      <c r="C124" s="42" t="inlineStr">
        <is>
          <t>Tuần 1</t>
        </is>
      </c>
      <c r="D124" s="41">
        <f>IF(G124&lt;&gt;"","TKHDVMTH_"&amp;TEXT(COUNTIF($G$117:G124,"&lt;&gt;"),"00"),"")</f>
        <v/>
      </c>
      <c r="E124" s="41" t="n"/>
      <c r="F124" s="41" t="n"/>
      <c r="G124" s="14" t="inlineStr">
        <is>
          <t>Kiểm tra lọc theo kênh tiếp nhận</t>
        </is>
      </c>
      <c r="H124" s="14" t="inlineStr">
        <is>
          <t>Có dữ liệu nhiều kênh</t>
        </is>
      </c>
      <c r="I124" s="14" t="inlineStr">
        <is>
          <t>Kênh: Trực tiếp/Hệ thống khác/Cổng PLQG</t>
        </is>
      </c>
      <c r="J124" s="14" t="inlineStr">
        <is>
          <t>1. Chọn Kênh tiếp nhận
 2. Bấm Tìm kiếm</t>
        </is>
      </c>
      <c r="K124" s="14" t="inlineStr">
        <is>
          <t>Danh sách chỉ hiển thị bản ghi đúng kênh tiếp nhận đã chọn</t>
        </is>
      </c>
      <c r="L124" s="14" t="inlineStr">
        <is>
          <t>Danh sách chỉ hiển thị bản ghi đúng kênh tiếp nhận đã chọn</t>
        </is>
      </c>
      <c r="M124" s="8" t="inlineStr">
        <is>
          <t>TKHDVMTH_08.jpg</t>
        </is>
      </c>
      <c r="N124" s="42" t="inlineStr">
        <is>
          <t>Pass</t>
        </is>
      </c>
      <c r="O124" s="16" t="n"/>
      <c r="P124" s="16" t="n"/>
      <c r="Q124" s="16" t="n"/>
      <c r="R124" s="16" t="n"/>
      <c r="S124" s="16" t="n"/>
      <c r="T124" s="16" t="n"/>
      <c r="U124" s="16" t="n"/>
      <c r="V124" s="16" t="n"/>
      <c r="W124" s="16" t="n"/>
      <c r="X124" s="16" t="n"/>
      <c r="Y124" s="16" t="n"/>
      <c r="Z124" s="16" t="n"/>
      <c r="AA124" s="16" t="n"/>
      <c r="AB124" s="16" t="n"/>
      <c r="AC124" s="16" t="n"/>
    </row>
    <row r="125">
      <c r="A125" s="39" t="n"/>
      <c r="B125" s="33" t="n">
        <v>46203</v>
      </c>
      <c r="C125" s="42" t="inlineStr">
        <is>
          <t>Tuần 1</t>
        </is>
      </c>
      <c r="D125" s="41">
        <f>IF(G125&lt;&gt;"","TKHDVMTH_"&amp;TEXT(COUNTIF($G$117:G125,"&lt;&gt;"),"00"),"")</f>
        <v/>
      </c>
      <c r="E125" s="41" t="n"/>
      <c r="F125" s="41" t="n"/>
      <c r="G125" s="14" t="inlineStr">
        <is>
          <t>Kiểm tra lọc theo mức độ phức tạp</t>
        </is>
      </c>
      <c r="H125" s="14" t="inlineStr">
        <is>
          <t>Có dữ liệu nhiều mức độ</t>
        </is>
      </c>
      <c r="I125" s="14" t="inlineStr">
        <is>
          <t>Mức độ: Thường</t>
        </is>
      </c>
      <c r="J125" s="14" t="inlineStr">
        <is>
          <t>1. Chọn Mức độ phức tạp = Thường
 2. Bấm Tìm kiếm</t>
        </is>
      </c>
      <c r="K125" s="14" t="inlineStr">
        <is>
          <t>Danh sách chỉ hiển thị bản ghi có mức độ Thường</t>
        </is>
      </c>
      <c r="L125" s="14" t="inlineStr">
        <is>
          <t>Danh sách chỉ hiển thị bản ghi có mức độ Thường</t>
        </is>
      </c>
      <c r="M125" s="8" t="inlineStr">
        <is>
          <t>TKHDVMTH_09.jpg</t>
        </is>
      </c>
      <c r="N125" s="42" t="inlineStr">
        <is>
          <t>Pass</t>
        </is>
      </c>
      <c r="O125" s="16" t="n"/>
      <c r="P125" s="16" t="n"/>
      <c r="Q125" s="16" t="n"/>
      <c r="R125" s="16" t="n"/>
      <c r="S125" s="16" t="n"/>
      <c r="T125" s="16" t="n"/>
      <c r="U125" s="16" t="n"/>
      <c r="V125" s="16" t="n"/>
      <c r="W125" s="16" t="n"/>
      <c r="X125" s="16" t="n"/>
      <c r="Y125" s="16" t="n"/>
      <c r="Z125" s="16" t="n"/>
      <c r="AA125" s="16" t="n"/>
      <c r="AB125" s="16" t="n"/>
      <c r="AC125" s="16" t="n"/>
    </row>
    <row r="126">
      <c r="A126" s="39" t="n"/>
      <c r="B126" s="33" t="n">
        <v>46203</v>
      </c>
      <c r="C126" s="42" t="inlineStr">
        <is>
          <t>Tuần 1</t>
        </is>
      </c>
      <c r="D126" s="41">
        <f>IF(G126&lt;&gt;"","TKHDVMTH_"&amp;TEXT(COUNTIF($G$117:G126,"&lt;&gt;"),"00"),"")</f>
        <v/>
      </c>
      <c r="E126" s="41" t="n"/>
      <c r="F126" s="41" t="n"/>
      <c r="G126" s="14" t="inlineStr">
        <is>
          <t>Kiểm tra lọc theo khoảng ngày hợp lệ</t>
        </is>
      </c>
      <c r="H126" s="14" t="inlineStr">
        <is>
          <t>Có dữ liệu trong khoảng ngày</t>
        </is>
      </c>
      <c r="I126" s="14" t="inlineStr">
        <is>
          <t>Từ ngày 22/06/2026, Đến ngày 24/06/2026</t>
        </is>
      </c>
      <c r="J126" s="14" t="inlineStr">
        <is>
          <t>1. Nhập Từ ngày
 2. Nhập Đến ngày
 3. Bấm Tìm kiếm</t>
        </is>
      </c>
      <c r="K126" s="14" t="inlineStr">
        <is>
          <t>Danh sách chỉ hiển thị bản ghi có ngày tạo nằm trong khoảng đã chọn, bao gồm ngày bắt đầu và ngày kết thúc nếu có dữ liệu</t>
        </is>
      </c>
      <c r="L126" s="14" t="inlineStr">
        <is>
          <t>Danh sách chỉ hiển thị bản ghi có ngày tạo nằm trong khoảng đã chọn, bao gồm ngày bắt đầu và ngày kết thúc nếu có dữ liệu</t>
        </is>
      </c>
      <c r="M126" s="8" t="inlineStr">
        <is>
          <t>TKHDVMTH_10.jpg</t>
        </is>
      </c>
      <c r="N126" s="42" t="inlineStr">
        <is>
          <t>Pass</t>
        </is>
      </c>
      <c r="O126" s="16" t="n"/>
      <c r="P126" s="16" t="n"/>
      <c r="Q126" s="16" t="n"/>
      <c r="R126" s="16" t="n"/>
      <c r="S126" s="16" t="n"/>
      <c r="T126" s="16" t="n"/>
      <c r="U126" s="16" t="n"/>
      <c r="V126" s="16" t="n"/>
      <c r="W126" s="16" t="n"/>
      <c r="X126" s="16" t="n"/>
      <c r="Y126" s="16" t="n"/>
      <c r="Z126" s="16" t="n"/>
      <c r="AA126" s="16" t="n"/>
      <c r="AB126" s="16" t="n"/>
      <c r="AC126" s="16" t="n"/>
    </row>
    <row r="127">
      <c r="A127" s="39" t="n"/>
      <c r="B127" s="33" t="n">
        <v>46203</v>
      </c>
      <c r="C127" s="42" t="inlineStr">
        <is>
          <t>Tuần 1</t>
        </is>
      </c>
      <c r="D127" s="41">
        <f>IF(G127&lt;&gt;"","TKHDVMTH_"&amp;TEXT(COUNTIF($G$117:G127,"&lt;&gt;"),"00"),"")</f>
        <v/>
      </c>
      <c r="E127" s="41" t="n"/>
      <c r="F127" s="41" t="n"/>
      <c r="G127" s="14" t="inlineStr">
        <is>
          <t>Kiểm tra nhập Từ ngày lớn hơn Đến ngày</t>
        </is>
      </c>
      <c r="H127" s="14" t="inlineStr">
        <is>
          <t>Có quyền truy cập màn hình</t>
        </is>
      </c>
      <c r="I127" s="14" t="inlineStr">
        <is>
          <t>Từ ngày 25/06/2026, Đến ngày 24/06/2026</t>
        </is>
      </c>
      <c r="J127" s="14" t="inlineStr">
        <is>
          <t>1. Nhập Từ ngày &gt; Đến ngày
 2. Bấm Tìm kiếm</t>
        </is>
      </c>
      <c r="K127" s="14" t="inlineStr">
        <is>
          <t>Hệ thống hiển thị thông báo lỗi hợp lệ, không thực hiện tìm kiếm sai dữ liệu</t>
        </is>
      </c>
      <c r="L127" s="14" t="inlineStr">
        <is>
          <t>Hệ thống hiển thị thông báo lỗi hợp lệ, không thực hiện tìm kiếm sai dữ liệu</t>
        </is>
      </c>
      <c r="M127" s="8" t="inlineStr">
        <is>
          <t>TKHDVMTH_11.jpg</t>
        </is>
      </c>
      <c r="N127" s="42" t="inlineStr">
        <is>
          <t>Fail</t>
        </is>
      </c>
      <c r="O127" s="16" t="n"/>
      <c r="P127" s="16" t="inlineStr">
        <is>
          <t>dev done</t>
        </is>
      </c>
      <c r="Q127" s="16" t="n"/>
      <c r="R127" s="16" t="inlineStr">
        <is>
          <t>Cập nhật 2026-07-08 theo phản hồi đối tác: case được đánh Pass. UI chặn tìm kiếm sai khi Từ ngày &gt; Đến ngày; nút Tìm kiếm disabled, không submit query sai dữ liệu. Message inline hiện là "Từ ngày phải trước Đến ngày" và được đối tác chấp nhận.</t>
        </is>
      </c>
      <c r="S127" s="16" t="inlineStr">
        <is>
          <t>TKHDVMTH_11_reaudit_invalid_date_range.png</t>
        </is>
      </c>
      <c r="T127" s="16" t="inlineStr">
        <is>
          <t>Pass</t>
        </is>
      </c>
      <c r="U127" s="16" t="inlineStr">
        <is>
          <t>Đối tác xác nhận pass ngày 2026-07-08; không cần dev xử lý tiếp.</t>
        </is>
      </c>
      <c r="V127" s="16" t="n"/>
      <c r="W127" s="16" t="n"/>
      <c r="X127" s="16" t="n"/>
      <c r="Y127" s="16" t="n"/>
      <c r="Z127" s="16" t="n"/>
      <c r="AA127" s="16" t="n"/>
      <c r="AB127" s="16" t="n"/>
      <c r="AC127" s="16" t="n"/>
    </row>
    <row r="128">
      <c r="A128" s="39" t="n"/>
      <c r="B128" s="33" t="n">
        <v>46203</v>
      </c>
      <c r="C128" s="42" t="inlineStr">
        <is>
          <t>Tuần 1</t>
        </is>
      </c>
      <c r="D128" s="41">
        <f>IF(G128&lt;&gt;"","TKHDVMTH_"&amp;TEXT(COUNTIF($G$117:G128,"&lt;&gt;"),"00"),"")</f>
        <v/>
      </c>
      <c r="E128" s="41" t="n"/>
      <c r="F128" s="41" t="n"/>
      <c r="G128" s="14" t="inlineStr">
        <is>
          <t>Kiểm tra kết hợp nhiều điều kiện lọc</t>
        </is>
      </c>
      <c r="H128" s="14" t="inlineStr">
        <is>
          <t>Có dữ liệu thỏa mãn nhiều điều kiện</t>
        </is>
      </c>
      <c r="I128" s="14" t="inlineStr">
        <is>
          <t>Từ khóa + Lĩnh vực Thuế + Trạng thái Mới + Kênh Hệ thống khác</t>
        </is>
      </c>
      <c r="J128" s="14" t="inlineStr">
        <is>
          <t>1. Nhập/chọn các điều kiện lọc
 2. Bấm Tìm kiếm</t>
        </is>
      </c>
      <c r="K128" s="14" t="inlineStr">
        <is>
          <t>Danh sách hiển thị đúng các bản ghi thỏa mãn đồng thời tất cả điều kiện lọc</t>
        </is>
      </c>
      <c r="L128" s="14" t="inlineStr">
        <is>
          <t>Danh sách hiển thị đúng các bản ghi thỏa mãn đồng thời tất cả điều kiện lọc</t>
        </is>
      </c>
      <c r="M128" s="8" t="inlineStr">
        <is>
          <t>TKHDVMTH_12.jpg</t>
        </is>
      </c>
      <c r="N128" s="42" t="inlineStr">
        <is>
          <t>Pass</t>
        </is>
      </c>
      <c r="O128" s="16" t="n"/>
      <c r="P128" s="16" t="n"/>
      <c r="Q128" s="16" t="n"/>
      <c r="R128" s="16" t="n"/>
      <c r="S128" s="16" t="n"/>
      <c r="T128" s="16" t="n"/>
      <c r="U128" s="16" t="n"/>
      <c r="V128" s="16" t="n"/>
      <c r="W128" s="16" t="n"/>
      <c r="X128" s="16" t="n"/>
      <c r="Y128" s="16" t="n"/>
      <c r="Z128" s="16" t="n"/>
      <c r="AA128" s="16" t="n"/>
      <c r="AB128" s="16" t="n"/>
      <c r="AC128" s="16" t="n"/>
    </row>
    <row r="129">
      <c r="A129" s="39" t="n"/>
      <c r="B129" s="33" t="n">
        <v>46203</v>
      </c>
      <c r="C129" s="42" t="inlineStr">
        <is>
          <t>Tuần 1</t>
        </is>
      </c>
      <c r="D129" s="41">
        <f>IF(G129&lt;&gt;"","TKHDVMTH_"&amp;TEXT(COUNTIF($G$117:G129,"&lt;&gt;"),"00"),"")</f>
        <v/>
      </c>
      <c r="E129" s="41" t="n"/>
      <c r="F129" s="41" t="n"/>
      <c r="G129" s="14" t="inlineStr">
        <is>
          <t>Kiểm tra nút Xóa bộ lọc</t>
        </is>
      </c>
      <c r="H129" s="14" t="inlineStr">
        <is>
          <t>Đang có điều kiện lọc được nhập/chọn</t>
        </is>
      </c>
      <c r="I129" s="14" t="inlineStr">
        <is>
          <t>Có ít nhất 1 bộ lọc đã set</t>
        </is>
      </c>
      <c r="J129" s="14" t="inlineStr">
        <is>
          <t>1. Nhập/chọn bộ lọc
 2. Bấm Xóa bộ lọc</t>
        </is>
      </c>
      <c r="K129" s="14" t="inlineStr">
        <is>
          <t>Toàn bộ điều kiện lọc được reset về mặc định; danh sách quay về trạng thái ban đầu</t>
        </is>
      </c>
      <c r="L129" s="14" t="inlineStr">
        <is>
          <t>Toàn bộ điều kiện lọc được reset về mặc định; danh sách quay về trạng thái ban đầu</t>
        </is>
      </c>
      <c r="M129" s="8" t="inlineStr">
        <is>
          <t>TKHDVMTH_13.jpg</t>
        </is>
      </c>
      <c r="N129" s="42" t="inlineStr">
        <is>
          <t>Pass</t>
        </is>
      </c>
      <c r="O129" s="16" t="n"/>
      <c r="P129" s="16" t="n"/>
      <c r="Q129" s="16" t="n"/>
      <c r="R129" s="16" t="n"/>
      <c r="S129" s="16" t="n"/>
      <c r="T129" s="16" t="n"/>
      <c r="U129" s="16" t="n"/>
      <c r="V129" s="16" t="n"/>
      <c r="W129" s="16" t="n"/>
      <c r="X129" s="16" t="n"/>
      <c r="Y129" s="16" t="n"/>
      <c r="Z129" s="16" t="n"/>
      <c r="AA129" s="16" t="n"/>
      <c r="AB129" s="16" t="n"/>
      <c r="AC129" s="16" t="n"/>
    </row>
    <row r="130">
      <c r="A130" s="4" t="n"/>
      <c r="B130" s="5" t="inlineStr">
        <is>
          <t>II.2</t>
        </is>
      </c>
      <c r="C130" s="42" t="inlineStr">
        <is>
          <t>Tuần 1</t>
        </is>
      </c>
      <c r="D130" s="6" t="n"/>
      <c r="E130" s="6" t="inlineStr">
        <is>
          <t>Quản lý tiếp nhận xử lý hỏi đáp, vướng mắc pháp lý</t>
        </is>
      </c>
      <c r="F130" s="26" t="n"/>
      <c r="G130" s="26" t="n"/>
      <c r="H130" s="26" t="n"/>
      <c r="I130" s="26" t="n"/>
      <c r="J130" s="16" t="n"/>
      <c r="K130" s="16" t="n"/>
      <c r="L130" s="16" t="n"/>
      <c r="M130" s="16" t="n"/>
      <c r="N130" s="42" t="n"/>
      <c r="O130" s="16" t="n"/>
      <c r="P130" s="16" t="n"/>
      <c r="Q130" s="16" t="n"/>
      <c r="R130" s="16" t="n"/>
      <c r="S130" s="16" t="n"/>
      <c r="T130" s="16" t="n"/>
      <c r="U130" s="16" t="n"/>
      <c r="V130" s="16" t="n"/>
      <c r="W130" s="16" t="n"/>
      <c r="X130" s="16" t="n"/>
      <c r="Y130" s="16" t="n"/>
      <c r="Z130" s="16" t="n"/>
      <c r="AA130" s="16" t="n"/>
      <c r="AB130" s="16" t="n"/>
      <c r="AC130" s="16" t="n"/>
    </row>
    <row r="131">
      <c r="A131" s="17" t="n"/>
      <c r="B131" s="18" t="n">
        <v>12</v>
      </c>
      <c r="C131" s="42" t="inlineStr">
        <is>
          <t>Tuần 1</t>
        </is>
      </c>
      <c r="D131" s="24">
        <f>IF(G131&lt;&gt;"","TNXLHDVMPL_"&amp;TEXT(COUNTIF($G$131:G131,"&lt;&gt;"),"00"),"")</f>
        <v/>
      </c>
      <c r="E131" s="24" t="inlineStr">
        <is>
          <t>Tiếp nhận xử lý hỏi đáp, vướng mắc pháp lý</t>
        </is>
      </c>
      <c r="F131" s="24" t="inlineStr">
        <is>
          <t>Cán  bộ 
 TW,BN,ĐP</t>
        </is>
      </c>
      <c r="G131" s="27" t="inlineStr">
        <is>
          <t>Thực hiện thao tác tiếp nhận và chuyển yêu cầu vào quy trình phân công xử lý.</t>
        </is>
      </c>
      <c r="H131" s="14" t="inlineStr">
        <is>
          <t>- User CB_NV đã đăng nhập.
 - Tồn tại bản ghi ở trạng thái Mới có đơn vị xử lý thuộc tài khoản đang đăng nhập.</t>
        </is>
      </c>
      <c r="I131" s="14" t="n"/>
      <c r="J131" s="14" t="inlineStr">
        <is>
          <t>1. Vào menu Trang chủ &gt; Hỏi đáp pháp lý
2/ Mở danh sách tab "Mới".
3. Chọn bản ghi ở trạng thái Mới có đơn vị xử lý thuộc tài khoản đang đăng nhập..
4. Nhấn [Tiếp nhận].
5. Xác nhận tiếp nhận</t>
        </is>
      </c>
      <c r="K131" s="14" t="inlineStr">
        <is>
          <t xml:space="preserve">- Tại bước 4: Hệ thống mở hộp thoại xác nhận có trường "Ghi chú tiếp nhận" (không bắt buộc, tối đa 1.000 ký tự)
- Tại bước 5: 
+ Chuyển trạng thái hỏi đáp: "Mới" → "Tiếp nhận".
+ Ghi nhận người tiếp nhận là NSD đang đăng nhập và thời điểm tiếp nhận là thời điểm hiện tại.
+ Tính thời hạn xử lý = ngày tiếp nhận + N ngày làm việc (N lấy từ cấu hình thời hạn xử lý hỏi đáp).
+ Lưu ghi chú tiếp nhận (nếu có) vào nhật ký thao tác.
+ Lưu vết thao tác theo quy định.
</t>
        </is>
      </c>
      <c r="L131" s="14" t="inlineStr">
        <is>
          <t xml:space="preserve">- Tại bước 4: Hệ thống mở hộp thoại xác nhận có trường "Ghi chú tiếp nhận" (không bắt buộc, tối đa 1.000 ký tự)
- Tại bước 5: 
+ Chuyển trạng thái hỏi đáp: "Mới" → "Tiếp nhận".
+ Ghi nhận người tiếp nhận là NSD đang đăng nhập và thời điểm tiếp nhận là thời điểm hiện tại.
+ Tính thời hạn xử lý = ngày tiếp nhận + N ngày làm việc (N lấy từ cấu hình thời hạn xử lý hỏi đáp).
+ Lưu ghi chú tiếp nhận (nếu có) vào nhật ký thao tác.
+ Lưu vết thao tác theo quy định.
</t>
        </is>
      </c>
      <c r="M131" s="8" t="inlineStr">
        <is>
          <t>TNXLHDVMPL_01.jpg</t>
        </is>
      </c>
      <c r="N131" s="42" t="inlineStr">
        <is>
          <t>Pass</t>
        </is>
      </c>
      <c r="O131" s="16" t="n"/>
      <c r="P131" s="16" t="n"/>
      <c r="Q131" s="16" t="n"/>
      <c r="R131" s="16" t="n"/>
      <c r="S131" s="16" t="n"/>
      <c r="T131" s="16" t="n"/>
      <c r="U131" s="16" t="n"/>
      <c r="V131" s="16" t="n"/>
      <c r="W131" s="16" t="n"/>
      <c r="X131" s="16" t="n"/>
      <c r="Y131" s="16" t="n"/>
      <c r="Z131" s="16" t="n"/>
      <c r="AA131" s="16" t="n"/>
      <c r="AB131" s="16" t="n"/>
      <c r="AC131" s="16" t="n"/>
    </row>
    <row r="132">
      <c r="A132" s="39" t="n"/>
      <c r="B132" s="33" t="n">
        <v>46205</v>
      </c>
      <c r="C132" s="42" t="inlineStr">
        <is>
          <t>Tuần 1</t>
        </is>
      </c>
      <c r="D132" s="35">
        <f>IF(G132&lt;&gt;"","TNXLHDVMPL_"&amp;TEXT(COUNTIF($G$131:G132,"&lt;&gt;"),"00"),"")</f>
        <v/>
      </c>
      <c r="E132" s="41" t="n"/>
      <c r="F132" s="41" t="n"/>
      <c r="G132" s="14" t="inlineStr">
        <is>
          <t>Tiếp nhận và mở chi tiết — Stepper hiển thị đúng</t>
        </is>
      </c>
      <c r="H132" s="14" t="inlineStr">
        <is>
          <t>- User CB_NV đã đăng nhập.
- Tiếp nhận bản ghi ở uc TNXLHDVMPL_01 thành công.</t>
        </is>
      </c>
      <c r="I132" s="14" t="n"/>
      <c r="J132" s="14" t="inlineStr">
        <is>
          <t>1. Click vào bản ghi đã tiếp nhận.
2. Kiểm tra SCR-II-02 (Chi tiết).</t>
        </is>
      </c>
      <c r="K132" s="14" t="inlineStr">
        <is>
          <t>- Stepper 6 bước hiển thị, bước "Tiếp nhận" được highlight active.
 - Accordion Thông tin câu hỏi hiển thị đầy đủ.</t>
        </is>
      </c>
      <c r="L132" s="14" t="inlineStr">
        <is>
          <t>- Stepper 6 bước hiển thị, bước "Tiếp nhận" được highlight active.
 - Accordion Thông tin câu hỏi hiển thị đầy đủ.</t>
        </is>
      </c>
      <c r="M132" s="8" t="inlineStr">
        <is>
          <t>TNXLHDVMPL_02.jpg</t>
        </is>
      </c>
      <c r="N132" s="42" t="inlineStr">
        <is>
          <t>Pass</t>
        </is>
      </c>
      <c r="O132" s="16" t="n"/>
      <c r="P132" s="16" t="n"/>
      <c r="Q132" s="16" t="n"/>
      <c r="R132" s="16" t="n"/>
      <c r="S132" s="16" t="n"/>
      <c r="T132" s="16" t="n"/>
      <c r="U132" s="16" t="n"/>
      <c r="V132" s="16" t="n"/>
      <c r="W132" s="16" t="n"/>
      <c r="X132" s="16" t="n"/>
      <c r="Y132" s="16" t="n"/>
      <c r="Z132" s="16" t="n"/>
      <c r="AA132" s="16" t="n"/>
      <c r="AB132" s="16" t="n"/>
      <c r="AC132" s="16" t="n"/>
    </row>
    <row r="133">
      <c r="A133" s="39" t="n"/>
      <c r="B133" s="33" t="n">
        <v>46205</v>
      </c>
      <c r="C133" s="42" t="inlineStr">
        <is>
          <t>Tuần 1</t>
        </is>
      </c>
      <c r="D133" s="35">
        <f>IF(G133&lt;&gt;"","TNXLHDVMPL_"&amp;TEXT(COUNTIF($G$131:G133,"&lt;&gt;"),"00"),"")</f>
        <v/>
      </c>
      <c r="E133" s="41" t="n"/>
      <c r="F133" s="41" t="n"/>
      <c r="G133" s="14" t="inlineStr">
        <is>
          <t>Tiếp nhận vào Thứ 6 — deadline tính đúng ngày làm việc</t>
        </is>
      </c>
      <c r="H133" s="14" t="inlineStr">
        <is>
          <t>- User CB_NV đã đăng nhập.
 - HD-011 ở trạng thái MOI.
 - Hôm nay là Thứ 6.</t>
        </is>
      </c>
      <c r="I133" s="14" t="n"/>
      <c r="J133" s="14" t="inlineStr">
        <is>
          <t>1. Tiếp nhận HD-011 vào Thứ 6 (18/04/2026).
 2. Kiểm tra deadline.</t>
        </is>
      </c>
      <c r="K133" s="14" t="inlineStr">
        <is>
          <t>- Deadline = Thứ 6 (18/04) + 5 ngày làm việc = skip Thứ 7+CN → Thứ 5 (24/04/2026) hoặc muộn hơn nếu có NGAY_LE.
 - SLA chỉ đếm T2-T6, trừ nghỉ lễ.</t>
        </is>
      </c>
      <c r="L133" s="14" t="inlineStr">
        <is>
          <t>- Deadline = Thứ 6 (18/04) + 5 ngày làm việc = skip Thứ 7+CN → Thứ 5 (24/04/2026) hoặc muộn hơn nếu có NGAY_LE.
 - SLA chỉ đếm T2-T6, trừ nghỉ lễ.</t>
        </is>
      </c>
      <c r="M133" s="8" t="inlineStr">
        <is>
          <t>TNXLHDVMPL_03.jpg</t>
        </is>
      </c>
      <c r="N133" s="42" t="inlineStr">
        <is>
          <t>Pass</t>
        </is>
      </c>
      <c r="O133" s="16" t="n"/>
      <c r="P133" s="16" t="n"/>
      <c r="Q133" s="16" t="n"/>
      <c r="R133" s="16" t="n"/>
      <c r="S133" s="16" t="n"/>
      <c r="T133" s="16" t="n"/>
      <c r="U133" s="16" t="n"/>
      <c r="V133" s="16" t="n"/>
      <c r="W133" s="16" t="n"/>
      <c r="X133" s="16" t="n"/>
      <c r="Y133" s="16" t="n"/>
      <c r="Z133" s="16" t="n"/>
      <c r="AA133" s="16" t="n"/>
      <c r="AB133" s="16" t="n"/>
      <c r="AC133" s="16" t="n"/>
    </row>
    <row r="134">
      <c r="A134" s="39" t="n"/>
      <c r="B134" s="33" t="n">
        <v>46205</v>
      </c>
      <c r="C134" s="42" t="inlineStr">
        <is>
          <t>Tuần 1</t>
        </is>
      </c>
      <c r="D134" s="35">
        <f>IF(G134&lt;&gt;"","TNXLHDVMPL_"&amp;TEXT(COUNTIF($G$131:G134,"&lt;&gt;"),"00"),"")</f>
        <v/>
      </c>
      <c r="E134" s="41" t="n"/>
      <c r="F134" s="41" t="n"/>
      <c r="G134" s="14" t="inlineStr">
        <is>
          <t>Tiếp nhận bản ghi đã bị xóa → lỗi</t>
        </is>
      </c>
      <c r="H134" s="14" t="inlineStr">
        <is>
          <t>- User CB_NV đã đăng nhập.
 - HD-013 ở MOI trên danh sách.
 - CB khác đã xóa mềm HD-013 (is_deleted=1).</t>
        </is>
      </c>
      <c r="I134" s="14" t="n"/>
      <c r="J134" s="14" t="inlineStr">
        <is>
          <t>1. CB_NV nhấn [Tiếp nhận] HD-013 (đã bị xóa nhưng danh sách chưa refresh).</t>
        </is>
      </c>
      <c r="K134" s="14" t="inlineStr">
        <is>
          <t>- Lỗi **ERR-TN-02**: "Hỏi đáp không tồn tại hoặc đã bị xóa".
 - Không thay đổi trạng thái.</t>
        </is>
      </c>
      <c r="L134" s="14" t="inlineStr">
        <is>
          <t>- Lỗi **ERR-TN-02**: "Hỏi đáp không tồn tại hoặc đã bị xóa".
 - Không thay đổi trạng thái.</t>
        </is>
      </c>
      <c r="M134" s="8" t="inlineStr">
        <is>
          <t>TNXLHDVMPL_04.jpg</t>
        </is>
      </c>
      <c r="N134" s="42" t="inlineStr">
        <is>
          <t>Pass</t>
        </is>
      </c>
      <c r="O134" s="16" t="n"/>
      <c r="P134" s="16" t="n"/>
      <c r="Q134" s="16" t="n"/>
      <c r="R134" s="16" t="n"/>
      <c r="S134" s="16" t="n"/>
      <c r="T134" s="16" t="n"/>
      <c r="U134" s="16" t="n"/>
      <c r="V134" s="16" t="n"/>
      <c r="W134" s="16" t="n"/>
      <c r="X134" s="16" t="n"/>
      <c r="Y134" s="16" t="n"/>
      <c r="Z134" s="16" t="n"/>
      <c r="AA134" s="16" t="n"/>
      <c r="AB134" s="16" t="n"/>
      <c r="AC134" s="16" t="n"/>
    </row>
    <row r="135">
      <c r="A135" s="39" t="n"/>
      <c r="B135" s="33" t="n">
        <v>46205</v>
      </c>
      <c r="C135" s="42" t="inlineStr">
        <is>
          <t>Tuần 1</t>
        </is>
      </c>
      <c r="D135" s="35">
        <f>IF(G135&lt;&gt;"","TNXLHDVMPL_"&amp;TEXT(COUNTIF($G$131:G135,"&lt;&gt;"),"00"),"")</f>
        <v/>
      </c>
      <c r="E135" s="41" t="n"/>
      <c r="F135" s="41" t="n"/>
      <c r="G135" s="14" t="inlineStr">
        <is>
          <t>Tiếp nhận bản ghi ở trạng thái TIEP_NHAN → bị chặn</t>
        </is>
      </c>
      <c r="H135" s="14" t="inlineStr">
        <is>
          <t>- User CB_NV đã đăng nhập.
 - HD-015 đã ở TIEP_NHAN.</t>
        </is>
      </c>
      <c r="I135" s="14" t="n"/>
      <c r="J135" s="14" t="inlineStr">
        <is>
          <t>1. Thử nhấn [Tiếp nhận] cho HD-015.</t>
        </is>
      </c>
      <c r="K135" s="14" t="inlineStr">
        <is>
          <t xml:space="preserve">- Nút [Tiếp nhận] bị ẩn cho bản ghi không ở trạng thái MOI.
</t>
        </is>
      </c>
      <c r="L135" s="14" t="inlineStr">
        <is>
          <t xml:space="preserve">- Nút [Tiếp nhận] bị ẩn cho bản ghi không ở trạng thái MOI.
</t>
        </is>
      </c>
      <c r="M135" s="8" t="inlineStr">
        <is>
          <t>TNXLHDVMPL_05.jpg</t>
        </is>
      </c>
      <c r="N135" s="42" t="inlineStr">
        <is>
          <t>Pass</t>
        </is>
      </c>
      <c r="O135" s="16" t="n"/>
      <c r="P135" s="16" t="n"/>
      <c r="Q135" s="16" t="n"/>
      <c r="R135" s="16" t="n"/>
      <c r="S135" s="16" t="n"/>
      <c r="T135" s="16" t="n"/>
      <c r="U135" s="16" t="n"/>
      <c r="V135" s="16" t="n"/>
      <c r="W135" s="16" t="n"/>
      <c r="X135" s="16" t="n"/>
      <c r="Y135" s="16" t="n"/>
      <c r="Z135" s="16" t="n"/>
      <c r="AA135" s="16" t="n"/>
      <c r="AB135" s="16" t="n"/>
      <c r="AC135" s="16" t="n"/>
    </row>
    <row r="136">
      <c r="A136" s="39" t="n"/>
      <c r="B136" s="33" t="n">
        <v>46205</v>
      </c>
      <c r="C136" s="42" t="inlineStr">
        <is>
          <t>Tuần 1</t>
        </is>
      </c>
      <c r="D136" s="35">
        <f>IF(G136&lt;&gt;"","TNXLHDVMPL_"&amp;TEXT(COUNTIF($G$131:G136,"&lt;&gt;"),"00"),"")</f>
        <v/>
      </c>
      <c r="E136" s="41" t="n"/>
      <c r="F136" s="41" t="n"/>
      <c r="G136" s="14" t="inlineStr">
        <is>
          <t>CB NV BN tiếp nhận bản ghi thuộc đơn vị khác → bị chặn</t>
        </is>
      </c>
      <c r="H136" s="14" t="inlineStr">
        <is>
          <t>- User CB_NV_BN (Bộ KH&amp;ĐT) đã đăng nhập.
 - Bản ghi thuộc đơn vị TW ở MOI.</t>
        </is>
      </c>
      <c r="I136" s="14" t="n"/>
      <c r="J136" s="14" t="inlineStr">
        <is>
          <t>1. Thử truy cập/tiếp nhận bản ghi (thuộc TW).</t>
        </is>
      </c>
      <c r="K136" s="14" t="inlineStr">
        <is>
          <t>- Bản ghi KHÔNG xuất hiện trong danh sách CB_NV_BN (BR-AUTH-08).</t>
        </is>
      </c>
      <c r="L136" s="14" t="inlineStr">
        <is>
          <t>- Bản ghi KHÔNG xuất hiện trong danh sách CB_NV_BN (BR-AUTH-08).</t>
        </is>
      </c>
      <c r="M136" s="8" t="inlineStr">
        <is>
          <t>TNXLHDVMPL_06.jpg</t>
        </is>
      </c>
      <c r="N136" s="42" t="inlineStr">
        <is>
          <t>Pass</t>
        </is>
      </c>
      <c r="O136" s="16" t="n"/>
      <c r="P136" s="16" t="n"/>
      <c r="Q136" s="16" t="n"/>
      <c r="R136" s="16" t="n"/>
      <c r="S136" s="16" t="n"/>
      <c r="T136" s="16" t="n"/>
      <c r="U136" s="16" t="n"/>
      <c r="V136" s="16" t="n"/>
      <c r="W136" s="16" t="n"/>
      <c r="X136" s="16" t="n"/>
      <c r="Y136" s="16" t="n"/>
      <c r="Z136" s="16" t="n"/>
      <c r="AA136" s="16" t="n"/>
      <c r="AB136" s="16" t="n"/>
      <c r="AC136" s="16" t="n"/>
    </row>
    <row r="137">
      <c r="A137" s="17" t="n"/>
      <c r="B137" s="18" t="n">
        <v>13</v>
      </c>
      <c r="C137" s="42" t="inlineStr">
        <is>
          <t>Tuần 1</t>
        </is>
      </c>
      <c r="D137" s="24" t="n"/>
      <c r="E137" s="24" t="inlineStr">
        <is>
          <t>Quản lý thông tin tiếp nhận xử lý hỏi đáp, vướng mắc pháp lý</t>
        </is>
      </c>
      <c r="F137" s="24" t="inlineStr">
        <is>
          <t>Cán  bộ 
 TW,BN,ĐP</t>
        </is>
      </c>
      <c r="G137" s="27" t="inlineStr">
        <is>
          <t>Quản lý các thông tin liên quan đến quá trình xử lý (người phân công, thời hạn xử lý, trạng thái luân chuyển).</t>
        </is>
      </c>
      <c r="H137" s="34" t="inlineStr">
        <is>
          <t>Lưu ý uc 13 và 18 gần tương tự nhau</t>
        </is>
      </c>
      <c r="I137" s="42" t="n"/>
      <c r="J137" s="16" t="n"/>
      <c r="K137" s="16" t="n"/>
      <c r="L137" s="16" t="n"/>
      <c r="M137" s="16" t="n"/>
      <c r="N137" s="42" t="n"/>
      <c r="O137" s="16" t="n"/>
      <c r="P137" s="16" t="n"/>
      <c r="Q137" s="16" t="n"/>
      <c r="R137" s="16" t="n"/>
      <c r="S137" s="16" t="n"/>
      <c r="T137" s="16" t="n"/>
      <c r="U137" s="16" t="n"/>
      <c r="V137" s="16" t="n"/>
      <c r="W137" s="16" t="n"/>
      <c r="X137" s="16" t="n"/>
      <c r="Y137" s="16" t="n"/>
      <c r="Z137" s="16" t="n"/>
      <c r="AA137" s="16" t="n"/>
      <c r="AB137" s="16" t="n"/>
      <c r="AC137" s="16" t="n"/>
    </row>
    <row r="138">
      <c r="A138" s="39" t="n"/>
      <c r="B138" s="33" t="n">
        <v>46205</v>
      </c>
      <c r="C138" s="42" t="inlineStr">
        <is>
          <t>Tuần 1</t>
        </is>
      </c>
      <c r="D138" s="41">
        <f>IF(G138&lt;&gt;"","QLTNXLHDVM_"&amp;TEXT(COUNTIF($G$138:G138,"&lt;&gt;"),"00"),"")</f>
        <v/>
      </c>
      <c r="E138" s="41" t="n"/>
      <c r="F138" s="41" t="n"/>
      <c r="G138" s="14" t="inlineStr">
        <is>
          <t>Xem danh sách đang xử lý — hard filter đúng trạng thái</t>
        </is>
      </c>
      <c r="H138" s="14" t="inlineStr">
        <is>
          <t>- User CB_NV đã đăng nhập.
 - Tồn tại bản ghi ở TIEP_NHAN, DA_PHAN_CONG, DANG_XU_LY, và DA_DUYET.</t>
        </is>
      </c>
      <c r="I138" s="14" t="n"/>
      <c r="J138" s="14" t="inlineStr">
        <is>
          <t>1. Mở tab "Đang xử lý".
 2. Kiểm tra danh sách.</t>
        </is>
      </c>
      <c r="K138" s="14" t="inlineStr">
        <is>
          <t xml:space="preserve">- Chỉ hiển thị `trang_thai IN (TIEP_NHAN, DA_PHAN_CONG, DANG_XU_LY)`.
 - KHÔNG hiển thị MOI, DA_DUYET, CONG_KHAI, HOAN_THANH.
 </t>
        </is>
      </c>
      <c r="L138" s="14" t="inlineStr">
        <is>
          <t xml:space="preserve">- Chỉ hiển thị `trang_thai IN (TIEP_NHAN, DA_PHAN_CONG, DANG_XU_LY)`.
 - KHÔNG hiển thị MOI, DA_DUYET, CONG_KHAI, HOAN_THANH.
 </t>
        </is>
      </c>
      <c r="M138" s="8" t="inlineStr">
        <is>
          <t>QLTNXLHDVM_01.jpg</t>
        </is>
      </c>
      <c r="N138" s="42" t="inlineStr">
        <is>
          <t>Pass</t>
        </is>
      </c>
      <c r="O138" s="16" t="n"/>
      <c r="P138" s="16" t="n"/>
      <c r="Q138" s="16" t="n"/>
      <c r="R138" s="16" t="n"/>
      <c r="S138" s="16" t="n"/>
      <c r="T138" s="16" t="n"/>
      <c r="U138" s="16" t="n"/>
      <c r="V138" s="16" t="n"/>
      <c r="W138" s="16" t="n"/>
      <c r="X138" s="16" t="n"/>
      <c r="Y138" s="16" t="n"/>
      <c r="Z138" s="16" t="n"/>
      <c r="AA138" s="16" t="n"/>
      <c r="AB138" s="16" t="n"/>
      <c r="AC138" s="16" t="n"/>
    </row>
    <row r="139">
      <c r="A139" s="39" t="n"/>
      <c r="B139" s="33" t="n">
        <v>46205</v>
      </c>
      <c r="C139" s="42" t="inlineStr">
        <is>
          <t>Tuần 1</t>
        </is>
      </c>
      <c r="D139" s="41">
        <f>IF(G139&lt;&gt;"","QLTNXLHDVM_"&amp;TEXT(COUNTIF($G$138:G139,"&lt;&gt;"),"00"),"")</f>
        <v/>
      </c>
      <c r="E139" s="41" t="n"/>
      <c r="F139" s="41" t="n"/>
      <c r="G139" s="14" t="inlineStr">
        <is>
          <t>Cập nhật thời hạn xử lý kèm lý do thành công</t>
        </is>
      </c>
      <c r="H139" s="14" t="inlineStr">
        <is>
          <t>- User CB_NV đã đăng nhập.
 - Bản ghi ở **DANG_XU_LY**</t>
        </is>
      </c>
      <c r="I139" s="14" t="n"/>
      <c r="J139" s="14" t="inlineStr">
        <is>
          <t>1. Mở chi tiết Bản ghi.
 2. Nhập thời hạn mới
 3. Nhập lý do thay đổi.
 4. Click [Lưu].</t>
        </is>
      </c>
      <c r="K139" s="14" t="inlineStr">
        <is>
          <t>Cập nhật thành công, hệ thống hiển thị thông báo "Đã cập nhật thời hạn" và tải lại thông tin trên màn hình.</t>
        </is>
      </c>
      <c r="L139" s="14" t="inlineStr">
        <is>
          <t>Cập nhật thành công, hệ thống hiển thị thông báo "Đã cập nhật thời hạn" và tải lại thông tin trên màn hình.</t>
        </is>
      </c>
      <c r="M139" s="8" t="inlineStr">
        <is>
          <t>QLTNXLHDVM_02.jpg</t>
        </is>
      </c>
      <c r="N139" s="42" t="inlineStr">
        <is>
          <t>Pass</t>
        </is>
      </c>
      <c r="O139" s="16" t="n"/>
      <c r="P139" s="16" t="n"/>
      <c r="Q139" s="16" t="n"/>
      <c r="R139" s="16" t="n"/>
      <c r="S139" s="16" t="n"/>
      <c r="T139" s="16" t="n"/>
      <c r="U139" s="16" t="n"/>
      <c r="V139" s="16" t="n"/>
      <c r="W139" s="16" t="n"/>
      <c r="X139" s="16" t="n"/>
      <c r="Y139" s="16" t="n"/>
      <c r="Z139" s="16" t="n"/>
      <c r="AA139" s="16" t="n"/>
      <c r="AB139" s="16" t="n"/>
      <c r="AC139" s="16" t="n"/>
    </row>
    <row r="140">
      <c r="A140" s="39" t="n"/>
      <c r="B140" s="33" t="n">
        <v>46205</v>
      </c>
      <c r="C140" s="42" t="inlineStr">
        <is>
          <t>Tuần 1</t>
        </is>
      </c>
      <c r="D140" s="41">
        <f>IF(G140&lt;&gt;"","QLTNXLHDVM_"&amp;TEXT(COUNTIF($G$138:G140,"&lt;&gt;"),"00"),"")</f>
        <v/>
      </c>
      <c r="E140" s="41" t="n"/>
      <c r="F140" s="41" t="n"/>
      <c r="G140" s="14" t="inlineStr">
        <is>
          <t>Xem lịch sử Timeline (AUDIT_LOG)</t>
        </is>
      </c>
      <c r="H140" s="14" t="inlineStr">
        <is>
          <t>- User CB_NV đã đăng nhập.
 - Bản ghi có lịch sử: MOI → TIEP_NHAN → DA_PHAN_CONG → DANG_XU_LY.</t>
        </is>
      </c>
      <c r="I140" s="14" t="n"/>
      <c r="J140" s="14" t="inlineStr">
        <is>
          <t>1. Mở chi tiết bản ghi vừa cập nhật.
 2. Mở Accordion "lịch sử xử lý" (Timeline).</t>
        </is>
      </c>
      <c r="K140" s="14" t="inlineStr">
        <is>
          <t>Hệ thống hiển thị dòng thời gian liệt kê toàn bộ các thao tác đã thực hiện trên hỏi đáp theo thứ tự thời gian, gồm các cột: thời điểm, người thực hiện, hành động, giá trị cũ → giá trị mới.</t>
        </is>
      </c>
      <c r="L140" s="14" t="inlineStr">
        <is>
          <t>Hệ thống hiển thị dòng thời gian liệt kê toàn bộ các thao tác đã thực hiện trên hỏi đáp theo thứ tự thời gian, gồm các cột: thời điểm, người thực hiện, hành động, giá trị cũ → giá trị mới.</t>
        </is>
      </c>
      <c r="M140" s="8" t="inlineStr">
        <is>
          <t>QLTNXLHDVM_03.jpg</t>
        </is>
      </c>
      <c r="N140" s="42" t="inlineStr">
        <is>
          <t>Pass</t>
        </is>
      </c>
      <c r="O140" s="16" t="n"/>
      <c r="P140" s="16" t="n"/>
      <c r="Q140" s="16" t="n"/>
      <c r="R140" s="16" t="n"/>
      <c r="S140" s="16" t="n"/>
      <c r="T140" s="16" t="n"/>
      <c r="U140" s="16" t="n"/>
      <c r="V140" s="16" t="n"/>
      <c r="W140" s="16" t="n"/>
      <c r="X140" s="16" t="n"/>
      <c r="Y140" s="16" t="n"/>
      <c r="Z140" s="16" t="n"/>
      <c r="AA140" s="16" t="n"/>
      <c r="AB140" s="16" t="n"/>
      <c r="AC140" s="16" t="n"/>
    </row>
    <row r="141">
      <c r="A141" s="39" t="n"/>
      <c r="B141" s="33" t="n">
        <v>46205</v>
      </c>
      <c r="C141" s="42" t="inlineStr">
        <is>
          <t>Tuần 1</t>
        </is>
      </c>
      <c r="D141" s="41">
        <f>IF(G141&lt;&gt;"","QLTNXLHDVM_"&amp;TEXT(COUNTIF($G$138:G141,"&lt;&gt;"),"00"),"")</f>
        <v/>
      </c>
      <c r="E141" s="41" t="n"/>
      <c r="F141" s="41" t="n"/>
      <c r="G141" s="14" t="inlineStr">
        <is>
          <t>Cập nhật thời hạn — thiếu lý do → bị chặn</t>
        </is>
      </c>
      <c r="H141" s="14" t="inlineStr">
        <is>
          <t>- User CB_NV đã đăng nhập.
 - HD-022 ở DANG_XU_LY.</t>
        </is>
      </c>
      <c r="I141" s="14" t="n"/>
      <c r="J141" s="14" t="inlineStr">
        <is>
          <t>1. Mở chi tiết HD-022.
 2. Nhập thời hạn mới.
 3. Bỏ trống lý do.
 4. Click [Lưu].</t>
        </is>
      </c>
      <c r="K141" s="14" t="inlineStr">
        <is>
          <t>- Không cho phép lưu khi lý do trống.</t>
        </is>
      </c>
      <c r="L141" s="14" t="inlineStr">
        <is>
          <t>- Không cho phép lưu khi lý do trống.</t>
        </is>
      </c>
      <c r="M141" s="8" t="inlineStr">
        <is>
          <t>QLTNXLHDVM_04.jpg</t>
        </is>
      </c>
      <c r="N141" s="42" t="inlineStr">
        <is>
          <t>Pass</t>
        </is>
      </c>
      <c r="O141" s="16" t="n"/>
      <c r="P141" s="16" t="n"/>
      <c r="Q141" s="16" t="n"/>
      <c r="R141" s="16" t="n"/>
      <c r="S141" s="16" t="n"/>
      <c r="T141" s="16" t="n"/>
      <c r="U141" s="16" t="n"/>
      <c r="V141" s="16" t="n"/>
      <c r="W141" s="16" t="n"/>
      <c r="X141" s="16" t="n"/>
      <c r="Y141" s="16" t="n"/>
      <c r="Z141" s="16" t="n"/>
      <c r="AA141" s="16" t="n"/>
      <c r="AB141" s="16" t="n"/>
      <c r="AC141" s="16" t="n"/>
    </row>
    <row r="142">
      <c r="A142" s="39" t="n"/>
      <c r="B142" s="33" t="n">
        <v>46205</v>
      </c>
      <c r="C142" s="42" t="inlineStr">
        <is>
          <t>Tuần 1</t>
        </is>
      </c>
      <c r="D142" s="41">
        <f>IF(G142&lt;&gt;"","QLTNXLHDVM_"&amp;TEXT(COUNTIF($G$138:G142,"&lt;&gt;"),"00"),"")</f>
        <v/>
      </c>
      <c r="E142" s="41" t="n"/>
      <c r="F142" s="41" t="n"/>
      <c r="G142" s="14" t="inlineStr">
        <is>
          <t>CB NV ĐP xem timeline bản ghi thuộc đơn vị khác → bị chặn</t>
        </is>
      </c>
      <c r="H142" s="14" t="inlineStr">
        <is>
          <t>- User CB_NV_DP (Sở TP HN) đã đăng nhập.
 - Bản ghi thuộc đơn vị TW ở DANG_XU_LY.</t>
        </is>
      </c>
      <c r="I142" s="14" t="n"/>
      <c r="J142" s="14" t="inlineStr">
        <is>
          <t>1. Thử truy cập chi tiết bản ghi (đơn vị TW).</t>
        </is>
      </c>
      <c r="K142" s="14" t="inlineStr">
        <is>
          <t xml:space="preserve">- Bản ghi KHÔNG xuất hiện trong danh sách tab "Đang xử lý" của CB_NV_DP.
</t>
        </is>
      </c>
      <c r="L142" s="14" t="inlineStr">
        <is>
          <t xml:space="preserve">- Bản ghi KHÔNG xuất hiện trong danh sách tab "Đang xử lý" của CB_NV_DP.
</t>
        </is>
      </c>
      <c r="M142" s="8" t="inlineStr">
        <is>
          <t>QLTNXLHDVM_05.jpg</t>
        </is>
      </c>
      <c r="N142" s="42" t="inlineStr">
        <is>
          <t>Pass</t>
        </is>
      </c>
      <c r="O142" s="16" t="n"/>
      <c r="P142" s="16" t="n"/>
      <c r="Q142" s="16" t="n"/>
      <c r="R142" s="16" t="n"/>
      <c r="S142" s="16" t="n"/>
      <c r="T142" s="16" t="n"/>
      <c r="U142" s="16" t="n"/>
      <c r="V142" s="16" t="n"/>
      <c r="W142" s="16" t="n"/>
      <c r="X142" s="16" t="n"/>
      <c r="Y142" s="16" t="n"/>
      <c r="Z142" s="16" t="n"/>
      <c r="AA142" s="16" t="n"/>
      <c r="AB142" s="16" t="n"/>
      <c r="AC142" s="16" t="n"/>
    </row>
    <row r="143">
      <c r="A143" s="39" t="n"/>
      <c r="B143" s="33" t="n">
        <v>46205</v>
      </c>
      <c r="C143" s="42" t="inlineStr">
        <is>
          <t>Tuần 1</t>
        </is>
      </c>
      <c r="D143" s="41">
        <f>IF(G143&lt;&gt;"","QLTNXLHDVM_"&amp;TEXT(COUNTIF($G$138:G143,"&lt;&gt;"),"00"),"")</f>
        <v/>
      </c>
      <c r="E143" s="41" t="n"/>
      <c r="F143" s="41" t="n"/>
      <c r="G143" s="14" t="inlineStr">
        <is>
          <t>Xem danh sách đã xử lý — Read-only</t>
        </is>
      </c>
      <c r="H143" s="14" t="inlineStr">
        <is>
          <t>- User CB_NV đã đăng nhập.
 - Tồn tại bản ghi ở DA_DUYET, CONG_KHAI, HOAN_THANH.</t>
        </is>
      </c>
      <c r="I143" s="14" t="n"/>
      <c r="J143" s="14" t="inlineStr">
        <is>
          <t>1. Mở tab "Hoàn thành" 
 2. Kiểm tra danh sách.</t>
        </is>
      </c>
      <c r="K143" s="14" t="inlineStr">
        <is>
          <t>- Chỉ hiển thị `trang_thai IN (DA_DUYET, CONG_KHAI, HOAN_THANH)`.
 - Read-only: KHÔNG có nút [Thêm mới], [Sửa], [Xóa].
 - Cột bổ sung: `nguoi_duyet`, `ngay_duyet`.</t>
        </is>
      </c>
      <c r="L143" s="16" t="inlineStr">
        <is>
          <t>Không có cột bổ sung Người duyệt, Ngày duyệt</t>
        </is>
      </c>
      <c r="M143" s="8" t="inlineStr">
        <is>
          <t>QLTNXLHDVM_06.jpg</t>
        </is>
      </c>
      <c r="N143" s="42" t="inlineStr">
        <is>
          <t>Fail</t>
        </is>
      </c>
      <c r="O143" s="16" t="n"/>
      <c r="P143" s="16" t="inlineStr">
        <is>
          <t>dev done</t>
        </is>
      </c>
      <c r="Q143" s="16" t="n"/>
      <c r="R143" s="59" t="n"/>
      <c r="S143" s="59" t="n"/>
      <c r="T143" s="59" t="n"/>
      <c r="U143" s="59" t="n"/>
      <c r="V143" s="16" t="n"/>
      <c r="W143" s="16" t="n"/>
      <c r="X143" s="16" t="n"/>
      <c r="Y143" s="16" t="n"/>
      <c r="Z143" s="16" t="n"/>
      <c r="AA143" s="16" t="n"/>
      <c r="AB143" s="16" t="n"/>
      <c r="AC143" s="16" t="n"/>
    </row>
    <row r="144">
      <c r="A144" s="39" t="n"/>
      <c r="B144" s="33" t="n">
        <v>46205</v>
      </c>
      <c r="C144" s="42" t="inlineStr">
        <is>
          <t>Tuần 1</t>
        </is>
      </c>
      <c r="D144" s="41">
        <f>IF(G144&lt;&gt;"","QLTNXLHDVM_"&amp;TEXT(COUNTIF($G$138:G144,"&lt;&gt;"),"00"),"")</f>
        <v/>
      </c>
      <c r="E144" s="41" t="n"/>
      <c r="F144" s="41" t="n"/>
      <c r="G144" s="14" t="inlineStr">
        <is>
          <t>Xem chi tiết đã xử lý — hiển thị toàn bộ lịch sử</t>
        </is>
      </c>
      <c r="H144" s="14" t="inlineStr">
        <is>
          <t>- User CB_NV đã đăng nhập.
 - Bản ghi ở HOAN_THANH.</t>
        </is>
      </c>
      <c r="I144" s="14" t="n"/>
      <c r="J144" s="14" t="inlineStr">
        <is>
          <t>1. Click vào Bản ghi.
 2. Xem SCR-II-02 (Chi tiết).</t>
        </is>
      </c>
      <c r="K144" s="14" t="inlineStr">
        <is>
          <t>- Hiển thị nội dung phản hồi cuối cùng.
 - Thông tin người duyệt + ngày duyệt.
 - Timeline đầy đủ từ MOI → ... → HOAN_THANH.
 - Tất cả trường bị disabled/locked (BR-FLOW-03).</t>
        </is>
      </c>
      <c r="L144" s="14" t="inlineStr">
        <is>
          <t>- Hiển thị nội dung phản hồi cuối cùng.
 - Thông tin người duyệt + ngày duyệt.
 - Timeline đầy đủ từ MOI → ... → HOAN_THANH.
 - Tất cả trường bị disabled/locked (BR-FLOW-03).</t>
        </is>
      </c>
      <c r="M144" s="8" t="inlineStr">
        <is>
          <t>QLTNXLHDVM_07.jpg</t>
        </is>
      </c>
      <c r="N144" s="42" t="inlineStr">
        <is>
          <t>Pass</t>
        </is>
      </c>
      <c r="O144" s="16" t="n"/>
      <c r="P144" s="16" t="n"/>
      <c r="Q144" s="16" t="n"/>
      <c r="R144" s="16" t="n"/>
      <c r="S144" s="16" t="n"/>
      <c r="T144" s="16" t="n"/>
      <c r="U144" s="16" t="n"/>
      <c r="V144" s="16" t="n"/>
      <c r="W144" s="16" t="n"/>
      <c r="X144" s="16" t="n"/>
      <c r="Y144" s="16" t="n"/>
      <c r="Z144" s="16" t="n"/>
      <c r="AA144" s="16" t="n"/>
      <c r="AB144" s="16" t="n"/>
      <c r="AC144" s="16" t="n"/>
    </row>
    <row r="145">
      <c r="A145" s="39" t="n"/>
      <c r="B145" s="33" t="n">
        <v>46205</v>
      </c>
      <c r="C145" s="42" t="inlineStr">
        <is>
          <t>Tuần 1</t>
        </is>
      </c>
      <c r="D145" s="41">
        <f>IF(G145&lt;&gt;"","QLTNXLHDVM_"&amp;TEXT(COUNTIF($G$138:G145,"&lt;&gt;"),"00"),"")</f>
        <v/>
      </c>
      <c r="E145" s="41" t="n"/>
      <c r="F145" s="41" t="n"/>
      <c r="G145" s="14" t="inlineStr">
        <is>
          <t>CB_PD_TW xem data cấp BN/ĐP — xem được nhưng KHÔNG duyệt được</t>
        </is>
      </c>
      <c r="H145" s="14" t="inlineStr">
        <is>
          <t>- User CB_PD_TW đã đăng nhập.
 - HD-090 thuộc cấp BN ở DANG_XU_LY.</t>
        </is>
      </c>
      <c r="I145" s="14" t="n"/>
      <c r="J145" s="14" t="inlineStr">
        <is>
          <t>1. Mở tab "Đang xử lý".
 2. Xác nhận HD-090 (cấp BN) CÓ hiển thị.
 3. Click vào HD-090.</t>
        </is>
      </c>
      <c r="K145" s="14" t="inlineStr">
        <is>
          <t>- BR-AUTH-04: CB_PD_TW CÓ quyền XEM toàn bộ TW + BN + ĐP.
 - HD-090 hiển thị trong danh sách.
 - Nhưng khi chuyển CHO_PHE_DUYET, nút [Phê duyệt] sẽ bị chặn (BR-AUTH-05: phê duyệt cùng cấp).</t>
        </is>
      </c>
      <c r="L145" s="14" t="inlineStr">
        <is>
          <t>- BR-AUTH-04: CB_PD_TW CÓ quyền XEM toàn bộ TW + BN + ĐP.
 - HD-090 hiển thị trong danh sách.
 - Nhưng khi chuyển CHO_PHE_DUYET, nút [Phê duyệt] sẽ bị chặn (BR-AUTH-05: phê duyệt cùng cấp).</t>
        </is>
      </c>
      <c r="M145" s="8" t="inlineStr">
        <is>
          <t>QLTNXLHDVM_08.jpg</t>
        </is>
      </c>
      <c r="N145" s="42" t="inlineStr">
        <is>
          <t>Pass</t>
        </is>
      </c>
      <c r="O145" s="16" t="n"/>
      <c r="P145" s="16" t="n"/>
      <c r="Q145" s="16" t="n"/>
      <c r="R145" s="16" t="n"/>
      <c r="S145" s="16" t="n"/>
      <c r="T145" s="16" t="n"/>
      <c r="U145" s="16" t="n"/>
      <c r="V145" s="16" t="n"/>
      <c r="W145" s="16" t="n"/>
      <c r="X145" s="16" t="n"/>
      <c r="Y145" s="16" t="n"/>
      <c r="Z145" s="16" t="n"/>
      <c r="AA145" s="16" t="n"/>
      <c r="AB145" s="16" t="n"/>
      <c r="AC145" s="16" t="n"/>
    </row>
    <row r="146">
      <c r="A146" s="39" t="n"/>
      <c r="B146" s="33" t="n">
        <v>46205</v>
      </c>
      <c r="C146" s="42" t="inlineStr">
        <is>
          <t>Tuần 1</t>
        </is>
      </c>
      <c r="D146" s="41">
        <f>IF(G146&lt;&gt;"","QLTNXLHDVM_"&amp;TEXT(COUNTIF($G$138:G146,"&lt;&gt;"),"00"),"")</f>
        <v/>
      </c>
      <c r="E146" s="41" t="n"/>
      <c r="F146" s="41" t="n"/>
      <c r="G146" s="14" t="inlineStr">
        <is>
          <t>Cập nhật thời hạn — thời hạn mới &lt; ngày hiện tại → kiểm tra ràng buộc</t>
        </is>
      </c>
      <c r="H146" s="14" t="inlineStr">
        <is>
          <t>- User CB_NV đã đăng nhập.
 - Bản ghi ở DANG_XU_LY</t>
        </is>
      </c>
      <c r="I146" s="14" t="n"/>
      <c r="J146" s="14" t="inlineStr">
        <is>
          <t>1. Mở chi tiết bản ghi.
 2. Nhập thời hạn mới &lt; ngày hiện tại.
 3. Click [Lưu].</t>
        </is>
      </c>
      <c r="K146" s="14" t="inlineStr">
        <is>
          <t xml:space="preserve">- Hệ thống chặn không cho cập nhật ngày &lt; thời hạn hiện tại
</t>
        </is>
      </c>
      <c r="L146" s="14" t="inlineStr">
        <is>
          <t xml:space="preserve">- Hệ thống chặn không cho cập nhật ngày &lt; thời hạn hiện tại
</t>
        </is>
      </c>
      <c r="M146" s="8" t="inlineStr">
        <is>
          <t>QLTNXLHDVM_09.jpg</t>
        </is>
      </c>
      <c r="N146" s="42" t="inlineStr">
        <is>
          <t>Pass</t>
        </is>
      </c>
      <c r="O146" s="16" t="n"/>
      <c r="P146" s="16" t="n"/>
      <c r="Q146" s="16" t="n"/>
      <c r="R146" s="16" t="n"/>
      <c r="S146" s="16" t="n"/>
      <c r="T146" s="16" t="n"/>
      <c r="U146" s="16" t="n"/>
      <c r="V146" s="16" t="n"/>
      <c r="W146" s="16" t="n"/>
      <c r="X146" s="16" t="n"/>
      <c r="Y146" s="16" t="n"/>
      <c r="Z146" s="16" t="n"/>
      <c r="AA146" s="16" t="n"/>
      <c r="AB146" s="16" t="n"/>
      <c r="AC146" s="16" t="n"/>
    </row>
    <row r="147">
      <c r="A147" s="17" t="n"/>
      <c r="B147" s="18" t="n">
        <v>14</v>
      </c>
      <c r="C147" s="18" t="n"/>
      <c r="D147" s="24" t="n"/>
      <c r="E147" s="24" t="inlineStr">
        <is>
          <t>Tìm kiếm thông tin hỏi đáp, vướng mắc pháp lý đã tiếp 
 nhận xử lý</t>
        </is>
      </c>
      <c r="F147" s="24" t="inlineStr">
        <is>
          <t>Cán bộ nghiệp vụ TW,BN,ĐP/Cán bộ phê duyệt TW,BN,ĐP</t>
        </is>
      </c>
      <c r="G147" s="27" t="inlineStr">
        <is>
          <t>Tìm kiếm các yêu cầu đang nằm trong hàng đợi chờ xử lý hoặc đã được phân công xử lý.</t>
        </is>
      </c>
      <c r="H147" s="26" t="n"/>
      <c r="I147" s="42" t="n"/>
      <c r="J147" s="16" t="n"/>
      <c r="K147" s="16" t="n"/>
      <c r="L147" s="16" t="n"/>
      <c r="M147" s="16" t="n"/>
      <c r="N147" s="42" t="n"/>
      <c r="O147" s="16" t="n"/>
      <c r="P147" s="16" t="n"/>
      <c r="Q147" s="16" t="n"/>
      <c r="R147" s="16" t="n"/>
      <c r="S147" s="16" t="n"/>
      <c r="T147" s="16" t="n"/>
      <c r="U147" s="16" t="n"/>
      <c r="V147" s="16" t="n"/>
      <c r="W147" s="16" t="n"/>
      <c r="X147" s="16" t="n"/>
      <c r="Y147" s="16" t="n"/>
      <c r="Z147" s="16" t="n"/>
      <c r="AA147" s="16" t="n"/>
      <c r="AB147" s="16" t="n"/>
      <c r="AC147" s="16" t="n"/>
    </row>
    <row r="148">
      <c r="A148" s="39" t="n"/>
      <c r="B148" s="33" t="n">
        <v>46205</v>
      </c>
      <c r="C148" s="40" t="inlineStr">
        <is>
          <t>Tuần 1</t>
        </is>
      </c>
      <c r="D148" s="41">
        <f>IF(G148&lt;&gt;"","TKHDVMPLDTNXL_"&amp;TEXT(COUNTIF($G$148:G148,"&lt;&gt;"),"00"),"")</f>
        <v/>
      </c>
      <c r="E148" s="41" t="n"/>
      <c r="F148" s="41" t="n"/>
      <c r="G148" s="14" t="inlineStr">
        <is>
          <t>Kiểm tra tìm kiếm theo nội dung câu hỏi</t>
        </is>
      </c>
      <c r="H148" s="14" t="inlineStr">
        <is>
          <t>Có dữ liệu chứa từ khóa cần tìm</t>
        </is>
      </c>
      <c r="I148" s="14" t="inlineStr">
        <is>
          <t>Từ khóa: 'Doanh nghiệp'</t>
        </is>
      </c>
      <c r="J148" s="14" t="inlineStr">
        <is>
          <t>1. Nhập từ khóa vào ô tìm kiếm
 2. Bấm Tìm kiếm</t>
        </is>
      </c>
      <c r="K148" s="14" t="inlineStr">
        <is>
          <t>Danh sách chỉ hiển thị các bản ghi có nội dung/mã/người gửi phù hợp với từ khóa; số lượng kết quả được cập nhật đúng</t>
        </is>
      </c>
      <c r="L148" s="14" t="inlineStr">
        <is>
          <t>Danh sách chỉ hiển thị các bản ghi có nội dung/mã/người gửi phù hợp với từ khóa; số lượng kết quả được cập nhật đúng</t>
        </is>
      </c>
      <c r="M148" s="8" t="inlineStr">
        <is>
          <t>TKHDVMPLDTNXL_01.jpg</t>
        </is>
      </c>
      <c r="N148" s="42" t="inlineStr">
        <is>
          <t>Pass</t>
        </is>
      </c>
      <c r="O148" s="16" t="n"/>
      <c r="P148" s="16" t="n"/>
      <c r="Q148" s="16" t="n"/>
      <c r="R148" s="16" t="n"/>
      <c r="S148" s="16" t="n"/>
      <c r="T148" s="16" t="n"/>
      <c r="U148" s="16" t="n"/>
      <c r="V148" s="16" t="n"/>
      <c r="W148" s="16" t="n"/>
      <c r="X148" s="16" t="n"/>
      <c r="Y148" s="16" t="n"/>
      <c r="Z148" s="16" t="n"/>
      <c r="AA148" s="16" t="n"/>
      <c r="AB148" s="16" t="n"/>
      <c r="AC148" s="16" t="n"/>
    </row>
    <row r="149">
      <c r="A149" s="39" t="n"/>
      <c r="B149" s="33" t="n">
        <v>46205</v>
      </c>
      <c r="C149" s="40" t="inlineStr">
        <is>
          <t>Tuần 1</t>
        </is>
      </c>
      <c r="D149" s="41">
        <f>IF(G149&lt;&gt;"","TKHDVMPLDTNXL_"&amp;TEXT(COUNTIF($G$148:G149,"&lt;&gt;"),"00"),"")</f>
        <v/>
      </c>
      <c r="E149" s="41" t="n"/>
      <c r="F149" s="41" t="n"/>
      <c r="G149" s="14" t="inlineStr">
        <is>
          <t>Kiểm tra tìm kiếm theo mã hỏi đáp</t>
        </is>
      </c>
      <c r="H149" s="14" t="inlineStr">
        <is>
          <t>Có bản ghi có mã HĐ cụ thể</t>
        </is>
      </c>
      <c r="I149" s="14" t="inlineStr">
        <is>
          <t>Mã HĐ: HD-20260624-001</t>
        </is>
      </c>
      <c r="J149" s="14" t="inlineStr">
        <is>
          <t>1. Nhập mã HĐ vào ô tìm kiếm
 2. Bấm Tìm kiếm</t>
        </is>
      </c>
      <c r="K149" s="14" t="inlineStr">
        <is>
          <t>Hiển thị đúng bản ghi có mã HĐ tương ứng; không hiển thị bản ghi không liên quan</t>
        </is>
      </c>
      <c r="L149" s="14" t="inlineStr">
        <is>
          <t>Hiển thị đúng bản ghi có mã HĐ tương ứng; không hiển thị bản ghi không liên quan</t>
        </is>
      </c>
      <c r="M149" s="8" t="inlineStr">
        <is>
          <t>TKHDVMPLDTNXL_02.jpg</t>
        </is>
      </c>
      <c r="N149" s="42" t="inlineStr">
        <is>
          <t>Pass</t>
        </is>
      </c>
      <c r="O149" s="16" t="n"/>
      <c r="P149" s="16" t="n"/>
      <c r="Q149" s="16" t="n"/>
      <c r="R149" s="16" t="n"/>
      <c r="S149" s="16" t="n"/>
      <c r="T149" s="16" t="n"/>
      <c r="U149" s="16" t="n"/>
      <c r="V149" s="16" t="n"/>
      <c r="W149" s="16" t="n"/>
      <c r="X149" s="16" t="n"/>
      <c r="Y149" s="16" t="n"/>
      <c r="Z149" s="16" t="n"/>
      <c r="AA149" s="16" t="n"/>
      <c r="AB149" s="16" t="n"/>
      <c r="AC149" s="16" t="n"/>
    </row>
    <row r="150">
      <c r="A150" s="39" t="n"/>
      <c r="B150" s="33" t="n">
        <v>46205</v>
      </c>
      <c r="C150" s="40" t="inlineStr">
        <is>
          <t>Tuần 1</t>
        </is>
      </c>
      <c r="D150" s="41">
        <f>IF(G150&lt;&gt;"","TKHDVMPLDTNXL_"&amp;TEXT(COUNTIF($G$148:G150,"&lt;&gt;"),"00"),"")</f>
        <v/>
      </c>
      <c r="E150" s="41" t="n"/>
      <c r="F150" s="41" t="n"/>
      <c r="G150" s="14" t="inlineStr">
        <is>
          <t>Kiểm tra tìm kiếm theo người gửi</t>
        </is>
      </c>
      <c r="H150" s="14" t="inlineStr">
        <is>
          <t>Có bản ghi người gửi cụ thể</t>
        </is>
      </c>
      <c r="I150" s="14" t="inlineStr">
        <is>
          <t>Người gửi: Nguyễn Văn A</t>
        </is>
      </c>
      <c r="J150" s="14" t="inlineStr">
        <is>
          <t>1. Nhập tên người gửi vào ô tìm kiếm
 2. Bấm Tìm kiếm</t>
        </is>
      </c>
      <c r="K150" s="14" t="inlineStr">
        <is>
          <t>Danh sách hiển thị các bản ghi của người gửi phù hợp</t>
        </is>
      </c>
      <c r="L150" s="14" t="inlineStr">
        <is>
          <t>Danh sách hiển thị các bản ghi của người gửi phù hợp</t>
        </is>
      </c>
      <c r="M150" s="8" t="inlineStr">
        <is>
          <t>TKHDVMPLDTNXL_03.jpg</t>
        </is>
      </c>
      <c r="N150" s="42" t="inlineStr">
        <is>
          <t>Pass</t>
        </is>
      </c>
      <c r="O150" s="16" t="n"/>
      <c r="P150" s="16" t="n"/>
      <c r="Q150" s="16" t="n"/>
      <c r="R150" s="16" t="n"/>
      <c r="S150" s="16" t="n"/>
      <c r="T150" s="16" t="n"/>
      <c r="U150" s="16" t="n"/>
      <c r="V150" s="16" t="n"/>
      <c r="W150" s="16" t="n"/>
      <c r="X150" s="16" t="n"/>
      <c r="Y150" s="16" t="n"/>
      <c r="Z150" s="16" t="n"/>
      <c r="AA150" s="16" t="n"/>
      <c r="AB150" s="16" t="n"/>
      <c r="AC150" s="16" t="n"/>
    </row>
    <row r="151">
      <c r="A151" s="39" t="n"/>
      <c r="B151" s="33" t="n">
        <v>46205</v>
      </c>
      <c r="C151" s="40" t="inlineStr">
        <is>
          <t>Tuần 1</t>
        </is>
      </c>
      <c r="D151" s="41">
        <f>IF(G151&lt;&gt;"","TKHDVMPLDTNXL_"&amp;TEXT(COUNTIF($G$148:G151,"&lt;&gt;"),"00"),"")</f>
        <v/>
      </c>
      <c r="E151" s="41" t="n"/>
      <c r="F151" s="41" t="n"/>
      <c r="G151" s="14" t="inlineStr">
        <is>
          <t>Kiểm tra tìm kiếm khi không có kết quả</t>
        </is>
      </c>
      <c r="H151" s="14" t="inlineStr">
        <is>
          <t>Có quyền truy cập màn hình</t>
        </is>
      </c>
      <c r="I151" s="14" t="inlineStr">
        <is>
          <t>Từ khóa không tồn tại: xyz999</t>
        </is>
      </c>
      <c r="J151" s="14" t="inlineStr">
        <is>
          <t>1. Nhập từ khóa không tồn tại
 2. Bấm Tìm kiếm</t>
        </is>
      </c>
      <c r="K151" s="14" t="inlineStr">
        <is>
          <t>Hiển thị trạng thái không có dữ liệu/kết quả; không lỗi giao diện; phân trang hiển thị phù hợp</t>
        </is>
      </c>
      <c r="L151" s="14" t="inlineStr">
        <is>
          <t>Hiển thị trạng thái không có dữ liệu/kết quả; không lỗi giao diện; phân trang hiển thị phù hợp</t>
        </is>
      </c>
      <c r="M151" s="8" t="inlineStr">
        <is>
          <t>TKHDVMPLDTNXL_04.jpg</t>
        </is>
      </c>
      <c r="N151" s="42" t="inlineStr">
        <is>
          <t>Fail</t>
        </is>
      </c>
      <c r="O151" s="16" t="n"/>
      <c r="P151" s="16" t="inlineStr">
        <is>
          <t>dev done</t>
        </is>
      </c>
      <c r="Q151" s="16" t="n"/>
      <c r="R151" s="16" t="inlineStr">
        <is>
          <t>Cập nhật 2026-07-08 theo phản hồi đối tác: case được đánh Pass. Kết quả audit cũ chỉ giữ làm lịch sử, verdict chính thức hiện tại là Pass.</t>
        </is>
      </c>
      <c r="S151" s="16" t="inlineStr">
        <is>
          <t>audit-TKHDVMPLDTNXL_04-keyword-empty.png</t>
        </is>
      </c>
      <c r="T151" s="16" t="inlineStr">
        <is>
          <t>Pass</t>
        </is>
      </c>
      <c r="U151" s="16" t="inlineStr">
        <is>
          <t>Đối tác xác nhận pass ngày 2026-07-08; không cần dev xử lý tiếp.</t>
        </is>
      </c>
      <c r="V151" s="16" t="n"/>
      <c r="W151" s="16" t="n"/>
      <c r="X151" s="16" t="n"/>
      <c r="Y151" s="16" t="n"/>
      <c r="Z151" s="16" t="n"/>
      <c r="AA151" s="16" t="n"/>
      <c r="AB151" s="16" t="n"/>
      <c r="AC151" s="16" t="n"/>
    </row>
    <row r="152">
      <c r="A152" s="39" t="n"/>
      <c r="B152" s="33" t="n">
        <v>46205</v>
      </c>
      <c r="C152" s="40" t="inlineStr">
        <is>
          <t>Tuần 1</t>
        </is>
      </c>
      <c r="D152" s="41">
        <f>IF(G152&lt;&gt;"","TKHDVMPLDTNXL_"&amp;TEXT(COUNTIF($G$148:G152,"&lt;&gt;"),"00"),"")</f>
        <v/>
      </c>
      <c r="E152" s="41" t="n"/>
      <c r="F152" s="41" t="n"/>
      <c r="G152" s="14" t="inlineStr">
        <is>
          <t>Kiểm tra lọc theo Lĩnh vực PL</t>
        </is>
      </c>
      <c r="H152" s="14" t="inlineStr">
        <is>
          <t>Có dữ liệu thuộc nhiều lĩnh vực</t>
        </is>
      </c>
      <c r="I152" s="14" t="inlineStr">
        <is>
          <t>Lĩnh vực: Thuế</t>
        </is>
      </c>
      <c r="J152" s="14" t="inlineStr">
        <is>
          <t>1. Chọn Lĩnh vực pháp luật = Thuế
 2. Bấm Tìm kiếm</t>
        </is>
      </c>
      <c r="K152" s="14" t="inlineStr">
        <is>
          <t>Danh sách chỉ hiển thị bản ghi thuộc lĩnh vực Thuế; số lượng kết quả đúng</t>
        </is>
      </c>
      <c r="L152" s="14" t="inlineStr">
        <is>
          <t>Danh sách chỉ hiển thị bản ghi thuộc lĩnh vực Thuế; số lượng kết quả đúng</t>
        </is>
      </c>
      <c r="M152" s="8" t="inlineStr">
        <is>
          <t>TKHDVMPLDTNXL_05.jpg</t>
        </is>
      </c>
      <c r="N152" s="42" t="inlineStr">
        <is>
          <t>Pass</t>
        </is>
      </c>
      <c r="O152" s="16" t="n"/>
      <c r="P152" s="16" t="n"/>
      <c r="Q152" s="16" t="n"/>
      <c r="R152" s="16" t="n"/>
      <c r="S152" s="16" t="n"/>
      <c r="T152" s="16" t="n"/>
      <c r="U152" s="16" t="n"/>
      <c r="V152" s="16" t="n"/>
      <c r="W152" s="16" t="n"/>
      <c r="X152" s="16" t="n"/>
      <c r="Y152" s="16" t="n"/>
      <c r="Z152" s="16" t="n"/>
      <c r="AA152" s="16" t="n"/>
      <c r="AB152" s="16" t="n"/>
      <c r="AC152" s="16" t="n"/>
    </row>
    <row r="153">
      <c r="A153" s="39" t="n"/>
      <c r="B153" s="33" t="n">
        <v>46205</v>
      </c>
      <c r="C153" s="40" t="inlineStr">
        <is>
          <t>Tuần 1</t>
        </is>
      </c>
      <c r="D153" s="41">
        <f>IF(G153&lt;&gt;"","TKHDVMPLDTNXL_"&amp;TEXT(COUNTIF($G$148:G153,"&lt;&gt;"),"00"),"")</f>
        <v/>
      </c>
      <c r="E153" s="41" t="n"/>
      <c r="F153" s="41" t="n"/>
      <c r="G153" s="14" t="inlineStr">
        <is>
          <t>Kiểm tra lọc theo trạng thái</t>
        </is>
      </c>
      <c r="H153" s="14" t="inlineStr">
        <is>
          <t>Có dữ liệu nhiều trạng thái</t>
        </is>
      </c>
      <c r="I153" s="14" t="inlineStr">
        <is>
          <t>Trạng thái: Mới</t>
        </is>
      </c>
      <c r="J153" s="14" t="inlineStr">
        <is>
          <t>1. Chọn Trạng thái = Mới
 2. Bấm Tìm kiếm</t>
        </is>
      </c>
      <c r="K153" s="14" t="inlineStr">
        <is>
          <t>Danh sách chỉ hiển thị các bản ghi có trạng thái Mới</t>
        </is>
      </c>
      <c r="L153" s="16" t="inlineStr">
        <is>
          <t>- Các bản ghi của các trạng thái khác vẫn hiển thị
- Số lượng bản ghi ở tab Tất cả hiển thị không đúng với số lượng bản ghi tìm kiếm</t>
        </is>
      </c>
      <c r="M153" s="8" t="inlineStr">
        <is>
          <t>TKHDVMPLDTNXL_06.webm</t>
        </is>
      </c>
      <c r="N153" s="42" t="inlineStr">
        <is>
          <t>Fail</t>
        </is>
      </c>
      <c r="O153" s="16" t="n"/>
      <c r="P153" s="16" t="inlineStr">
        <is>
          <t>dev done</t>
        </is>
      </c>
      <c r="Q153" s="16" t="n"/>
      <c r="R153" s="16" t="n"/>
      <c r="S153" s="16" t="n"/>
      <c r="T153" s="16" t="n"/>
      <c r="U153" s="16" t="n"/>
      <c r="V153" s="16" t="n"/>
      <c r="W153" s="16" t="n"/>
      <c r="X153" s="16" t="n"/>
      <c r="Y153" s="16" t="n"/>
      <c r="Z153" s="16" t="n"/>
      <c r="AA153" s="16" t="n"/>
      <c r="AB153" s="16" t="n"/>
      <c r="AC153" s="16" t="n"/>
    </row>
    <row r="154">
      <c r="A154" s="39" t="n"/>
      <c r="B154" s="33" t="n">
        <v>46205</v>
      </c>
      <c r="C154" s="40" t="inlineStr">
        <is>
          <t>Tuần 1</t>
        </is>
      </c>
      <c r="D154" s="41">
        <f>IF(G154&lt;&gt;"","TKHDVMPLDTNXL_"&amp;TEXT(COUNTIF($G$148:G154,"&lt;&gt;"),"00"),"")</f>
        <v/>
      </c>
      <c r="E154" s="41" t="n"/>
      <c r="F154" s="41" t="n"/>
      <c r="G154" s="14" t="inlineStr">
        <is>
          <t>Kiểm tra lọc theo kênh tiếp nhận</t>
        </is>
      </c>
      <c r="H154" s="14" t="inlineStr">
        <is>
          <t>Có dữ liệu nhiều kênh</t>
        </is>
      </c>
      <c r="I154" s="14" t="inlineStr">
        <is>
          <t>Kênh: Trực tiếp/Hệ thống khác/Cổng PLQG</t>
        </is>
      </c>
      <c r="J154" s="14" t="inlineStr">
        <is>
          <t>1. Chọn Kênh tiếp nhận
 2. Bấm Tìm kiếm</t>
        </is>
      </c>
      <c r="K154" s="14" t="inlineStr">
        <is>
          <t>Danh sách chỉ hiển thị bản ghi đúng kênh tiếp nhận đã chọn</t>
        </is>
      </c>
      <c r="L154" s="14" t="inlineStr">
        <is>
          <t>Danh sách chỉ hiển thị bản ghi đúng kênh tiếp nhận đã chọn</t>
        </is>
      </c>
      <c r="M154" s="8" t="inlineStr">
        <is>
          <t>TKHDVMPLDTNXL_07.jpg</t>
        </is>
      </c>
      <c r="N154" s="42" t="inlineStr">
        <is>
          <t>Pass</t>
        </is>
      </c>
      <c r="O154" s="16" t="n"/>
      <c r="P154" s="16" t="n"/>
      <c r="Q154" s="16" t="n"/>
      <c r="R154" s="16" t="n"/>
      <c r="S154" s="16" t="n"/>
      <c r="T154" s="16" t="n"/>
      <c r="U154" s="16" t="n"/>
      <c r="V154" s="16" t="n"/>
      <c r="W154" s="16" t="n"/>
      <c r="X154" s="16" t="n"/>
      <c r="Y154" s="16" t="n"/>
      <c r="Z154" s="16" t="n"/>
      <c r="AA154" s="16" t="n"/>
      <c r="AB154" s="16" t="n"/>
      <c r="AC154" s="16" t="n"/>
    </row>
    <row r="155">
      <c r="A155" s="39" t="n"/>
      <c r="B155" s="33" t="n">
        <v>46205</v>
      </c>
      <c r="C155" s="40" t="inlineStr">
        <is>
          <t>Tuần 1</t>
        </is>
      </c>
      <c r="D155" s="41">
        <f>IF(G155&lt;&gt;"","TKHDVMPLDTNXL_"&amp;TEXT(COUNTIF($G$148:G155,"&lt;&gt;"),"00"),"")</f>
        <v/>
      </c>
      <c r="E155" s="41" t="n"/>
      <c r="F155" s="41" t="n"/>
      <c r="G155" s="14" t="inlineStr">
        <is>
          <t>Kiểm tra lọc theo mức độ phức tạp</t>
        </is>
      </c>
      <c r="H155" s="14" t="inlineStr">
        <is>
          <t>Có dữ liệu nhiều mức độ</t>
        </is>
      </c>
      <c r="I155" s="14" t="inlineStr">
        <is>
          <t>Mức độ: Thường</t>
        </is>
      </c>
      <c r="J155" s="14" t="inlineStr">
        <is>
          <t>1. Chọn Mức độ phức tạp = Thường
 2. Bấm Tìm kiếm</t>
        </is>
      </c>
      <c r="K155" s="14" t="inlineStr">
        <is>
          <t>Danh sách chỉ hiển thị bản ghi có mức độ Thường</t>
        </is>
      </c>
      <c r="L155" s="14" t="inlineStr">
        <is>
          <t>Danh sách chỉ hiển thị bản ghi có mức độ Thường</t>
        </is>
      </c>
      <c r="M155" s="8" t="inlineStr">
        <is>
          <t>TKHDVMPLDTNXL_08.jpg</t>
        </is>
      </c>
      <c r="N155" s="42" t="inlineStr">
        <is>
          <t>Pass</t>
        </is>
      </c>
      <c r="O155" s="16" t="n"/>
      <c r="P155" s="16" t="n"/>
      <c r="Q155" s="16" t="n"/>
      <c r="R155" s="16" t="n"/>
      <c r="S155" s="16" t="n"/>
      <c r="T155" s="16" t="n"/>
      <c r="U155" s="16" t="n"/>
      <c r="V155" s="16" t="n"/>
      <c r="W155" s="16" t="n"/>
      <c r="X155" s="16" t="n"/>
      <c r="Y155" s="16" t="n"/>
      <c r="Z155" s="16" t="n"/>
      <c r="AA155" s="16" t="n"/>
      <c r="AB155" s="16" t="n"/>
      <c r="AC155" s="16" t="n"/>
    </row>
    <row r="156">
      <c r="A156" s="39" t="n"/>
      <c r="B156" s="33" t="n">
        <v>46205</v>
      </c>
      <c r="C156" s="40" t="inlineStr">
        <is>
          <t>Tuần 1</t>
        </is>
      </c>
      <c r="D156" s="41">
        <f>IF(G156&lt;&gt;"","TKHDVMPLDTNXL_"&amp;TEXT(COUNTIF($G$148:G156,"&lt;&gt;"),"00"),"")</f>
        <v/>
      </c>
      <c r="E156" s="41" t="n"/>
      <c r="F156" s="41" t="n"/>
      <c r="G156" s="14" t="inlineStr">
        <is>
          <t>Kiểm tra lọc theo khoảng ngày hợp lệ</t>
        </is>
      </c>
      <c r="H156" s="14" t="inlineStr">
        <is>
          <t>Có dữ liệu trong khoảng ngày</t>
        </is>
      </c>
      <c r="I156" s="14" t="inlineStr">
        <is>
          <t>Từ ngày 22/06/2026, Đến ngày 24/06/2026</t>
        </is>
      </c>
      <c r="J156" s="14" t="inlineStr">
        <is>
          <t>1. Nhập Từ ngày
 2. Nhập Đến ngày
 3. Bấm Tìm kiếm</t>
        </is>
      </c>
      <c r="K156" s="14" t="inlineStr">
        <is>
          <t>Danh sách chỉ hiển thị bản ghi có ngày tạo nằm trong khoảng đã chọn, bao gồm ngày bắt đầu và ngày kết thúc nếu có dữ liệu</t>
        </is>
      </c>
      <c r="L156" s="14" t="inlineStr">
        <is>
          <t>Danh sách chỉ hiển thị bản ghi có ngày tạo nằm trong khoảng đã chọn, bao gồm ngày bắt đầu và ngày kết thúc nếu có dữ liệu</t>
        </is>
      </c>
      <c r="M156" s="8" t="inlineStr">
        <is>
          <t>TKHDVMPLDTNXL_09.jpg</t>
        </is>
      </c>
      <c r="N156" s="42" t="inlineStr">
        <is>
          <t>Pass</t>
        </is>
      </c>
      <c r="O156" s="16" t="n"/>
      <c r="P156" s="16" t="n"/>
      <c r="Q156" s="16" t="n"/>
      <c r="R156" s="16" t="n"/>
      <c r="S156" s="16" t="n"/>
      <c r="T156" s="16" t="n"/>
      <c r="U156" s="16" t="n"/>
      <c r="V156" s="16" t="n"/>
      <c r="W156" s="16" t="n"/>
      <c r="X156" s="16" t="n"/>
      <c r="Y156" s="16" t="n"/>
      <c r="Z156" s="16" t="n"/>
      <c r="AA156" s="16" t="n"/>
      <c r="AB156" s="16" t="n"/>
      <c r="AC156" s="16" t="n"/>
    </row>
    <row r="157">
      <c r="A157" s="39" t="n"/>
      <c r="B157" s="33" t="n">
        <v>46205</v>
      </c>
      <c r="C157" s="40" t="inlineStr">
        <is>
          <t>Tuần 1</t>
        </is>
      </c>
      <c r="D157" s="41">
        <f>IF(G157&lt;&gt;"","TKHDVMPLDTNXL_"&amp;TEXT(COUNTIF($G$148:G157,"&lt;&gt;"),"00"),"")</f>
        <v/>
      </c>
      <c r="E157" s="41" t="n"/>
      <c r="F157" s="41" t="n"/>
      <c r="G157" s="14" t="inlineStr">
        <is>
          <t>Kiểm tra nhập Từ ngày lớn hơn Đến ngày</t>
        </is>
      </c>
      <c r="H157" s="14" t="inlineStr">
        <is>
          <t>Có quyền truy cập màn hình</t>
        </is>
      </c>
      <c r="I157" s="14" t="inlineStr">
        <is>
          <t>Từ ngày 25/06/2026, Đến ngày 24/06/2026</t>
        </is>
      </c>
      <c r="J157" s="14" t="inlineStr">
        <is>
          <t>1. Nhập Từ ngày &gt; Đến ngày
 2. Bấm Tìm kiếm</t>
        </is>
      </c>
      <c r="K157" s="14" t="inlineStr">
        <is>
          <t>Hệ thống hiển thị thông báo lỗi hợp lệ, không thực hiện tìm kiếm sai dữ liệu</t>
        </is>
      </c>
      <c r="L157" s="14" t="inlineStr">
        <is>
          <t>Hệ thống hiển thị thông báo lỗi hợp lệ, không thực hiện tìm kiếm sai dữ liệu</t>
        </is>
      </c>
      <c r="M157" s="8" t="inlineStr">
        <is>
          <t>TKHDVMPLDTNXL_10.jpg</t>
        </is>
      </c>
      <c r="N157" s="42" t="inlineStr">
        <is>
          <t>Pass</t>
        </is>
      </c>
      <c r="O157" s="16" t="n"/>
      <c r="P157" s="16" t="n"/>
      <c r="Q157" s="16" t="n"/>
      <c r="R157" s="16" t="n"/>
      <c r="S157" s="16" t="n"/>
      <c r="T157" s="16" t="n"/>
      <c r="U157" s="16" t="n"/>
      <c r="V157" s="16" t="n"/>
      <c r="W157" s="16" t="n"/>
      <c r="X157" s="16" t="n"/>
      <c r="Y157" s="16" t="n"/>
      <c r="Z157" s="16" t="n"/>
      <c r="AA157" s="16" t="n"/>
      <c r="AB157" s="16" t="n"/>
      <c r="AC157" s="16" t="n"/>
    </row>
    <row r="158">
      <c r="A158" s="39" t="n"/>
      <c r="B158" s="33" t="n">
        <v>46205</v>
      </c>
      <c r="C158" s="40" t="inlineStr">
        <is>
          <t>Tuần 1</t>
        </is>
      </c>
      <c r="D158" s="41">
        <f>IF(G158&lt;&gt;"","TKHDVMPLDTNXL_"&amp;TEXT(COUNTIF($G$148:G158,"&lt;&gt;"),"00"),"")</f>
        <v/>
      </c>
      <c r="E158" s="41" t="n"/>
      <c r="F158" s="41" t="n"/>
      <c r="G158" s="14" t="inlineStr">
        <is>
          <t>Kiểm tra kết hợp nhiều điều kiện lọc</t>
        </is>
      </c>
      <c r="H158" s="14" t="inlineStr">
        <is>
          <t>Có dữ liệu thỏa mãn nhiều điều kiện</t>
        </is>
      </c>
      <c r="I158" s="14" t="inlineStr">
        <is>
          <t>Từ khóa + Lĩnh vực Thuế + Trạng thái Mới + Kênh Hệ thống khác</t>
        </is>
      </c>
      <c r="J158" s="14" t="inlineStr">
        <is>
          <t>1. Nhập/chọn các điều kiện lọc
 2. Bấm Tìm kiếm</t>
        </is>
      </c>
      <c r="K158" s="14" t="inlineStr">
        <is>
          <t>Danh sách hiển thị đúng các bản ghi thỏa mãn đồng thời tất cả điều kiện lọc</t>
        </is>
      </c>
      <c r="L158" s="14" t="inlineStr">
        <is>
          <t>Danh sách hiển thị đúng các bản ghi thỏa mãn đồng thời tất cả điều kiện lọc</t>
        </is>
      </c>
      <c r="M158" s="8" t="inlineStr">
        <is>
          <t>TKHDVMPLDTNXL_11.jpg</t>
        </is>
      </c>
      <c r="N158" s="42" t="inlineStr">
        <is>
          <t>Pass</t>
        </is>
      </c>
      <c r="O158" s="16" t="n"/>
      <c r="P158" s="16" t="n"/>
      <c r="Q158" s="16" t="n"/>
      <c r="R158" s="16" t="n"/>
      <c r="S158" s="16" t="n"/>
      <c r="T158" s="16" t="n"/>
      <c r="U158" s="16" t="n"/>
      <c r="V158" s="16" t="n"/>
      <c r="W158" s="16" t="n"/>
      <c r="X158" s="16" t="n"/>
      <c r="Y158" s="16" t="n"/>
      <c r="Z158" s="16" t="n"/>
      <c r="AA158" s="16" t="n"/>
      <c r="AB158" s="16" t="n"/>
      <c r="AC158" s="16" t="n"/>
    </row>
    <row r="159">
      <c r="A159" s="39" t="n"/>
      <c r="B159" s="33" t="n">
        <v>46205</v>
      </c>
      <c r="C159" s="40" t="inlineStr">
        <is>
          <t>Tuần 1</t>
        </is>
      </c>
      <c r="D159" s="41">
        <f>IF(G159&lt;&gt;"","TKHDVMPLDTNXL_"&amp;TEXT(COUNTIF($G$148:G159,"&lt;&gt;"),"00"),"")</f>
        <v/>
      </c>
      <c r="E159" s="41" t="n"/>
      <c r="F159" s="41" t="n"/>
      <c r="G159" s="14" t="inlineStr">
        <is>
          <t>Kiểm tra nút Xóa bộ lọc</t>
        </is>
      </c>
      <c r="H159" s="14" t="inlineStr">
        <is>
          <t>Đang có điều kiện lọc được nhập/chọn</t>
        </is>
      </c>
      <c r="I159" s="14" t="inlineStr">
        <is>
          <t>Có ít nhất 1 bộ lọc đã set</t>
        </is>
      </c>
      <c r="J159" s="14" t="inlineStr">
        <is>
          <t>1. Nhập/chọn bộ lọc
 2. Bấm Xóa bộ lọc</t>
        </is>
      </c>
      <c r="K159" s="14" t="inlineStr">
        <is>
          <t>Toàn bộ điều kiện lọc được reset về mặc định; danh sách quay về trạng thái ban đầu</t>
        </is>
      </c>
      <c r="L159" s="14" t="inlineStr">
        <is>
          <t>Toàn bộ điều kiện lọc được reset về mặc định; danh sách quay về trạng thái ban đầu</t>
        </is>
      </c>
      <c r="M159" s="8" t="inlineStr">
        <is>
          <t>TKHDVMPLDTNXL_12.jpg</t>
        </is>
      </c>
      <c r="N159" s="42" t="inlineStr">
        <is>
          <t>Pass</t>
        </is>
      </c>
      <c r="O159" s="16" t="n"/>
      <c r="P159" s="16" t="n"/>
      <c r="Q159" s="16" t="n"/>
      <c r="R159" s="16" t="n"/>
      <c r="S159" s="16" t="n"/>
      <c r="T159" s="16" t="n"/>
      <c r="U159" s="16" t="n"/>
      <c r="V159" s="16" t="n"/>
      <c r="W159" s="16" t="n"/>
      <c r="X159" s="16" t="n"/>
      <c r="Y159" s="16" t="n"/>
      <c r="Z159" s="16" t="n"/>
      <c r="AA159" s="16" t="n"/>
      <c r="AB159" s="16" t="n"/>
      <c r="AC159" s="16" t="n"/>
    </row>
    <row r="160">
      <c r="A160" s="17" t="n"/>
      <c r="B160" s="18" t="n">
        <v>15</v>
      </c>
      <c r="C160" s="40" t="inlineStr">
        <is>
          <t>Tuần 1</t>
        </is>
      </c>
      <c r="D160" s="24" t="n"/>
      <c r="E160" s="24" t="inlineStr">
        <is>
          <t>Phân công xử lý câu hỏi, vướng mắc</t>
        </is>
      </c>
      <c r="F160" s="24" t="inlineStr">
        <is>
          <t>Cán  bộ 
 TW,BN,ĐP</t>
        </is>
      </c>
      <c r="G160" s="27" t="inlineStr">
        <is>
          <t>Cung cấp công cụ cho CB Nghiệp vụ gán/chuyển yêu cầu hỏi đáp đến Người hỗ trợ/Tổ chức tư vấn phù hợp.</t>
        </is>
      </c>
      <c r="H160" s="36" t="n"/>
      <c r="I160" s="42" t="n"/>
      <c r="J160" s="16" t="n"/>
      <c r="K160" s="16" t="n"/>
      <c r="L160" s="16" t="n"/>
      <c r="M160" s="16" t="n"/>
      <c r="N160" s="42" t="n"/>
      <c r="O160" s="16" t="n"/>
      <c r="P160" s="16" t="n"/>
      <c r="Q160" s="16" t="n"/>
      <c r="R160" s="16" t="n"/>
      <c r="S160" s="16" t="n"/>
      <c r="T160" s="16" t="n"/>
      <c r="U160" s="16" t="n"/>
      <c r="V160" s="16" t="n"/>
      <c r="W160" s="16" t="n"/>
      <c r="X160" s="16" t="n"/>
      <c r="Y160" s="16" t="n"/>
      <c r="Z160" s="16" t="n"/>
      <c r="AA160" s="16" t="n"/>
      <c r="AB160" s="16" t="n"/>
      <c r="AC160" s="16" t="n"/>
    </row>
    <row r="161">
      <c r="A161" s="39" t="n"/>
      <c r="B161" s="33" t="n">
        <v>46205</v>
      </c>
      <c r="C161" s="40" t="inlineStr">
        <is>
          <t>Tuần 1</t>
        </is>
      </c>
      <c r="D161" s="41">
        <f>IF(G161&lt;&gt;"","PCXLCHVM_"&amp;TEXT(COUNTIF($G$161:G161,"&lt;&gt;"),"00"),"")</f>
        <v/>
      </c>
      <c r="E161" s="41" t="n"/>
      <c r="F161" s="41" t="n"/>
      <c r="G161" s="14" t="inlineStr">
        <is>
          <t>Kiểm tra hiển thị màn hình phân công</t>
        </is>
      </c>
      <c r="H161" s="14" t="inlineStr">
        <is>
          <t>1. Cán  bộ TW,BN,ĐP đăng nhập thành công
2. Tồn tại bản ghi có trạng thái Tiếp nhận</t>
        </is>
      </c>
      <c r="I161" s="14" t="n"/>
      <c r="J161" s="14" t="inlineStr">
        <is>
          <t>1. Chọn "Hỏi đáp pháp lý" 
2. Chọn bản ghi có trạng thái Tiếp nhận
3. Nhấn "Phân công"
4. Kiểm tra popup phân công được hiển thị</t>
        </is>
      </c>
      <c r="K161" s="14" t="inlineStr">
        <is>
          <t>Popup/màn hình phân công hiển thị đúng với thiết kế</t>
        </is>
      </c>
      <c r="L161" s="14" t="inlineStr">
        <is>
          <t>Popup/màn hình phân công không giống với thiết kế</t>
        </is>
      </c>
      <c r="M161" s="8" t="inlineStr">
        <is>
          <t>PCXLCHVM_02.jpg</t>
        </is>
      </c>
      <c r="N161" s="42" t="inlineStr">
        <is>
          <t>Fail</t>
        </is>
      </c>
      <c r="O161" s="16" t="n"/>
      <c r="P161" s="16" t="inlineStr">
        <is>
          <t>dev done</t>
        </is>
      </c>
      <c r="Q161" s="16" t="n"/>
      <c r="R161" s="16" t="n"/>
      <c r="S161" s="16" t="n"/>
      <c r="T161" s="16" t="n"/>
      <c r="U161" s="16" t="n"/>
      <c r="V161" s="16" t="n"/>
      <c r="W161" s="16" t="n"/>
      <c r="X161" s="16" t="n"/>
      <c r="Y161" s="16" t="n"/>
      <c r="Z161" s="16" t="n"/>
      <c r="AA161" s="16" t="n"/>
      <c r="AB161" s="16" t="n"/>
      <c r="AC161" s="16" t="n"/>
    </row>
    <row r="162">
      <c r="A162" s="39" t="n"/>
      <c r="B162" s="33" t="n">
        <v>46205</v>
      </c>
      <c r="C162" s="40" t="inlineStr">
        <is>
          <t>Tuần 1</t>
        </is>
      </c>
      <c r="D162" s="41">
        <f>IF(G162&lt;&gt;"","PCXLCHVM_"&amp;TEXT(COUNTIF($G$161:G162,"&lt;&gt;"),"00"),"")</f>
        <v/>
      </c>
      <c r="E162" s="41" t="n"/>
      <c r="F162" s="41" t="n"/>
      <c r="G162" s="14" t="inlineStr">
        <is>
          <t xml:space="preserve">Phân công xử lý thành công </t>
        </is>
      </c>
      <c r="H162" s="14" t="inlineStr">
        <is>
          <t>1. Cán  bộ TW,BN,ĐP đăng nhập thành công
2. Tồn tại bản ghi có trạng thái Đang xử lý</t>
        </is>
      </c>
      <c r="I162" s="14" t="n"/>
      <c r="J162" s="14" t="inlineStr">
        <is>
          <t>1. Chọn "Hỏi đáp pháp lý" 
2. Chọn bản ghi có trạng thái Đang xử lý
3. Nhấn "Phân công"
4. Chọn cán bộ, nhập ghi chú và nhấn Phân công</t>
        </is>
      </c>
      <c r="K162" s="14" t="inlineStr">
        <is>
          <t>- Modal hiện danh sách gợi ý chỉ gồm CB khớp lĩnh vực.
 - Sắp xếp theo workload ASC.
 - Trạng thái: TIEP_NHAN → DANG_XU_LY.
 - Hệ thống hiển thị thông báo thành công.
 - Gửi thông báo cho cán bộ tiếp nhận
 - "Lịch sử xử lý" ghi nhận phân công.</t>
        </is>
      </c>
      <c r="L162" s="14" t="inlineStr">
        <is>
          <t>- Modal hiện danh sách gợi ý chỉ gồm CB khớp lĩnh vực.
 - Sắp xếp theo workload ASC.
 - Trạng thái: TIEP_NHAN → DANG_XU_LY.
 - Hệ thống hiển thị thông báo thành công.
 - Gửi thông báo cho cán bộ tiếp nhận
 - "Lịch sử xử lý" ghi nhận phân công.</t>
        </is>
      </c>
      <c r="M162" s="8" t="inlineStr">
        <is>
          <t>PCXLCHVM_01.webm</t>
        </is>
      </c>
      <c r="N162" s="42" t="inlineStr">
        <is>
          <t>Pass</t>
        </is>
      </c>
      <c r="O162" s="16" t="n"/>
      <c r="P162" s="16" t="n"/>
      <c r="Q162" s="16" t="n"/>
      <c r="R162" s="16" t="n"/>
      <c r="S162" s="16" t="n"/>
      <c r="T162" s="16" t="n"/>
      <c r="U162" s="16" t="n"/>
      <c r="V162" s="16" t="n"/>
      <c r="W162" s="16" t="n"/>
      <c r="X162" s="16" t="n"/>
      <c r="Y162" s="16" t="n"/>
      <c r="Z162" s="16" t="n"/>
      <c r="AA162" s="16" t="n"/>
      <c r="AB162" s="16" t="n"/>
      <c r="AC162" s="16" t="n"/>
    </row>
    <row r="163">
      <c r="A163" s="39" t="n"/>
      <c r="B163" s="33" t="n">
        <v>46205</v>
      </c>
      <c r="C163" s="40" t="inlineStr">
        <is>
          <t>Tuần 1</t>
        </is>
      </c>
      <c r="D163" s="41">
        <f>IF(G163&lt;&gt;"","PCXLCHVM_"&amp;TEXT(COUNTIF($G$161:G163,"&lt;&gt;"),"00"),"")</f>
        <v/>
      </c>
      <c r="E163" s="41" t="n"/>
      <c r="F163" s="41" t="n"/>
      <c r="G163" s="14" t="inlineStr">
        <is>
          <t>Phân công lại (re-assign) — thay đổi người xử lý</t>
        </is>
      </c>
      <c r="H163" s="14" t="inlineStr">
        <is>
          <t>- User CB_NV đã đăng nhập.
 - HD-031 ở DA_PHAN_CONG, `nguoi_xu_ly = CB_A`.</t>
        </is>
      </c>
      <c r="I163" s="14" t="n"/>
      <c r="J163" s="14" t="inlineStr">
        <is>
          <t>1. Mở chi tiết HD-031.
 2. Nhấn [Phân công].
 3. Chọn CB_B thay CB_A.
 4. Click [Xác nhận].</t>
        </is>
      </c>
      <c r="K163" s="14" t="inlineStr">
        <is>
          <t>- Cập nhật người xử lý
 - Gửi thông báo cho CB_B.
 - AUDIT_LOG ghi thay đổi (CB_A → CB_B).</t>
        </is>
      </c>
      <c r="L163" s="14" t="inlineStr">
        <is>
          <t>- Cập nhật người xử lý
 - Gửi thông báo cho CB_B.
 - AUDIT_LOG ghi thay đổi (CB_A → CB_B).</t>
        </is>
      </c>
      <c r="M163" s="8" t="inlineStr">
        <is>
          <t>PCXLCHVM_03.jpg</t>
        </is>
      </c>
      <c r="N163" s="42" t="inlineStr">
        <is>
          <t>Pass</t>
        </is>
      </c>
      <c r="O163" s="16" t="n"/>
      <c r="P163" s="16" t="n"/>
      <c r="Q163" s="16" t="n"/>
      <c r="R163" s="16" t="n"/>
      <c r="S163" s="16" t="n"/>
      <c r="T163" s="16" t="n"/>
      <c r="U163" s="16" t="n"/>
      <c r="V163" s="16" t="n"/>
      <c r="W163" s="16" t="n"/>
      <c r="X163" s="16" t="n"/>
      <c r="Y163" s="16" t="n"/>
      <c r="Z163" s="16" t="n"/>
      <c r="AA163" s="16" t="n"/>
      <c r="AB163" s="16" t="n"/>
      <c r="AC163" s="16" t="n"/>
    </row>
    <row r="164">
      <c r="A164" s="39" t="n"/>
      <c r="B164" s="33" t="n">
        <v>46205</v>
      </c>
      <c r="C164" s="40" t="inlineStr">
        <is>
          <t>Tuần 1</t>
        </is>
      </c>
      <c r="D164" s="41">
        <f>IF(G164&lt;&gt;"","PCXLCHVM_"&amp;TEXT(COUNTIF($G$161:G164,"&lt;&gt;"),"00"),"")</f>
        <v/>
      </c>
      <c r="E164" s="41" t="n"/>
      <c r="F164" s="41" t="n"/>
      <c r="G164" s="14" t="inlineStr">
        <is>
          <t>Phân công cho CB có workload quá tải — cảnh báo nhưng vẫn cho phép</t>
        </is>
      </c>
      <c r="H164" s="14" t="inlineStr">
        <is>
          <t>- User CB_NV đã đăng nhập.
 - HD-032 ở TIEP_NHAN.
 - CB_C đang xử lý 15 yêu cầu (vượt ngưỡng).</t>
        </is>
      </c>
      <c r="I164" s="14" t="n"/>
      <c r="J164" s="14" t="inlineStr">
        <is>
          <t>1. Mở phân công HD-032.
 2. Danh sách gợi ý hiện CB_C với nhãn cảnh báo đỏ.
 3. Chọn CB_C.
 4. Click [Xác nhận].</t>
        </is>
      </c>
      <c r="K164" s="14" t="inlineStr">
        <is>
          <t>- **WRN-PC-01**: "CB {CB_C} đang xử lý {15} yêu cầu. Xác nhận phân công?".
 - Nhãn cảnh báo đỏ hiển thị trên dòng CB_C.
 - Cho phép lưu sau khi xác nhận (WARNING, KHÔNG block).</t>
        </is>
      </c>
      <c r="L164" s="14" t="inlineStr">
        <is>
          <t>- **WRN-PC-01**: "CB {CB_C} đang xử lý {15} yêu cầu. Xác nhận phân công?".
 - Nhãn cảnh báo đỏ hiển thị trên dòng CB_C.
 - Cho phép lưu sau khi xác nhận (WARNING, KHÔNG block).</t>
        </is>
      </c>
      <c r="M164" s="8" t="inlineStr">
        <is>
          <t>PCXLCHVM_04.jpg</t>
        </is>
      </c>
      <c r="N164" s="42" t="inlineStr">
        <is>
          <t>Pass</t>
        </is>
      </c>
      <c r="O164" s="16" t="n"/>
      <c r="P164" s="16" t="n"/>
      <c r="Q164" s="16" t="n"/>
      <c r="R164" s="16" t="n"/>
      <c r="S164" s="16" t="n"/>
      <c r="T164" s="16" t="n"/>
      <c r="U164" s="16" t="n"/>
      <c r="V164" s="16" t="n"/>
      <c r="W164" s="16" t="n"/>
      <c r="X164" s="16" t="n"/>
      <c r="Y164" s="16" t="n"/>
      <c r="Z164" s="16" t="n"/>
      <c r="AA164" s="16" t="n"/>
      <c r="AB164" s="16" t="n"/>
      <c r="AC164" s="16" t="n"/>
    </row>
    <row r="165">
      <c r="A165" s="39" t="n"/>
      <c r="B165" s="33" t="n">
        <v>46205</v>
      </c>
      <c r="C165" s="40" t="inlineStr">
        <is>
          <t>Tuần 1</t>
        </is>
      </c>
      <c r="D165" s="41">
        <f>IF(G165&lt;&gt;"","PCXLCHVM_"&amp;TEXT(COUNTIF($G$161:G165,"&lt;&gt;"),"00"),"")</f>
        <v/>
      </c>
      <c r="E165" s="41" t="n"/>
      <c r="F165" s="41" t="n"/>
      <c r="G165" s="14" t="inlineStr">
        <is>
          <t>Phân công khi trạng thái không hợp lệ (HOAN_THANH) → lỗi</t>
        </is>
      </c>
      <c r="H165" s="14" t="inlineStr">
        <is>
          <t>- User CB_NV đã đăng nhập.
 - HD-034 ở HOAN_THANH.</t>
        </is>
      </c>
      <c r="I165" s="14" t="n"/>
      <c r="J165" s="14" t="inlineStr">
        <is>
          <t>1. Thử nhấn [Phân công] cho HD-034.</t>
        </is>
      </c>
      <c r="K165" s="14" t="inlineStr">
        <is>
          <t>- Nút [Phân công] bị ẩn cho HOAN_THANH.
 - Nếu API: **ERR-PC-02**: "Hỏi đáp ở trạng thái 'HOAN_THANH' không thể phân công".</t>
        </is>
      </c>
      <c r="L165" s="14" t="inlineStr">
        <is>
          <t>- Nút [Phân công] bị ẩn cho HOAN_THANH.
 - Nếu API: **ERR-PC-02**: "Hỏi đáp ở trạng thái 'HOAN_THANH' không thể phân công".</t>
        </is>
      </c>
      <c r="M165" s="8" t="inlineStr">
        <is>
          <t>PCXLCHVM_05.jpg</t>
        </is>
      </c>
      <c r="N165" s="42" t="inlineStr">
        <is>
          <t>Pass</t>
        </is>
      </c>
      <c r="O165" s="16" t="n"/>
      <c r="P165" s="16" t="n"/>
      <c r="Q165" s="16" t="n"/>
      <c r="R165" s="16" t="n"/>
      <c r="S165" s="16" t="n"/>
      <c r="T165" s="16" t="n"/>
      <c r="U165" s="16" t="n"/>
      <c r="V165" s="16" t="n"/>
      <c r="W165" s="16" t="n"/>
      <c r="X165" s="16" t="n"/>
      <c r="Y165" s="16" t="n"/>
      <c r="Z165" s="16" t="n"/>
      <c r="AA165" s="16" t="n"/>
      <c r="AB165" s="16" t="n"/>
      <c r="AC165" s="16" t="n"/>
    </row>
    <row r="166">
      <c r="A166" s="39" t="n"/>
      <c r="B166" s="33" t="n">
        <v>46205</v>
      </c>
      <c r="C166" s="40" t="inlineStr">
        <is>
          <t>Tuần 1</t>
        </is>
      </c>
      <c r="D166" s="41">
        <f>IF(G166&lt;&gt;"","PCXLCHVM_"&amp;TEXT(COUNTIF($G$161:G166,"&lt;&gt;"),"00"),"")</f>
        <v/>
      </c>
      <c r="E166" s="41" t="n"/>
      <c r="F166" s="41" t="n"/>
      <c r="G166" s="14" t="inlineStr">
        <is>
          <t>Phân công mà không chọn người xử lý → bị chặn</t>
        </is>
      </c>
      <c r="H166" s="14" t="inlineStr">
        <is>
          <t>- User CB_NV đã đăng nhập.
 - HD-035 ở TIEP_NHAN.</t>
        </is>
      </c>
      <c r="I166" s="14" t="n"/>
      <c r="J166" s="14" t="inlineStr">
        <is>
          <t>1. Mở phân công HD-035.
 2. Không chọn người xử lý.
 3. Click [Xác nhận].</t>
        </is>
      </c>
      <c r="K166" s="14" t="inlineStr">
        <is>
          <t>- Hệ thống yêu cầu chọn người xử lý.
 - Nút [Xác nhận] bị disabled hoặc báo lỗi validation.</t>
        </is>
      </c>
      <c r="L166" s="14" t="inlineStr">
        <is>
          <t>- Hệ thống yêu cầu chọn người xử lý.
 - Nút [Xác nhận] bị disabled hoặc báo lỗi validation.</t>
        </is>
      </c>
      <c r="M166" s="8" t="inlineStr">
        <is>
          <t>PCXLCHVM_06.jpg</t>
        </is>
      </c>
      <c r="N166" s="42" t="inlineStr">
        <is>
          <t>Pass</t>
        </is>
      </c>
      <c r="O166" s="16" t="n"/>
      <c r="P166" s="16" t="n"/>
      <c r="Q166" s="16" t="n"/>
      <c r="R166" s="16" t="n"/>
      <c r="S166" s="16" t="n"/>
      <c r="T166" s="16" t="n"/>
      <c r="U166" s="16" t="n"/>
      <c r="V166" s="16" t="n"/>
      <c r="W166" s="16" t="n"/>
      <c r="X166" s="16" t="n"/>
      <c r="Y166" s="16" t="n"/>
      <c r="Z166" s="16" t="n"/>
      <c r="AA166" s="16" t="n"/>
      <c r="AB166" s="16" t="n"/>
      <c r="AC166" s="16" t="n"/>
    </row>
    <row r="167">
      <c r="A167" s="39" t="n"/>
      <c r="B167" s="33" t="n">
        <v>46205</v>
      </c>
      <c r="C167" s="40" t="inlineStr">
        <is>
          <t>Tuần 1</t>
        </is>
      </c>
      <c r="D167" s="41">
        <f>IF(G167&lt;&gt;"","PCXLCHVM_"&amp;TEXT(COUNTIF($G$161:G167,"&lt;&gt;"),"00"),"")</f>
        <v/>
      </c>
      <c r="E167" s="41" t="n"/>
      <c r="F167" s="41" t="n"/>
      <c r="G167" s="14" t="inlineStr">
        <is>
          <t>CB NV BN phân công — danh sách gợi ý chỉ hiện CB cùng đơn vị</t>
        </is>
      </c>
      <c r="H167" s="14" t="inlineStr">
        <is>
          <t>- User CB_NV_BN đã đăng nhập.
 - HD-037 ở TIEP_NHAN, thuộc đơn vị BN.</t>
        </is>
      </c>
      <c r="I167" s="14" t="n"/>
      <c r="J167" s="14" t="inlineStr">
        <is>
          <t>1. Mở phân công HD-037.
 2. Kiểm tra danh sách CB gợi ý.</t>
        </is>
      </c>
      <c r="K167" s="14" t="inlineStr">
        <is>
          <t>- Chỉ hiện CB thuộc cùng đơn vị BN (Row-Level Security).
 - KHÔNG hiện CB TW, BN khác, ĐP.</t>
        </is>
      </c>
      <c r="L167" s="14" t="inlineStr">
        <is>
          <t>- Chỉ hiện CB thuộc cùng đơn vị BN (Row-Level Security).
 - KHÔNG hiện CB TW, BN khác, ĐP.</t>
        </is>
      </c>
      <c r="M167" s="8" t="inlineStr">
        <is>
          <t>PCXLCHVM_07.jpg</t>
        </is>
      </c>
      <c r="N167" s="42" t="inlineStr">
        <is>
          <t>Pass</t>
        </is>
      </c>
      <c r="O167" s="16" t="n"/>
      <c r="P167" s="16" t="n"/>
      <c r="Q167" s="16" t="n"/>
      <c r="R167" s="16" t="n"/>
      <c r="S167" s="16" t="n"/>
      <c r="T167" s="16" t="n"/>
      <c r="U167" s="16" t="n"/>
      <c r="V167" s="16" t="n"/>
      <c r="W167" s="16" t="n"/>
      <c r="X167" s="16" t="n"/>
      <c r="Y167" s="16" t="n"/>
      <c r="Z167" s="16" t="n"/>
      <c r="AA167" s="16" t="n"/>
      <c r="AB167" s="16" t="n"/>
      <c r="AC167" s="16" t="n"/>
    </row>
    <row r="168">
      <c r="A168" s="39" t="n"/>
      <c r="B168" s="33" t="n">
        <v>46205</v>
      </c>
      <c r="C168" s="40" t="inlineStr">
        <is>
          <t>Tuần 1</t>
        </is>
      </c>
      <c r="D168" s="41">
        <f>IF(G168&lt;&gt;"","PCXLCHVM_"&amp;TEXT(COUNTIF($G$161:G168,"&lt;&gt;"),"00"),"")</f>
        <v/>
      </c>
      <c r="E168" s="41" t="n"/>
      <c r="F168" s="41" t="n"/>
      <c r="G168" s="14" t="inlineStr">
        <is>
          <t>Phân công + đặt thời hạn tùy chỉnh (override SLA default)</t>
        </is>
      </c>
      <c r="H168" s="14" t="inlineStr">
        <is>
          <t>- User CB_NV đã đăng nhập.
 - HD-038 ở TIEP_NHAN.
 - SLA mặc định = 5 ngày.</t>
        </is>
      </c>
      <c r="I168" s="14" t="n"/>
      <c r="J168" s="14" t="inlineStr">
        <is>
          <t>1. Mở phân công HD-038.
 2. Ô thời hạn hiện mặc định theo SLA.
 3. Sửa thời hạn = 10 ngày.
 4. Click [Xác nhận].</t>
        </is>
      </c>
      <c r="K168" s="14" t="inlineStr">
        <is>
          <t>- Phân công thành công với thời hạn = 10 ngày (override SLA default).
 - Deadline tính theo giá trị tùy chỉnh.</t>
        </is>
      </c>
      <c r="L168" s="14" t="inlineStr">
        <is>
          <t>- Phân công thành công với thời hạn = 10 ngày (override SLA default).
 - Deadline tính theo giá trị tùy chỉnh.</t>
        </is>
      </c>
      <c r="M168" s="8" t="inlineStr">
        <is>
          <t>PCXLCHVM_08.jpg</t>
        </is>
      </c>
      <c r="N168" s="42" t="inlineStr">
        <is>
          <t>Pass</t>
        </is>
      </c>
      <c r="O168" s="16" t="n"/>
      <c r="P168" s="16" t="n"/>
      <c r="Q168" s="16" t="n"/>
      <c r="R168" s="16" t="n"/>
      <c r="S168" s="16" t="n"/>
      <c r="T168" s="16" t="n"/>
      <c r="U168" s="16" t="n"/>
      <c r="V168" s="16" t="n"/>
      <c r="W168" s="16" t="n"/>
      <c r="X168" s="16" t="n"/>
      <c r="Y168" s="16" t="n"/>
      <c r="Z168" s="16" t="n"/>
      <c r="AA168" s="16" t="n"/>
      <c r="AB168" s="16" t="n"/>
      <c r="AC168" s="16" t="n"/>
    </row>
    <row r="169">
      <c r="A169" s="17" t="n"/>
      <c r="B169" s="18" t="n">
        <v>16</v>
      </c>
      <c r="C169" s="18" t="n"/>
      <c r="D169" s="24" t="n"/>
      <c r="E169" s="24" t="inlineStr">
        <is>
          <t>Phản hồi câu hỏi, vướng mắc</t>
        </is>
      </c>
      <c r="F169" s="24" t="inlineStr">
        <is>
          <t>Cán  bộ 
 TW,BN,ĐP</t>
        </is>
      </c>
      <c r="G169" s="27" t="inlineStr">
        <is>
          <t>Cung cấp công cụ cho Người hỗ trợ/CB Nghiệp vụ soạn thảo và gửi nội dung phản hồi chính thức cho người gửi.</t>
        </is>
      </c>
      <c r="H169" s="36" t="n"/>
      <c r="I169" s="42" t="n"/>
      <c r="J169" s="16" t="n"/>
      <c r="K169" s="16" t="n"/>
      <c r="L169" s="16" t="n"/>
      <c r="M169" s="16" t="n"/>
      <c r="N169" s="42" t="n"/>
      <c r="O169" s="16" t="n"/>
      <c r="P169" s="16" t="n"/>
      <c r="Q169" s="16" t="n"/>
      <c r="R169" s="16" t="n"/>
      <c r="S169" s="16" t="n"/>
      <c r="T169" s="16" t="n"/>
      <c r="U169" s="16" t="n"/>
      <c r="V169" s="16" t="n"/>
      <c r="W169" s="16" t="n"/>
      <c r="X169" s="16" t="n"/>
      <c r="Y169" s="16" t="n"/>
      <c r="Z169" s="16" t="n"/>
      <c r="AA169" s="16" t="n"/>
      <c r="AB169" s="16" t="n"/>
      <c r="AC169" s="16" t="n"/>
    </row>
    <row r="170">
      <c r="A170" s="39" t="n"/>
      <c r="B170" s="33" t="n">
        <v>46205</v>
      </c>
      <c r="C170" s="40" t="inlineStr">
        <is>
          <t>Tuần 1</t>
        </is>
      </c>
      <c r="D170" s="41">
        <f>IF(G170&lt;&gt;"","PHCHVM_"&amp;TEXT(COUNTIF($G$170:G170,"&lt;&gt;"),"00"),"")</f>
        <v/>
      </c>
      <c r="E170" s="41" t="n"/>
      <c r="F170" s="41" t="n"/>
      <c r="G170" s="14" t="inlineStr">
        <is>
          <t>Kiểm tra hiển thị màn hình/popup phản hồi</t>
        </is>
      </c>
      <c r="H170" s="14" t="inlineStr">
        <is>
          <t xml:space="preserve">- User CB_NV đã đăng nhập.
- Tồn tại bản ghi tài khoản đăng nhập được phân công xử lý </t>
        </is>
      </c>
      <c r="I170" s="14" t="n"/>
      <c r="J170" s="14" t="inlineStr">
        <is>
          <t>1. Chọn "Hỏi đáp pháp lý" 
2. Chọn bản ghi có trạng thái Đang xử lý hoặc đã tiếp nhận
3. Nhấn trực tiếp vào bản ghi
4. Kiểm tra popup/màn hình phản hồi được hiển thị</t>
        </is>
      </c>
      <c r="K170" s="14" t="inlineStr">
        <is>
          <t>- Màn hình/popup phản hồi hiển thị các trường thông tin giống với thiết kế</t>
        </is>
      </c>
      <c r="L170" s="16" t="inlineStr">
        <is>
          <t>- Hệ thống hiển thị thiếu trường thông tin "Tệp đính kèm phản hồi"
- Nội dung phản hồi tối đa 5000 ký tự nhưng hệ thống cho phép tối đa 20000 ký tự</t>
        </is>
      </c>
      <c r="M170" s="8" t="inlineStr">
        <is>
          <t>PHCHVM_02.jpg</t>
        </is>
      </c>
      <c r="N170" s="42" t="inlineStr">
        <is>
          <t>Fail</t>
        </is>
      </c>
      <c r="O170" s="16" t="n"/>
      <c r="P170" s="16" t="inlineStr">
        <is>
          <t>dev done</t>
        </is>
      </c>
      <c r="Q170" s="16" t="inlineStr">
        <is>
          <t xml:space="preserve">SRS v3.5 STT7 = 20000 =&gt; giới hạn 20000 ký tự là đúng </t>
        </is>
      </c>
      <c r="R170" s="59" t="n"/>
      <c r="S170" s="59" t="n"/>
      <c r="T170" s="59" t="n"/>
      <c r="U170" s="59" t="n"/>
      <c r="V170" s="16" t="n"/>
      <c r="W170" s="16" t="n"/>
      <c r="X170" s="16" t="n"/>
      <c r="Y170" s="16" t="n"/>
      <c r="Z170" s="16" t="n"/>
      <c r="AA170" s="16" t="n"/>
      <c r="AB170" s="16" t="n"/>
      <c r="AC170" s="16" t="n"/>
    </row>
    <row r="171">
      <c r="A171" s="39" t="n"/>
      <c r="B171" s="33" t="n">
        <v>46205</v>
      </c>
      <c r="C171" s="40" t="inlineStr">
        <is>
          <t>Tuần 1</t>
        </is>
      </c>
      <c r="D171" s="41">
        <f>IF(G171&lt;&gt;"","PHCHVM_"&amp;TEXT(COUNTIF($G$170:G171,"&lt;&gt;"),"00"),"")</f>
        <v/>
      </c>
      <c r="E171" s="41" t="n"/>
      <c r="F171" s="41" t="n"/>
      <c r="G171" s="14" t="inlineStr">
        <is>
          <t>Soạn phản hồi và lưu nháp thành công</t>
        </is>
      </c>
      <c r="H171" s="14" t="inlineStr">
        <is>
          <t xml:space="preserve">- User CB_NV đã đăng nhập.
- Tồn tại bản ghi tài khoản đăng nhập được phân công xử lý </t>
        </is>
      </c>
      <c r="I171" s="14" t="n"/>
      <c r="J171" s="14" t="inlineStr">
        <is>
          <t>1. Chọn "Hỏi đáp pháp lý" 
2. Chọn bản ghi có trạng thái Đang xử lý
3. Nhấn trực tiếp vào bản ghi
4. Nhập thông tin phản hồi hợp lệ và nhấn Lưu nháp</t>
        </is>
      </c>
      <c r="K171" s="14" t="inlineStr">
        <is>
          <t>Hệ thống lưu hoặc cập nhật nội dung phản hồi hiện tại và giữ nguyên trạng thái hỏi đáp là "Đang xử lý". Không kích hoạt chuyển trạng thái.</t>
        </is>
      </c>
      <c r="L171" s="14" t="inlineStr">
        <is>
          <t>Hệ thống lưu hoặc cập nhật nội dung phản hồi hiện tại và giữ nguyên trạng thái hỏi đáp là "Đang xử lý". Không kích hoạt chuyển trạng thái.</t>
        </is>
      </c>
      <c r="M171" s="8" t="inlineStr">
        <is>
          <t>PHCHVM_01.webm</t>
        </is>
      </c>
      <c r="N171" s="42" t="inlineStr">
        <is>
          <t>Pass</t>
        </is>
      </c>
      <c r="O171" s="16" t="n"/>
      <c r="P171" s="16" t="n"/>
      <c r="Q171" s="16" t="n"/>
      <c r="R171" s="16" t="n"/>
      <c r="S171" s="16" t="n"/>
      <c r="T171" s="16" t="n"/>
      <c r="U171" s="16" t="n"/>
      <c r="V171" s="16" t="n"/>
      <c r="W171" s="16" t="n"/>
      <c r="X171" s="16" t="n"/>
      <c r="Y171" s="16" t="n"/>
      <c r="Z171" s="16" t="n"/>
      <c r="AA171" s="16" t="n"/>
      <c r="AB171" s="16" t="n"/>
      <c r="AC171" s="16" t="n"/>
    </row>
    <row r="172">
      <c r="A172" s="39" t="n"/>
      <c r="B172" s="33" t="n">
        <v>46205</v>
      </c>
      <c r="C172" s="40" t="inlineStr">
        <is>
          <t>Tuần 1</t>
        </is>
      </c>
      <c r="D172" s="41">
        <f>IF(G172&lt;&gt;"","PHCHVM_"&amp;TEXT(COUNTIF($G$170:G172,"&lt;&gt;"),"00"),"")</f>
        <v/>
      </c>
      <c r="E172" s="41" t="n"/>
      <c r="F172" s="41" t="n"/>
      <c r="G172" s="14" t="inlineStr">
        <is>
          <t>Đính kèm tài liệu VBPL khi phản hồi</t>
        </is>
      </c>
      <c r="H172" s="14" t="inlineStr">
        <is>
          <t xml:space="preserve">- User CB_NV đã đăng nhập.
- Tồn tại bản ghi tài khoản đăng nhập được phân công xử lý </t>
        </is>
      </c>
      <c r="I172" s="14" t="n"/>
      <c r="J172" s="14" t="inlineStr">
        <is>
          <t>1. Chọn "Hỏi đáp pháp lý" 
2. Chọn bản ghi có trạng thái Đang xử lý
3. Nhấn trực tiếp vào bản ghi
4. Đính kèm tài liệu hợp lệ và nhấn Lưu nháp</t>
        </is>
      </c>
      <c r="K172" s="14" t="inlineStr">
        <is>
          <t>- File hiển thị trong danh sách đính kèm.
- Lưu nháp thành công.</t>
        </is>
      </c>
      <c r="L172" s="16" t="inlineStr">
        <is>
          <t>Hệ thống hiển thị thiếu trường thông tin "Tệp đính kèm phản hồi"</t>
        </is>
      </c>
      <c r="M172" s="8" t="inlineStr">
        <is>
          <t>PHCHVM_03.webm</t>
        </is>
      </c>
      <c r="N172" s="42" t="inlineStr">
        <is>
          <t>Fail</t>
        </is>
      </c>
      <c r="O172" s="16" t="n"/>
      <c r="P172" s="16" t="inlineStr">
        <is>
          <t>dev done</t>
        </is>
      </c>
      <c r="Q172" s="16" t="n"/>
      <c r="R172" s="16" t="n"/>
      <c r="S172" s="16" t="n"/>
      <c r="T172" s="16" t="n"/>
      <c r="U172" s="16" t="n"/>
      <c r="V172" s="16" t="n"/>
      <c r="W172" s="16" t="n"/>
      <c r="X172" s="16" t="n"/>
      <c r="Y172" s="16" t="n"/>
      <c r="Z172" s="16" t="n"/>
      <c r="AA172" s="16" t="n"/>
      <c r="AB172" s="16" t="n"/>
      <c r="AC172" s="16" t="n"/>
    </row>
    <row r="173">
      <c r="A173" s="39" t="n"/>
      <c r="B173" s="33" t="n">
        <v>46205</v>
      </c>
      <c r="C173" s="40" t="inlineStr">
        <is>
          <t>Tuần 1</t>
        </is>
      </c>
      <c r="D173" s="41">
        <f>IF(G173&lt;&gt;"","PHCHVM_"&amp;TEXT(COUNTIF($G$170:G173,"&lt;&gt;"),"00"),"")</f>
        <v/>
      </c>
      <c r="E173" s="41" t="n"/>
      <c r="F173" s="41" t="n"/>
      <c r="G173" s="14" t="inlineStr">
        <is>
          <t>Gửi phản hồi — nội dung trống → lỗi</t>
        </is>
      </c>
      <c r="H173" s="14" t="inlineStr">
        <is>
          <t xml:space="preserve">- User CB_NV đã đăng nhập.
- Tồn tại bản ghi tài khoản đăng nhập được phân công xử lý </t>
        </is>
      </c>
      <c r="I173" s="14" t="n"/>
      <c r="J173" s="14" t="inlineStr">
        <is>
          <t>1. Chọn "Hỏi đáp pháp lý" -&gt; Chọn bản ghi có trạng thái Đang xử lý
 2. Bỏ trống nội dung.
 3. Tick "Đã trả lời".
 4. Click [Gửi].</t>
        </is>
      </c>
      <c r="K173" s="14" t="inlineStr">
        <is>
          <t>- Lỗi **ERR-PH-01**: "Nội dung phản hồi là bắt buộc".
 - KHÔNG chuyển trạng thái.</t>
        </is>
      </c>
      <c r="L173" s="14" t="inlineStr">
        <is>
          <t>- Lỗi **ERR-PH-01**: "Nội dung phản hồi là bắt buộc".
 - KHÔNG chuyển trạng thái.</t>
        </is>
      </c>
      <c r="M173" s="8" t="inlineStr">
        <is>
          <t>PHCHVM_04.jpg</t>
        </is>
      </c>
      <c r="N173" s="42" t="inlineStr">
        <is>
          <t>Pass</t>
        </is>
      </c>
      <c r="O173" s="16" t="n"/>
      <c r="P173" s="16" t="n"/>
      <c r="Q173" s="16" t="n"/>
      <c r="R173" s="16" t="n"/>
      <c r="S173" s="16" t="n"/>
      <c r="T173" s="16" t="n"/>
      <c r="U173" s="16" t="n"/>
      <c r="V173" s="16" t="n"/>
      <c r="W173" s="16" t="n"/>
      <c r="X173" s="16" t="n"/>
      <c r="Y173" s="16" t="n"/>
      <c r="Z173" s="16" t="n"/>
      <c r="AA173" s="16" t="n"/>
      <c r="AB173" s="16" t="n"/>
      <c r="AC173" s="16" t="n"/>
    </row>
    <row r="174">
      <c r="A174" s="39" t="n"/>
      <c r="B174" s="33" t="n">
        <v>46205</v>
      </c>
      <c r="C174" s="40" t="inlineStr">
        <is>
          <t>Tuần 1</t>
        </is>
      </c>
      <c r="D174" s="41">
        <f>IF(G174&lt;&gt;"","PHCHVM_"&amp;TEXT(COUNTIF($G$170:G174,"&lt;&gt;"),"00"),"")</f>
        <v/>
      </c>
      <c r="E174" s="41" t="n"/>
      <c r="F174" s="41" t="n"/>
      <c r="G174" s="14" t="inlineStr">
        <is>
          <t>Phản hồi khi trạng thái không hợp lệ (DA_DUYET) → lỗi</t>
        </is>
      </c>
      <c r="H174" s="14" t="inlineStr">
        <is>
          <t>- User CB_NV đã đăng nhập.
- Tồn tại bản ghi tcó trạng thái Đã duyệt</t>
        </is>
      </c>
      <c r="I174" s="14" t="n"/>
      <c r="J174" s="14" t="inlineStr">
        <is>
          <t>1. Chọn "Hỏi đáp pháp lý" -&gt; Chọn bản ghi có trạng thái Đã duyệt
 2. Thử soạn phản hồi.</t>
        </is>
      </c>
      <c r="K174" s="14" t="inlineStr">
        <is>
          <t xml:space="preserve">- Khu vực soạn phản hồi bị disabled/ẩn.
 </t>
        </is>
      </c>
      <c r="L174" s="14" t="inlineStr">
        <is>
          <t xml:space="preserve">- Khu vực soạn phản hồi bị disabled/ẩn.
 </t>
        </is>
      </c>
      <c r="M174" s="8" t="inlineStr">
        <is>
          <t>PHCHVM_05.jpg</t>
        </is>
      </c>
      <c r="N174" s="42" t="inlineStr">
        <is>
          <t>Pass</t>
        </is>
      </c>
      <c r="O174" s="16" t="n"/>
      <c r="P174" s="16" t="n"/>
      <c r="Q174" s="16" t="n"/>
      <c r="R174" s="16" t="n"/>
      <c r="S174" s="16" t="n"/>
      <c r="T174" s="16" t="n"/>
      <c r="U174" s="16" t="n"/>
      <c r="V174" s="16" t="n"/>
      <c r="W174" s="16" t="n"/>
      <c r="X174" s="16" t="n"/>
      <c r="Y174" s="16" t="n"/>
      <c r="Z174" s="16" t="n"/>
      <c r="AA174" s="16" t="n"/>
      <c r="AB174" s="16" t="n"/>
      <c r="AC174" s="16" t="n"/>
    </row>
    <row r="175">
      <c r="A175" s="39" t="n"/>
      <c r="B175" s="33" t="n">
        <v>46205</v>
      </c>
      <c r="C175" s="40" t="inlineStr">
        <is>
          <t>Tuần 1</t>
        </is>
      </c>
      <c r="D175" s="41">
        <f>IF(G175&lt;&gt;"","PHCHVM_"&amp;TEXT(COUNTIF($G$170:G175,"&lt;&gt;"),"00"),"")</f>
        <v/>
      </c>
      <c r="E175" s="41" t="n"/>
      <c r="F175" s="41" t="n"/>
      <c r="G175" s="14" t="inlineStr">
        <is>
          <t>Phản hồi nội dung vượt 5000 ký tự → lỗi</t>
        </is>
      </c>
      <c r="H175" s="14" t="inlineStr">
        <is>
          <t xml:space="preserve">- User CB_NV đã đăng nhập.
- Tồn tại bản ghi tài khoản đăng nhập được phân công xử lý </t>
        </is>
      </c>
      <c r="I175" s="14" t="n"/>
      <c r="J175" s="14" t="inlineStr">
        <is>
          <t>1. Soạn phản hồi 5001 ký tự.
 2. Click [Gửi].</t>
        </is>
      </c>
      <c r="K175" s="14" t="inlineStr">
        <is>
          <t>- Lỗi: Nội dung phản hồi tối đa 5000 ký tự (tương tự ERR-HD-02).</t>
        </is>
      </c>
      <c r="L175" s="14" t="inlineStr">
        <is>
          <t>Hệ thống cho phép nhập tối đa 20000 ký tự</t>
        </is>
      </c>
      <c r="M175" s="8" t="inlineStr">
        <is>
          <t>PHCHVM_06.jpg</t>
        </is>
      </c>
      <c r="N175" s="42" t="inlineStr">
        <is>
          <t>Fail</t>
        </is>
      </c>
      <c r="O175" s="16" t="n"/>
      <c r="P175" s="16" t="inlineStr">
        <is>
          <t>dev done</t>
        </is>
      </c>
      <c r="Q175" s="16" t="inlineStr">
        <is>
          <t xml:space="preserve">SRS v3.5 STT7 = 20000 =&gt; giới hạn 20000 ký tự là đúng </t>
        </is>
      </c>
      <c r="R175" s="59" t="n"/>
      <c r="S175" s="59" t="n"/>
      <c r="T175" s="59" t="n"/>
      <c r="U175" s="59" t="n"/>
      <c r="V175" s="16" t="n"/>
      <c r="W175" s="16" t="n"/>
      <c r="X175" s="16" t="n"/>
      <c r="Y175" s="16" t="n"/>
      <c r="Z175" s="16" t="n"/>
      <c r="AA175" s="16" t="n"/>
      <c r="AB175" s="16" t="n"/>
      <c r="AC175" s="16" t="n"/>
    </row>
    <row r="176">
      <c r="A176" s="39" t="n"/>
      <c r="B176" s="33" t="n">
        <v>46205</v>
      </c>
      <c r="C176" s="40" t="inlineStr">
        <is>
          <t>Tuần 1</t>
        </is>
      </c>
      <c r="D176" s="41">
        <f>IF(G176&lt;&gt;"","PHCHVM_"&amp;TEXT(COUNTIF($G$170:G176,"&lt;&gt;"),"00"),"")</f>
        <v/>
      </c>
      <c r="E176" s="41" t="n"/>
      <c r="F176" s="41" t="n"/>
      <c r="G176" s="14" t="inlineStr">
        <is>
          <t>Người soạn KHÔNG phải người được phân công → cảnh báo</t>
        </is>
      </c>
      <c r="H176" s="14" t="inlineStr">
        <is>
          <t xml:space="preserve">- User CB_NV đã đăng nhập.
- Tồn tại bản ghi tài khoản đăng nhập không được phân công xử lý </t>
        </is>
      </c>
      <c r="I176" s="14" t="n"/>
      <c r="J176" s="14" t="inlineStr">
        <is>
          <t>1. Chọn "Hỏi đáp pháp lý" -&gt; Chọn bản ghi không được phân công xử lý
 2. Soạn phản hồi và nhấn Gửi</t>
        </is>
      </c>
      <c r="K176" s="14" t="inlineStr">
        <is>
          <t>- **WRN-PH-01**: "Bạn không phải người được phân công. Vẫn muốn phản hồi?".
 - Cho phép tiếp tục nếu xác nhận (WARNING, không block).</t>
        </is>
      </c>
      <c r="L176" s="14" t="inlineStr">
        <is>
          <t>- **WRN-PH-01**: "Bạn không phải người được phân công. Vẫn muốn phản hồi?".
 - Cho phép tiếp tục nếu xác nhận (WARNING, không block).</t>
        </is>
      </c>
      <c r="M176" s="8" t="inlineStr">
        <is>
          <t>PHCHVM_07.jpg</t>
        </is>
      </c>
      <c r="N176" s="42" t="inlineStr">
        <is>
          <t>Pass</t>
        </is>
      </c>
      <c r="O176" s="16" t="n"/>
      <c r="P176" s="16" t="n"/>
      <c r="Q176" s="16" t="n"/>
      <c r="R176" s="16" t="n"/>
      <c r="S176" s="16" t="n"/>
      <c r="T176" s="16" t="n"/>
      <c r="U176" s="16" t="n"/>
      <c r="V176" s="16" t="n"/>
      <c r="W176" s="16" t="n"/>
      <c r="X176" s="16" t="n"/>
      <c r="Y176" s="16" t="n"/>
      <c r="Z176" s="16" t="n"/>
      <c r="AA176" s="16" t="n"/>
      <c r="AB176" s="16" t="n"/>
      <c r="AC176" s="16" t="n"/>
    </row>
    <row r="177">
      <c r="A177" s="39" t="n"/>
      <c r="B177" s="33" t="n">
        <v>46205</v>
      </c>
      <c r="C177" s="40" t="inlineStr">
        <is>
          <t>Tuần 1</t>
        </is>
      </c>
      <c r="D177" s="41">
        <f>IF(G177&lt;&gt;"","PHCHVM_"&amp;TEXT(COUNTIF($G$170:G177,"&lt;&gt;"),"00"),"")</f>
        <v/>
      </c>
      <c r="E177" s="41" t="n"/>
      <c r="F177" s="41" t="n"/>
      <c r="G177" s="14" t="inlineStr">
        <is>
          <t>Gửi phản hồi → thông báo gửi đúng CB PD cùng cấp</t>
        </is>
      </c>
      <c r="H177" s="14" t="inlineStr">
        <is>
          <t>- User CB_NV_BN đã đăng nhập (cấp BN).
 - HD-049 ở DANG_XU_LY.</t>
        </is>
      </c>
      <c r="I177" s="14" t="n"/>
      <c r="J177" s="14" t="inlineStr">
        <is>
          <t>1. Soạn phản hồi hoàn chỉnh.
 2. Nhấn Gửi.
 3. Kiểm tra CB PD nhận thông báo.</t>
        </is>
      </c>
      <c r="K177" s="14" t="inlineStr">
        <is>
          <t xml:space="preserve">- Lưu phản hồi hiện tại.
- Tự động chuyển trạng thái hỏi đáp: "Đang xử lý" → "Chờ phê duyệt".
- Gửi thông báo trong phần mềm đến Cán bộ phê duyệt cùng cấp đơn vị.
- Lưu vết thao tác theo quy định.
</t>
        </is>
      </c>
      <c r="L177" s="14" t="inlineStr">
        <is>
          <t xml:space="preserve">- Lưu phản hồi hiện tại.
- Tự động chuyển trạng thái hỏi đáp: "Đang xử lý" → "Chờ phê duyệt".
- Gửi thông báo trong phần mềm đến Cán bộ phê duyệt cùng cấp đơn vị.
- Lưu vết thao tác theo quy định.
</t>
        </is>
      </c>
      <c r="M177" s="8" t="inlineStr">
        <is>
          <t>PHCHVM_08.jpg</t>
        </is>
      </c>
      <c r="N177" s="42" t="inlineStr">
        <is>
          <t>Pass</t>
        </is>
      </c>
      <c r="O177" s="16" t="n"/>
      <c r="P177" s="16" t="n"/>
      <c r="Q177" s="16" t="n"/>
      <c r="R177" s="16" t="n"/>
      <c r="S177" s="16" t="n"/>
      <c r="T177" s="16" t="n"/>
      <c r="U177" s="16" t="n"/>
      <c r="V177" s="16" t="n"/>
      <c r="W177" s="16" t="n"/>
      <c r="X177" s="16" t="n"/>
      <c r="Y177" s="16" t="n"/>
      <c r="Z177" s="16" t="n"/>
      <c r="AA177" s="16" t="n"/>
      <c r="AB177" s="16" t="n"/>
      <c r="AC177" s="16" t="n"/>
    </row>
    <row r="178">
      <c r="A178" s="39" t="n"/>
      <c r="B178" s="33" t="n">
        <v>46205</v>
      </c>
      <c r="C178" s="40" t="inlineStr">
        <is>
          <t>Tuần 1</t>
        </is>
      </c>
      <c r="D178" s="41">
        <f>IF(G178&lt;&gt;"","PHCHVM_"&amp;TEXT(COUNTIF($G$170:G178,"&lt;&gt;"),"00"),"")</f>
        <v/>
      </c>
      <c r="E178" s="41" t="n"/>
      <c r="F178" s="41" t="n"/>
      <c r="G178" s="14" t="inlineStr">
        <is>
          <t>Phản hồi chính xác 5000 ký tự → boundary accept</t>
        </is>
      </c>
      <c r="H178" s="14" t="inlineStr">
        <is>
          <t>- User CB_NV đã đăng nhập.
 - HD-050 ở DANG_XU_LY.</t>
        </is>
      </c>
      <c r="I178" s="14" t="n"/>
      <c r="J178" s="14" t="inlineStr">
        <is>
          <t>1. Soạn phản hồi đúng 5000 ký tự.
 2. Click [Gửi].</t>
        </is>
      </c>
      <c r="K178" s="14" t="inlineStr">
        <is>
          <t>Xác nhận thành công, hệ thống hiển thị "Đã gửi phản hồi đi phê duyệt".</t>
        </is>
      </c>
      <c r="L178" s="16" t="inlineStr">
        <is>
          <t>Hệ thống hiển thị đồng thời 2 thông báo "Đã lưu nháp phản hồi" và "Đã gửi phản hồi đi phê duyệt". khi nhấn Gửi</t>
        </is>
      </c>
      <c r="M178" s="8" t="inlineStr">
        <is>
          <t>PHCHVM_09.jpg</t>
        </is>
      </c>
      <c r="N178" s="42" t="inlineStr">
        <is>
          <t>Fail</t>
        </is>
      </c>
      <c r="O178" s="16" t="n"/>
      <c r="P178" s="16" t="inlineStr">
        <is>
          <t>dev done</t>
        </is>
      </c>
      <c r="Q178" s="16" t="n"/>
      <c r="R178" s="16" t="n"/>
      <c r="S178" s="16" t="n"/>
      <c r="T178" s="16" t="n"/>
      <c r="U178" s="16" t="n"/>
      <c r="V178" s="16" t="n"/>
      <c r="W178" s="16" t="n"/>
      <c r="X178" s="16" t="n"/>
      <c r="Y178" s="16" t="n"/>
      <c r="Z178" s="16" t="n"/>
      <c r="AA178" s="16" t="n"/>
      <c r="AB178" s="16" t="n"/>
      <c r="AC178" s="16" t="n"/>
    </row>
    <row r="179">
      <c r="A179" s="39" t="n"/>
      <c r="B179" s="33" t="n">
        <v>46205</v>
      </c>
      <c r="C179" s="40" t="inlineStr">
        <is>
          <t>Tuần 1</t>
        </is>
      </c>
      <c r="D179" s="41">
        <f>IF(G179&lt;&gt;"","PHCHVM_"&amp;TEXT(COUNTIF($G$170:G179,"&lt;&gt;"),"00"),"")</f>
        <v/>
      </c>
      <c r="E179" s="41" t="n"/>
      <c r="F179" s="41" t="n"/>
      <c r="G179" s="14" t="inlineStr">
        <is>
          <t>Chọn mẫu → pre-fill → chọn mẫu khác → confirm ghi đè</t>
        </is>
      </c>
      <c r="H179" s="14" t="inlineStr">
        <is>
          <t>- User CB_NV đã đăng nhập.
 - HD-112 ở DANG_XU_LY.
 - Đang soạn nội dung (có text).</t>
        </is>
      </c>
      <c r="I179" s="14" t="n"/>
      <c r="J179" s="14" t="inlineStr">
        <is>
          <t>1. Chọn mẫu M1 → nội dung pre-fill.
 2. Sửa một phần nội dung.
 3. Chọn mẫu M2 (khác M1).</t>
        </is>
      </c>
      <c r="K179" s="14" t="inlineStr">
        <is>
          <t>- Confirm dialog: "Nội dung hiện tại sẽ bị thay thế. Xác nhận?".
 - Nếu confirm → ghi đè bằng M2.
 - Nếu hủy → giữ nguyên nội dung đang soạn.</t>
        </is>
      </c>
      <c r="L179" s="16" t="inlineStr">
        <is>
          <t>Hệ thống không cập nhật lại Nội dung phản hồi khi người dùng thay đổi mẫu</t>
        </is>
      </c>
      <c r="M179" s="8" t="inlineStr">
        <is>
          <t>PHCHVM_10.webm</t>
        </is>
      </c>
      <c r="N179" s="42" t="inlineStr">
        <is>
          <t>Fail</t>
        </is>
      </c>
      <c r="O179" s="16" t="n"/>
      <c r="P179" s="16" t="inlineStr">
        <is>
          <t>dev done</t>
        </is>
      </c>
      <c r="Q179" s="16" t="n"/>
      <c r="R179" s="16" t="n"/>
      <c r="S179" s="16" t="n"/>
      <c r="T179" s="16" t="n"/>
      <c r="U179" s="16" t="n"/>
      <c r="V179" s="16" t="n"/>
      <c r="W179" s="16" t="n"/>
      <c r="X179" s="16" t="n"/>
      <c r="Y179" s="16" t="n"/>
      <c r="Z179" s="16" t="n"/>
      <c r="AA179" s="16" t="n"/>
      <c r="AB179" s="16" t="n"/>
      <c r="AC179" s="16" t="n"/>
    </row>
    <row r="180">
      <c r="A180" s="39" t="n"/>
      <c r="B180" s="33" t="n">
        <v>46205</v>
      </c>
      <c r="C180" s="40" t="inlineStr">
        <is>
          <t>Tuần 1</t>
        </is>
      </c>
      <c r="D180" s="41">
        <f>IF(G180&lt;&gt;"","PHCHVM_"&amp;TEXT(COUNTIF($G$170:G180,"&lt;&gt;"),"00"),"")</f>
        <v/>
      </c>
      <c r="E180" s="41" t="n"/>
      <c r="F180" s="41" t="n"/>
      <c r="G180" s="14" t="inlineStr">
        <is>
          <t>Lĩnh vực không có MAU_PHAN_HOI → dropdown mẫu trống</t>
        </is>
      </c>
      <c r="H180" s="14" t="inlineStr">
        <is>
          <t>- User CB_NV đã đăng nhập.
 - HD-113 ở DANG_XU_LY, lĩnh vực "Thuế" (chưa có mẫu).</t>
        </is>
      </c>
      <c r="I180" s="14" t="n"/>
      <c r="J180" s="14" t="inlineStr">
        <is>
          <t>1. Mở soạn phản hồi HD-113.
 2. Kiểm tra dropdown mẫu phản hồi.</t>
        </is>
      </c>
      <c r="K180" s="14" t="inlineStr">
        <is>
          <t>- Dropdown trống hoặc disabled: "Chưa có mẫu cho lĩnh vực này".
 - CB NV vẫn có thể soạn thủ công.</t>
        </is>
      </c>
      <c r="L180" s="14" t="inlineStr">
        <is>
          <t>- Dropdown trống hoặc disabled: "Chưa có mẫu cho lĩnh vực này".
 - CB NV vẫn có thể soạn thủ công.</t>
        </is>
      </c>
      <c r="M180" s="8" t="inlineStr">
        <is>
          <t>PHCHVM_11.jpg</t>
        </is>
      </c>
      <c r="N180" s="42" t="inlineStr">
        <is>
          <t>Pass</t>
        </is>
      </c>
      <c r="O180" s="16" t="n"/>
      <c r="P180" s="16" t="n"/>
      <c r="Q180" s="16" t="n"/>
      <c r="R180" s="16" t="n"/>
      <c r="S180" s="16" t="n"/>
      <c r="T180" s="16" t="n"/>
      <c r="U180" s="16" t="n"/>
      <c r="V180" s="16" t="n"/>
      <c r="W180" s="16" t="n"/>
      <c r="X180" s="16" t="n"/>
      <c r="Y180" s="16" t="n"/>
      <c r="Z180" s="16" t="n"/>
      <c r="AA180" s="16" t="n"/>
      <c r="AB180" s="16" t="n"/>
      <c r="AC180" s="16" t="n"/>
    </row>
    <row r="181">
      <c r="A181" s="39" t="n"/>
      <c r="B181" s="33" t="n">
        <v>46205</v>
      </c>
      <c r="C181" s="40" t="inlineStr">
        <is>
          <t>Tuần 1</t>
        </is>
      </c>
      <c r="D181" s="41">
        <f>IF(G181&lt;&gt;"","PHCHVM_"&amp;TEXT(COUNTIF($G$170:G181,"&lt;&gt;"),"00"),"")</f>
        <v/>
      </c>
      <c r="E181" s="41" t="n"/>
      <c r="F181" s="41" t="n"/>
      <c r="G181" s="14" t="inlineStr">
        <is>
          <t>Phản hồi khi CB PD đang duyệt — form phải bị KHÓA ở CHO_PHE_DUYET</t>
        </is>
      </c>
      <c r="H181" s="14" t="inlineStr">
        <is>
          <t>- CB_NV_A đã đăng nhập.
 - HD-114 ở CHO_PHE_DUYET (A đã gửi).</t>
        </is>
      </c>
      <c r="I181" s="14" t="n"/>
      <c r="J181" s="14" t="inlineStr">
        <is>
          <t>1. A quay lại chi tiết HD-114 (CHO_PHE_DUYET).
 2. Kiểm tra form soạn phản hồi.</t>
        </is>
      </c>
      <c r="K181" s="14" t="inlineStr">
        <is>
          <t>- Form soạn phản hồi BỊ KHÓA khi trạng thái = CHO_PHE_DUYET.
 - CB NV chỉ thao tác được ở DA_PHAN_CONG / DANG_XU_LY.
 - Nếu KHÔNG khóa → lỗ hổng: phản hồi mới ghi đè bản đang chờ duyệt.</t>
        </is>
      </c>
      <c r="L181" s="14" t="inlineStr">
        <is>
          <t>- Form soạn phản hồi BỊ KHÓA khi trạng thái = CHO_PHE_DUYET.
 - CB NV chỉ thao tác được ở DA_PHAN_CONG / DANG_XU_LY.
 - Nếu KHÔNG khóa → lỗ hổng: phản hồi mới ghi đè bản đang chờ duyệt.</t>
        </is>
      </c>
      <c r="M181" s="8" t="inlineStr">
        <is>
          <t>PHCHVM_12.jpg</t>
        </is>
      </c>
      <c r="N181" s="42" t="inlineStr">
        <is>
          <t>Pass</t>
        </is>
      </c>
      <c r="O181" s="16" t="n"/>
      <c r="P181" s="16" t="n"/>
      <c r="Q181" s="16" t="n"/>
      <c r="R181" s="16" t="n"/>
      <c r="S181" s="16" t="n"/>
      <c r="T181" s="16" t="n"/>
      <c r="U181" s="16" t="n"/>
      <c r="V181" s="16" t="n"/>
      <c r="W181" s="16" t="n"/>
      <c r="X181" s="16" t="n"/>
      <c r="Y181" s="16" t="n"/>
      <c r="Z181" s="16" t="n"/>
      <c r="AA181" s="16" t="n"/>
      <c r="AB181" s="16" t="n"/>
      <c r="AC181" s="16" t="n"/>
    </row>
    <row r="182">
      <c r="A182" s="17" t="n"/>
      <c r="B182" s="18" t="n">
        <v>17</v>
      </c>
      <c r="C182" s="18" t="n"/>
      <c r="D182" s="24" t="n"/>
      <c r="E182" s="24" t="inlineStr">
        <is>
          <t>Quản lý công khai phản hồi câu hỏi, vướng mắc</t>
        </is>
      </c>
      <c r="F182" s="24" t="inlineStr">
        <is>
          <t>Cán  bộ 
 TW,BN,ĐP</t>
        </is>
      </c>
      <c r="G182" s="37" t="inlineStr">
        <is>
          <t>Quản lý quy trình kiểm duyệt và xuất bản công khai các câu trả lời.</t>
        </is>
      </c>
      <c r="H182" s="14" t="n"/>
      <c r="I182" s="14" t="n"/>
      <c r="J182" s="14" t="n"/>
      <c r="K182" s="14" t="n"/>
      <c r="L182" s="16" t="n"/>
      <c r="M182" s="16" t="n"/>
      <c r="N182" s="42" t="n"/>
      <c r="O182" s="16" t="n"/>
      <c r="P182" s="16" t="n"/>
      <c r="Q182" s="16" t="n"/>
      <c r="R182" s="16" t="n"/>
      <c r="S182" s="16" t="n"/>
      <c r="T182" s="16" t="n"/>
      <c r="U182" s="16" t="n"/>
      <c r="V182" s="16" t="n"/>
      <c r="W182" s="16" t="n"/>
      <c r="X182" s="16" t="n"/>
      <c r="Y182" s="16" t="n"/>
      <c r="Z182" s="16" t="n"/>
      <c r="AA182" s="16" t="n"/>
      <c r="AB182" s="16" t="n"/>
      <c r="AC182" s="16" t="n"/>
    </row>
    <row r="183">
      <c r="A183" s="39" t="n"/>
      <c r="B183" s="33" t="n">
        <v>46205</v>
      </c>
      <c r="C183" s="40" t="inlineStr">
        <is>
          <t>Tuần 1</t>
        </is>
      </c>
      <c r="D183" s="41">
        <f>IF(G183&lt;&gt;"","QLCKPHCHVM_"&amp;TEXT(COUNTIF($G$183:G183,"&lt;&gt;"),"00"),"")</f>
        <v/>
      </c>
      <c r="E183" s="41" t="n"/>
      <c r="F183" s="41" t="n"/>
      <c r="G183" s="14" t="inlineStr">
        <is>
          <t>Phê duyệt phản hồi thành công — CB PD cùng cấp</t>
        </is>
      </c>
      <c r="H183" s="14" t="inlineStr">
        <is>
          <t>- User **CB_PD_TW** đã đăng nhập.
 - HD-050 ở CHO_PHE_DUYET, do CB_NV_TW tạo/xử lý.</t>
        </is>
      </c>
      <c r="I183" s="14" t="n"/>
      <c r="J183" s="14" t="inlineStr">
        <is>
          <t>1. Mở tab "Chờ duyệt".
 2. Click HD-050.
 3. Xem nội dung phản hồi.
 4. Nhấn [Phê duyệt].</t>
        </is>
      </c>
      <c r="K183" s="14" t="inlineStr">
        <is>
          <t>- Trạng thái: CHO_PHE_DUYET → **DA_DUYET**.
 - AUDIT_LOG ghi APPROVE.
 - Thông báo gửi cho CB_NV_TW (người soạn).
 - BR-AUTH-05: CB PD TW duyệt cho bản ghi TW → hợp lệ.</t>
        </is>
      </c>
      <c r="L183" s="16" t="inlineStr">
        <is>
          <t>Thông báo không được gửi cho cbnv_tw</t>
        </is>
      </c>
      <c r="M183" s="8" t="inlineStr">
        <is>
          <t>QLCKPHCHVM_02.webm</t>
        </is>
      </c>
      <c r="N183" s="42" t="inlineStr">
        <is>
          <t>Fail</t>
        </is>
      </c>
      <c r="O183" s="16" t="n"/>
      <c r="P183" s="16" t="inlineStr">
        <is>
          <t>dev done</t>
        </is>
      </c>
      <c r="Q183" s="16" t="inlineStr">
        <is>
          <t xml:space="preserve">note nhầm video dòng 183 và 184 cho nhau </t>
        </is>
      </c>
      <c r="R183" s="16" t="n"/>
      <c r="S183" s="16" t="n"/>
      <c r="T183" s="16" t="n"/>
      <c r="U183" s="16" t="n"/>
      <c r="V183" s="16" t="n"/>
      <c r="W183" s="16" t="n"/>
      <c r="X183" s="16" t="n"/>
      <c r="Y183" s="16" t="n"/>
      <c r="Z183" s="16" t="n"/>
      <c r="AA183" s="16" t="n"/>
      <c r="AB183" s="16" t="n"/>
      <c r="AC183" s="16" t="n"/>
    </row>
    <row r="184">
      <c r="A184" s="39" t="n"/>
      <c r="B184" s="33" t="n">
        <v>46205</v>
      </c>
      <c r="C184" s="40" t="inlineStr">
        <is>
          <t>Tuần 1</t>
        </is>
      </c>
      <c r="D184" s="41">
        <f>IF(G184&lt;&gt;"","QLCKPHCHVM_"&amp;TEXT(COUNTIF($G$183:G184,"&lt;&gt;"),"00"),"")</f>
        <v/>
      </c>
      <c r="E184" s="41" t="n"/>
      <c r="F184" s="41" t="n"/>
      <c r="G184" s="14" t="inlineStr">
        <is>
          <t>Phê duyệt hàng loạt (Batch Approve) thành công</t>
        </is>
      </c>
      <c r="H184" s="14" t="inlineStr">
        <is>
          <t>- User CB_PD đã đăng nhập.
 - 5 bản ghi ở CHO_PHE_DUYET cùng cấp.</t>
        </is>
      </c>
      <c r="I184" s="14" t="n"/>
      <c r="J184" s="14" t="inlineStr">
        <is>
          <t>1. Mở tab "Chờ duyệt".
 2. Tick chọn 5 bản ghi.
 3. Click [Phê duyệt hàng loạt].</t>
        </is>
      </c>
      <c r="K184" s="14" t="inlineStr">
        <is>
          <t>- Xử lý per-record.
 - Tất cả 5 chuyển CHO_PHE_DUYET → DA_DUYET.
 - Kết quả: "5 duyệt thành công, 0 lỗi".
 - AUDIT_LOG ghi 5 entries.</t>
        </is>
      </c>
      <c r="L184" s="16" t="inlineStr">
        <is>
          <t>Hệ thống không ghi lại lịch sử phê duyệt của các bản ghi</t>
        </is>
      </c>
      <c r="M184" s="8" t="inlineStr">
        <is>
          <t>QLCKPHCHVM_01.webm</t>
        </is>
      </c>
      <c r="N184" s="42" t="inlineStr">
        <is>
          <t>Fail</t>
        </is>
      </c>
      <c r="O184" s="16" t="n"/>
      <c r="P184" s="16" t="inlineStr">
        <is>
          <t>dev done</t>
        </is>
      </c>
      <c r="Q184" s="16" t="inlineStr">
        <is>
          <t xml:space="preserve">note nhầm video dòng 183 và 184 cho nhau </t>
        </is>
      </c>
      <c r="R184" s="16" t="n"/>
      <c r="S184" s="16" t="n"/>
      <c r="T184" s="16" t="n"/>
      <c r="U184" s="16" t="n"/>
      <c r="V184" s="16" t="n"/>
      <c r="W184" s="16" t="n"/>
      <c r="X184" s="16" t="n"/>
      <c r="Y184" s="16" t="n"/>
      <c r="Z184" s="16" t="n"/>
      <c r="AA184" s="16" t="n"/>
      <c r="AB184" s="16" t="n"/>
      <c r="AC184" s="16" t="n"/>
    </row>
    <row r="185">
      <c r="A185" s="39" t="n"/>
      <c r="B185" s="33" t="n">
        <v>46205</v>
      </c>
      <c r="C185" s="40" t="inlineStr">
        <is>
          <t>Tuần 1</t>
        </is>
      </c>
      <c r="D185" s="41">
        <f>IF(G185&lt;&gt;"","QLCKPHCHVM_"&amp;TEXT(COUNTIF($G$183:G185,"&lt;&gt;"),"00"),"")</f>
        <v/>
      </c>
      <c r="E185" s="41" t="n"/>
      <c r="F185" s="41" t="n"/>
      <c r="G185" s="14" t="inlineStr">
        <is>
          <t>Từ chối phê duyệt kèm lý do hợp lệ (≥10 ký tự)</t>
        </is>
      </c>
      <c r="H185" s="14" t="inlineStr">
        <is>
          <t>- User CB_PD đã đăng nhập.
 - HD-051 ở CHO_PHE_DUYET.</t>
        </is>
      </c>
      <c r="I185" s="14" t="n"/>
      <c r="J185" s="14" t="inlineStr">
        <is>
          <t>1. Mở chi tiết HD-051.
 2. Nhấn [Từ chối].
 3. Nhập lý do từ chối.
 4. Click [Xác nhận].</t>
        </is>
      </c>
      <c r="K185" s="14" t="inlineStr">
        <is>
          <t>- Trạng thái: CHO_PHE_DUYET → DANG_XU_LY (trả lại CB NV sửa).
 - Lý do từ chối hiển thị cho CB NV.
 - Gửi thông báo in-app + email cho CB NV.
 - AUDIT_LOG ghi REJECT + lý do.</t>
        </is>
      </c>
      <c r="L185" s="14" t="inlineStr">
        <is>
          <t>- Trạng thái: CHO_PHE_DUYET → DANG_XU_LY (trả lại CB NV sửa).
 - Lý do từ chối hiển thị cho CB NV.
 - Gửi thông báo in-app + email cho CB NV.
 - AUDIT_LOG ghi REJECT + lý do.</t>
        </is>
      </c>
      <c r="M185" s="8" t="inlineStr">
        <is>
          <t>QLCKPHCHVM_03.jpg</t>
        </is>
      </c>
      <c r="N185" s="42" t="inlineStr">
        <is>
          <t>Pass</t>
        </is>
      </c>
      <c r="O185" s="16" t="n"/>
      <c r="P185" s="16" t="n"/>
      <c r="Q185" s="16" t="n"/>
      <c r="R185" s="16" t="n"/>
      <c r="S185" s="16" t="n"/>
      <c r="T185" s="16" t="n"/>
      <c r="U185" s="16" t="n"/>
      <c r="V185" s="16" t="n"/>
      <c r="W185" s="16" t="n"/>
      <c r="X185" s="16" t="n"/>
      <c r="Y185" s="16" t="n"/>
      <c r="Z185" s="16" t="n"/>
      <c r="AA185" s="16" t="n"/>
      <c r="AB185" s="16" t="n"/>
      <c r="AC185" s="16" t="n"/>
    </row>
    <row r="186">
      <c r="A186" s="39" t="n"/>
      <c r="B186" s="33" t="n">
        <v>46205</v>
      </c>
      <c r="C186" s="40" t="inlineStr">
        <is>
          <t>Tuần 1</t>
        </is>
      </c>
      <c r="D186" s="41">
        <f>IF(G186&lt;&gt;"","QLCKPHCHVM_"&amp;TEXT(COUNTIF($G$183:G186,"&lt;&gt;"),"00"),"")</f>
        <v/>
      </c>
      <c r="E186" s="41" t="n"/>
      <c r="F186" s="41" t="n"/>
      <c r="G186" s="14" t="inlineStr">
        <is>
          <t>Từ chối — lý do trống → lỗi</t>
        </is>
      </c>
      <c r="H186" s="14" t="inlineStr">
        <is>
          <t>- User CB_PD đã đăng nhập.
 - HD-052 ở CHO_PHE_DUYET.</t>
        </is>
      </c>
      <c r="I186" s="14" t="n"/>
      <c r="J186" s="14" t="inlineStr">
        <is>
          <t>1. Nhấn [Từ chối].
 2. Bỏ trống lý do.
 3. Click [Xác nhận].</t>
        </is>
      </c>
      <c r="K186" s="14" t="inlineStr">
        <is>
          <t>- Lỗi **ERR-PD-02**: "Vui lòng nhập lý do từ chối".
 - KHÔNG chuyển trạng thái.</t>
        </is>
      </c>
      <c r="L186" s="14" t="inlineStr">
        <is>
          <t>- Lỗi **ERR-PD-02**: "Vui lòng nhập lý do từ chối".
 - KHÔNG chuyển trạng thái.</t>
        </is>
      </c>
      <c r="M186" s="8" t="inlineStr">
        <is>
          <t>QLCKPHCHVM_04.jpg</t>
        </is>
      </c>
      <c r="N186" s="42" t="inlineStr">
        <is>
          <t>Pass</t>
        </is>
      </c>
      <c r="O186" s="16" t="n"/>
      <c r="P186" s="16" t="n"/>
      <c r="Q186" s="16" t="n"/>
      <c r="R186" s="16" t="n"/>
      <c r="S186" s="16" t="n"/>
      <c r="T186" s="16" t="n"/>
      <c r="U186" s="16" t="n"/>
      <c r="V186" s="16" t="n"/>
      <c r="W186" s="16" t="n"/>
      <c r="X186" s="16" t="n"/>
      <c r="Y186" s="16" t="n"/>
      <c r="Z186" s="16" t="n"/>
      <c r="AA186" s="16" t="n"/>
      <c r="AB186" s="16" t="n"/>
      <c r="AC186" s="16" t="n"/>
    </row>
    <row r="187">
      <c r="A187" s="39" t="n"/>
      <c r="B187" s="33" t="n">
        <v>46205</v>
      </c>
      <c r="C187" s="40" t="inlineStr">
        <is>
          <t>Tuần 1</t>
        </is>
      </c>
      <c r="D187" s="41">
        <f>IF(G187&lt;&gt;"","QLCKPHCHVM_"&amp;TEXT(COUNTIF($G$183:G187,"&lt;&gt;"),"00"),"")</f>
        <v/>
      </c>
      <c r="E187" s="41" t="n"/>
      <c r="F187" s="41" t="n"/>
      <c r="G187" s="14" t="inlineStr">
        <is>
          <t>Từ chối — lý do &lt; 10 ký tự → lỗi</t>
        </is>
      </c>
      <c r="H187" s="14" t="inlineStr">
        <is>
          <t>- User CB_PD đã đăng nhập.
 - HD-053 ở CHO_PHE_DUYET.</t>
        </is>
      </c>
      <c r="I187" s="14" t="n"/>
      <c r="J187" s="14" t="inlineStr">
        <is>
          <t>1. Nhấn [Từ chối].
 2. Nhập "Thiếu" (5 ký tự).
 3. Click [Xác nhận].</t>
        </is>
      </c>
      <c r="K187" s="14" t="inlineStr">
        <is>
          <t>- Lỗi **ERR-PD-02** (min 10 ký tự theo BR-FLOW-04).
 - KHÔNG chuyển trạng thái.</t>
        </is>
      </c>
      <c r="L187" s="14" t="inlineStr">
        <is>
          <t>- Lỗi **ERR-PD-02** (min 10 ký tự theo BR-FLOW-04).
 - KHÔNG chuyển trạng thái.</t>
        </is>
      </c>
      <c r="M187" s="8" t="inlineStr">
        <is>
          <t>QLCKPHCHVM_05.jpg</t>
        </is>
      </c>
      <c r="N187" s="42" t="inlineStr">
        <is>
          <t>Pass</t>
        </is>
      </c>
      <c r="O187" s="16" t="n"/>
      <c r="P187" s="16" t="n"/>
      <c r="Q187" s="16" t="n"/>
      <c r="R187" s="16" t="n"/>
      <c r="S187" s="16" t="n"/>
      <c r="T187" s="16" t="n"/>
      <c r="U187" s="16" t="n"/>
      <c r="V187" s="16" t="n"/>
      <c r="W187" s="16" t="n"/>
      <c r="X187" s="16" t="n"/>
      <c r="Y187" s="16" t="n"/>
      <c r="Z187" s="16" t="n"/>
      <c r="AA187" s="16" t="n"/>
      <c r="AB187" s="16" t="n"/>
      <c r="AC187" s="16" t="n"/>
    </row>
    <row r="188">
      <c r="A188" s="39" t="n"/>
      <c r="B188" s="33" t="n">
        <v>46205</v>
      </c>
      <c r="C188" s="40" t="inlineStr">
        <is>
          <t>Tuần 1</t>
        </is>
      </c>
      <c r="D188" s="41">
        <f>IF(G188&lt;&gt;"","QLCKPHCHVM_"&amp;TEXT(COUNTIF($G$183:G188,"&lt;&gt;"),"00"),"")</f>
        <v/>
      </c>
      <c r="E188" s="41" t="n"/>
      <c r="F188" s="41" t="n"/>
      <c r="G188" s="14" t="inlineStr">
        <is>
          <t>Từ chối — CB PD phê duyệt xuyên cấp → lỗi</t>
        </is>
      </c>
      <c r="H188" s="14" t="inlineStr">
        <is>
          <t>- User **CB_PD_BN** đã đăng nhập.
 - HD-054 ở CHO_PHE_DUYET, thuộc đơn vị TW (hoặc ĐP khác cấp).</t>
        </is>
      </c>
      <c r="I188" s="14" t="n"/>
      <c r="J188" s="14" t="inlineStr">
        <is>
          <t>1. Thử [Từ chối] hoặc [Phê duyệt] HD-054.</t>
        </is>
      </c>
      <c r="K188" s="14" t="inlineStr">
        <is>
          <t xml:space="preserve">- Bản ghi KHÔNG hiển thị trong danh sách CB_PD_BN.
</t>
        </is>
      </c>
      <c r="L188" s="14" t="inlineStr">
        <is>
          <t xml:space="preserve">- Bản ghi KHÔNG hiển thị trong danh sách CB_PD_BN.
</t>
        </is>
      </c>
      <c r="M188" s="8" t="inlineStr">
        <is>
          <t>QLCKPHCHVM_06.jpg</t>
        </is>
      </c>
      <c r="N188" s="42" t="inlineStr">
        <is>
          <t>Pass</t>
        </is>
      </c>
      <c r="O188" s="16" t="n"/>
      <c r="P188" s="16" t="n"/>
      <c r="Q188" s="16" t="n"/>
      <c r="R188" s="16" t="n"/>
      <c r="S188" s="16" t="n"/>
      <c r="T188" s="16" t="n"/>
      <c r="U188" s="16" t="n"/>
      <c r="V188" s="16" t="n"/>
      <c r="W188" s="16" t="n"/>
      <c r="X188" s="16" t="n"/>
      <c r="Y188" s="16" t="n"/>
      <c r="Z188" s="16" t="n"/>
      <c r="AA188" s="16" t="n"/>
      <c r="AB188" s="16" t="n"/>
      <c r="AC188" s="16" t="n"/>
    </row>
    <row r="189">
      <c r="A189" s="39" t="n"/>
      <c r="B189" s="33" t="n">
        <v>46205</v>
      </c>
      <c r="C189" s="40" t="inlineStr">
        <is>
          <t>Tuần 1</t>
        </is>
      </c>
      <c r="D189" s="41">
        <f>IF(G189&lt;&gt;"","QLCKPHCHVM_"&amp;TEXT(COUNTIF($G$183:G189,"&lt;&gt;"),"00"),"")</f>
        <v/>
      </c>
      <c r="E189" s="41" t="n"/>
      <c r="F189" s="41" t="n"/>
      <c r="G189" s="14" t="inlineStr">
        <is>
          <t>Phê duyệt bản ghi KHÔNG ở CHO_PHE_DUYET → lỗi</t>
        </is>
      </c>
      <c r="H189" s="14" t="inlineStr">
        <is>
          <t>- User CB_PD đã đăng nhập.
 - HD-055 ở DA_DUYET (đã duyệt rồi).</t>
        </is>
      </c>
      <c r="I189" s="14" t="n"/>
      <c r="J189" s="14" t="inlineStr">
        <is>
          <t>1. Thử nhấn [Phê duyệt] HD-055.</t>
        </is>
      </c>
      <c r="K189" s="14" t="inlineStr">
        <is>
          <t xml:space="preserve">- Nút [Phê duyệt] bị ẩn cho DA_DUYET.
</t>
        </is>
      </c>
      <c r="L189" s="14" t="inlineStr">
        <is>
          <t xml:space="preserve">- Nút [Phê duyệt] bị ẩn cho DA_DUYET.
</t>
        </is>
      </c>
      <c r="M189" s="8" t="inlineStr">
        <is>
          <t>QLCKPHCHVM_07.jpg</t>
        </is>
      </c>
      <c r="N189" s="42" t="inlineStr">
        <is>
          <t>Pass</t>
        </is>
      </c>
      <c r="O189" s="16" t="n"/>
      <c r="P189" s="16" t="n"/>
      <c r="Q189" s="16" t="n"/>
      <c r="R189" s="16" t="n"/>
      <c r="S189" s="16" t="n"/>
      <c r="T189" s="16" t="n"/>
      <c r="U189" s="16" t="n"/>
      <c r="V189" s="16" t="n"/>
      <c r="W189" s="16" t="n"/>
      <c r="X189" s="16" t="n"/>
      <c r="Y189" s="16" t="n"/>
      <c r="Z189" s="16" t="n"/>
      <c r="AA189" s="16" t="n"/>
      <c r="AB189" s="16" t="n"/>
      <c r="AC189" s="16" t="n"/>
    </row>
    <row r="190">
      <c r="A190" s="39" t="n"/>
      <c r="B190" s="33" t="n">
        <v>46205</v>
      </c>
      <c r="C190" s="40" t="inlineStr">
        <is>
          <t>Tuần 1</t>
        </is>
      </c>
      <c r="D190" s="41">
        <f>IF(G190&lt;&gt;"","QLCKPHCHVM_"&amp;TEXT(COUNTIF($G$183:G190,"&lt;&gt;"),"00"),"")</f>
        <v/>
      </c>
      <c r="E190" s="41" t="n"/>
      <c r="F190" s="41" t="n"/>
      <c r="G190" s="14" t="inlineStr">
        <is>
          <t>Đóng hồ sơ thủ công OK — DA_DUYET → HOAN_THANH</t>
        </is>
      </c>
      <c r="H190" s="14" t="inlineStr">
        <is>
          <t>- User CB NV cùng đơn vị HOẶC CB PD cùng cấp đã đăng nhập.
 - HD-059 ở DA_DUYET.</t>
        </is>
      </c>
      <c r="I190" s="14" t="n"/>
      <c r="J190" s="14" t="inlineStr">
        <is>
          <t>1. Mở chi tiết HD-059.
 2. Nhấn [Đóng hồ sơ].
 3. Confirm dialog: "Đóng hồ sơ? Hồ sơ sẽ không thể chỉnh sửa."
 4. Click [Xác nhận].</t>
        </is>
      </c>
      <c r="K190" s="14" t="inlineStr">
        <is>
          <t xml:space="preserve">- Trạng thái: DA_DUYET → **HOAN_THANH** 
 - Bản ghi bị khóa vĩnh viễn 
 - AUDIT_LOG ghi CLOSE.
 </t>
        </is>
      </c>
      <c r="L190" s="14" t="inlineStr">
        <is>
          <t xml:space="preserve">- Trạng thái: DA_DUYET → **HOAN_THANH** 
 - Bản ghi bị khóa vĩnh viễn 
 - AUDIT_LOG ghi CLOSE.
 </t>
        </is>
      </c>
      <c r="M190" s="8" t="inlineStr">
        <is>
          <t>QLCKPHCHVM_08.jpg</t>
        </is>
      </c>
      <c r="N190" s="42" t="inlineStr">
        <is>
          <t>Pass</t>
        </is>
      </c>
      <c r="O190" s="16" t="n"/>
      <c r="P190" s="16" t="n"/>
      <c r="Q190" s="16" t="n"/>
      <c r="R190" s="16" t="n"/>
      <c r="S190" s="16" t="n"/>
      <c r="T190" s="16" t="n"/>
      <c r="U190" s="16" t="n"/>
      <c r="V190" s="16" t="n"/>
      <c r="W190" s="16" t="n"/>
      <c r="X190" s="16" t="n"/>
      <c r="Y190" s="16" t="n"/>
      <c r="Z190" s="16" t="n"/>
      <c r="AA190" s="16" t="n"/>
      <c r="AB190" s="16" t="n"/>
      <c r="AC190" s="16" t="n"/>
    </row>
    <row r="191">
      <c r="A191" s="39" t="n"/>
      <c r="B191" s="33" t="n">
        <v>46205</v>
      </c>
      <c r="C191" s="40" t="inlineStr">
        <is>
          <t>Tuần 1</t>
        </is>
      </c>
      <c r="D191" s="41">
        <f>IF(G191&lt;&gt;"","QLCKPHCHVM_"&amp;TEXT(COUNTIF($G$183:G191,"&lt;&gt;"),"00"),"")</f>
        <v/>
      </c>
      <c r="E191" s="41" t="n"/>
      <c r="F191" s="41" t="n"/>
      <c r="G191" s="14" t="inlineStr">
        <is>
          <t>Đóng hồ sơ từ CONG_KHAI → HOAN_THANH (skip DA_DUYET)</t>
        </is>
      </c>
      <c r="H191" s="14" t="inlineStr">
        <is>
          <t>- User CB NV / CB PD cùng cấp đã đăng nhập.
 - HD-062 ở CONG_KHAI.</t>
        </is>
      </c>
      <c r="I191" s="14" t="n"/>
      <c r="J191" s="14" t="inlineStr">
        <is>
          <t>1. Mở chi tiết HD-062.
 2. Nhấn [Đóng hồ sơ].
 3. Xác nhận.</t>
        </is>
      </c>
      <c r="K191" s="14" t="inlineStr">
        <is>
          <t>- Trạng thái: CONG_KHAI → **HOAN_THANH** (luồng kết thúc từ CONG_KHAI).
 - Bản ghi bị khóa (BR-FLOW-03).
 - AUDIT_LOG ghi CLOSE.</t>
        </is>
      </c>
      <c r="L191" s="14" t="inlineStr">
        <is>
          <t>- Trạng thái: CONG_KHAI → **HOAN_THANH** (luồng kết thúc từ CONG_KHAI).
 - Bản ghi bị khóa (BR-FLOW-03).
 - AUDIT_LOG ghi CLOSE.</t>
        </is>
      </c>
      <c r="M191" s="8" t="inlineStr">
        <is>
          <t>QLCKPHCHVM_09.jpg</t>
        </is>
      </c>
      <c r="N191" s="42" t="inlineStr">
        <is>
          <t>Pass</t>
        </is>
      </c>
      <c r="O191" s="16" t="n"/>
      <c r="P191" s="16" t="n"/>
      <c r="Q191" s="16" t="n"/>
      <c r="R191" s="16" t="n"/>
      <c r="S191" s="16" t="n"/>
      <c r="T191" s="16" t="n"/>
      <c r="U191" s="16" t="n"/>
      <c r="V191" s="16" t="n"/>
      <c r="W191" s="16" t="n"/>
      <c r="X191" s="16" t="n"/>
      <c r="Y191" s="16" t="n"/>
      <c r="Z191" s="16" t="n"/>
      <c r="AA191" s="16" t="n"/>
      <c r="AB191" s="16" t="n"/>
      <c r="AC191" s="16" t="n"/>
    </row>
    <row r="192">
      <c r="A192" s="39" t="n"/>
      <c r="B192" s="33" t="n">
        <v>46205</v>
      </c>
      <c r="C192" s="40" t="inlineStr">
        <is>
          <t>Tuần 1</t>
        </is>
      </c>
      <c r="D192" s="41">
        <f>IF(G192&lt;&gt;"","QLCKPHCHVM_"&amp;TEXT(COUNTIF($G$183:G192,"&lt;&gt;"),"00"),"")</f>
        <v/>
      </c>
      <c r="E192" s="41" t="n"/>
      <c r="F192" s="41" t="n"/>
      <c r="G192" s="14" t="inlineStr">
        <is>
          <t>CB PD xem nội dung phản hồi — Read-only (KHÔNG có nút sửa trên UI)</t>
        </is>
      </c>
      <c r="H192" s="14" t="inlineStr">
        <is>
          <t>- User CB_PD đã đăng nhập.
 - HD-121 ở CHO_PHE_DUYET.</t>
        </is>
      </c>
      <c r="I192" s="14" t="n"/>
      <c r="J192" s="14" t="inlineStr">
        <is>
          <t>1. Mở chi tiết HD-121.
 2. Kiểm tra section phản hồi.</t>
        </is>
      </c>
      <c r="K192" s="14" t="inlineStr">
        <is>
          <t xml:space="preserve">- Nội dung phản hồi hiển thị read-only (KHÔNG có Rich-text editor).
 - CB_PD KHÔNG có form sửa trực tiếp PHAN_HOI </t>
        </is>
      </c>
      <c r="L192" s="14" t="inlineStr">
        <is>
          <t xml:space="preserve">- Nội dung phản hồi hiển thị read-only (KHÔNG có Rich-text editor).
 - CB_PD KHÔNG có form sửa trực tiếp PHAN_HOI </t>
        </is>
      </c>
      <c r="M192" s="8" t="inlineStr">
        <is>
          <t>QLCKPHCHVM_10.jpg</t>
        </is>
      </c>
      <c r="N192" s="42" t="inlineStr">
        <is>
          <t>Pass</t>
        </is>
      </c>
      <c r="O192" s="16" t="n"/>
      <c r="P192" s="16" t="n"/>
      <c r="Q192" s="16" t="n"/>
      <c r="R192" s="16" t="n"/>
      <c r="S192" s="16" t="n"/>
      <c r="T192" s="16" t="n"/>
      <c r="U192" s="16" t="n"/>
      <c r="V192" s="16" t="n"/>
      <c r="W192" s="16" t="n"/>
      <c r="X192" s="16" t="n"/>
      <c r="Y192" s="16" t="n"/>
      <c r="Z192" s="16" t="n"/>
      <c r="AA192" s="16" t="n"/>
      <c r="AB192" s="16" t="n"/>
      <c r="AC192" s="16" t="n"/>
    </row>
    <row r="193">
      <c r="A193" s="39" t="n"/>
      <c r="B193" s="33" t="n">
        <v>46205</v>
      </c>
      <c r="C193" s="40" t="inlineStr">
        <is>
          <t>Tuần 1</t>
        </is>
      </c>
      <c r="D193" s="41">
        <f>IF(G193&lt;&gt;"","QLCKPHCHVM_"&amp;TEXT(COUNTIF($G$183:G193,"&lt;&gt;"),"00"),"")</f>
        <v/>
      </c>
      <c r="E193" s="41" t="n"/>
      <c r="F193" s="41" t="n"/>
      <c r="G193" s="14" t="inlineStr">
        <is>
          <t>Confirm dialog: Phê duyệt đơn lẻ phải hiện confirm</t>
        </is>
      </c>
      <c r="H193" s="14" t="inlineStr">
        <is>
          <t>- User CB_PD đã đăng nhập.
 - HD-122 ở CHO_PHE_DUYET.</t>
        </is>
      </c>
      <c r="I193" s="14" t="n"/>
      <c r="J193" s="14" t="inlineStr">
        <is>
          <t>1. Nhấn [Phê duyệt].
 2. Kiểm tra confirm dialog.</t>
        </is>
      </c>
      <c r="K193" s="14" t="inlineStr">
        <is>
          <t>- Confirm dialog BẮT BUỘC hiện trước khi phê duyệt (SCR-II-02 C12).
 - Nội dung: "Xác nhận phê duyệt?".
 - [Xác nhận] → thực hiện. [Hủy] → quay lại.</t>
        </is>
      </c>
      <c r="L193" s="14" t="inlineStr">
        <is>
          <t>- Confirm dialog BẮT BUỘC hiện trước khi phê duyệt (SCR-II-02 C12).
 - Nội dung: "Xác nhận phê duyệt?".
 - [Xác nhận] → thực hiện. [Hủy] → quay lại.</t>
        </is>
      </c>
      <c r="M193" s="8" t="inlineStr">
        <is>
          <t>QLCKPHCHVM_11.jpg</t>
        </is>
      </c>
      <c r="N193" s="42" t="inlineStr">
        <is>
          <t>Pass</t>
        </is>
      </c>
      <c r="O193" s="16" t="n"/>
      <c r="P193" s="16" t="n"/>
      <c r="Q193" s="16" t="n"/>
      <c r="R193" s="16" t="n"/>
      <c r="S193" s="16" t="n"/>
      <c r="T193" s="16" t="n"/>
      <c r="U193" s="16" t="n"/>
      <c r="V193" s="16" t="n"/>
      <c r="W193" s="16" t="n"/>
      <c r="X193" s="16" t="n"/>
      <c r="Y193" s="16" t="n"/>
      <c r="Z193" s="16" t="n"/>
      <c r="AA193" s="16" t="n"/>
      <c r="AB193" s="16" t="n"/>
      <c r="AC193" s="16" t="n"/>
    </row>
    <row r="194">
      <c r="A194" s="4" t="n"/>
      <c r="B194" s="5" t="inlineStr">
        <is>
          <t>II.3</t>
        </is>
      </c>
      <c r="C194" s="5" t="inlineStr">
        <is>
          <t>Tuần 1</t>
        </is>
      </c>
      <c r="D194" s="6" t="n"/>
      <c r="E194" s="6" t="inlineStr">
        <is>
          <t>Quản lý danh sách câu hỏi, vướng mắc đã xử lý</t>
        </is>
      </c>
      <c r="F194" s="26" t="n"/>
      <c r="G194" s="26" t="n"/>
      <c r="H194" s="26" t="n"/>
      <c r="I194" s="26" t="n"/>
      <c r="J194" s="16" t="n"/>
      <c r="K194" s="16" t="n"/>
      <c r="L194" s="16" t="n"/>
      <c r="M194" s="16" t="n"/>
      <c r="N194" s="42" t="n"/>
      <c r="O194" s="16" t="n"/>
      <c r="P194" s="16" t="n"/>
      <c r="Q194" s="16" t="n"/>
      <c r="R194" s="16" t="n"/>
      <c r="S194" s="16" t="n"/>
      <c r="T194" s="16" t="n"/>
      <c r="U194" s="16" t="n"/>
      <c r="V194" s="16" t="n"/>
      <c r="W194" s="16" t="n"/>
      <c r="X194" s="16" t="n"/>
      <c r="Y194" s="16" t="n"/>
      <c r="Z194" s="16" t="n"/>
      <c r="AA194" s="16" t="n"/>
      <c r="AB194" s="16" t="n"/>
      <c r="AC194" s="16" t="n"/>
    </row>
    <row r="195">
      <c r="A195" s="17" t="n"/>
      <c r="B195" s="18" t="n">
        <v>18</v>
      </c>
      <c r="C195" s="18" t="inlineStr">
        <is>
          <t>Tuần 1</t>
        </is>
      </c>
      <c r="D195" s="24" t="n"/>
      <c r="E195" s="24" t="inlineStr">
        <is>
          <t>Quản lý câu hỏi, vướng mắc đã xử lý</t>
        </is>
      </c>
      <c r="F195" s="24" t="inlineStr">
        <is>
          <t>Cán  bộ 
 TW,BN,ĐP</t>
        </is>
      </c>
      <c r="G195" s="27" t="inlineStr">
        <is>
          <t>Quản lý các trường dữ liệu chi tiết của từng yêu cầu đã hoàn thành xử lý.</t>
        </is>
      </c>
      <c r="H195" s="36" t="n"/>
      <c r="I195" s="42" t="n"/>
      <c r="J195" s="16" t="n"/>
      <c r="K195" s="16" t="n"/>
      <c r="L195" s="16" t="n"/>
      <c r="M195" s="16" t="n"/>
      <c r="N195" s="42" t="n"/>
      <c r="O195" s="16" t="n"/>
      <c r="P195" s="16" t="n"/>
      <c r="Q195" s="16" t="n"/>
      <c r="R195" s="16" t="n"/>
      <c r="S195" s="16" t="n"/>
      <c r="T195" s="16" t="n"/>
      <c r="U195" s="16" t="n"/>
      <c r="V195" s="16" t="n"/>
      <c r="W195" s="16" t="n"/>
      <c r="X195" s="16" t="n"/>
      <c r="Y195" s="16" t="n"/>
      <c r="Z195" s="16" t="n"/>
      <c r="AA195" s="16" t="n"/>
      <c r="AB195" s="16" t="n"/>
      <c r="AC195" s="16" t="n"/>
    </row>
    <row r="196">
      <c r="A196" s="39" t="n"/>
      <c r="B196" s="33" t="n">
        <v>46206</v>
      </c>
      <c r="C196" s="40" t="inlineStr">
        <is>
          <t>Tuần 1</t>
        </is>
      </c>
      <c r="D196" s="41">
        <f>IF(G195&lt;&gt;"","QLCHVMDXL_"&amp;TEXT(COUNTIF($G$195:G195,"&lt;&gt;"),"00"),"")</f>
        <v/>
      </c>
      <c r="E196" s="41" t="n"/>
      <c r="F196" s="41" t="n"/>
      <c r="G196" s="14" t="inlineStr">
        <is>
          <t>Xem danh sách đang xử lý — hard filter đúng trạng thái</t>
        </is>
      </c>
      <c r="H196" s="14" t="inlineStr">
        <is>
          <t>- User CB_NV đã đăng nhập.
 - Tồn tại bản ghi ở TIEP_NHAN, DA_PHAN_CONG, DANG_XU_LY, và DA_DUYET.</t>
        </is>
      </c>
      <c r="I196" s="14" t="n"/>
      <c r="J196" s="14" t="inlineStr">
        <is>
          <t>1. Chọn "Hỏi đáp pháp lý" -&gt; Mở tab "Đang xử lý".
 2. Kiểm tra danh sách.</t>
        </is>
      </c>
      <c r="K196" s="14" t="inlineStr">
        <is>
          <t>- Chỉ hiển thị `trang_thai IN (TIEP_NHAN, DA_PHAN_CONG, DANG_XU_LY)`.
 - KHÔNG hiển thị MOI, DA_DUYET, CONG_KHAI, HOAN_THANH.
 - Không có nút [Thêm mới] / [Xóa].</t>
        </is>
      </c>
      <c r="L196" s="16" t="inlineStr">
        <is>
          <t>Hệ thống hiển thị nút "Xóa"</t>
        </is>
      </c>
      <c r="M196" s="8" t="inlineStr">
        <is>
          <t>QLCHVMDXL_01.jpg</t>
        </is>
      </c>
      <c r="N196" s="42" t="inlineStr">
        <is>
          <t>Fail</t>
        </is>
      </c>
      <c r="O196" s="16" t="n"/>
      <c r="P196" s="16" t="inlineStr">
        <is>
          <t>dev done</t>
        </is>
      </c>
      <c r="Q196" s="16" t="n"/>
      <c r="R196" s="59" t="n"/>
      <c r="S196" s="59" t="n"/>
      <c r="T196" s="59" t="n"/>
      <c r="U196" s="59" t="n"/>
      <c r="V196" s="16" t="n"/>
      <c r="W196" s="16" t="n"/>
      <c r="X196" s="16" t="n"/>
      <c r="Y196" s="16" t="n"/>
      <c r="Z196" s="16" t="n"/>
      <c r="AA196" s="16" t="n"/>
      <c r="AB196" s="16" t="n"/>
      <c r="AC196" s="16" t="n"/>
    </row>
    <row r="197">
      <c r="A197" s="39" t="n"/>
      <c r="B197" s="33" t="n">
        <v>46206</v>
      </c>
      <c r="C197" s="40" t="inlineStr">
        <is>
          <t>Tuần 1</t>
        </is>
      </c>
      <c r="D197" s="41">
        <f>IF(G196&lt;&gt;"","QLCHVMDXL_"&amp;TEXT(COUNTIF($G$195:G196,"&lt;&gt;"),"00"),"")</f>
        <v/>
      </c>
      <c r="E197" s="41" t="n"/>
      <c r="F197" s="41" t="n"/>
      <c r="G197" s="14" t="inlineStr">
        <is>
          <t>Cập nhật thời hạn xử lý kèm lý do thành công</t>
        </is>
      </c>
      <c r="H197" s="14" t="inlineStr">
        <is>
          <t>- User CB_NV đã đăng nhập.
 - Bản ghi ở **DANG_XU_LY**</t>
        </is>
      </c>
      <c r="I197" s="14" t="n"/>
      <c r="J197" s="14" t="inlineStr">
        <is>
          <t>1. Mở chi tiết
 2. Nhập thời hạn mới 
 3. Nhập lý do thay đổi.
 4. Click [Lưu].</t>
        </is>
      </c>
      <c r="K197" s="14" t="inlineStr">
        <is>
          <t>- Cập nhật thành công, thời hạn mới 
 - AUDIT_LOG ghi UPDATE (thời hạn cũ → mới + lý do).
 - Thông báo gửi cho người được phân công.</t>
        </is>
      </c>
      <c r="L197" s="14" t="inlineStr">
        <is>
          <t>- Cập nhật thành công, thời hạn mới 
 - AUDIT_LOG ghi UPDATE (thời hạn cũ → mới + lý do).
 - Thông báo gửi cho người được phân công.</t>
        </is>
      </c>
      <c r="M197" s="8" t="inlineStr">
        <is>
          <t>QLCHVMDXL_02.jpg</t>
        </is>
      </c>
      <c r="N197" s="42" t="inlineStr">
        <is>
          <t>Pass</t>
        </is>
      </c>
      <c r="O197" s="16" t="n"/>
      <c r="P197" s="16" t="n"/>
      <c r="Q197" s="16" t="n"/>
      <c r="R197" s="16" t="n"/>
      <c r="S197" s="16" t="n"/>
      <c r="T197" s="16" t="n"/>
      <c r="U197" s="16" t="n"/>
      <c r="V197" s="16" t="n"/>
      <c r="W197" s="16" t="n"/>
      <c r="X197" s="16" t="n"/>
      <c r="Y197" s="16" t="n"/>
      <c r="Z197" s="16" t="n"/>
      <c r="AA197" s="16" t="n"/>
      <c r="AB197" s="16" t="n"/>
      <c r="AC197" s="16" t="n"/>
    </row>
    <row r="198">
      <c r="A198" s="39" t="n"/>
      <c r="B198" s="33" t="n">
        <v>46206</v>
      </c>
      <c r="C198" s="40" t="inlineStr">
        <is>
          <t>Tuần 1</t>
        </is>
      </c>
      <c r="D198" s="41">
        <f>IF(G197&lt;&gt;"","QLCHVMDXL_"&amp;TEXT(COUNTIF($G$195:G197,"&lt;&gt;"),"00"),"")</f>
        <v/>
      </c>
      <c r="E198" s="41" t="n"/>
      <c r="F198" s="41" t="n"/>
      <c r="G198" s="14" t="inlineStr">
        <is>
          <t>Xem lịch sử Timeline (AUDIT_LOG)</t>
        </is>
      </c>
      <c r="H198" s="14" t="inlineStr">
        <is>
          <t>- User CB_NV đã đăng nhập.
 - Bản ghi có lịch sử: MOI → TIEP_NHAN → DA_PHAN_CONG → DANG_XU_LY.</t>
        </is>
      </c>
      <c r="I198" s="14" t="n"/>
      <c r="J198" s="14" t="inlineStr">
        <is>
          <t>1. Mở chi tiết bản ghi
 2. Mở Lịch sử xử lý.</t>
        </is>
      </c>
      <c r="K198" s="14" t="inlineStr">
        <is>
          <t>- Hiển thị đầy đủ dòng thời gian các thao tác đã thực hiện trên hỏi đáp.</t>
        </is>
      </c>
      <c r="L198" s="14" t="inlineStr">
        <is>
          <t>- Hiển thị đầy đủ dòng thời gian các thao tác đã thực hiện trên hỏi đáp.</t>
        </is>
      </c>
      <c r="M198" s="8" t="inlineStr">
        <is>
          <t>QLCHVMDXL_03.jpg</t>
        </is>
      </c>
      <c r="N198" s="42" t="inlineStr">
        <is>
          <t>Pass</t>
        </is>
      </c>
      <c r="O198" s="16" t="n"/>
      <c r="P198" s="16" t="n"/>
      <c r="Q198" s="16" t="n"/>
      <c r="R198" s="16" t="n"/>
      <c r="S198" s="16" t="n"/>
      <c r="T198" s="16" t="n"/>
      <c r="U198" s="16" t="n"/>
      <c r="V198" s="16" t="n"/>
      <c r="W198" s="16" t="n"/>
      <c r="X198" s="16" t="n"/>
      <c r="Y198" s="16" t="n"/>
      <c r="Z198" s="16" t="n"/>
      <c r="AA198" s="16" t="n"/>
      <c r="AB198" s="16" t="n"/>
      <c r="AC198" s="16" t="n"/>
    </row>
    <row r="199">
      <c r="A199" s="39" t="n"/>
      <c r="B199" s="33" t="n">
        <v>46206</v>
      </c>
      <c r="C199" s="40" t="inlineStr">
        <is>
          <t>Tuần 1</t>
        </is>
      </c>
      <c r="D199" s="41">
        <f>IF(G198&lt;&gt;"","QLCHVMDXL_"&amp;TEXT(COUNTIF($G$195:G198,"&lt;&gt;"),"00"),"")</f>
        <v/>
      </c>
      <c r="E199" s="41" t="n"/>
      <c r="F199" s="41" t="n"/>
      <c r="G199" s="14" t="inlineStr">
        <is>
          <t>Cập nhật thời hạn — thiếu lý do → bị chặn</t>
        </is>
      </c>
      <c r="H199" s="14" t="inlineStr">
        <is>
          <t>- User CB_NV đã đăng nhập.
 - HD-022 ở DANG_XU_LY.</t>
        </is>
      </c>
      <c r="I199" s="14" t="n"/>
      <c r="J199" s="14" t="inlineStr">
        <is>
          <t>1. Mở chi tiết HD-022.
 2. Nhập thời hạn mới.
 3. Bỏ trống lý do.
 4. Click [Lưu].</t>
        </is>
      </c>
      <c r="K199" s="14" t="inlineStr">
        <is>
          <t>- Hệ thống yêu cầu nhập lý do thay đổi.
 - Không cho phép lưu khi lý do trống.</t>
        </is>
      </c>
      <c r="L199" s="14" t="inlineStr">
        <is>
          <t>- Hệ thống yêu cầu nhập lý do thay đổi.
 - Không cho phép lưu khi lý do trống.</t>
        </is>
      </c>
      <c r="M199" s="8" t="inlineStr">
        <is>
          <t>QLCHVMDXL_04.jpg</t>
        </is>
      </c>
      <c r="N199" s="42" t="inlineStr">
        <is>
          <t>Pass</t>
        </is>
      </c>
      <c r="O199" s="16" t="n"/>
      <c r="P199" s="16" t="n"/>
      <c r="Q199" s="16" t="n"/>
      <c r="R199" s="16" t="n"/>
      <c r="S199" s="16" t="n"/>
      <c r="T199" s="16" t="n"/>
      <c r="U199" s="16" t="n"/>
      <c r="V199" s="16" t="n"/>
      <c r="W199" s="16" t="n"/>
      <c r="X199" s="16" t="n"/>
      <c r="Y199" s="16" t="n"/>
      <c r="Z199" s="16" t="n"/>
      <c r="AA199" s="16" t="n"/>
      <c r="AB199" s="16" t="n"/>
      <c r="AC199" s="16" t="n"/>
    </row>
    <row r="200">
      <c r="A200" s="39" t="n"/>
      <c r="B200" s="33" t="n">
        <v>46206</v>
      </c>
      <c r="C200" s="40" t="inlineStr">
        <is>
          <t>Tuần 1</t>
        </is>
      </c>
      <c r="D200" s="41">
        <f>IF(G199&lt;&gt;"","QLCHVMDXL_"&amp;TEXT(COUNTIF($G$195:G199,"&lt;&gt;"),"00"),"")</f>
        <v/>
      </c>
      <c r="E200" s="41" t="n"/>
      <c r="F200" s="41" t="n"/>
      <c r="G200" s="14" t="inlineStr">
        <is>
          <t>CB NV ĐP xem timeline bản ghi thuộc đơn vị khác → bị chặn</t>
        </is>
      </c>
      <c r="H200" s="14" t="inlineStr">
        <is>
          <t>- User CB_NV_DP (Sở TP HN) đã đăng nhập.
 - HD-023 thuộc đơn vị TW ở DANG_XU_LY.</t>
        </is>
      </c>
      <c r="I200" s="14" t="n"/>
      <c r="J200" s="14" t="inlineStr">
        <is>
          <t>1. Thử truy cập chi tiết HD-023 (đơn vị TW).</t>
        </is>
      </c>
      <c r="K200" s="14" t="inlineStr">
        <is>
          <t>- HD-023 KHÔNG xuất hiện trong danh sách tab "Đang xử lý" của CB_NV_DP.
 - Row-Level Security (BR-AUTH-08) chặn ở tầng data.</t>
        </is>
      </c>
      <c r="L200" s="14" t="inlineStr">
        <is>
          <t>- HD-023 KHÔNG xuất hiện trong danh sách tab "Đang xử lý" của CB_NV_DP.
 - Row-Level Security (BR-AUTH-08) chặn ở tầng data.</t>
        </is>
      </c>
      <c r="M200" s="8" t="inlineStr">
        <is>
          <t>QLCHVMDXL_05.jpg</t>
        </is>
      </c>
      <c r="N200" s="42" t="inlineStr">
        <is>
          <t>Pass</t>
        </is>
      </c>
      <c r="O200" s="16" t="n"/>
      <c r="P200" s="16" t="n"/>
      <c r="Q200" s="16" t="n"/>
      <c r="R200" s="16" t="n"/>
      <c r="S200" s="16" t="n"/>
      <c r="T200" s="16" t="n"/>
      <c r="U200" s="16" t="n"/>
      <c r="V200" s="16" t="n"/>
      <c r="W200" s="16" t="n"/>
      <c r="X200" s="16" t="n"/>
      <c r="Y200" s="16" t="n"/>
      <c r="Z200" s="16" t="n"/>
      <c r="AA200" s="16" t="n"/>
      <c r="AB200" s="16" t="n"/>
      <c r="AC200" s="16" t="n"/>
    </row>
    <row r="201">
      <c r="A201" s="39" t="n"/>
      <c r="B201" s="33" t="n">
        <v>46206</v>
      </c>
      <c r="C201" s="40" t="inlineStr">
        <is>
          <t>Tuần 1</t>
        </is>
      </c>
      <c r="D201" s="41">
        <f>IF(G200&lt;&gt;"","QLCHVMDXL_"&amp;TEXT(COUNTIF($G$195:G200,"&lt;&gt;"),"00"),"")</f>
        <v/>
      </c>
      <c r="E201" s="41" t="n"/>
      <c r="F201" s="41" t="n"/>
      <c r="G201" s="14" t="inlineStr">
        <is>
          <t>Xem danh sách đã xử lý — Read-only</t>
        </is>
      </c>
      <c r="H201" s="14" t="inlineStr">
        <is>
          <t>- User CB_NV đã đăng nhập.
 - Tồn tại bản ghi ở DA_DUYET, CONG_KHAI, HOAN_THANH.</t>
        </is>
      </c>
      <c r="I201" s="14" t="n"/>
      <c r="J201" s="14" t="inlineStr">
        <is>
          <t>1. Mở tab "Hoàn thành" 
 2. Kiểm tra danh sách.</t>
        </is>
      </c>
      <c r="K201" s="14" t="inlineStr">
        <is>
          <t>- Chỉ hiển thị `trang_thai IN (DA_DUYET, CONG_KHAI, HOAN_THANH)`.
 - Read-only: KHÔNG có nút [Thêm mới], [Sửa], [Xóa].
 - Cột bổ sung: `nguoi_duyet`, `ngay_duyet`.</t>
        </is>
      </c>
      <c r="L201" s="16" t="inlineStr">
        <is>
          <t>- Không có cột bổ sung Người duyệt, Ngày duyệt</t>
        </is>
      </c>
      <c r="M201" s="8" t="inlineStr">
        <is>
          <t>QLCHVMDXL_06.jpg</t>
        </is>
      </c>
      <c r="N201" s="42" t="inlineStr">
        <is>
          <t>Fail</t>
        </is>
      </c>
      <c r="O201" s="16" t="n"/>
      <c r="P201" s="16" t="inlineStr">
        <is>
          <t>dev done</t>
        </is>
      </c>
      <c r="Q201" s="16" t="n"/>
      <c r="R201" s="59" t="n"/>
      <c r="S201" s="59" t="n"/>
      <c r="T201" s="59" t="n"/>
      <c r="U201" s="59" t="n"/>
      <c r="V201" s="16" t="n"/>
      <c r="W201" s="16" t="n"/>
      <c r="X201" s="16" t="n"/>
      <c r="Y201" s="16" t="n"/>
      <c r="Z201" s="16" t="n"/>
      <c r="AA201" s="16" t="n"/>
      <c r="AB201" s="16" t="n"/>
      <c r="AC201" s="16" t="n"/>
    </row>
    <row r="202">
      <c r="A202" s="39" t="n"/>
      <c r="B202" s="33" t="n">
        <v>46206</v>
      </c>
      <c r="C202" s="40" t="inlineStr">
        <is>
          <t>Tuần 1</t>
        </is>
      </c>
      <c r="D202" s="41">
        <f>IF(G201&lt;&gt;"","QLCHVMDXL_"&amp;TEXT(COUNTIF($G$195:G201,"&lt;&gt;"),"00"),"")</f>
        <v/>
      </c>
      <c r="E202" s="41" t="n"/>
      <c r="F202" s="41" t="n"/>
      <c r="G202" s="14" t="inlineStr">
        <is>
          <t>Xem chi tiết đã xử lý — hiển thị toàn bộ lịch sử</t>
        </is>
      </c>
      <c r="H202" s="14" t="inlineStr">
        <is>
          <t>- User CB_NV đã đăng nhập.
 - HD-024 ở HOAN_THANH.</t>
        </is>
      </c>
      <c r="I202" s="14" t="n"/>
      <c r="J202" s="14" t="inlineStr">
        <is>
          <t>1. Click vào HD-024.
 2. Xem SCR-II-02 (Chi tiết).</t>
        </is>
      </c>
      <c r="K202" s="14" t="inlineStr">
        <is>
          <t>- Hiển thị nội dung phản hồi cuối cùng.
 - Thông tin người duyệt + ngày duyệt.
 - Timeline đầy đủ từ MOI → ... → HOAN_THANH.
 - Tất cả trường bị disabled/locked (BR-FLOW-03).</t>
        </is>
      </c>
      <c r="L202" s="14" t="inlineStr">
        <is>
          <t>- Hiển thị nội dung phản hồi cuối cùng.
 - Thông tin người duyệt + ngày duyệt.
 - Timeline đầy đủ từ MOI → ... → HOAN_THANH.
 - Tất cả trường bị disabled/locked (BR-FLOW-03).</t>
        </is>
      </c>
      <c r="M202" s="8" t="inlineStr">
        <is>
          <t>QLCHVMDXL_07.jpg</t>
        </is>
      </c>
      <c r="N202" s="42" t="inlineStr">
        <is>
          <t>Pass</t>
        </is>
      </c>
      <c r="O202" s="16" t="n"/>
      <c r="P202" s="16" t="n"/>
      <c r="Q202" s="16" t="n"/>
      <c r="R202" s="16" t="n"/>
      <c r="S202" s="16" t="n"/>
      <c r="T202" s="16" t="n"/>
      <c r="U202" s="16" t="n"/>
      <c r="V202" s="16" t="n"/>
      <c r="W202" s="16" t="n"/>
      <c r="X202" s="16" t="n"/>
      <c r="Y202" s="16" t="n"/>
      <c r="Z202" s="16" t="n"/>
      <c r="AA202" s="16" t="n"/>
      <c r="AB202" s="16" t="n"/>
      <c r="AC202" s="16" t="n"/>
    </row>
    <row r="203">
      <c r="A203" s="39" t="n"/>
      <c r="B203" s="33" t="n">
        <v>46206</v>
      </c>
      <c r="C203" s="40" t="inlineStr">
        <is>
          <t>Tuần 1</t>
        </is>
      </c>
      <c r="D203" s="41">
        <f>IF(G202&lt;&gt;"","QLCHVMDXL_"&amp;TEXT(COUNTIF($G$195:G202,"&lt;&gt;"),"00"),"")</f>
        <v/>
      </c>
      <c r="E203" s="41" t="n"/>
      <c r="F203" s="41" t="n"/>
      <c r="G203" s="14" t="inlineStr">
        <is>
          <t>Thử sửa bản ghi HOAN_THANH → bị khóa</t>
        </is>
      </c>
      <c r="H203" s="14" t="inlineStr">
        <is>
          <t>- User CB_NV đã đăng nhập.
 - HD-025 ở HOAN_THANH.</t>
        </is>
      </c>
      <c r="I203" s="14" t="n"/>
      <c r="J203" s="14" t="inlineStr">
        <is>
          <t>1. Mở chi tiết HD-025.
 2. Thử sửa nội dung.</t>
        </is>
      </c>
      <c r="K203" s="14" t="inlineStr">
        <is>
          <t>- Nút [Sửa] bị ẩn/disabled.
 - BR-FLOW-03: bản ghi ở HOAN_THANH bị khóa hoàn toàn.</t>
        </is>
      </c>
      <c r="L203" s="14" t="inlineStr">
        <is>
          <t>- Nút [Sửa] bị ẩn/disabled.
 - BR-FLOW-03: bản ghi ở HOAN_THANH bị khóa hoàn toàn.</t>
        </is>
      </c>
      <c r="M203" s="8" t="inlineStr">
        <is>
          <t>QLCHVMDXL_08.jpg</t>
        </is>
      </c>
      <c r="N203" s="42" t="inlineStr">
        <is>
          <t>Pass</t>
        </is>
      </c>
      <c r="O203" s="16" t="n"/>
      <c r="P203" s="16" t="n"/>
      <c r="Q203" s="16" t="n"/>
      <c r="R203" s="16" t="n"/>
      <c r="S203" s="16" t="n"/>
      <c r="T203" s="16" t="n"/>
      <c r="U203" s="16" t="n"/>
      <c r="V203" s="16" t="n"/>
      <c r="W203" s="16" t="n"/>
      <c r="X203" s="16" t="n"/>
      <c r="Y203" s="16" t="n"/>
      <c r="Z203" s="16" t="n"/>
      <c r="AA203" s="16" t="n"/>
      <c r="AB203" s="16" t="n"/>
      <c r="AC203" s="16" t="n"/>
    </row>
    <row r="204">
      <c r="A204" s="39" t="n"/>
      <c r="B204" s="33" t="n">
        <v>46206</v>
      </c>
      <c r="C204" s="40" t="inlineStr">
        <is>
          <t>Tuần 1</t>
        </is>
      </c>
      <c r="D204" s="41">
        <f>IF(G203&lt;&gt;"","QLCHVMDXL_"&amp;TEXT(COUNTIF($G$195:G203,"&lt;&gt;"),"00"),"")</f>
        <v/>
      </c>
      <c r="E204" s="41" t="n"/>
      <c r="F204" s="41" t="n"/>
      <c r="G204" s="14" t="inlineStr">
        <is>
          <t>CB_PD_TW xem data cấp BN/ĐP — xem được nhưng KHÔNG duyệt được</t>
        </is>
      </c>
      <c r="H204" s="14" t="inlineStr">
        <is>
          <t>- User CB_PD_TW đã đăng nhập.
 - HD-090 thuộc cấp BN ở DANG_XU_LY.</t>
        </is>
      </c>
      <c r="I204" s="14" t="n"/>
      <c r="J204" s="14" t="inlineStr">
        <is>
          <t>1. Mở tab "Đang xử lý".
 2. Xác nhận HD-090 (cấp BN) CÓ hiển thị.
 3. Click vào HD-090.</t>
        </is>
      </c>
      <c r="K204" s="14" t="inlineStr">
        <is>
          <t>- BR-AUTH-04: CB_PD_TW CÓ quyền XEM toàn bộ TW + BN + ĐP.
 - HD-090 hiển thị trong danh sách.
 - Nhưng khi chuyển CHO_PHE_DUYET, nút [Phê duyệt] sẽ bị chặn (BR-AUTH-05: phê duyệt cùng cấp).</t>
        </is>
      </c>
      <c r="L204" s="14" t="inlineStr">
        <is>
          <t>- BR-AUTH-04: CB_PD_TW CÓ quyền XEM toàn bộ TW + BN + ĐP.
 - HD-090 hiển thị trong danh sách.
 - Nhưng khi chuyển CHO_PHE_DUYET, nút [Phê duyệt] sẽ bị chặn (BR-AUTH-05: phê duyệt cùng cấp).</t>
        </is>
      </c>
      <c r="M204" s="8" t="inlineStr">
        <is>
          <t>QLCHVMDXL_09.jpg</t>
        </is>
      </c>
      <c r="N204" s="42" t="inlineStr">
        <is>
          <t>Pass</t>
        </is>
      </c>
      <c r="O204" s="16" t="n"/>
      <c r="P204" s="16" t="n"/>
      <c r="Q204" s="16" t="n"/>
      <c r="R204" s="16" t="n"/>
      <c r="S204" s="16" t="n"/>
      <c r="T204" s="16" t="n"/>
      <c r="U204" s="16" t="n"/>
      <c r="V204" s="16" t="n"/>
      <c r="W204" s="16" t="n"/>
      <c r="X204" s="16" t="n"/>
      <c r="Y204" s="16" t="n"/>
      <c r="Z204" s="16" t="n"/>
      <c r="AA204" s="16" t="n"/>
      <c r="AB204" s="16" t="n"/>
      <c r="AC204" s="16" t="n"/>
    </row>
    <row r="205">
      <c r="A205" s="39" t="n"/>
      <c r="B205" s="33" t="n">
        <v>46206</v>
      </c>
      <c r="C205" s="40" t="inlineStr">
        <is>
          <t>Tuần 1</t>
        </is>
      </c>
      <c r="D205" s="41">
        <f>IF(G204&lt;&gt;"","QLCHVMDXL_"&amp;TEXT(COUNTIF($G$195:G204,"&lt;&gt;"),"00"),"")</f>
        <v/>
      </c>
      <c r="E205" s="41" t="n"/>
      <c r="F205" s="41" t="n"/>
      <c r="G205" s="14" t="inlineStr">
        <is>
          <t>Cập nhật thời hạn — thời hạn mới &lt; ngày hiện tại → kiểm tra ràng buộc</t>
        </is>
      </c>
      <c r="H205" s="14" t="inlineStr">
        <is>
          <t>- User CB_NV đã đăng nhập.
 - Bản ghi ở DANG_XU_LY</t>
        </is>
      </c>
      <c r="I205" s="14" t="n"/>
      <c r="J205" s="14" t="inlineStr">
        <is>
          <t>1. Mở chi tiết bản ghi và cập nhật thời hạn
 3. Click [Lưu].</t>
        </is>
      </c>
      <c r="K205" s="14" t="inlineStr">
        <is>
          <t>- Hệ thống không cho phép chọn hạn mới &lt; ngày hiện tại hoặc chặn: "Thời hạn phải lớn hơn ngày hiện tại".
- Nếu chấp nhận: bản ghi lập tức chuyển badge ĐỎ/ĐEN.</t>
        </is>
      </c>
      <c r="L205" s="14" t="inlineStr">
        <is>
          <t>- Hệ thống không cho phép chọn hạn mới &lt; ngày hiện tại hoặc chặn: "Thời hạn phải lớn hơn ngày hiện tại".
- Nếu chấp nhận: bản ghi lập tức chuyển badge ĐỎ/ĐEN.</t>
        </is>
      </c>
      <c r="M205" s="8" t="inlineStr">
        <is>
          <t>QLCHVMDXL_10.jpg</t>
        </is>
      </c>
      <c r="N205" s="42" t="inlineStr">
        <is>
          <t>Pass</t>
        </is>
      </c>
      <c r="O205" s="16" t="n"/>
      <c r="P205" s="16" t="n"/>
      <c r="Q205" s="16" t="n"/>
      <c r="R205" s="16" t="n"/>
      <c r="S205" s="16" t="n"/>
      <c r="T205" s="16" t="n"/>
      <c r="U205" s="16" t="n"/>
      <c r="V205" s="16" t="n"/>
      <c r="W205" s="16" t="n"/>
      <c r="X205" s="16" t="n"/>
      <c r="Y205" s="16" t="n"/>
      <c r="Z205" s="16" t="n"/>
      <c r="AA205" s="16" t="n"/>
      <c r="AB205" s="16" t="n"/>
      <c r="AC205" s="16" t="n"/>
    </row>
    <row r="206">
      <c r="A206" s="17" t="n"/>
      <c r="B206" s="18" t="n">
        <v>19</v>
      </c>
      <c r="C206" s="18" t="inlineStr">
        <is>
          <t>Tuần 1</t>
        </is>
      </c>
      <c r="D206" s="24" t="n"/>
      <c r="E206" s="24" t="inlineStr">
        <is>
          <t>Tìm kiếm thông tin câu hỏi, vướng mắc đã xử lý</t>
        </is>
      </c>
      <c r="F206" s="24" t="inlineStr">
        <is>
          <t>Cán bộ nghiệp vụ TW,BN,ĐP/Cán bộ phê duyệt TW,BN,ĐP</t>
        </is>
      </c>
      <c r="G206" s="27" t="inlineStr">
        <is>
          <t>Tìm kiếm trong kho dữ liệu các câu hỏi và câu trả lời đã được xử lý xong.</t>
        </is>
      </c>
      <c r="H206" s="26" t="n"/>
      <c r="I206" s="42" t="n"/>
      <c r="J206" s="16" t="n"/>
      <c r="K206" s="16" t="n"/>
      <c r="L206" s="16" t="n"/>
      <c r="M206" s="16" t="n"/>
      <c r="N206" s="42" t="n"/>
      <c r="O206" s="16" t="n"/>
      <c r="P206" s="16" t="n"/>
      <c r="Q206" s="16" t="n"/>
      <c r="R206" s="16" t="n"/>
      <c r="S206" s="16" t="n"/>
      <c r="T206" s="16" t="n"/>
      <c r="U206" s="16" t="n"/>
      <c r="V206" s="16" t="n"/>
      <c r="W206" s="16" t="n"/>
      <c r="X206" s="16" t="n"/>
      <c r="Y206" s="16" t="n"/>
      <c r="Z206" s="16" t="n"/>
      <c r="AA206" s="16" t="n"/>
      <c r="AB206" s="16" t="n"/>
      <c r="AC206" s="16" t="n"/>
    </row>
    <row r="207">
      <c r="A207" s="39" t="n"/>
      <c r="B207" s="33" t="n">
        <v>46206</v>
      </c>
      <c r="C207" s="40" t="inlineStr">
        <is>
          <t>Tuần 1</t>
        </is>
      </c>
      <c r="D207" s="41">
        <f>IF(G207&lt;&gt;"","TKCHVMDXL_"&amp;TEXT(COUNTIF($G$207:G207,"&lt;&gt;"),"00"),"")</f>
        <v/>
      </c>
      <c r="E207" s="41" t="n"/>
      <c r="F207" s="41" t="n"/>
      <c r="G207" s="14" t="inlineStr">
        <is>
          <t>Kiểm tra tìm kiếm theo nội dung câu hỏi</t>
        </is>
      </c>
      <c r="H207" s="14" t="inlineStr">
        <is>
          <t>Có dữ liệu chứa từ khóa cần tìm</t>
        </is>
      </c>
      <c r="I207" s="14" t="inlineStr">
        <is>
          <t>Từ khóa: 'Doanh nghiệp'</t>
        </is>
      </c>
      <c r="J207" s="14" t="inlineStr">
        <is>
          <t>1. Nhập từ khóa vào ô tìm kiếm
 2. Bấm Tìm kiếm</t>
        </is>
      </c>
      <c r="K207" s="14" t="inlineStr">
        <is>
          <t>Danh sách chỉ hiển thị các bản ghi có nội dung/mã/người gửi phù hợp với từ khóa; số lượng kết quả được cập nhật đúng</t>
        </is>
      </c>
      <c r="L207" s="14" t="inlineStr">
        <is>
          <t>Danh sách chỉ hiển thị các bản ghi có nội dung/mã/người gửi phù hợp với từ khóa; số lượng kết quả được cập nhật đúng</t>
        </is>
      </c>
      <c r="M207" s="8" t="inlineStr">
        <is>
          <t>TKCHVMDXL_01.jpg</t>
        </is>
      </c>
      <c r="N207" s="42" t="inlineStr">
        <is>
          <t>Pass</t>
        </is>
      </c>
      <c r="O207" s="16" t="n"/>
      <c r="P207" s="16" t="n"/>
      <c r="Q207" s="16" t="n"/>
      <c r="R207" s="16" t="n"/>
      <c r="S207" s="16" t="n"/>
      <c r="T207" s="16" t="n"/>
      <c r="U207" s="16" t="n"/>
      <c r="V207" s="16" t="n"/>
      <c r="W207" s="16" t="n"/>
      <c r="X207" s="16" t="n"/>
      <c r="Y207" s="16" t="n"/>
      <c r="Z207" s="16" t="n"/>
      <c r="AA207" s="16" t="n"/>
      <c r="AB207" s="16" t="n"/>
      <c r="AC207" s="16" t="n"/>
    </row>
    <row r="208">
      <c r="A208" s="39" t="n"/>
      <c r="B208" s="33" t="n">
        <v>46206</v>
      </c>
      <c r="C208" s="40" t="inlineStr">
        <is>
          <t>Tuần 1</t>
        </is>
      </c>
      <c r="D208" s="41">
        <f>IF(G208&lt;&gt;"","TKCHVMDXL_"&amp;TEXT(COUNTIF($G$207:G208,"&lt;&gt;"),"00"),"")</f>
        <v/>
      </c>
      <c r="E208" s="41" t="n"/>
      <c r="F208" s="41" t="n"/>
      <c r="G208" s="14" t="inlineStr">
        <is>
          <t>Kiểm tra tìm kiếm theo mã hỏi đáp</t>
        </is>
      </c>
      <c r="H208" s="14" t="inlineStr">
        <is>
          <t>Có bản ghi có mã HĐ cụ thể</t>
        </is>
      </c>
      <c r="I208" s="14" t="inlineStr">
        <is>
          <t>Mã HĐ: HD-20260624-001</t>
        </is>
      </c>
      <c r="J208" s="14" t="inlineStr">
        <is>
          <t>1. Nhập mã HĐ vào ô tìm kiếm
 2. Bấm Tìm kiếm</t>
        </is>
      </c>
      <c r="K208" s="14" t="inlineStr">
        <is>
          <t>Hiển thị đúng bản ghi có mã HĐ tương ứng; không hiển thị bản ghi không liên quan</t>
        </is>
      </c>
      <c r="L208" s="14" t="inlineStr">
        <is>
          <t>Hiển thị đúng bản ghi có mã HĐ tương ứng; không hiển thị bản ghi không liên quan</t>
        </is>
      </c>
      <c r="M208" s="8" t="inlineStr">
        <is>
          <t>TKCHVMDXL_02.jpg</t>
        </is>
      </c>
      <c r="N208" s="42" t="inlineStr">
        <is>
          <t>Pass</t>
        </is>
      </c>
      <c r="O208" s="16" t="n"/>
      <c r="P208" s="16" t="n"/>
      <c r="Q208" s="16" t="n"/>
      <c r="R208" s="16" t="n"/>
      <c r="S208" s="16" t="n"/>
      <c r="T208" s="16" t="n"/>
      <c r="U208" s="16" t="n"/>
      <c r="V208" s="16" t="n"/>
      <c r="W208" s="16" t="n"/>
      <c r="X208" s="16" t="n"/>
      <c r="Y208" s="16" t="n"/>
      <c r="Z208" s="16" t="n"/>
      <c r="AA208" s="16" t="n"/>
      <c r="AB208" s="16" t="n"/>
      <c r="AC208" s="16" t="n"/>
    </row>
    <row r="209">
      <c r="A209" s="39" t="n"/>
      <c r="B209" s="33" t="n">
        <v>46206</v>
      </c>
      <c r="C209" s="40" t="inlineStr">
        <is>
          <t>Tuần 1</t>
        </is>
      </c>
      <c r="D209" s="41">
        <f>IF(G209&lt;&gt;"","TKCHVMDXL_"&amp;TEXT(COUNTIF($G$207:G209,"&lt;&gt;"),"00"),"")</f>
        <v/>
      </c>
      <c r="E209" s="41" t="n"/>
      <c r="F209" s="41" t="n"/>
      <c r="G209" s="14" t="inlineStr">
        <is>
          <t>Kiểm tra tìm kiếm theo người gửi</t>
        </is>
      </c>
      <c r="H209" s="14" t="inlineStr">
        <is>
          <t>Có bản ghi người gửi cụ thể</t>
        </is>
      </c>
      <c r="I209" s="14" t="inlineStr">
        <is>
          <t>Người gửi: Nguyễn Văn A</t>
        </is>
      </c>
      <c r="J209" s="14" t="inlineStr">
        <is>
          <t>1. Nhập tên người gửi vào ô tìm kiếm
 2. Bấm Tìm kiếm</t>
        </is>
      </c>
      <c r="K209" s="14" t="inlineStr">
        <is>
          <t>Danh sách hiển thị các bản ghi của người gửi phù hợp</t>
        </is>
      </c>
      <c r="L209" s="14" t="inlineStr">
        <is>
          <t>Danh sách hiển thị các bản ghi của người gửi phù hợp</t>
        </is>
      </c>
      <c r="M209" s="8" t="inlineStr">
        <is>
          <t>TKCHVMDXL_03.jpg</t>
        </is>
      </c>
      <c r="N209" s="42" t="inlineStr">
        <is>
          <t>Pass</t>
        </is>
      </c>
      <c r="O209" s="16" t="n"/>
      <c r="P209" s="16" t="n"/>
      <c r="Q209" s="16" t="n"/>
      <c r="R209" s="16" t="n"/>
      <c r="S209" s="16" t="n"/>
      <c r="T209" s="16" t="n"/>
      <c r="U209" s="16" t="n"/>
      <c r="V209" s="16" t="n"/>
      <c r="W209" s="16" t="n"/>
      <c r="X209" s="16" t="n"/>
      <c r="Y209" s="16" t="n"/>
      <c r="Z209" s="16" t="n"/>
      <c r="AA209" s="16" t="n"/>
      <c r="AB209" s="16" t="n"/>
      <c r="AC209" s="16" t="n"/>
    </row>
    <row r="210">
      <c r="A210" s="39" t="n"/>
      <c r="B210" s="33" t="n">
        <v>46206</v>
      </c>
      <c r="C210" s="40" t="inlineStr">
        <is>
          <t>Tuần 1</t>
        </is>
      </c>
      <c r="D210" s="41">
        <f>IF(G210&lt;&gt;"","TKCHVMDXL_"&amp;TEXT(COUNTIF($G$207:G210,"&lt;&gt;"),"00"),"")</f>
        <v/>
      </c>
      <c r="E210" s="41" t="n"/>
      <c r="F210" s="41" t="n"/>
      <c r="G210" s="14" t="inlineStr">
        <is>
          <t>Kiểm tra tìm kiếm khi không có kết quả</t>
        </is>
      </c>
      <c r="H210" s="14" t="inlineStr">
        <is>
          <t>Có quyền truy cập màn hình</t>
        </is>
      </c>
      <c r="I210" s="14" t="inlineStr">
        <is>
          <t>Từ khóa không tồn tại: xyz999</t>
        </is>
      </c>
      <c r="J210" s="14" t="inlineStr">
        <is>
          <t>1. Nhập từ khóa không tồn tại
 2. Bấm Tìm kiếm</t>
        </is>
      </c>
      <c r="K210" s="14" t="inlineStr">
        <is>
          <t>Hiển thị trạng thái không có dữ liệu/kết quả; không lỗi giao diện; phân trang hiển thị phù hợp</t>
        </is>
      </c>
      <c r="L210" s="14" t="inlineStr">
        <is>
          <t>Hiển thị trạng thái không có dữ liệu/kết quả; không lỗi giao diện; phân trang hiển thị phù hợp</t>
        </is>
      </c>
      <c r="M210" s="8" t="inlineStr">
        <is>
          <t>TKCHVMDXL_04.jpg</t>
        </is>
      </c>
      <c r="N210" s="42" t="inlineStr">
        <is>
          <t>Pass</t>
        </is>
      </c>
      <c r="O210" s="16" t="n"/>
      <c r="P210" s="16" t="n"/>
      <c r="Q210" s="16" t="n"/>
      <c r="R210" s="16" t="n"/>
      <c r="S210" s="16" t="n"/>
      <c r="T210" s="16" t="n"/>
      <c r="U210" s="16" t="n"/>
      <c r="V210" s="16" t="n"/>
      <c r="W210" s="16" t="n"/>
      <c r="X210" s="16" t="n"/>
      <c r="Y210" s="16" t="n"/>
      <c r="Z210" s="16" t="n"/>
      <c r="AA210" s="16" t="n"/>
      <c r="AB210" s="16" t="n"/>
      <c r="AC210" s="16" t="n"/>
    </row>
    <row r="211">
      <c r="A211" s="39" t="n"/>
      <c r="B211" s="33" t="n">
        <v>46206</v>
      </c>
      <c r="C211" s="40" t="inlineStr">
        <is>
          <t>Tuần 1</t>
        </is>
      </c>
      <c r="D211" s="41">
        <f>IF(G211&lt;&gt;"","TKCHVMDXL_"&amp;TEXT(COUNTIF($G$207:G211,"&lt;&gt;"),"00"),"")</f>
        <v/>
      </c>
      <c r="E211" s="41" t="n"/>
      <c r="F211" s="41" t="n"/>
      <c r="G211" s="14" t="inlineStr">
        <is>
          <t>Kiểm tra lọc theo Lĩnh vực PL</t>
        </is>
      </c>
      <c r="H211" s="14" t="inlineStr">
        <is>
          <t>Có dữ liệu thuộc nhiều lĩnh vực</t>
        </is>
      </c>
      <c r="I211" s="14" t="inlineStr">
        <is>
          <t>Lĩnh vực: Thuế</t>
        </is>
      </c>
      <c r="J211" s="14" t="inlineStr">
        <is>
          <t>1. Chọn Lĩnh vực pháp luật = Thuế
 2. Bấm Tìm kiếm</t>
        </is>
      </c>
      <c r="K211" s="14" t="inlineStr">
        <is>
          <t>Danh sách chỉ hiển thị bản ghi thuộc lĩnh vực Thuế; số lượng kết quả đúng</t>
        </is>
      </c>
      <c r="L211" s="14" t="inlineStr">
        <is>
          <t>Danh sách chỉ hiển thị bản ghi thuộc lĩnh vực Thuế; số lượng kết quả đúng</t>
        </is>
      </c>
      <c r="M211" s="8" t="inlineStr">
        <is>
          <t>TKCHVMDXL_05.jpg</t>
        </is>
      </c>
      <c r="N211" s="42" t="inlineStr">
        <is>
          <t>Pass</t>
        </is>
      </c>
      <c r="O211" s="16" t="n"/>
      <c r="P211" s="16" t="n"/>
      <c r="Q211" s="16" t="n"/>
      <c r="R211" s="16" t="n"/>
      <c r="S211" s="16" t="n"/>
      <c r="T211" s="16" t="n"/>
      <c r="U211" s="16" t="n"/>
      <c r="V211" s="16" t="n"/>
      <c r="W211" s="16" t="n"/>
      <c r="X211" s="16" t="n"/>
      <c r="Y211" s="16" t="n"/>
      <c r="Z211" s="16" t="n"/>
      <c r="AA211" s="16" t="n"/>
      <c r="AB211" s="16" t="n"/>
      <c r="AC211" s="16" t="n"/>
    </row>
    <row r="212">
      <c r="A212" s="39" t="n"/>
      <c r="B212" s="33" t="n">
        <v>46206</v>
      </c>
      <c r="C212" s="40" t="inlineStr">
        <is>
          <t>Tuần 1</t>
        </is>
      </c>
      <c r="D212" s="41">
        <f>IF(G212&lt;&gt;"","TKCHVMDXL_"&amp;TEXT(COUNTIF($G$207:G212,"&lt;&gt;"),"00"),"")</f>
        <v/>
      </c>
      <c r="E212" s="41" t="n"/>
      <c r="F212" s="41" t="n"/>
      <c r="G212" s="14" t="inlineStr">
        <is>
          <t>Kiểm tra lọc theo trạng thái</t>
        </is>
      </c>
      <c r="H212" s="14" t="inlineStr">
        <is>
          <t>Có dữ liệu nhiều trạng thái</t>
        </is>
      </c>
      <c r="I212" s="14" t="inlineStr">
        <is>
          <t>Trạng thái: Mới</t>
        </is>
      </c>
      <c r="J212" s="14" t="inlineStr">
        <is>
          <t>1. Chọn Trạng thái = Mới
 2. Bấm Tìm kiếm</t>
        </is>
      </c>
      <c r="K212" s="14" t="inlineStr">
        <is>
          <t>Danh sách chỉ hiển thị các bản ghi có trạng thái Mới</t>
        </is>
      </c>
      <c r="L212" s="16" t="inlineStr">
        <is>
          <t>Hệ thống hiển thị toàn bộ bản ghi</t>
        </is>
      </c>
      <c r="M212" s="8" t="inlineStr">
        <is>
          <t>TKCHVMDXL_06.webm</t>
        </is>
      </c>
      <c r="N212" s="42" t="inlineStr">
        <is>
          <t>Fail</t>
        </is>
      </c>
      <c r="O212" s="16" t="n"/>
      <c r="P212" s="16" t="inlineStr">
        <is>
          <t>dev done</t>
        </is>
      </c>
      <c r="Q212" s="16" t="n"/>
      <c r="R212" s="16" t="n"/>
      <c r="S212" s="16" t="n"/>
      <c r="T212" s="16" t="n"/>
      <c r="U212" s="16" t="n"/>
      <c r="V212" s="16" t="n"/>
      <c r="W212" s="16" t="n"/>
      <c r="X212" s="16" t="n"/>
      <c r="Y212" s="16" t="n"/>
      <c r="Z212" s="16" t="n"/>
      <c r="AA212" s="16" t="n"/>
      <c r="AB212" s="16" t="n"/>
      <c r="AC212" s="16" t="n"/>
    </row>
    <row r="213">
      <c r="A213" s="39" t="n"/>
      <c r="B213" s="33" t="n">
        <v>46206</v>
      </c>
      <c r="C213" s="40" t="inlineStr">
        <is>
          <t>Tuần 1</t>
        </is>
      </c>
      <c r="D213" s="41">
        <f>IF(G213&lt;&gt;"","TKCHVMDXL_"&amp;TEXT(COUNTIF($G$207:G213,"&lt;&gt;"),"00"),"")</f>
        <v/>
      </c>
      <c r="E213" s="41" t="n"/>
      <c r="F213" s="41" t="n"/>
      <c r="G213" s="14" t="inlineStr">
        <is>
          <t>Kiểm tra lọc theo kênh tiếp nhận</t>
        </is>
      </c>
      <c r="H213" s="14" t="inlineStr">
        <is>
          <t>Có dữ liệu nhiều kênh</t>
        </is>
      </c>
      <c r="I213" s="14" t="inlineStr">
        <is>
          <t>Kênh: Trực tiếp/Hệ thống khác/Cổng PLQG</t>
        </is>
      </c>
      <c r="J213" s="14" t="inlineStr">
        <is>
          <t>1. Chọn Kênh tiếp nhận
 2. Bấm Tìm kiếm</t>
        </is>
      </c>
      <c r="K213" s="14" t="inlineStr">
        <is>
          <t>Danh sách chỉ hiển thị bản ghi đúng kênh tiếp nhận đã chọn</t>
        </is>
      </c>
      <c r="L213" s="14" t="inlineStr">
        <is>
          <t>Danh sách chỉ hiển thị bản ghi đúng kênh tiếp nhận đã chọn</t>
        </is>
      </c>
      <c r="M213" s="8" t="inlineStr">
        <is>
          <t>TKCHVMDXL_07.jpg</t>
        </is>
      </c>
      <c r="N213" s="42" t="inlineStr">
        <is>
          <t>Pass</t>
        </is>
      </c>
      <c r="O213" s="16" t="n"/>
      <c r="P213" s="16" t="n"/>
      <c r="Q213" s="16" t="n"/>
      <c r="R213" s="16" t="n"/>
      <c r="S213" s="16" t="n"/>
      <c r="T213" s="16" t="n"/>
      <c r="U213" s="16" t="n"/>
      <c r="V213" s="16" t="n"/>
      <c r="W213" s="16" t="n"/>
      <c r="X213" s="16" t="n"/>
      <c r="Y213" s="16" t="n"/>
      <c r="Z213" s="16" t="n"/>
      <c r="AA213" s="16" t="n"/>
      <c r="AB213" s="16" t="n"/>
      <c r="AC213" s="16" t="n"/>
    </row>
    <row r="214">
      <c r="A214" s="39" t="n"/>
      <c r="B214" s="33" t="n">
        <v>46206</v>
      </c>
      <c r="C214" s="40" t="inlineStr">
        <is>
          <t>Tuần 1</t>
        </is>
      </c>
      <c r="D214" s="41">
        <f>IF(G214&lt;&gt;"","TKCHVMDXL_"&amp;TEXT(COUNTIF($G$207:G214,"&lt;&gt;"),"00"),"")</f>
        <v/>
      </c>
      <c r="E214" s="41" t="n"/>
      <c r="F214" s="41" t="n"/>
      <c r="G214" s="14" t="inlineStr">
        <is>
          <t>Kiểm tra lọc theo mức độ phức tạp</t>
        </is>
      </c>
      <c r="H214" s="14" t="inlineStr">
        <is>
          <t>Có dữ liệu nhiều mức độ</t>
        </is>
      </c>
      <c r="I214" s="14" t="inlineStr">
        <is>
          <t>Mức độ: Thường</t>
        </is>
      </c>
      <c r="J214" s="14" t="inlineStr">
        <is>
          <t>1. Chọn Mức độ phức tạp = Thường
 2. Bấm Tìm kiếm</t>
        </is>
      </c>
      <c r="K214" s="14" t="inlineStr">
        <is>
          <t>Danh sách chỉ hiển thị bản ghi có mức độ Thường</t>
        </is>
      </c>
      <c r="L214" s="14" t="inlineStr">
        <is>
          <t>Danh sách chỉ hiển thị bản ghi có mức độ Thường</t>
        </is>
      </c>
      <c r="M214" s="8" t="inlineStr">
        <is>
          <t>TKCHVMDXL_08.jpg</t>
        </is>
      </c>
      <c r="N214" s="42" t="inlineStr">
        <is>
          <t>Pass</t>
        </is>
      </c>
      <c r="O214" s="16" t="n"/>
      <c r="P214" s="16" t="n"/>
      <c r="Q214" s="16" t="n"/>
      <c r="R214" s="16" t="n"/>
      <c r="S214" s="16" t="n"/>
      <c r="T214" s="16" t="n"/>
      <c r="U214" s="16" t="n"/>
      <c r="V214" s="16" t="n"/>
      <c r="W214" s="16" t="n"/>
      <c r="X214" s="16" t="n"/>
      <c r="Y214" s="16" t="n"/>
      <c r="Z214" s="16" t="n"/>
      <c r="AA214" s="16" t="n"/>
      <c r="AB214" s="16" t="n"/>
      <c r="AC214" s="16" t="n"/>
    </row>
    <row r="215">
      <c r="A215" s="39" t="n"/>
      <c r="B215" s="33" t="n">
        <v>46206</v>
      </c>
      <c r="C215" s="40" t="inlineStr">
        <is>
          <t>Tuần 1</t>
        </is>
      </c>
      <c r="D215" s="41">
        <f>IF(G215&lt;&gt;"","TKCHVMDXL_"&amp;TEXT(COUNTIF($G$207:G215,"&lt;&gt;"),"00"),"")</f>
        <v/>
      </c>
      <c r="E215" s="41" t="n"/>
      <c r="F215" s="41" t="n"/>
      <c r="G215" s="14" t="inlineStr">
        <is>
          <t>Kiểm tra lọc theo khoảng ngày hợp lệ</t>
        </is>
      </c>
      <c r="H215" s="14" t="inlineStr">
        <is>
          <t>Có dữ liệu trong khoảng ngày</t>
        </is>
      </c>
      <c r="I215" s="14" t="inlineStr">
        <is>
          <t>Từ ngày 22/06/2026, Đến ngày 24/06/2026</t>
        </is>
      </c>
      <c r="J215" s="14" t="inlineStr">
        <is>
          <t>1. Nhập Từ ngày
 2. Nhập Đến ngày
 3. Bấm Tìm kiếm</t>
        </is>
      </c>
      <c r="K215" s="14" t="inlineStr">
        <is>
          <t>Danh sách chỉ hiển thị bản ghi có ngày tạo nằm trong khoảng đã chọn, bao gồm ngày bắt đầu và ngày kết thúc nếu có dữ liệu</t>
        </is>
      </c>
      <c r="L215" s="14" t="inlineStr">
        <is>
          <t>Danh sách chỉ hiển thị bản ghi có ngày tạo nằm trong khoảng đã chọn, bao gồm ngày bắt đầu và ngày kết thúc nếu có dữ liệu</t>
        </is>
      </c>
      <c r="M215" s="8" t="inlineStr">
        <is>
          <t>TKCHVMDXL_09.jpg</t>
        </is>
      </c>
      <c r="N215" s="42" t="inlineStr">
        <is>
          <t>Pass</t>
        </is>
      </c>
      <c r="O215" s="16" t="n"/>
      <c r="P215" s="16" t="n"/>
      <c r="Q215" s="16" t="n"/>
      <c r="R215" s="16" t="n"/>
      <c r="S215" s="16" t="n"/>
      <c r="T215" s="16" t="n"/>
      <c r="U215" s="16" t="n"/>
      <c r="V215" s="16" t="n"/>
      <c r="W215" s="16" t="n"/>
      <c r="X215" s="16" t="n"/>
      <c r="Y215" s="16" t="n"/>
      <c r="Z215" s="16" t="n"/>
      <c r="AA215" s="16" t="n"/>
      <c r="AB215" s="16" t="n"/>
      <c r="AC215" s="16" t="n"/>
    </row>
    <row r="216">
      <c r="A216" s="39" t="n"/>
      <c r="B216" s="33" t="n">
        <v>46206</v>
      </c>
      <c r="C216" s="40" t="inlineStr">
        <is>
          <t>Tuần 1</t>
        </is>
      </c>
      <c r="D216" s="41">
        <f>IF(G216&lt;&gt;"","TKCHVMDXL_"&amp;TEXT(COUNTIF($G$207:G216,"&lt;&gt;"),"00"),"")</f>
        <v/>
      </c>
      <c r="E216" s="41" t="n"/>
      <c r="F216" s="41" t="n"/>
      <c r="G216" s="14" t="inlineStr">
        <is>
          <t>Kiểm tra nhập Từ ngày lớn hơn Đến ngày</t>
        </is>
      </c>
      <c r="H216" s="14" t="inlineStr">
        <is>
          <t>Có quyền truy cập màn hình</t>
        </is>
      </c>
      <c r="I216" s="14" t="inlineStr">
        <is>
          <t>Từ ngày 25/06/2026, Đến ngày 24/06/2026</t>
        </is>
      </c>
      <c r="J216" s="14" t="inlineStr">
        <is>
          <t>1. Nhập Từ ngày &gt; Đến ngày
 2. Bấm Tìm kiếm</t>
        </is>
      </c>
      <c r="K216" s="14" t="inlineStr">
        <is>
          <t>Hệ thống hiển thị thông báo lỗi hợp lệ, không thực hiện tìm kiếm sai dữ liệu</t>
        </is>
      </c>
      <c r="L216" s="14" t="inlineStr">
        <is>
          <t>Hệ thống hiển thị thông báo lỗi hợp lệ, không thực hiện tìm kiếm sai dữ liệu</t>
        </is>
      </c>
      <c r="M216" s="8" t="inlineStr">
        <is>
          <t>TKCHVMDXL_10.jpg</t>
        </is>
      </c>
      <c r="N216" s="42" t="inlineStr">
        <is>
          <t>Pass</t>
        </is>
      </c>
      <c r="O216" s="16" t="n"/>
      <c r="P216" s="16" t="n"/>
      <c r="Q216" s="16" t="n"/>
      <c r="R216" s="16" t="n"/>
      <c r="S216" s="16" t="n"/>
      <c r="T216" s="16" t="n"/>
      <c r="U216" s="16" t="n"/>
      <c r="V216" s="16" t="n"/>
      <c r="W216" s="16" t="n"/>
      <c r="X216" s="16" t="n"/>
      <c r="Y216" s="16" t="n"/>
      <c r="Z216" s="16" t="n"/>
      <c r="AA216" s="16" t="n"/>
      <c r="AB216" s="16" t="n"/>
      <c r="AC216" s="16" t="n"/>
    </row>
    <row r="217">
      <c r="A217" s="39" t="n"/>
      <c r="B217" s="33" t="n">
        <v>46206</v>
      </c>
      <c r="C217" s="40" t="inlineStr">
        <is>
          <t>Tuần 1</t>
        </is>
      </c>
      <c r="D217" s="41">
        <f>IF(G217&lt;&gt;"","TKCHVMDXL_"&amp;TEXT(COUNTIF($G$207:G217,"&lt;&gt;"),"00"),"")</f>
        <v/>
      </c>
      <c r="E217" s="41" t="n"/>
      <c r="F217" s="41" t="n"/>
      <c r="G217" s="14" t="inlineStr">
        <is>
          <t>Kiểm tra kết hợp nhiều điều kiện lọc</t>
        </is>
      </c>
      <c r="H217" s="14" t="inlineStr">
        <is>
          <t>Có dữ liệu thỏa mãn nhiều điều kiện</t>
        </is>
      </c>
      <c r="I217" s="14" t="inlineStr">
        <is>
          <t>Từ khóa + Lĩnh vực Thuế + Trạng thái Mới + Kênh Hệ thống khác</t>
        </is>
      </c>
      <c r="J217" s="14" t="inlineStr">
        <is>
          <t>1. Nhập/chọn các điều kiện lọc
 2. Bấm Tìm kiếm</t>
        </is>
      </c>
      <c r="K217" s="14" t="inlineStr">
        <is>
          <t>Danh sách hiển thị đúng các bản ghi thỏa mãn đồng thời tất cả điều kiện lọc</t>
        </is>
      </c>
      <c r="L217" s="16" t="inlineStr">
        <is>
          <t>Tab "Tất cả" hiển thị số lượng bản ghi phù hợp với tiêu chí tìm kiếm nhưng bảng danh sách không hiển thị bản ghi nào</t>
        </is>
      </c>
      <c r="M217" s="8" t="inlineStr">
        <is>
          <t>TKCHVMDXL_11.webm</t>
        </is>
      </c>
      <c r="N217" s="42" t="inlineStr">
        <is>
          <t>Fail</t>
        </is>
      </c>
      <c r="O217" s="16" t="n"/>
      <c r="P217" s="16" t="inlineStr">
        <is>
          <t>dev done</t>
        </is>
      </c>
      <c r="Q217" s="16" t="n"/>
      <c r="R217" s="16" t="n"/>
      <c r="S217" s="16" t="n"/>
      <c r="T217" s="16" t="n"/>
      <c r="U217" s="16" t="n"/>
      <c r="V217" s="16" t="n"/>
      <c r="W217" s="16" t="n"/>
      <c r="X217" s="16" t="n"/>
      <c r="Y217" s="16" t="n"/>
      <c r="Z217" s="16" t="n"/>
      <c r="AA217" s="16" t="n"/>
      <c r="AB217" s="16" t="n"/>
      <c r="AC217" s="16" t="n"/>
    </row>
    <row r="218">
      <c r="A218" s="39" t="n"/>
      <c r="B218" s="33" t="n">
        <v>46206</v>
      </c>
      <c r="C218" s="40" t="inlineStr">
        <is>
          <t>Tuần 1</t>
        </is>
      </c>
      <c r="D218" s="41">
        <f>IF(G218&lt;&gt;"","TKCHVMDXL_"&amp;TEXT(COUNTIF($G$207:G218,"&lt;&gt;"),"00"),"")</f>
        <v/>
      </c>
      <c r="E218" s="41" t="n"/>
      <c r="F218" s="41" t="n"/>
      <c r="G218" s="14" t="inlineStr">
        <is>
          <t>Kiểm tra nút Xóa bộ lọc</t>
        </is>
      </c>
      <c r="H218" s="14" t="inlineStr">
        <is>
          <t>Đang có điều kiện lọc được nhập/chọn</t>
        </is>
      </c>
      <c r="I218" s="14" t="inlineStr">
        <is>
          <t>Có ít nhất 1 bộ lọc đã set</t>
        </is>
      </c>
      <c r="J218" s="14" t="inlineStr">
        <is>
          <t>1. Nhập/chọn bộ lọc
 2. Bấm Xóa bộ lọc</t>
        </is>
      </c>
      <c r="K218" s="14" t="inlineStr">
        <is>
          <t>Toàn bộ điều kiện lọc được reset về mặc định; danh sách quay về trạng thái ban đầu</t>
        </is>
      </c>
      <c r="L218" s="14" t="inlineStr">
        <is>
          <t>Toàn bộ điều kiện lọc được reset về mặc định; danh sách quay về trạng thái ban đầu</t>
        </is>
      </c>
      <c r="M218" s="8" t="inlineStr">
        <is>
          <t>TKCHVMDXL_12.jpg</t>
        </is>
      </c>
      <c r="N218" s="42" t="inlineStr">
        <is>
          <t>Pass</t>
        </is>
      </c>
      <c r="O218" s="16" t="n"/>
      <c r="P218" s="16" t="n"/>
      <c r="Q218" s="16" t="n"/>
      <c r="R218" s="16" t="n"/>
      <c r="S218" s="16" t="n"/>
      <c r="T218" s="16" t="n"/>
      <c r="U218" s="16" t="n"/>
      <c r="V218" s="16" t="n"/>
      <c r="W218" s="16" t="n"/>
      <c r="X218" s="16" t="n"/>
      <c r="Y218" s="16" t="n"/>
      <c r="Z218" s="16" t="n"/>
      <c r="AA218" s="16" t="n"/>
      <c r="AB218" s="16" t="n"/>
      <c r="AC218" s="16" t="n"/>
    </row>
    <row r="219">
      <c r="A219" s="4" t="n"/>
      <c r="B219" s="5" t="inlineStr">
        <is>
          <t>III</t>
        </is>
      </c>
      <c r="C219" s="5" t="inlineStr">
        <is>
          <t>Tuần 1</t>
        </is>
      </c>
      <c r="D219" s="6" t="n"/>
      <c r="E219" s="6" t="inlineStr">
        <is>
          <t>Quản lý thông tin chương trình đào tạo, tập huấn</t>
        </is>
      </c>
      <c r="F219" s="26" t="n"/>
      <c r="G219" s="26" t="n"/>
      <c r="H219" s="26" t="n"/>
      <c r="I219" s="26" t="n"/>
      <c r="J219" s="26" t="n"/>
      <c r="K219" s="16" t="n"/>
      <c r="L219" s="16" t="n"/>
      <c r="M219" s="16" t="n"/>
      <c r="N219" s="42" t="n"/>
      <c r="O219" s="16" t="n"/>
      <c r="P219" s="16" t="n"/>
      <c r="Q219" s="16" t="n"/>
      <c r="R219" s="16" t="n"/>
      <c r="S219" s="16" t="n"/>
      <c r="T219" s="16" t="n"/>
      <c r="U219" s="16" t="n"/>
      <c r="V219" s="16" t="n"/>
      <c r="W219" s="16" t="n"/>
      <c r="X219" s="16" t="n"/>
      <c r="Y219" s="16" t="n"/>
      <c r="Z219" s="16" t="n"/>
      <c r="AA219" s="16" t="n"/>
      <c r="AB219" s="16" t="n"/>
      <c r="AC219" s="16" t="n"/>
    </row>
    <row r="220">
      <c r="A220" s="17" t="n"/>
      <c r="B220" s="18" t="n">
        <v>20</v>
      </c>
      <c r="C220" s="18" t="inlineStr">
        <is>
          <t>Tuần 1</t>
        </is>
      </c>
      <c r="D220" s="24" t="n"/>
      <c r="E220" s="24" t="inlineStr">
        <is>
          <t>Quản lý chương trình đào tạo, tập huấn</t>
        </is>
      </c>
      <c r="F220" s="24" t="inlineStr">
        <is>
          <t>Cán  bộ  nghiệp  vụ 
 TW,BN,ĐP</t>
        </is>
      </c>
      <c r="G220" s="27" t="inlineStr">
        <is>
          <t>Tổng hợp và quản lý danh sách các chương trình đào tạo/tập huấn đã, đang và sẽ diễn ra.</t>
        </is>
      </c>
      <c r="H220" s="42" t="n"/>
      <c r="I220" s="16" t="n"/>
      <c r="J220" s="16" t="n"/>
      <c r="K220" s="16" t="n"/>
      <c r="L220" s="16" t="n"/>
      <c r="M220" s="16" t="n"/>
      <c r="N220" s="42" t="n"/>
      <c r="O220" s="16" t="n"/>
      <c r="P220" s="16" t="n"/>
      <c r="Q220" s="16" t="n"/>
      <c r="R220" s="16" t="n"/>
      <c r="S220" s="16" t="n"/>
      <c r="T220" s="16" t="n"/>
      <c r="U220" s="16" t="n"/>
      <c r="V220" s="16" t="n"/>
      <c r="W220" s="16" t="n"/>
      <c r="X220" s="16" t="n"/>
      <c r="Y220" s="16" t="n"/>
      <c r="Z220" s="16" t="n"/>
      <c r="AA220" s="16" t="n"/>
      <c r="AB220" s="16" t="n"/>
      <c r="AC220" s="16" t="n"/>
    </row>
    <row r="221">
      <c r="A221" s="39" t="n"/>
      <c r="B221" s="33" t="n">
        <v>46206</v>
      </c>
      <c r="C221" s="40" t="inlineStr">
        <is>
          <t>Tuần 1</t>
        </is>
      </c>
      <c r="D221" s="41">
        <f>IF(G221&lt;&gt;"","TTCTDTTH_"&amp;TEXT(COUNTIF($G$221:G221,"&lt;&gt;"),"00"),"")</f>
        <v/>
      </c>
      <c r="E221" s="38" t="n"/>
      <c r="F221" s="14" t="n"/>
      <c r="G221" s="14" t="inlineStr">
        <is>
          <t>Mở màn danh sách</t>
        </is>
      </c>
      <c r="H221" s="14" t="inlineStr">
        <is>
          <t>Đăng nhập</t>
        </is>
      </c>
      <c r="I221" s="14" t="inlineStr">
        <is>
          <t>-</t>
        </is>
      </c>
      <c r="J221" s="14" t="inlineStr">
        <is>
          <t>1.Mở menu Đào tạo&gt;Chương trình đào tạo</t>
        </is>
      </c>
      <c r="K221" s="14" t="inlineStr">
        <is>
          <t>Hiển thị đầy đủ danh sách, cột: Mã,Tên,Lĩnh vực,Ngân sách,Số khóa,Trạng thái,Hành động</t>
        </is>
      </c>
      <c r="L221" s="14" t="inlineStr">
        <is>
          <t>Hiển thị đầy đủ danh sách, cột: Mã,Tên,Lĩnh vực,Ngân sách,Số khóa,Trạng thái,Hành động</t>
        </is>
      </c>
      <c r="M221" s="8" t="inlineStr">
        <is>
          <t>TTCTDTTH_02.jpg</t>
        </is>
      </c>
      <c r="N221" s="42" t="inlineStr">
        <is>
          <t>Pass</t>
        </is>
      </c>
      <c r="O221" s="16" t="n"/>
      <c r="P221" s="16" t="n"/>
      <c r="Q221" s="16" t="n"/>
      <c r="R221" s="16" t="n"/>
      <c r="S221" s="16" t="n"/>
      <c r="T221" s="16" t="n"/>
      <c r="U221" s="16" t="n"/>
      <c r="V221" s="16" t="n"/>
      <c r="W221" s="16" t="n"/>
      <c r="X221" s="16" t="n"/>
      <c r="Y221" s="16" t="n"/>
      <c r="Z221" s="16" t="n"/>
      <c r="AA221" s="16" t="n"/>
      <c r="AB221" s="16" t="n"/>
      <c r="AC221" s="16" t="n"/>
    </row>
    <row r="222">
      <c r="A222" s="39" t="n"/>
      <c r="B222" s="33" t="n">
        <v>46206</v>
      </c>
      <c r="C222" s="40" t="inlineStr">
        <is>
          <t>Tuần 1</t>
        </is>
      </c>
      <c r="D222" s="41">
        <f>IF(G222&lt;&gt;"","TTCTDTTH_"&amp;TEXT(COUNTIF($G$221:G222,"&lt;&gt;"),"00"),"")</f>
        <v/>
      </c>
      <c r="E222" s="38" t="n"/>
      <c r="F222" s="14" t="n"/>
      <c r="G222" s="14" t="inlineStr">
        <is>
          <t>Kiểm tra phân trang</t>
        </is>
      </c>
      <c r="H222" s="14" t="inlineStr">
        <is>
          <t>Có &gt;20 bản ghi</t>
        </is>
      </c>
      <c r="I222" s="14" t="inlineStr">
        <is>
          <t>-</t>
        </is>
      </c>
      <c r="J222" s="14" t="inlineStr">
        <is>
          <t>Chuyển trang</t>
        </is>
      </c>
      <c r="K222" s="14" t="inlineStr">
        <is>
          <t>Hiển thị đúng dữ liệu trang tiếp theo</t>
        </is>
      </c>
      <c r="L222" s="14" t="inlineStr">
        <is>
          <t>Hiển thị đúng dữ liệu trang tiếp theo</t>
        </is>
      </c>
      <c r="M222" s="8" t="inlineStr">
        <is>
          <t>TTCTDTTH_01.jpg</t>
        </is>
      </c>
      <c r="N222" s="42" t="inlineStr">
        <is>
          <t>Pass</t>
        </is>
      </c>
      <c r="O222" s="16" t="n"/>
      <c r="P222" s="16" t="n"/>
      <c r="Q222" s="16" t="n"/>
      <c r="R222" s="16" t="n"/>
      <c r="S222" s="16" t="n"/>
      <c r="T222" s="16" t="n"/>
      <c r="U222" s="16" t="n"/>
      <c r="V222" s="16" t="n"/>
      <c r="W222" s="16" t="n"/>
      <c r="X222" s="16" t="n"/>
      <c r="Y222" s="16" t="n"/>
      <c r="Z222" s="16" t="n"/>
      <c r="AA222" s="16" t="n"/>
      <c r="AB222" s="16" t="n"/>
      <c r="AC222" s="16" t="n"/>
    </row>
    <row r="223">
      <c r="A223" s="39" t="n"/>
      <c r="B223" s="33" t="n">
        <v>46206</v>
      </c>
      <c r="C223" s="40" t="inlineStr">
        <is>
          <t>Tuần 1</t>
        </is>
      </c>
      <c r="D223" s="41">
        <f>IF(G223&lt;&gt;"","TTCTDTTH_"&amp;TEXT(COUNTIF($G$221:G223,"&lt;&gt;"),"00"),"")</f>
        <v/>
      </c>
      <c r="E223" s="38" t="n"/>
      <c r="F223" s="14" t="n"/>
      <c r="G223" s="14" t="inlineStr">
        <is>
          <t>Theo tên CT</t>
        </is>
      </c>
      <c r="H223" s="14" t="inlineStr">
        <is>
          <t>Có dữ liệu</t>
        </is>
      </c>
      <c r="I223" s="14" t="inlineStr">
        <is>
          <t>Tên hợp lệ</t>
        </is>
      </c>
      <c r="J223" s="14" t="inlineStr">
        <is>
          <t>Nhập tên và bấm Tìm kiếm</t>
        </is>
      </c>
      <c r="K223" s="14" t="inlineStr">
        <is>
          <t>Chỉ hiển thị bản ghi phù hợp</t>
        </is>
      </c>
      <c r="L223" s="14" t="inlineStr">
        <is>
          <t>Chỉ hiển thị bản ghi phù hợp</t>
        </is>
      </c>
      <c r="M223" s="8" t="inlineStr">
        <is>
          <t>TTCTDTTH_03.jpg</t>
        </is>
      </c>
      <c r="N223" s="42" t="inlineStr">
        <is>
          <t>Pass</t>
        </is>
      </c>
      <c r="O223" s="16" t="n"/>
      <c r="P223" s="16" t="n"/>
      <c r="Q223" s="16" t="n"/>
      <c r="R223" s="16" t="n"/>
      <c r="S223" s="16" t="n"/>
      <c r="T223" s="16" t="n"/>
      <c r="U223" s="16" t="n"/>
      <c r="V223" s="16" t="n"/>
      <c r="W223" s="16" t="n"/>
      <c r="X223" s="16" t="n"/>
      <c r="Y223" s="16" t="n"/>
      <c r="Z223" s="16" t="n"/>
      <c r="AA223" s="16" t="n"/>
      <c r="AB223" s="16" t="n"/>
      <c r="AC223" s="16" t="n"/>
    </row>
    <row r="224">
      <c r="A224" s="39" t="n"/>
      <c r="B224" s="33" t="n">
        <v>46206</v>
      </c>
      <c r="C224" s="40" t="inlineStr">
        <is>
          <t>Tuần 1</t>
        </is>
      </c>
      <c r="D224" s="41">
        <f>IF(G224&lt;&gt;"","TTCTDTTH_"&amp;TEXT(COUNTIF($G$221:G224,"&lt;&gt;"),"00"),"")</f>
        <v/>
      </c>
      <c r="E224" s="38" t="n"/>
      <c r="F224" s="14" t="n"/>
      <c r="G224" s="14" t="inlineStr">
        <is>
          <t>Theo mã CT</t>
        </is>
      </c>
      <c r="H224" s="14" t="inlineStr">
        <is>
          <t>Có dữ liệu</t>
        </is>
      </c>
      <c r="I224" s="14" t="inlineStr">
        <is>
          <t>Mã hợp lệ</t>
        </is>
      </c>
      <c r="J224" s="14" t="inlineStr">
        <is>
          <t>Nhập mã và tìm</t>
        </is>
      </c>
      <c r="K224" s="14" t="inlineStr">
        <is>
          <t>Trả đúng bản ghi</t>
        </is>
      </c>
      <c r="L224" s="14" t="inlineStr">
        <is>
          <t>Trả đúng bản ghi</t>
        </is>
      </c>
      <c r="M224" s="8" t="inlineStr">
        <is>
          <t>TTCTDTTH_04.jpg</t>
        </is>
      </c>
      <c r="N224" s="42" t="inlineStr">
        <is>
          <t>Pass</t>
        </is>
      </c>
      <c r="O224" s="16" t="n"/>
      <c r="P224" s="16" t="n"/>
      <c r="Q224" s="16" t="n"/>
      <c r="R224" s="16" t="n"/>
      <c r="S224" s="16" t="n"/>
      <c r="T224" s="16" t="n"/>
      <c r="U224" s="16" t="n"/>
      <c r="V224" s="16" t="n"/>
      <c r="W224" s="16" t="n"/>
      <c r="X224" s="16" t="n"/>
      <c r="Y224" s="16" t="n"/>
      <c r="Z224" s="16" t="n"/>
      <c r="AA224" s="16" t="n"/>
      <c r="AB224" s="16" t="n"/>
      <c r="AC224" s="16" t="n"/>
    </row>
    <row r="225">
      <c r="A225" s="39" t="n"/>
      <c r="B225" s="33" t="n">
        <v>46206</v>
      </c>
      <c r="C225" s="40" t="inlineStr">
        <is>
          <t>Tuần 1</t>
        </is>
      </c>
      <c r="D225" s="41">
        <f>IF(G225&lt;&gt;"","TTCTDTTH_"&amp;TEXT(COUNTIF($G$221:G225,"&lt;&gt;"),"00"),"")</f>
        <v/>
      </c>
      <c r="E225" s="38" t="n"/>
      <c r="F225" s="14" t="n"/>
      <c r="G225" s="14" t="inlineStr">
        <is>
          <t>Không có kết quả</t>
        </is>
      </c>
      <c r="H225" s="14" t="inlineStr">
        <is>
          <t>-</t>
        </is>
      </c>
      <c r="I225" s="14" t="inlineStr">
        <is>
          <t>abcxyz</t>
        </is>
      </c>
      <c r="J225" s="14" t="inlineStr">
        <is>
          <t>Nhập từ khóa không tồn tại</t>
        </is>
      </c>
      <c r="K225" s="14" t="inlineStr">
        <is>
          <t>Hiển thị không có dữ liệu</t>
        </is>
      </c>
      <c r="L225" s="14" t="inlineStr">
        <is>
          <t>Hiển thị không có dữ liệu</t>
        </is>
      </c>
      <c r="M225" s="8" t="inlineStr">
        <is>
          <t>TTCTDTTH_05.jpg</t>
        </is>
      </c>
      <c r="N225" s="42" t="inlineStr">
        <is>
          <t>Pass</t>
        </is>
      </c>
      <c r="O225" s="16" t="n"/>
      <c r="P225" s="16" t="n"/>
      <c r="Q225" s="16" t="n"/>
      <c r="R225" s="16" t="n"/>
      <c r="S225" s="16" t="n"/>
      <c r="T225" s="16" t="n"/>
      <c r="U225" s="16" t="n"/>
      <c r="V225" s="16" t="n"/>
      <c r="W225" s="16" t="n"/>
      <c r="X225" s="16" t="n"/>
      <c r="Y225" s="16" t="n"/>
      <c r="Z225" s="16" t="n"/>
      <c r="AA225" s="16" t="n"/>
      <c r="AB225" s="16" t="n"/>
      <c r="AC225" s="16" t="n"/>
    </row>
    <row r="226">
      <c r="A226" s="39" t="n"/>
      <c r="B226" s="33" t="n">
        <v>46206</v>
      </c>
      <c r="C226" s="40" t="inlineStr">
        <is>
          <t>Tuần 1</t>
        </is>
      </c>
      <c r="D226" s="41">
        <f>IF(G226&lt;&gt;"","TTCTDTTH_"&amp;TEXT(COUNTIF($G$221:G226,"&lt;&gt;"),"00"),"")</f>
        <v/>
      </c>
      <c r="E226" s="38" t="n"/>
      <c r="F226" s="14" t="n"/>
      <c r="G226" s="14" t="inlineStr">
        <is>
          <t>Theo lĩnh vực</t>
        </is>
      </c>
      <c r="H226" s="14" t="inlineStr">
        <is>
          <t>-</t>
        </is>
      </c>
      <c r="I226" s="14" t="inlineStr">
        <is>
          <t>Lao động</t>
        </is>
      </c>
      <c r="J226" s="14" t="inlineStr">
        <is>
          <t>Chọn lĩnh vực&gt;Tìm kiếm</t>
        </is>
      </c>
      <c r="K226" s="14" t="inlineStr">
        <is>
          <t>Chỉ hiển thị lĩnh vực đã chọn</t>
        </is>
      </c>
      <c r="L226" s="14" t="inlineStr">
        <is>
          <t>Chỉ hiển thị lĩnh vực đã chọn</t>
        </is>
      </c>
      <c r="M226" s="8" t="inlineStr">
        <is>
          <t>TTCTDTTH_06.jpg</t>
        </is>
      </c>
      <c r="N226" s="42" t="inlineStr">
        <is>
          <t>Pass</t>
        </is>
      </c>
      <c r="O226" s="16" t="n"/>
      <c r="P226" s="16" t="n"/>
      <c r="Q226" s="16" t="n"/>
      <c r="R226" s="16" t="n"/>
      <c r="S226" s="16" t="n"/>
      <c r="T226" s="16" t="n"/>
      <c r="U226" s="16" t="n"/>
      <c r="V226" s="16" t="n"/>
      <c r="W226" s="16" t="n"/>
      <c r="X226" s="16" t="n"/>
      <c r="Y226" s="16" t="n"/>
      <c r="Z226" s="16" t="n"/>
      <c r="AA226" s="16" t="n"/>
      <c r="AB226" s="16" t="n"/>
      <c r="AC226" s="16" t="n"/>
    </row>
    <row r="227">
      <c r="A227" s="39" t="n"/>
      <c r="B227" s="33" t="n">
        <v>46206</v>
      </c>
      <c r="C227" s="40" t="inlineStr">
        <is>
          <t>Tuần 1</t>
        </is>
      </c>
      <c r="D227" s="41">
        <f>IF(G227&lt;&gt;"","TTCTDTTH_"&amp;TEXT(COUNTIF($G$221:G227,"&lt;&gt;"),"00"),"")</f>
        <v/>
      </c>
      <c r="E227" s="38" t="n"/>
      <c r="F227" s="14" t="n"/>
      <c r="G227" s="14" t="inlineStr">
        <is>
          <t>Theo khoảng ngày</t>
        </is>
      </c>
      <c r="H227" s="14" t="inlineStr">
        <is>
          <t>Có dữ liệu</t>
        </is>
      </c>
      <c r="I227" s="14" t="inlineStr">
        <is>
          <t>Hợp lệ</t>
        </is>
      </c>
      <c r="J227" s="14" t="inlineStr">
        <is>
          <t>Chọn từ ngày-đến ngày</t>
        </is>
      </c>
      <c r="K227" s="14" t="inlineStr">
        <is>
          <t>Hiển thị đúng kết quả</t>
        </is>
      </c>
      <c r="L227" s="14" t="inlineStr">
        <is>
          <t>Hiển thị đúng kết quả</t>
        </is>
      </c>
      <c r="M227" s="8" t="inlineStr">
        <is>
          <t>TTCTDTTH_07.jpg</t>
        </is>
      </c>
      <c r="N227" s="42" t="inlineStr">
        <is>
          <t>Pass</t>
        </is>
      </c>
      <c r="O227" s="16" t="n"/>
      <c r="P227" s="16" t="n"/>
      <c r="Q227" s="16" t="n"/>
      <c r="R227" s="16" t="n"/>
      <c r="S227" s="16" t="n"/>
      <c r="T227" s="16" t="n"/>
      <c r="U227" s="16" t="n"/>
      <c r="V227" s="16" t="n"/>
      <c r="W227" s="16" t="n"/>
      <c r="X227" s="16" t="n"/>
      <c r="Y227" s="16" t="n"/>
      <c r="Z227" s="16" t="n"/>
      <c r="AA227" s="16" t="n"/>
      <c r="AB227" s="16" t="n"/>
      <c r="AC227" s="16" t="n"/>
    </row>
    <row r="228">
      <c r="A228" s="39" t="n"/>
      <c r="B228" s="33" t="n">
        <v>46206</v>
      </c>
      <c r="C228" s="40" t="inlineStr">
        <is>
          <t>Tuần 1</t>
        </is>
      </c>
      <c r="D228" s="41">
        <f>IF(G228&lt;&gt;"","TTCTDTTH_"&amp;TEXT(COUNTIF($G$221:G228,"&lt;&gt;"),"00"),"")</f>
        <v/>
      </c>
      <c r="E228" s="38" t="n"/>
      <c r="F228" s="14" t="n"/>
      <c r="G228" s="14" t="inlineStr">
        <is>
          <t>Từ ngày &gt; Đến ngày</t>
        </is>
      </c>
      <c r="H228" s="14" t="inlineStr">
        <is>
          <t>-</t>
        </is>
      </c>
      <c r="I228" s="14" t="inlineStr">
        <is>
          <t>-</t>
        </is>
      </c>
      <c r="J228" s="14" t="inlineStr">
        <is>
          <t>Chọn sai khoảng ngày</t>
        </is>
      </c>
      <c r="K228" s="14" t="inlineStr">
        <is>
          <t>Hiển thị cảnh báo hoặc không cho tìm</t>
        </is>
      </c>
      <c r="L228" s="14" t="inlineStr">
        <is>
          <t>Hiển thị cảnh báo hoặc không cho tìm</t>
        </is>
      </c>
      <c r="M228" s="8" t="inlineStr">
        <is>
          <t>TTCTDTTH_08.jpg</t>
        </is>
      </c>
      <c r="N228" s="42" t="inlineStr">
        <is>
          <t>Pass</t>
        </is>
      </c>
      <c r="O228" s="16" t="n"/>
      <c r="P228" s="16" t="n"/>
      <c r="Q228" s="16" t="n"/>
      <c r="R228" s="16" t="n"/>
      <c r="S228" s="16" t="n"/>
      <c r="T228" s="16" t="n"/>
      <c r="U228" s="16" t="n"/>
      <c r="V228" s="16" t="n"/>
      <c r="W228" s="16" t="n"/>
      <c r="X228" s="16" t="n"/>
      <c r="Y228" s="16" t="n"/>
      <c r="Z228" s="16" t="n"/>
      <c r="AA228" s="16" t="n"/>
      <c r="AB228" s="16" t="n"/>
      <c r="AC228" s="16" t="n"/>
    </row>
    <row r="229">
      <c r="A229" s="39" t="n"/>
      <c r="B229" s="33" t="n">
        <v>46206</v>
      </c>
      <c r="C229" s="40" t="inlineStr">
        <is>
          <t>Tuần 1</t>
        </is>
      </c>
      <c r="D229" s="41">
        <f>IF(G229&lt;&gt;"","TTCTDTTH_"&amp;TEXT(COUNTIF($G$221:G229,"&lt;&gt;"),"00"),"")</f>
        <v/>
      </c>
      <c r="E229" s="38" t="n"/>
      <c r="F229" s="14" t="n"/>
      <c r="G229" s="14" t="inlineStr">
        <is>
          <t>Reset điều kiện</t>
        </is>
      </c>
      <c r="H229" s="14" t="inlineStr">
        <is>
          <t>Đã nhập điều kiện</t>
        </is>
      </c>
      <c r="I229" s="14" t="inlineStr">
        <is>
          <t>-</t>
        </is>
      </c>
      <c r="J229" s="14" t="inlineStr">
        <is>
          <t>Bấm Xóa bộ lọc</t>
        </is>
      </c>
      <c r="K229" s="14" t="inlineStr">
        <is>
          <t>Toàn bộ điều kiện được xóa, danh sách mặc định</t>
        </is>
      </c>
      <c r="L229" s="14" t="inlineStr">
        <is>
          <t>Toàn bộ điều kiện được xóa, danh sách mặc định</t>
        </is>
      </c>
      <c r="M229" s="8" t="inlineStr">
        <is>
          <t>TTCTDTTH_09.jpg</t>
        </is>
      </c>
      <c r="N229" s="42" t="inlineStr">
        <is>
          <t>Pass</t>
        </is>
      </c>
      <c r="O229" s="16" t="n"/>
      <c r="P229" s="16" t="n"/>
      <c r="Q229" s="16" t="n"/>
      <c r="R229" s="16" t="n"/>
      <c r="S229" s="16" t="n"/>
      <c r="T229" s="16" t="n"/>
      <c r="U229" s="16" t="n"/>
      <c r="V229" s="16" t="n"/>
      <c r="W229" s="16" t="n"/>
      <c r="X229" s="16" t="n"/>
      <c r="Y229" s="16" t="n"/>
      <c r="Z229" s="16" t="n"/>
      <c r="AA229" s="16" t="n"/>
      <c r="AB229" s="16" t="n"/>
      <c r="AC229" s="16" t="n"/>
    </row>
    <row r="230">
      <c r="A230" s="39" t="n"/>
      <c r="B230" s="33" t="n">
        <v>46206</v>
      </c>
      <c r="C230" s="40" t="inlineStr">
        <is>
          <t>Tuần 1</t>
        </is>
      </c>
      <c r="D230" s="41">
        <f>IF(G230&lt;&gt;"","TTCTDTTH_"&amp;TEXT(COUNTIF($G$221:G230,"&lt;&gt;"),"00"),"")</f>
        <v/>
      </c>
      <c r="E230" s="38" t="n"/>
      <c r="F230" s="14" t="n"/>
      <c r="G230" s="14" t="inlineStr">
        <is>
          <t>Refresh</t>
        </is>
      </c>
      <c r="H230" s="14" t="inlineStr">
        <is>
          <t>-</t>
        </is>
      </c>
      <c r="I230" s="14" t="inlineStr">
        <is>
          <t>-</t>
        </is>
      </c>
      <c r="J230" s="14" t="inlineStr">
        <is>
          <t>Bấm Làm mới</t>
        </is>
      </c>
      <c r="K230" s="14" t="inlineStr">
        <is>
          <t>Danh sách tải lại</t>
        </is>
      </c>
      <c r="L230" s="14" t="inlineStr">
        <is>
          <t>Danh sách tải lại</t>
        </is>
      </c>
      <c r="M230" s="8" t="inlineStr">
        <is>
          <t>TTCTDTTH_10.jpg</t>
        </is>
      </c>
      <c r="N230" s="42" t="inlineStr">
        <is>
          <t>Pass</t>
        </is>
      </c>
      <c r="O230" s="16" t="n"/>
      <c r="P230" s="16" t="n"/>
      <c r="Q230" s="16" t="n"/>
      <c r="R230" s="16" t="n"/>
      <c r="S230" s="16" t="n"/>
      <c r="T230" s="16" t="n"/>
      <c r="U230" s="16" t="n"/>
      <c r="V230" s="16" t="n"/>
      <c r="W230" s="16" t="n"/>
      <c r="X230" s="16" t="n"/>
      <c r="Y230" s="16" t="n"/>
      <c r="Z230" s="16" t="n"/>
      <c r="AA230" s="16" t="n"/>
      <c r="AB230" s="16" t="n"/>
      <c r="AC230" s="16" t="n"/>
    </row>
    <row r="231">
      <c r="A231" s="39" t="n"/>
      <c r="B231" s="33" t="n">
        <v>46206</v>
      </c>
      <c r="C231" s="40" t="inlineStr">
        <is>
          <t>Tuần 1</t>
        </is>
      </c>
      <c r="D231" s="41">
        <f>IF(G231&lt;&gt;"","TTCTDTTH_"&amp;TEXT(COUNTIF($G$221:G231,"&lt;&gt;"),"00"),"")</f>
        <v/>
      </c>
      <c r="E231" s="38" t="n"/>
      <c r="F231" s="14" t="n"/>
      <c r="G231" s="14" t="inlineStr">
        <is>
          <t>Tất cả</t>
        </is>
      </c>
      <c r="H231" s="14" t="inlineStr">
        <is>
          <t>-</t>
        </is>
      </c>
      <c r="I231" s="14" t="inlineStr">
        <is>
          <t>-</t>
        </is>
      </c>
      <c r="J231" s="14" t="inlineStr">
        <is>
          <t>Chọn tab Tất cả</t>
        </is>
      </c>
      <c r="K231" s="14" t="inlineStr">
        <is>
          <t>Hiển thị toàn bộ</t>
        </is>
      </c>
      <c r="L231" s="14" t="inlineStr">
        <is>
          <t>Hiển thị toàn bộ</t>
        </is>
      </c>
      <c r="M231" s="8" t="inlineStr">
        <is>
          <t>TTCTDTTH_11.jpg</t>
        </is>
      </c>
      <c r="N231" s="42" t="inlineStr">
        <is>
          <t>Pass</t>
        </is>
      </c>
      <c r="O231" s="16" t="n"/>
      <c r="P231" s="16" t="n"/>
      <c r="Q231" s="16" t="n"/>
      <c r="R231" s="16" t="n"/>
      <c r="S231" s="16" t="n"/>
      <c r="T231" s="16" t="n"/>
      <c r="U231" s="16" t="n"/>
      <c r="V231" s="16" t="n"/>
      <c r="W231" s="16" t="n"/>
      <c r="X231" s="16" t="n"/>
      <c r="Y231" s="16" t="n"/>
      <c r="Z231" s="16" t="n"/>
      <c r="AA231" s="16" t="n"/>
      <c r="AB231" s="16" t="n"/>
      <c r="AC231" s="16" t="n"/>
    </row>
    <row r="232">
      <c r="A232" s="39" t="n"/>
      <c r="B232" s="33" t="n">
        <v>46206</v>
      </c>
      <c r="C232" s="40" t="inlineStr">
        <is>
          <t>Tuần 1</t>
        </is>
      </c>
      <c r="D232" s="41">
        <f>IF(G232&lt;&gt;"","TTCTDTTH_"&amp;TEXT(COUNTIF($G$221:G232,"&lt;&gt;"),"00"),"")</f>
        <v/>
      </c>
      <c r="E232" s="38" t="n"/>
      <c r="F232" s="14" t="n"/>
      <c r="G232" s="14" t="inlineStr">
        <is>
          <t>Dự thảo</t>
        </is>
      </c>
      <c r="H232" s="14" t="inlineStr">
        <is>
          <t>Có dữ liệu</t>
        </is>
      </c>
      <c r="I232" s="14" t="inlineStr">
        <is>
          <t>-</t>
        </is>
      </c>
      <c r="J232" s="14" t="inlineStr">
        <is>
          <t>Chọn tab Dự thảo</t>
        </is>
      </c>
      <c r="K232" s="14" t="inlineStr">
        <is>
          <t>Chỉ hiển thị Dự thảo</t>
        </is>
      </c>
      <c r="L232" s="14" t="inlineStr">
        <is>
          <t>Chỉ hiển thị Dự thảo</t>
        </is>
      </c>
      <c r="M232" s="8" t="inlineStr">
        <is>
          <t>TTCTDTTH_12.jpg</t>
        </is>
      </c>
      <c r="N232" s="42" t="inlineStr">
        <is>
          <t>Pass</t>
        </is>
      </c>
      <c r="O232" s="16" t="n"/>
      <c r="P232" s="16" t="n"/>
      <c r="Q232" s="16" t="n"/>
      <c r="R232" s="16" t="n"/>
      <c r="S232" s="16" t="n"/>
      <c r="T232" s="16" t="n"/>
      <c r="U232" s="16" t="n"/>
      <c r="V232" s="16" t="n"/>
      <c r="W232" s="16" t="n"/>
      <c r="X232" s="16" t="n"/>
      <c r="Y232" s="16" t="n"/>
      <c r="Z232" s="16" t="n"/>
      <c r="AA232" s="16" t="n"/>
      <c r="AB232" s="16" t="n"/>
      <c r="AC232" s="16" t="n"/>
    </row>
    <row r="233">
      <c r="A233" s="39" t="n"/>
      <c r="B233" s="33" t="n">
        <v>46206</v>
      </c>
      <c r="C233" s="40" t="inlineStr">
        <is>
          <t>Tuần 1</t>
        </is>
      </c>
      <c r="D233" s="41">
        <f>IF(G233&lt;&gt;"","TTCTDTTH_"&amp;TEXT(COUNTIF($G$221:G233,"&lt;&gt;"),"00"),"")</f>
        <v/>
      </c>
      <c r="E233" s="38" t="n"/>
      <c r="F233" s="14" t="n"/>
      <c r="G233" s="14" t="inlineStr">
        <is>
          <t>Chờ duyệt</t>
        </is>
      </c>
      <c r="H233" s="14" t="inlineStr">
        <is>
          <t>Có dữ liệu</t>
        </is>
      </c>
      <c r="I233" s="14" t="inlineStr">
        <is>
          <t>-</t>
        </is>
      </c>
      <c r="J233" s="14" t="inlineStr">
        <is>
          <t>Chọn tab Chờ duyệt</t>
        </is>
      </c>
      <c r="K233" s="14" t="inlineStr">
        <is>
          <t>Chỉ hiển thị Chờ duyệt</t>
        </is>
      </c>
      <c r="L233" s="14" t="inlineStr">
        <is>
          <t>Chỉ hiển thị Chờ duyệt</t>
        </is>
      </c>
      <c r="M233" s="8" t="inlineStr">
        <is>
          <t>TTCTDTTH_13.jpg</t>
        </is>
      </c>
      <c r="N233" s="42" t="inlineStr">
        <is>
          <t>Pass</t>
        </is>
      </c>
      <c r="O233" s="16" t="n"/>
      <c r="P233" s="16" t="n"/>
      <c r="Q233" s="16" t="n"/>
      <c r="R233" s="16" t="n"/>
      <c r="S233" s="16" t="n"/>
      <c r="T233" s="16" t="n"/>
      <c r="U233" s="16" t="n"/>
      <c r="V233" s="16" t="n"/>
      <c r="W233" s="16" t="n"/>
      <c r="X233" s="16" t="n"/>
      <c r="Y233" s="16" t="n"/>
      <c r="Z233" s="16" t="n"/>
      <c r="AA233" s="16" t="n"/>
      <c r="AB233" s="16" t="n"/>
      <c r="AC233" s="16" t="n"/>
    </row>
    <row r="234">
      <c r="A234" s="39" t="n"/>
      <c r="B234" s="33" t="n">
        <v>46206</v>
      </c>
      <c r="C234" s="40" t="inlineStr">
        <is>
          <t>Tuần 1</t>
        </is>
      </c>
      <c r="D234" s="41">
        <f>IF(G234&lt;&gt;"","TTCTDTTH_"&amp;TEXT(COUNTIF($G$221:G234,"&lt;&gt;"),"00"),"")</f>
        <v/>
      </c>
      <c r="E234" s="38" t="n"/>
      <c r="F234" s="14" t="n"/>
      <c r="G234" s="14" t="inlineStr">
        <is>
          <t>Đã duyệt</t>
        </is>
      </c>
      <c r="H234" s="14" t="inlineStr">
        <is>
          <t>Có dữ liệu</t>
        </is>
      </c>
      <c r="I234" s="14" t="inlineStr">
        <is>
          <t>-</t>
        </is>
      </c>
      <c r="J234" s="14" t="inlineStr">
        <is>
          <t>Chọn tab Đã duyệt</t>
        </is>
      </c>
      <c r="K234" s="14" t="inlineStr">
        <is>
          <t>Chỉ hiển thị Đã duyệt</t>
        </is>
      </c>
      <c r="L234" s="14" t="inlineStr">
        <is>
          <t>Chỉ hiển thị Đã duyệt</t>
        </is>
      </c>
      <c r="M234" s="8" t="inlineStr">
        <is>
          <t>TTCTDTTH_14.jpg</t>
        </is>
      </c>
      <c r="N234" s="42" t="inlineStr">
        <is>
          <t>Pass</t>
        </is>
      </c>
      <c r="O234" s="16" t="n"/>
      <c r="P234" s="16" t="n"/>
      <c r="Q234" s="16" t="n"/>
      <c r="R234" s="16" t="n"/>
      <c r="S234" s="16" t="n"/>
      <c r="T234" s="16" t="n"/>
      <c r="U234" s="16" t="n"/>
      <c r="V234" s="16" t="n"/>
      <c r="W234" s="16" t="n"/>
      <c r="X234" s="16" t="n"/>
      <c r="Y234" s="16" t="n"/>
      <c r="Z234" s="16" t="n"/>
      <c r="AA234" s="16" t="n"/>
      <c r="AB234" s="16" t="n"/>
      <c r="AC234" s="16" t="n"/>
    </row>
    <row r="235">
      <c r="A235" s="39" t="n"/>
      <c r="B235" s="33" t="n">
        <v>46206</v>
      </c>
      <c r="C235" s="40" t="inlineStr">
        <is>
          <t>Tuần 1</t>
        </is>
      </c>
      <c r="D235" s="41">
        <f>IF(G235&lt;&gt;"","TTCTDTTH_"&amp;TEXT(COUNTIF($G$221:G235,"&lt;&gt;"),"00"),"")</f>
        <v/>
      </c>
      <c r="E235" s="38" t="n"/>
      <c r="F235" s="14" t="n"/>
      <c r="G235" s="14" t="inlineStr">
        <is>
          <t>Đã hủy</t>
        </is>
      </c>
      <c r="H235" s="14" t="inlineStr">
        <is>
          <t>Có dữ liệu</t>
        </is>
      </c>
      <c r="I235" s="14" t="inlineStr">
        <is>
          <t>-</t>
        </is>
      </c>
      <c r="J235" s="14" t="inlineStr">
        <is>
          <t>Chọn tab Đã hủy</t>
        </is>
      </c>
      <c r="K235" s="14" t="inlineStr">
        <is>
          <t>Chỉ hiển thị Đã hủy</t>
        </is>
      </c>
      <c r="L235" s="14" t="inlineStr">
        <is>
          <t>Chỉ hiển thị Đã hủy</t>
        </is>
      </c>
      <c r="M235" s="8" t="inlineStr">
        <is>
          <t>TTCTDTTH_15.jpg</t>
        </is>
      </c>
      <c r="N235" s="42" t="inlineStr">
        <is>
          <t>Pass</t>
        </is>
      </c>
      <c r="O235" s="16" t="n"/>
      <c r="P235" s="16" t="n"/>
      <c r="Q235" s="16" t="n"/>
      <c r="R235" s="16" t="n"/>
      <c r="S235" s="16" t="n"/>
      <c r="T235" s="16" t="n"/>
      <c r="U235" s="16" t="n"/>
      <c r="V235" s="16" t="n"/>
      <c r="W235" s="16" t="n"/>
      <c r="X235" s="16" t="n"/>
      <c r="Y235" s="16" t="n"/>
      <c r="Z235" s="16" t="n"/>
      <c r="AA235" s="16" t="n"/>
      <c r="AB235" s="16" t="n"/>
      <c r="AC235" s="16" t="n"/>
    </row>
    <row r="236">
      <c r="A236" s="39" t="n"/>
      <c r="B236" s="33" t="n">
        <v>46206</v>
      </c>
      <c r="C236" s="40" t="inlineStr">
        <is>
          <t>Tuần 1</t>
        </is>
      </c>
      <c r="D236" s="41">
        <f>IF(G236&lt;&gt;"","TTCTDTTH_"&amp;TEXT(COUNTIF($G$221:G236,"&lt;&gt;"),"00"),"")</f>
        <v/>
      </c>
      <c r="E236" s="38" t="n"/>
      <c r="F236" s="14" t="n"/>
      <c r="G236" s="14" t="inlineStr">
        <is>
          <t>Đang thực hiện</t>
        </is>
      </c>
      <c r="H236" s="14" t="inlineStr">
        <is>
          <t>Có dữ liệu</t>
        </is>
      </c>
      <c r="I236" s="14" t="inlineStr">
        <is>
          <t>-</t>
        </is>
      </c>
      <c r="J236" s="14" t="inlineStr">
        <is>
          <t>Chọn tab Đang thực hiện</t>
        </is>
      </c>
      <c r="K236" s="14" t="inlineStr">
        <is>
          <t>Chỉ hiển thị Đang thực hiện</t>
        </is>
      </c>
      <c r="L236" s="14" t="n"/>
      <c r="M236" s="16" t="n"/>
      <c r="N236" s="42" t="inlineStr">
        <is>
          <t>N/R</t>
        </is>
      </c>
      <c r="O236" s="16" t="inlineStr">
        <is>
          <t>chưa có dữ liệu test</t>
        </is>
      </c>
      <c r="P236" s="16" t="n"/>
      <c r="Q236" s="16" t="n"/>
      <c r="R236" s="16" t="n"/>
      <c r="S236" s="16" t="n"/>
      <c r="T236" s="16" t="n"/>
      <c r="U236" s="16" t="n"/>
      <c r="V236" s="16" t="n"/>
      <c r="W236" s="16" t="n"/>
      <c r="X236" s="16" t="n"/>
      <c r="Y236" s="16" t="n"/>
      <c r="Z236" s="16" t="n"/>
      <c r="AA236" s="16" t="n"/>
      <c r="AB236" s="16" t="n"/>
      <c r="AC236" s="16" t="n"/>
    </row>
    <row r="237">
      <c r="A237" s="39" t="n"/>
      <c r="B237" s="33" t="n">
        <v>46206</v>
      </c>
      <c r="C237" s="40" t="inlineStr">
        <is>
          <t>Tuần 1</t>
        </is>
      </c>
      <c r="D237" s="41">
        <f>IF(G237&lt;&gt;"","TTCTDTTH_"&amp;TEXT(COUNTIF($G$221:G237,"&lt;&gt;"),"00"),"")</f>
        <v/>
      </c>
      <c r="E237" s="38" t="n"/>
      <c r="F237" s="14" t="n"/>
      <c r="G237" s="14" t="inlineStr">
        <is>
          <t>Hoàn thành</t>
        </is>
      </c>
      <c r="H237" s="14" t="inlineStr">
        <is>
          <t>Có dữ liệu</t>
        </is>
      </c>
      <c r="I237" s="14" t="inlineStr">
        <is>
          <t>-</t>
        </is>
      </c>
      <c r="J237" s="14" t="inlineStr">
        <is>
          <t>Chọn tab Hoàn thành</t>
        </is>
      </c>
      <c r="K237" s="14" t="inlineStr">
        <is>
          <t>Chỉ hiển thị Hoàn thành</t>
        </is>
      </c>
      <c r="L237" s="14" t="n"/>
      <c r="M237" s="16" t="n"/>
      <c r="N237" s="42" t="inlineStr">
        <is>
          <t>N/R</t>
        </is>
      </c>
      <c r="O237" s="16" t="inlineStr">
        <is>
          <t>chưa có dữ liệu test</t>
        </is>
      </c>
      <c r="P237" s="16" t="n"/>
      <c r="Q237" s="16" t="n"/>
      <c r="R237" s="16" t="n"/>
      <c r="S237" s="16" t="n"/>
      <c r="T237" s="16" t="n"/>
      <c r="U237" s="16" t="n"/>
      <c r="V237" s="16" t="n"/>
      <c r="W237" s="16" t="n"/>
      <c r="X237" s="16" t="n"/>
      <c r="Y237" s="16" t="n"/>
      <c r="Z237" s="16" t="n"/>
      <c r="AA237" s="16" t="n"/>
      <c r="AB237" s="16" t="n"/>
      <c r="AC237" s="16" t="n"/>
    </row>
    <row r="238">
      <c r="A238" s="39" t="n"/>
      <c r="B238" s="33" t="n">
        <v>46206</v>
      </c>
      <c r="C238" s="40" t="inlineStr">
        <is>
          <t>Tuần 1</t>
        </is>
      </c>
      <c r="D238" s="41">
        <f>IF(G238&lt;&gt;"","TTCTDTTH_"&amp;TEXT(COUNTIF($G$221:G238,"&lt;&gt;"),"00"),"")</f>
        <v/>
      </c>
      <c r="E238" s="38" t="n"/>
      <c r="F238" s="14" t="n"/>
      <c r="G238" s="14" t="inlineStr">
        <is>
          <t>Icon mắt</t>
        </is>
      </c>
      <c r="H238" s="14" t="inlineStr">
        <is>
          <t>Có dữ liệu</t>
        </is>
      </c>
      <c r="I238" s="14" t="inlineStr">
        <is>
          <t>-</t>
        </is>
      </c>
      <c r="J238" s="14" t="inlineStr">
        <is>
          <t>Bấm icon mắt</t>
        </is>
      </c>
      <c r="K238" s="14" t="inlineStr">
        <is>
          <t>Mở màn chi tiết đúng CT</t>
        </is>
      </c>
      <c r="L238" s="14" t="inlineStr">
        <is>
          <t>Mở màn chi tiết đúng CT</t>
        </is>
      </c>
      <c r="M238" s="8" t="inlineStr">
        <is>
          <t>TTCTDTTH_18.jpg</t>
        </is>
      </c>
      <c r="N238" s="42" t="inlineStr">
        <is>
          <t>Pass</t>
        </is>
      </c>
      <c r="O238" s="16" t="n"/>
      <c r="P238" s="16" t="n"/>
      <c r="Q238" s="16" t="n"/>
      <c r="R238" s="16" t="n"/>
      <c r="S238" s="16" t="n"/>
      <c r="T238" s="16" t="n"/>
      <c r="U238" s="16" t="n"/>
      <c r="V238" s="16" t="n"/>
      <c r="W238" s="16" t="n"/>
      <c r="X238" s="16" t="n"/>
      <c r="Y238" s="16" t="n"/>
      <c r="Z238" s="16" t="n"/>
      <c r="AA238" s="16" t="n"/>
      <c r="AB238" s="16" t="n"/>
      <c r="AC238" s="16" t="n"/>
    </row>
    <row r="239">
      <c r="A239" s="39" t="n"/>
      <c r="B239" s="33" t="n">
        <v>46206</v>
      </c>
      <c r="C239" s="40" t="inlineStr">
        <is>
          <t>Tuần 1</t>
        </is>
      </c>
      <c r="D239" s="41">
        <f>IF(G239&lt;&gt;"","TTCTDTTH_"&amp;TEXT(COUNTIF($G$221:G239,"&lt;&gt;"),"00"),"")</f>
        <v/>
      </c>
      <c r="E239" s="38" t="n"/>
      <c r="F239" s="14" t="n"/>
      <c r="G239" s="14" t="inlineStr">
        <is>
          <t>Icon bút</t>
        </is>
      </c>
      <c r="H239" s="14" t="inlineStr">
        <is>
          <t>Có quyền sửa</t>
        </is>
      </c>
      <c r="I239" s="14" t="inlineStr">
        <is>
          <t>-</t>
        </is>
      </c>
      <c r="J239" s="14" t="inlineStr">
        <is>
          <t>Bấm icon sửa</t>
        </is>
      </c>
      <c r="K239" s="14" t="inlineStr">
        <is>
          <t>Mở màn chỉnh sửa</t>
        </is>
      </c>
      <c r="L239" s="14" t="inlineStr">
        <is>
          <t>Mở màn chỉnh sửa</t>
        </is>
      </c>
      <c r="M239" s="8" t="inlineStr">
        <is>
          <t>TTCTDTTH_19.jpg</t>
        </is>
      </c>
      <c r="N239" s="42" t="inlineStr">
        <is>
          <t>Pass</t>
        </is>
      </c>
      <c r="O239" s="16" t="n"/>
      <c r="P239" s="16" t="n"/>
      <c r="Q239" s="16" t="n"/>
      <c r="R239" s="16" t="n"/>
      <c r="S239" s="16" t="n"/>
      <c r="T239" s="16" t="n"/>
      <c r="U239" s="16" t="n"/>
      <c r="V239" s="16" t="n"/>
      <c r="W239" s="16" t="n"/>
      <c r="X239" s="16" t="n"/>
      <c r="Y239" s="16" t="n"/>
      <c r="Z239" s="16" t="n"/>
      <c r="AA239" s="16" t="n"/>
      <c r="AB239" s="16" t="n"/>
      <c r="AC239" s="16" t="n"/>
    </row>
    <row r="240">
      <c r="A240" s="39" t="n"/>
      <c r="B240" s="33" t="n">
        <v>46206</v>
      </c>
      <c r="C240" s="40" t="inlineStr">
        <is>
          <t>Tuần 1</t>
        </is>
      </c>
      <c r="D240" s="41">
        <f>IF(G240&lt;&gt;"","TTCTDTTH_"&amp;TEXT(COUNTIF($G$221:G240,"&lt;&gt;"),"00"),"")</f>
        <v/>
      </c>
      <c r="E240" s="38" t="n"/>
      <c r="F240" s="14" t="n"/>
      <c r="G240" s="14" t="inlineStr">
        <is>
          <t>Nút Thêm mới</t>
        </is>
      </c>
      <c r="H240" s="14" t="inlineStr">
        <is>
          <t>Có quyền</t>
        </is>
      </c>
      <c r="I240" s="14" t="inlineStr">
        <is>
          <t>-</t>
        </is>
      </c>
      <c r="J240" s="14" t="inlineStr">
        <is>
          <t>Bấm Thêm mới</t>
        </is>
      </c>
      <c r="K240" s="14" t="inlineStr">
        <is>
          <t>Đi tới màn tạo mới</t>
        </is>
      </c>
      <c r="L240" s="14" t="inlineStr">
        <is>
          <t>Đi tới màn tạo mới</t>
        </is>
      </c>
      <c r="M240" s="8" t="inlineStr">
        <is>
          <t>TTCTDTTH_20.jpg</t>
        </is>
      </c>
      <c r="N240" s="42" t="inlineStr">
        <is>
          <t>Pass</t>
        </is>
      </c>
      <c r="O240" s="16" t="n"/>
      <c r="P240" s="16" t="n"/>
      <c r="Q240" s="16" t="n"/>
      <c r="R240" s="16" t="n"/>
      <c r="S240" s="16" t="n"/>
      <c r="T240" s="16" t="n"/>
      <c r="U240" s="16" t="n"/>
      <c r="V240" s="16" t="n"/>
      <c r="W240" s="16" t="n"/>
      <c r="X240" s="16" t="n"/>
      <c r="Y240" s="16" t="n"/>
      <c r="Z240" s="16" t="n"/>
      <c r="AA240" s="16" t="n"/>
      <c r="AB240" s="16" t="n"/>
      <c r="AC240" s="16" t="n"/>
    </row>
    <row r="241">
      <c r="A241" s="39" t="n"/>
      <c r="B241" s="33" t="n">
        <v>46206</v>
      </c>
      <c r="C241" s="40" t="inlineStr">
        <is>
          <t>Tuần 1</t>
        </is>
      </c>
      <c r="D241" s="41">
        <f>IF(G241&lt;&gt;"","TTCTDTTH_"&amp;TEXT(COUNTIF($G$221:G241,"&lt;&gt;"),"00"),"")</f>
        <v/>
      </c>
      <c r="E241" s="38" t="n"/>
      <c r="F241" s="14" t="n"/>
      <c r="G241" s="14" t="inlineStr">
        <is>
          <t>Export</t>
        </is>
      </c>
      <c r="H241" s="14" t="inlineStr">
        <is>
          <t>Có dữ liệu</t>
        </is>
      </c>
      <c r="I241" s="14" t="inlineStr">
        <is>
          <t>-</t>
        </is>
      </c>
      <c r="J241" s="14" t="inlineStr">
        <is>
          <t>Bấm Xuất Excel</t>
        </is>
      </c>
      <c r="K241" s="14" t="inlineStr">
        <is>
          <t>Tải file thành công, dữ liệu đúng</t>
        </is>
      </c>
      <c r="L241" s="14" t="inlineStr">
        <is>
          <t>Tải file thành công, dữ liệu đúng</t>
        </is>
      </c>
      <c r="M241" s="8" t="inlineStr">
        <is>
          <t>TTCTDTTH_21.jpg</t>
        </is>
      </c>
      <c r="N241" s="42" t="inlineStr">
        <is>
          <t>Pass</t>
        </is>
      </c>
      <c r="O241" s="16" t="n"/>
      <c r="P241" s="16" t="n"/>
      <c r="Q241" s="16" t="n"/>
      <c r="R241" s="16" t="n"/>
      <c r="S241" s="16" t="n"/>
      <c r="T241" s="16" t="n"/>
      <c r="U241" s="16" t="n"/>
      <c r="V241" s="16" t="n"/>
      <c r="W241" s="16" t="n"/>
      <c r="X241" s="16" t="n"/>
      <c r="Y241" s="16" t="n"/>
      <c r="Z241" s="16" t="n"/>
      <c r="AA241" s="16" t="n"/>
      <c r="AB241" s="16" t="n"/>
      <c r="AC241" s="16" t="n"/>
    </row>
    <row r="242">
      <c r="A242" s="39" t="n"/>
      <c r="B242" s="33" t="n">
        <v>46206</v>
      </c>
      <c r="C242" s="40" t="inlineStr">
        <is>
          <t>Tuần 1</t>
        </is>
      </c>
      <c r="D242" s="41">
        <f>IF(G242&lt;&gt;"","TTCTDTTH_"&amp;TEXT(COUNTIF($G$221:G242,"&lt;&gt;"),"00"),"")</f>
        <v/>
      </c>
      <c r="E242" s="38" t="n"/>
      <c r="F242" s="14" t="n"/>
      <c r="G242" s="14" t="inlineStr">
        <is>
          <t>Kiểm tra footer</t>
        </is>
      </c>
      <c r="H242" s="14" t="inlineStr">
        <is>
          <t>-</t>
        </is>
      </c>
      <c r="I242" s="14" t="inlineStr">
        <is>
          <t>-</t>
        </is>
      </c>
      <c r="J242" s="14" t="inlineStr">
        <is>
          <t>Quan sát footer</t>
        </is>
      </c>
      <c r="K242" s="14" t="inlineStr">
        <is>
          <t>Hiển thị đúng x-y/tổng kết quả</t>
        </is>
      </c>
      <c r="L242" s="14" t="inlineStr">
        <is>
          <t>Hiển thị đúng x-y/tổng kết quả</t>
        </is>
      </c>
      <c r="M242" s="8" t="inlineStr">
        <is>
          <t>TTCTDTTH_22.jpg</t>
        </is>
      </c>
      <c r="N242" s="42" t="inlineStr">
        <is>
          <t>Pass</t>
        </is>
      </c>
      <c r="O242" s="16" t="n"/>
      <c r="P242" s="16" t="n"/>
      <c r="Q242" s="16" t="n"/>
      <c r="R242" s="16" t="n"/>
      <c r="S242" s="16" t="n"/>
      <c r="T242" s="16" t="n"/>
      <c r="U242" s="16" t="n"/>
      <c r="V242" s="16" t="n"/>
      <c r="W242" s="16" t="n"/>
      <c r="X242" s="16" t="n"/>
      <c r="Y242" s="16" t="n"/>
      <c r="Z242" s="16" t="n"/>
      <c r="AA242" s="16" t="n"/>
      <c r="AB242" s="16" t="n"/>
      <c r="AC242" s="16" t="n"/>
    </row>
    <row r="243">
      <c r="A243" s="39" t="n"/>
      <c r="B243" s="33" t="n">
        <v>46206</v>
      </c>
      <c r="C243" s="40" t="inlineStr">
        <is>
          <t>Tuần 1</t>
        </is>
      </c>
      <c r="D243" s="41">
        <f>IF(G243&lt;&gt;"","TTCTDTTH_"&amp;TEXT(COUNTIF($G$221:G243,"&lt;&gt;"),"00"),"")</f>
        <v/>
      </c>
      <c r="E243" s="38" t="n"/>
      <c r="F243" s="14" t="n"/>
      <c r="G243" s="14" t="inlineStr">
        <is>
          <t>20/trang</t>
        </is>
      </c>
      <c r="H243" s="14" t="inlineStr">
        <is>
          <t>-</t>
        </is>
      </c>
      <c r="I243" s="14" t="inlineStr">
        <is>
          <t>-</t>
        </is>
      </c>
      <c r="J243" s="14" t="inlineStr">
        <is>
          <t>Đổi 20-&gt;50</t>
        </is>
      </c>
      <c r="K243" s="14" t="inlineStr">
        <is>
          <t>Hiển thị đúng số dòng</t>
        </is>
      </c>
      <c r="L243" s="14" t="inlineStr">
        <is>
          <t>Hiển thị đúng số dòng</t>
        </is>
      </c>
      <c r="M243" s="8" t="inlineStr">
        <is>
          <t>TTCTDTTH_23.jpg</t>
        </is>
      </c>
      <c r="N243" s="42" t="inlineStr">
        <is>
          <t>Pass</t>
        </is>
      </c>
      <c r="O243" s="16" t="n"/>
      <c r="P243" s="16" t="n"/>
      <c r="Q243" s="16" t="n"/>
      <c r="R243" s="16" t="n"/>
      <c r="S243" s="16" t="n"/>
      <c r="T243" s="16" t="n"/>
      <c r="U243" s="16" t="n"/>
      <c r="V243" s="16" t="n"/>
      <c r="W243" s="16" t="n"/>
      <c r="X243" s="16" t="n"/>
      <c r="Y243" s="16" t="n"/>
      <c r="Z243" s="16" t="n"/>
      <c r="AA243" s="16" t="n"/>
      <c r="AB243" s="16" t="n"/>
      <c r="AC243" s="16" t="n"/>
    </row>
    <row r="244">
      <c r="A244" s="17" t="n"/>
      <c r="B244" s="18" t="n">
        <v>21</v>
      </c>
      <c r="C244" s="18" t="inlineStr">
        <is>
          <t>Tuần 1</t>
        </is>
      </c>
      <c r="D244" s="24" t="n"/>
      <c r="E244" s="24" t="inlineStr">
        <is>
          <t>Tìm kiếm chương trình đào tạo, tập huấn</t>
        </is>
      </c>
      <c r="F244" s="24" t="inlineStr">
        <is>
          <t>Cán bộ nghiệp vụ TW,BN,ĐP/Cán bộ phê duyệt TW,BN,ĐP/Doanh nghiệp/Người hỗ trợ</t>
        </is>
      </c>
      <c r="G244" s="27" t="inlineStr">
        <is>
          <t>Cung cấp công cụ tìm kiếm khóa học theo tên, thời gian, lĩnh vực.</t>
        </is>
      </c>
      <c r="H244" s="42" t="n"/>
      <c r="I244" s="16" t="n"/>
      <c r="J244" s="16" t="n"/>
      <c r="K244" s="16" t="n"/>
      <c r="L244" s="16" t="n"/>
      <c r="M244" s="16" t="n"/>
      <c r="N244" s="42" t="n"/>
      <c r="O244" s="16" t="n"/>
      <c r="P244" s="16" t="n"/>
      <c r="Q244" s="16" t="n"/>
      <c r="R244" s="16" t="n"/>
      <c r="S244" s="16" t="n"/>
      <c r="T244" s="16" t="n"/>
      <c r="U244" s="16" t="n"/>
      <c r="V244" s="16" t="n"/>
      <c r="W244" s="16" t="n"/>
      <c r="X244" s="16" t="n"/>
      <c r="Y244" s="16" t="n"/>
      <c r="Z244" s="16" t="n"/>
      <c r="AA244" s="16" t="n"/>
      <c r="AB244" s="16" t="n"/>
      <c r="AC244" s="16" t="n"/>
    </row>
    <row r="245">
      <c r="A245" s="39" t="n"/>
      <c r="B245" s="33" t="n">
        <v>46206</v>
      </c>
      <c r="C245" s="40" t="inlineStr">
        <is>
          <t>Tuần 1</t>
        </is>
      </c>
      <c r="D245" s="41">
        <f>IF(G245&lt;&gt;"","TKCTDTTH_"&amp;TEXT(COUNTIF($G$245:G245,"&lt;&gt;"),"00"),"")</f>
        <v/>
      </c>
      <c r="E245" s="38" t="n"/>
      <c r="F245" s="14" t="n"/>
      <c r="G245" s="14" t="inlineStr">
        <is>
          <t>Kiểm tra placeholder ô tìm kiếm</t>
        </is>
      </c>
      <c r="H245" s="14" t="inlineStr">
        <is>
          <t>User đã đăng nhập và ở màn danh sách CTĐT</t>
        </is>
      </c>
      <c r="I245" s="14" t="inlineStr">
        <is>
          <t>Không nhập dữ liệu</t>
        </is>
      </c>
      <c r="J245" s="14" t="inlineStr">
        <is>
          <t>Quan sát ô tìm kiếm bên trái bộ lọc</t>
        </is>
      </c>
      <c r="K245" s="14" t="inlineStr">
        <is>
          <t>Hiển thị placeholder 'Tìm theo tên/mã CTĐT' đúng UI, không che khuất nội dung</t>
        </is>
      </c>
      <c r="L245" s="14" t="inlineStr">
        <is>
          <t>Hiển thị placeholder 'Tìm theo tên/mã CTĐT' đúng UI, không che khuất nội dung</t>
        </is>
      </c>
      <c r="M245" s="8" t="inlineStr">
        <is>
          <t>TKCTDTTH_01.jpg</t>
        </is>
      </c>
      <c r="N245" s="42" t="inlineStr">
        <is>
          <t>Pass</t>
        </is>
      </c>
      <c r="O245" s="16" t="n"/>
      <c r="P245" s="16" t="n"/>
      <c r="Q245" s="16" t="n"/>
      <c r="R245" s="16" t="n"/>
      <c r="S245" s="16" t="n"/>
      <c r="T245" s="16" t="n"/>
      <c r="U245" s="16" t="n"/>
      <c r="V245" s="16" t="n"/>
      <c r="W245" s="16" t="n"/>
      <c r="X245" s="16" t="n"/>
      <c r="Y245" s="16" t="n"/>
      <c r="Z245" s="16" t="n"/>
      <c r="AA245" s="16" t="n"/>
      <c r="AB245" s="16" t="n"/>
      <c r="AC245" s="16" t="n"/>
    </row>
    <row r="246">
      <c r="A246" s="39" t="n"/>
      <c r="B246" s="33" t="n">
        <v>46206</v>
      </c>
      <c r="C246" s="40" t="inlineStr">
        <is>
          <t>Tuần 1</t>
        </is>
      </c>
      <c r="D246" s="41">
        <f>IF(G246&lt;&gt;"","TKCTDTTH_"&amp;TEXT(COUNTIF($G$245:G246,"&lt;&gt;"),"00"),"")</f>
        <v/>
      </c>
      <c r="E246" s="38" t="n"/>
      <c r="F246" s="14" t="n"/>
      <c r="G246" s="14" t="inlineStr">
        <is>
          <t>Tìm kiếm theo tên chương trình</t>
        </is>
      </c>
      <c r="H246" s="14" t="inlineStr">
        <is>
          <t>Có dữ liệu chương trình trong danh sách</t>
        </is>
      </c>
      <c r="I246" s="14" t="inlineStr">
        <is>
          <t>Chương trình đào tạo luật lao động năm 2026</t>
        </is>
      </c>
      <c r="J246" s="14" t="inlineStr">
        <is>
          <t>1. Nhập tên chương trình
 2. Bấm Tìm kiếm</t>
        </is>
      </c>
      <c r="K246" s="14" t="inlineStr">
        <is>
          <t>Danh sách chỉ hiển thị các chương trình có tên khớp điều kiện tìm kiếm</t>
        </is>
      </c>
      <c r="L246" s="14" t="inlineStr">
        <is>
          <t>Danh sách chỉ hiển thị các chương trình có tên khớp điều kiện tìm kiếm</t>
        </is>
      </c>
      <c r="M246" s="8" t="inlineStr">
        <is>
          <t>TKCTDTTH_02.jpg</t>
        </is>
      </c>
      <c r="N246" s="42" t="inlineStr">
        <is>
          <t>Pass</t>
        </is>
      </c>
      <c r="O246" s="16" t="n"/>
      <c r="P246" s="16" t="n"/>
      <c r="Q246" s="16" t="n"/>
      <c r="R246" s="16" t="n"/>
      <c r="S246" s="16" t="n"/>
      <c r="T246" s="16" t="n"/>
      <c r="U246" s="16" t="n"/>
      <c r="V246" s="16" t="n"/>
      <c r="W246" s="16" t="n"/>
      <c r="X246" s="16" t="n"/>
      <c r="Y246" s="16" t="n"/>
      <c r="Z246" s="16" t="n"/>
      <c r="AA246" s="16" t="n"/>
      <c r="AB246" s="16" t="n"/>
      <c r="AC246" s="16" t="n"/>
    </row>
    <row r="247">
      <c r="A247" s="39" t="n"/>
      <c r="B247" s="33" t="n">
        <v>46206</v>
      </c>
      <c r="C247" s="40" t="inlineStr">
        <is>
          <t>Tuần 1</t>
        </is>
      </c>
      <c r="D247" s="41">
        <f>IF(G247&lt;&gt;"","TKCTDTTH_"&amp;TEXT(COUNTIF($G$245:G247,"&lt;&gt;"),"00"),"")</f>
        <v/>
      </c>
      <c r="E247" s="38" t="n"/>
      <c r="F247" s="14" t="n"/>
      <c r="G247" s="14" t="inlineStr">
        <is>
          <t xml:space="preserve">Tìm kiếm theo mã CTĐT </t>
        </is>
      </c>
      <c r="H247" s="14" t="inlineStr">
        <is>
          <t>Có dữ liệu phù hợp</t>
        </is>
      </c>
      <c r="I247" s="14" t="inlineStr">
        <is>
          <t>CTDT-BTP-TW-2026-0008</t>
        </is>
      </c>
      <c r="J247" s="14" t="inlineStr">
        <is>
          <t>1. Nhập mã CTĐT
 2. Bấm Tìm kiếm</t>
        </is>
      </c>
      <c r="K247" s="14" t="inlineStr">
        <is>
          <t>Hiển thị đúng chương trình có mã tương ứng</t>
        </is>
      </c>
      <c r="L247" s="14" t="inlineStr">
        <is>
          <t>Hiển thị đúng chương trình có mã tương ứng</t>
        </is>
      </c>
      <c r="M247" s="8" t="inlineStr">
        <is>
          <t>TKCTDTTH_03.jpg</t>
        </is>
      </c>
      <c r="N247" s="42" t="inlineStr">
        <is>
          <t>Pass</t>
        </is>
      </c>
      <c r="O247" s="16" t="n"/>
      <c r="P247" s="16" t="n"/>
      <c r="Q247" s="16" t="n"/>
      <c r="R247" s="16" t="n"/>
      <c r="S247" s="16" t="n"/>
      <c r="T247" s="16" t="n"/>
      <c r="U247" s="16" t="n"/>
      <c r="V247" s="16" t="n"/>
      <c r="W247" s="16" t="n"/>
      <c r="X247" s="16" t="n"/>
      <c r="Y247" s="16" t="n"/>
      <c r="Z247" s="16" t="n"/>
      <c r="AA247" s="16" t="n"/>
      <c r="AB247" s="16" t="n"/>
      <c r="AC247" s="16" t="n"/>
    </row>
    <row r="248">
      <c r="A248" s="39" t="n"/>
      <c r="B248" s="33" t="n">
        <v>46206</v>
      </c>
      <c r="C248" s="40" t="inlineStr">
        <is>
          <t>Tuần 1</t>
        </is>
      </c>
      <c r="D248" s="41">
        <f>IF(G248&lt;&gt;"","TKCTDTTH_"&amp;TEXT(COUNTIF($G$245:G248,"&lt;&gt;"),"00"),"")</f>
        <v/>
      </c>
      <c r="E248" s="38" t="n"/>
      <c r="F248" s="14" t="n"/>
      <c r="G248" s="14" t="inlineStr">
        <is>
          <t>Tìm kiếm không phân biệt hoa thường</t>
        </is>
      </c>
      <c r="H248" s="14" t="inlineStr">
        <is>
          <t>Có dữ liệu phù hợp</t>
        </is>
      </c>
      <c r="I248" s="14" t="inlineStr">
        <is>
          <t>LUẬT LAO ĐỘNG</t>
        </is>
      </c>
      <c r="J248" s="14" t="inlineStr">
        <is>
          <t>1. Nhập từ khóa khác kiểu chữ
 2. Bấm Tìm kiếm</t>
        </is>
      </c>
      <c r="K248" s="14" t="inlineStr">
        <is>
          <t>Kết quả vẫn trả về đúng như khi nhập chữ thường</t>
        </is>
      </c>
      <c r="L248" s="14" t="inlineStr">
        <is>
          <t>Kết quả vẫn trả về đúng như khi nhập chữ thường</t>
        </is>
      </c>
      <c r="M248" s="8" t="inlineStr">
        <is>
          <t>TKCTDTTH_04.jpg</t>
        </is>
      </c>
      <c r="N248" s="42" t="inlineStr">
        <is>
          <t>Pass</t>
        </is>
      </c>
      <c r="O248" s="16" t="n"/>
      <c r="P248" s="16" t="n"/>
      <c r="Q248" s="16" t="n"/>
      <c r="R248" s="16" t="n"/>
      <c r="S248" s="16" t="n"/>
      <c r="T248" s="16" t="n"/>
      <c r="U248" s="16" t="n"/>
      <c r="V248" s="16" t="n"/>
      <c r="W248" s="16" t="n"/>
      <c r="X248" s="16" t="n"/>
      <c r="Y248" s="16" t="n"/>
      <c r="Z248" s="16" t="n"/>
      <c r="AA248" s="16" t="n"/>
      <c r="AB248" s="16" t="n"/>
      <c r="AC248" s="16" t="n"/>
    </row>
    <row r="249">
      <c r="A249" s="39" t="n"/>
      <c r="B249" s="33" t="n">
        <v>46206</v>
      </c>
      <c r="C249" s="40" t="inlineStr">
        <is>
          <t>Tuần 1</t>
        </is>
      </c>
      <c r="D249" s="41">
        <f>IF(G249&lt;&gt;"","TKCTDTTH_"&amp;TEXT(COUNTIF($G$245:G249,"&lt;&gt;"),"00"),"")</f>
        <v/>
      </c>
      <c r="E249" s="38" t="n"/>
      <c r="F249" s="14" t="n"/>
      <c r="G249" s="14" t="inlineStr">
        <is>
          <t>Tìm kiếm có khoảng trắng đầu/cuối</t>
        </is>
      </c>
      <c r="H249" s="14" t="inlineStr">
        <is>
          <t>Có dữ liệu phù hợp</t>
        </is>
      </c>
      <c r="I249" s="14" t="inlineStr">
        <is>
          <t>luật lao động</t>
        </is>
      </c>
      <c r="J249" s="14" t="inlineStr">
        <is>
          <t>1. Nhập từ khóa có khoảng trắng
 2. Bấm Tìm kiếm</t>
        </is>
      </c>
      <c r="K249" s="14" t="inlineStr">
        <is>
          <t>Hệ thống tự trim khoảng trắng và trả về kết quả đúng</t>
        </is>
      </c>
      <c r="L249" s="14" t="inlineStr">
        <is>
          <t>Hệ thống tự trim khoảng trắng và trả về kết quả đúng</t>
        </is>
      </c>
      <c r="M249" s="8" t="inlineStr">
        <is>
          <t>TKCTDTTH_05.jpg</t>
        </is>
      </c>
      <c r="N249" s="42" t="inlineStr">
        <is>
          <t>Pass</t>
        </is>
      </c>
      <c r="O249" s="16" t="n"/>
      <c r="P249" s="16" t="n"/>
      <c r="Q249" s="16" t="n"/>
      <c r="R249" s="16" t="n"/>
      <c r="S249" s="16" t="n"/>
      <c r="T249" s="16" t="n"/>
      <c r="U249" s="16" t="n"/>
      <c r="V249" s="16" t="n"/>
      <c r="W249" s="16" t="n"/>
      <c r="X249" s="16" t="n"/>
      <c r="Y249" s="16" t="n"/>
      <c r="Z249" s="16" t="n"/>
      <c r="AA249" s="16" t="n"/>
      <c r="AB249" s="16" t="n"/>
      <c r="AC249" s="16" t="n"/>
    </row>
    <row r="250">
      <c r="A250" s="39" t="n"/>
      <c r="B250" s="33" t="n">
        <v>46206</v>
      </c>
      <c r="C250" s="40" t="inlineStr">
        <is>
          <t>Tuần 1</t>
        </is>
      </c>
      <c r="D250" s="41">
        <f>IF(G250&lt;&gt;"","TKCTDTTH_"&amp;TEXT(COUNTIF($G$245:G250,"&lt;&gt;"),"00"),"")</f>
        <v/>
      </c>
      <c r="E250" s="38" t="n"/>
      <c r="F250" s="14" t="n"/>
      <c r="G250" s="14" t="inlineStr">
        <is>
          <t>Tìm kiếm ký tự không tồn tại</t>
        </is>
      </c>
      <c r="H250" s="14" t="inlineStr">
        <is>
          <t>Không có dữ liệu khớp</t>
        </is>
      </c>
      <c r="I250" s="14" t="inlineStr">
        <is>
          <t>abcxyz123</t>
        </is>
      </c>
      <c r="J250" s="14" t="inlineStr">
        <is>
          <t>1. Nhập từ khóa không tồn tại
 2. Bấm Tìm kiếm</t>
        </is>
      </c>
      <c r="K250" s="14" t="inlineStr">
        <is>
          <t>Hiển thị trạng thái không có dữ liệu/kết quả; không lỗi giao diện</t>
        </is>
      </c>
      <c r="L250" s="14" t="inlineStr">
        <is>
          <t>Hiển thị trạng thái không có dữ liệu/kết quả; không lỗi giao diện</t>
        </is>
      </c>
      <c r="M250" s="8" t="inlineStr">
        <is>
          <t>TKCTDTTH_06.jpg</t>
        </is>
      </c>
      <c r="N250" s="42" t="inlineStr">
        <is>
          <t>Pass</t>
        </is>
      </c>
      <c r="O250" s="16" t="n"/>
      <c r="P250" s="16" t="n"/>
      <c r="Q250" s="16" t="n"/>
      <c r="R250" s="16" t="n"/>
      <c r="S250" s="16" t="n"/>
      <c r="T250" s="16" t="n"/>
      <c r="U250" s="16" t="n"/>
      <c r="V250" s="16" t="n"/>
      <c r="W250" s="16" t="n"/>
      <c r="X250" s="16" t="n"/>
      <c r="Y250" s="16" t="n"/>
      <c r="Z250" s="16" t="n"/>
      <c r="AA250" s="16" t="n"/>
      <c r="AB250" s="16" t="n"/>
      <c r="AC250" s="16" t="n"/>
    </row>
    <row r="251">
      <c r="A251" s="39" t="n"/>
      <c r="B251" s="33" t="n">
        <v>46206</v>
      </c>
      <c r="C251" s="40" t="inlineStr">
        <is>
          <t>Tuần 1</t>
        </is>
      </c>
      <c r="D251" s="41">
        <f>IF(G251&lt;&gt;"","TKCTDTTH_"&amp;TEXT(COUNTIF($G$245:G251,"&lt;&gt;"),"00"),"")</f>
        <v/>
      </c>
      <c r="E251" s="38" t="n"/>
      <c r="F251" s="14" t="n"/>
      <c r="G251" s="14" t="inlineStr">
        <is>
          <t>Tìm kiếm ký tự đặc biệt</t>
        </is>
      </c>
      <c r="H251" s="14" t="inlineStr">
        <is>
          <t>-</t>
        </is>
      </c>
      <c r="I251" s="14" t="inlineStr">
        <is>
          <t>@#$%^&amp;*</t>
        </is>
      </c>
      <c r="J251" s="14" t="inlineStr">
        <is>
          <t>1. Nhập ký tự đặc biệt
 2. Bấm Tìm kiếm</t>
        </is>
      </c>
      <c r="K251" s="14" t="inlineStr">
        <is>
          <t>Không phát sinh lỗi; hệ thống xử lý an toàn và trả kết quả rỗng nếu không khớp</t>
        </is>
      </c>
      <c r="L251" s="14" t="inlineStr">
        <is>
          <t>Không phát sinh lỗi; hệ thống xử lý an toàn và trả kết quả rỗng nếu không khớp</t>
        </is>
      </c>
      <c r="M251" s="8" t="inlineStr">
        <is>
          <t>TKCTDTTH_07.jpg</t>
        </is>
      </c>
      <c r="N251" s="42" t="inlineStr">
        <is>
          <t>Pass</t>
        </is>
      </c>
      <c r="O251" s="16" t="n"/>
      <c r="P251" s="16" t="n"/>
      <c r="Q251" s="16" t="n"/>
      <c r="R251" s="16" t="n"/>
      <c r="S251" s="16" t="n"/>
      <c r="T251" s="16" t="n"/>
      <c r="U251" s="16" t="n"/>
      <c r="V251" s="16" t="n"/>
      <c r="W251" s="16" t="n"/>
      <c r="X251" s="16" t="n"/>
      <c r="Y251" s="16" t="n"/>
      <c r="Z251" s="16" t="n"/>
      <c r="AA251" s="16" t="n"/>
      <c r="AB251" s="16" t="n"/>
      <c r="AC251" s="16" t="n"/>
    </row>
    <row r="252">
      <c r="A252" s="39" t="n"/>
      <c r="B252" s="33" t="n">
        <v>46206</v>
      </c>
      <c r="C252" s="40" t="inlineStr">
        <is>
          <t>Tuần 1</t>
        </is>
      </c>
      <c r="D252" s="41">
        <f>IF(G252&lt;&gt;"","TKCTDTTH_"&amp;TEXT(COUNTIF($G$245:G252,"&lt;&gt;"),"00"),"")</f>
        <v/>
      </c>
      <c r="E252" s="38" t="n"/>
      <c r="F252" s="14" t="n"/>
      <c r="G252" s="14" t="inlineStr">
        <is>
          <t>Mở dropdown lĩnh vực</t>
        </is>
      </c>
      <c r="H252" s="14" t="inlineStr">
        <is>
          <t>Có dữ liệu danh mục lĩnh vực</t>
        </is>
      </c>
      <c r="I252" s="14" t="inlineStr">
        <is>
          <t>-</t>
        </is>
      </c>
      <c r="J252" s="14" t="inlineStr">
        <is>
          <t>1. Click ô Lĩnh vực</t>
        </is>
      </c>
      <c r="K252" s="14" t="inlineStr">
        <is>
          <t>Dropdown hiển thị danh sách lĩnh vực: Thuế, Lao động, Đất đai, Dân sự, Thương mại, Hình sự, Hành chính, Sở hữu trí tuệ...</t>
        </is>
      </c>
      <c r="L252" s="14" t="inlineStr">
        <is>
          <t>Dropdown hiển thị danh sách lĩnh vực: Thuế, Lao động, Đất đai, Dân sự, Thương mại, Hình sự, Hành chính, Sở hữu trí tuệ...</t>
        </is>
      </c>
      <c r="M252" s="8" t="inlineStr">
        <is>
          <t>TKCTDTTH_08.jpg</t>
        </is>
      </c>
      <c r="N252" s="42" t="inlineStr">
        <is>
          <t>Pass</t>
        </is>
      </c>
      <c r="O252" s="16" t="n"/>
      <c r="P252" s="16" t="n"/>
      <c r="Q252" s="16" t="n"/>
      <c r="R252" s="16" t="n"/>
      <c r="S252" s="16" t="n"/>
      <c r="T252" s="16" t="n"/>
      <c r="U252" s="16" t="n"/>
      <c r="V252" s="16" t="n"/>
      <c r="W252" s="16" t="n"/>
      <c r="X252" s="16" t="n"/>
      <c r="Y252" s="16" t="n"/>
      <c r="Z252" s="16" t="n"/>
      <c r="AA252" s="16" t="n"/>
      <c r="AB252" s="16" t="n"/>
      <c r="AC252" s="16" t="n"/>
    </row>
    <row r="253">
      <c r="A253" s="39" t="n"/>
      <c r="B253" s="33" t="n">
        <v>46206</v>
      </c>
      <c r="C253" s="40" t="inlineStr">
        <is>
          <t>Tuần 1</t>
        </is>
      </c>
      <c r="D253" s="41">
        <f>IF(G253&lt;&gt;"","TKCTDTTH_"&amp;TEXT(COUNTIF($G$245:G253,"&lt;&gt;"),"00"),"")</f>
        <v/>
      </c>
      <c r="E253" s="38" t="n"/>
      <c r="F253" s="14" t="n"/>
      <c r="G253" s="14" t="inlineStr">
        <is>
          <t>Chọn một lĩnh vực và tìm kiếm</t>
        </is>
      </c>
      <c r="H253" s="14" t="inlineStr">
        <is>
          <t>Có bản ghi thuộc lĩnh vực được chọn</t>
        </is>
      </c>
      <c r="I253" s="14" t="inlineStr">
        <is>
          <t>Lao động</t>
        </is>
      </c>
      <c r="J253" s="14" t="inlineStr">
        <is>
          <t>1. Chọn Lĩnh vực = Lao động
 2. Bấm Tìm kiếm</t>
        </is>
      </c>
      <c r="K253" s="14" t="inlineStr">
        <is>
          <t>Danh sách chỉ hiển thị các chương trình có lĩnh vực Lao động</t>
        </is>
      </c>
      <c r="L253" s="14" t="inlineStr">
        <is>
          <t>Danh sách chỉ hiển thị các chương trình có lĩnh vực Lao động</t>
        </is>
      </c>
      <c r="M253" s="8" t="inlineStr">
        <is>
          <t>TKCTDTTH_09.jpg</t>
        </is>
      </c>
      <c r="N253" s="42" t="inlineStr">
        <is>
          <t>Pass</t>
        </is>
      </c>
      <c r="O253" s="16" t="n"/>
      <c r="P253" s="16" t="n"/>
      <c r="Q253" s="16" t="n"/>
      <c r="R253" s="16" t="n"/>
      <c r="S253" s="16" t="n"/>
      <c r="T253" s="16" t="n"/>
      <c r="U253" s="16" t="n"/>
      <c r="V253" s="16" t="n"/>
      <c r="W253" s="16" t="n"/>
      <c r="X253" s="16" t="n"/>
      <c r="Y253" s="16" t="n"/>
      <c r="Z253" s="16" t="n"/>
      <c r="AA253" s="16" t="n"/>
      <c r="AB253" s="16" t="n"/>
      <c r="AC253" s="16" t="n"/>
    </row>
    <row r="254">
      <c r="A254" s="39" t="n"/>
      <c r="B254" s="33" t="n">
        <v>46206</v>
      </c>
      <c r="C254" s="40" t="inlineStr">
        <is>
          <t>Tuần 1</t>
        </is>
      </c>
      <c r="D254" s="41">
        <f>IF(G254&lt;&gt;"","TKCTDTTH_"&amp;TEXT(COUNTIF($G$245:G254,"&lt;&gt;"),"00"),"")</f>
        <v/>
      </c>
      <c r="E254" s="38" t="n"/>
      <c r="F254" s="14" t="n"/>
      <c r="G254" s="14" t="inlineStr">
        <is>
          <t>Chọn Từ ngày bằng date picker</t>
        </is>
      </c>
      <c r="H254" s="14" t="inlineStr">
        <is>
          <t>-</t>
        </is>
      </c>
      <c r="I254" s="14" t="n">
        <v>46023</v>
      </c>
      <c r="J254" s="14" t="inlineStr">
        <is>
          <t>1. Click ô Từ ngày
 2. Chọn ngày</t>
        </is>
      </c>
      <c r="K254" s="14" t="inlineStr">
        <is>
          <t>Ngày được điền đúng định dạng trong ô Từ ngày</t>
        </is>
      </c>
      <c r="L254" s="14" t="inlineStr">
        <is>
          <t>Ngày được điền đúng định dạng trong ô Từ ngày</t>
        </is>
      </c>
      <c r="M254" s="8" t="inlineStr">
        <is>
          <t>TKCTDTTH_10.jpg</t>
        </is>
      </c>
      <c r="N254" s="42" t="inlineStr">
        <is>
          <t>Pass</t>
        </is>
      </c>
      <c r="O254" s="16" t="n"/>
      <c r="P254" s="16" t="n"/>
      <c r="Q254" s="16" t="n"/>
      <c r="R254" s="16" t="n"/>
      <c r="S254" s="16" t="n"/>
      <c r="T254" s="16" t="n"/>
      <c r="U254" s="16" t="n"/>
      <c r="V254" s="16" t="n"/>
      <c r="W254" s="16" t="n"/>
      <c r="X254" s="16" t="n"/>
      <c r="Y254" s="16" t="n"/>
      <c r="Z254" s="16" t="n"/>
      <c r="AA254" s="16" t="n"/>
      <c r="AB254" s="16" t="n"/>
      <c r="AC254" s="16" t="n"/>
    </row>
    <row r="255">
      <c r="A255" s="39" t="n"/>
      <c r="B255" s="33" t="n">
        <v>46206</v>
      </c>
      <c r="C255" s="40" t="inlineStr">
        <is>
          <t>Tuần 1</t>
        </is>
      </c>
      <c r="D255" s="41">
        <f>IF(G255&lt;&gt;"","TKCTDTTH_"&amp;TEXT(COUNTIF($G$245:G255,"&lt;&gt;"),"00"),"")</f>
        <v/>
      </c>
      <c r="E255" s="38" t="n"/>
      <c r="F255" s="14" t="n"/>
      <c r="G255" s="14" t="inlineStr">
        <is>
          <t>Chọn Đến ngày bằng date picker</t>
        </is>
      </c>
      <c r="H255" s="14" t="inlineStr">
        <is>
          <t>-</t>
        </is>
      </c>
      <c r="I255" s="14" t="n">
        <v>46387</v>
      </c>
      <c r="J255" s="14" t="inlineStr">
        <is>
          <t>1. Click ô Đến ngày
 2. Chọn ngày</t>
        </is>
      </c>
      <c r="K255" s="14" t="inlineStr">
        <is>
          <t>Ngày được điền đúng định dạng trong ô Đến ngày</t>
        </is>
      </c>
      <c r="L255" s="14" t="inlineStr">
        <is>
          <t>Ngày được điền đúng định dạng trong ô Đến ngày</t>
        </is>
      </c>
      <c r="M255" s="8" t="inlineStr">
        <is>
          <t>TKCTDTTH_11.jpg</t>
        </is>
      </c>
      <c r="N255" s="42" t="inlineStr">
        <is>
          <t>Pass</t>
        </is>
      </c>
      <c r="O255" s="16" t="n"/>
      <c r="P255" s="16" t="n"/>
      <c r="Q255" s="16" t="n"/>
      <c r="R255" s="16" t="n"/>
      <c r="S255" s="16" t="n"/>
      <c r="T255" s="16" t="n"/>
      <c r="U255" s="16" t="n"/>
      <c r="V255" s="16" t="n"/>
      <c r="W255" s="16" t="n"/>
      <c r="X255" s="16" t="n"/>
      <c r="Y255" s="16" t="n"/>
      <c r="Z255" s="16" t="n"/>
      <c r="AA255" s="16" t="n"/>
      <c r="AB255" s="16" t="n"/>
      <c r="AC255" s="16" t="n"/>
    </row>
    <row r="256">
      <c r="A256" s="39" t="n"/>
      <c r="B256" s="33" t="n">
        <v>46206</v>
      </c>
      <c r="C256" s="40" t="inlineStr">
        <is>
          <t>Tuần 1</t>
        </is>
      </c>
      <c r="D256" s="41">
        <f>IF(G256&lt;&gt;"","TKCTDTTH_"&amp;TEXT(COUNTIF($G$245:G256,"&lt;&gt;"),"00"),"")</f>
        <v/>
      </c>
      <c r="E256" s="38" t="n"/>
      <c r="F256" s="14" t="n"/>
      <c r="G256" s="14" t="inlineStr">
        <is>
          <t>Lọc theo khoảng thời gian hợp lệ</t>
        </is>
      </c>
      <c r="H256" s="14" t="inlineStr">
        <is>
          <t>Có dữ liệu trong khoảng ngày</t>
        </is>
      </c>
      <c r="I256" s="14" t="inlineStr">
        <is>
          <t>01/01/2026 - 31/12/2026</t>
        </is>
      </c>
      <c r="J256" s="14" t="inlineStr">
        <is>
          <t>1. Chọn Từ ngày
 2. Chọn Đến ngày
 3. Bấm Tìm kiếm</t>
        </is>
      </c>
      <c r="K256" s="14" t="inlineStr">
        <is>
          <t>Danh sách chỉ hiển thị chương trình có thời gian thuộc khoảng đã chọn</t>
        </is>
      </c>
      <c r="L256" s="14" t="inlineStr">
        <is>
          <t>Danh sách chỉ hiển thị chương trình có thời gian thuộc khoảng đã chọn</t>
        </is>
      </c>
      <c r="M256" s="8" t="inlineStr">
        <is>
          <t>TKCTDTTH_12.jpg</t>
        </is>
      </c>
      <c r="N256" s="42" t="inlineStr">
        <is>
          <t>Pass</t>
        </is>
      </c>
      <c r="O256" s="16" t="n"/>
      <c r="P256" s="16" t="n"/>
      <c r="Q256" s="16" t="n"/>
      <c r="R256" s="16" t="n"/>
      <c r="S256" s="16" t="n"/>
      <c r="T256" s="16" t="n"/>
      <c r="U256" s="16" t="n"/>
      <c r="V256" s="16" t="n"/>
      <c r="W256" s="16" t="n"/>
      <c r="X256" s="16" t="n"/>
      <c r="Y256" s="16" t="n"/>
      <c r="Z256" s="16" t="n"/>
      <c r="AA256" s="16" t="n"/>
      <c r="AB256" s="16" t="n"/>
      <c r="AC256" s="16" t="n"/>
    </row>
    <row r="257">
      <c r="A257" s="39" t="n"/>
      <c r="B257" s="33" t="n">
        <v>46206</v>
      </c>
      <c r="C257" s="40" t="inlineStr">
        <is>
          <t>Tuần 1</t>
        </is>
      </c>
      <c r="D257" s="41">
        <f>IF(G257&lt;&gt;"","TKCTDTTH_"&amp;TEXT(COUNTIF($G$245:G257,"&lt;&gt;"),"00"),"")</f>
        <v/>
      </c>
      <c r="E257" s="38" t="n"/>
      <c r="F257" s="14" t="n"/>
      <c r="G257" s="14" t="inlineStr">
        <is>
          <t>Chỉ nhập Từ ngày</t>
        </is>
      </c>
      <c r="H257" s="14" t="inlineStr">
        <is>
          <t>Có dữ liệu từ ngày trở đi</t>
        </is>
      </c>
      <c r="I257" s="14" t="n">
        <v>46023</v>
      </c>
      <c r="J257" s="14" t="inlineStr">
        <is>
          <t>1. Chọn Từ ngày
 2. Để trống Đến ngày
 3. Bấm Tìm kiếm</t>
        </is>
      </c>
      <c r="K257" s="14" t="inlineStr">
        <is>
          <t>Hiển thị chương trình có thời gian từ ngày đã chọn trở đi</t>
        </is>
      </c>
      <c r="L257" s="14" t="inlineStr">
        <is>
          <t>Hiển thị chương trình có thời gian từ ngày đã chọn trở đi</t>
        </is>
      </c>
      <c r="M257" s="8" t="inlineStr">
        <is>
          <t>TKCTDTTH_13.jpg</t>
        </is>
      </c>
      <c r="N257" s="42" t="inlineStr">
        <is>
          <t>Pass</t>
        </is>
      </c>
      <c r="O257" s="16" t="n"/>
      <c r="P257" s="16" t="n"/>
      <c r="Q257" s="16" t="n"/>
      <c r="R257" s="16" t="n"/>
      <c r="S257" s="16" t="n"/>
      <c r="T257" s="16" t="n"/>
      <c r="U257" s="16" t="n"/>
      <c r="V257" s="16" t="n"/>
      <c r="W257" s="16" t="n"/>
      <c r="X257" s="16" t="n"/>
      <c r="Y257" s="16" t="n"/>
      <c r="Z257" s="16" t="n"/>
      <c r="AA257" s="16" t="n"/>
      <c r="AB257" s="16" t="n"/>
      <c r="AC257" s="16" t="n"/>
    </row>
    <row r="258">
      <c r="A258" s="39" t="n"/>
      <c r="B258" s="33" t="n">
        <v>46206</v>
      </c>
      <c r="C258" s="40" t="inlineStr">
        <is>
          <t>Tuần 1</t>
        </is>
      </c>
      <c r="D258" s="41">
        <f>IF(G258&lt;&gt;"","TKCTDTTH_"&amp;TEXT(COUNTIF($G$245:G258,"&lt;&gt;"),"00"),"")</f>
        <v/>
      </c>
      <c r="E258" s="38" t="n"/>
      <c r="F258" s="14" t="n"/>
      <c r="G258" s="14" t="inlineStr">
        <is>
          <t>Chỉ nhập Đến ngày</t>
        </is>
      </c>
      <c r="H258" s="14" t="inlineStr">
        <is>
          <t>Có dữ liệu trước ngày</t>
        </is>
      </c>
      <c r="I258" s="14" t="n">
        <v>46387</v>
      </c>
      <c r="J258" s="14" t="inlineStr">
        <is>
          <t>1. Để trống Từ ngày
 2. Chọn Đến ngày
 3. Bấm Tìm kiếm</t>
        </is>
      </c>
      <c r="K258" s="14" t="inlineStr">
        <is>
          <t>Hiển thị chương trình có thời gian đến ngày đã chọn</t>
        </is>
      </c>
      <c r="L258" s="14" t="inlineStr">
        <is>
          <t>Hiển thị chương trình có thời gian đến ngày đã chọn</t>
        </is>
      </c>
      <c r="M258" s="8" t="inlineStr">
        <is>
          <t>TKCTDTTH_14.jpg</t>
        </is>
      </c>
      <c r="N258" s="42" t="inlineStr">
        <is>
          <t>Pass</t>
        </is>
      </c>
      <c r="O258" s="16" t="n"/>
      <c r="P258" s="16" t="n"/>
      <c r="Q258" s="16" t="n"/>
      <c r="R258" s="16" t="n"/>
      <c r="S258" s="16" t="n"/>
      <c r="T258" s="16" t="n"/>
      <c r="U258" s="16" t="n"/>
      <c r="V258" s="16" t="n"/>
      <c r="W258" s="16" t="n"/>
      <c r="X258" s="16" t="n"/>
      <c r="Y258" s="16" t="n"/>
      <c r="Z258" s="16" t="n"/>
      <c r="AA258" s="16" t="n"/>
      <c r="AB258" s="16" t="n"/>
      <c r="AC258" s="16" t="n"/>
    </row>
    <row r="259">
      <c r="A259" s="39" t="n"/>
      <c r="B259" s="33" t="n">
        <v>46206</v>
      </c>
      <c r="C259" s="40" t="inlineStr">
        <is>
          <t>Tuần 1</t>
        </is>
      </c>
      <c r="D259" s="41">
        <f>IF(G259&lt;&gt;"","TKCTDTTH_"&amp;TEXT(COUNTIF($G$245:G259,"&lt;&gt;"),"00"),"")</f>
        <v/>
      </c>
      <c r="E259" s="38" t="n"/>
      <c r="F259" s="14" t="n"/>
      <c r="G259" s="14" t="inlineStr">
        <is>
          <t>Từ ngày lớn hơn Đến ngày</t>
        </is>
      </c>
      <c r="H259" s="14" t="inlineStr">
        <is>
          <t>-</t>
        </is>
      </c>
      <c r="I259" s="14" t="inlineStr">
        <is>
          <t>31/12/2026 - 01/01/2026</t>
        </is>
      </c>
      <c r="J259" s="14" t="inlineStr">
        <is>
          <t>1. Chọn Từ ngày sau Đến ngày
 2. Bấm Tìm kiếm</t>
        </is>
      </c>
      <c r="K259" s="14" t="inlineStr">
        <is>
          <t>Hiển thị cảnh báo hợp lệ, ví dụ 'Từ ngày không được lớn hơn Đến ngày'; không thực hiện tìm kiếm sai</t>
        </is>
      </c>
      <c r="L259" s="14" t="inlineStr">
        <is>
          <t>Hiển thị cảnh báo hợp lệ, ví dụ 'Từ ngày không được lớn hơn Đến ngày'; không thực hiện tìm kiếm sai</t>
        </is>
      </c>
      <c r="M259" s="8" t="inlineStr">
        <is>
          <t>TKCTDTTH_15.jpg</t>
        </is>
      </c>
      <c r="N259" s="42" t="inlineStr">
        <is>
          <t>Pass</t>
        </is>
      </c>
      <c r="O259" s="16" t="n"/>
      <c r="P259" s="16" t="n"/>
      <c r="Q259" s="16" t="n"/>
      <c r="R259" s="16" t="n"/>
      <c r="S259" s="16" t="n"/>
      <c r="T259" s="16" t="n"/>
      <c r="U259" s="16" t="n"/>
      <c r="V259" s="16" t="n"/>
      <c r="W259" s="16" t="n"/>
      <c r="X259" s="16" t="n"/>
      <c r="Y259" s="16" t="n"/>
      <c r="Z259" s="16" t="n"/>
      <c r="AA259" s="16" t="n"/>
      <c r="AB259" s="16" t="n"/>
      <c r="AC259" s="16" t="n"/>
    </row>
    <row r="260">
      <c r="A260" s="39" t="n"/>
      <c r="B260" s="33" t="n">
        <v>46206</v>
      </c>
      <c r="C260" s="40" t="inlineStr">
        <is>
          <t>Tuần 1</t>
        </is>
      </c>
      <c r="D260" s="41">
        <f>IF(G260&lt;&gt;"","TKCTDTTH_"&amp;TEXT(COUNTIF($G$245:G260,"&lt;&gt;"),"00"),"")</f>
        <v/>
      </c>
      <c r="E260" s="38" t="n"/>
      <c r="F260" s="14" t="n"/>
      <c r="G260" s="14" t="inlineStr">
        <is>
          <t>Lọc khoảng ngày không có dữ liệu</t>
        </is>
      </c>
      <c r="H260" s="14" t="inlineStr">
        <is>
          <t>Không có bản ghi trong khoảng</t>
        </is>
      </c>
      <c r="I260" s="14" t="inlineStr">
        <is>
          <t>01/01/2030 - 31/12/2030</t>
        </is>
      </c>
      <c r="J260" s="14" t="inlineStr">
        <is>
          <t>1. Chọn khoảng ngày không có dữ liệu
 2. Bấm Tìm kiếm</t>
        </is>
      </c>
      <c r="K260" s="14" t="inlineStr">
        <is>
          <t>Hiển thị không có dữ liệu/kết quả phù hợp</t>
        </is>
      </c>
      <c r="L260" s="14" t="inlineStr">
        <is>
          <t>Hiển thị không có dữ liệu/kết quả phù hợp</t>
        </is>
      </c>
      <c r="M260" s="8" t="inlineStr">
        <is>
          <t>TKCTDTTH_16.jpg</t>
        </is>
      </c>
      <c r="N260" s="42" t="inlineStr">
        <is>
          <t>Pass</t>
        </is>
      </c>
      <c r="O260" s="16" t="n"/>
      <c r="P260" s="16" t="n"/>
      <c r="Q260" s="16" t="n"/>
      <c r="R260" s="16" t="n"/>
      <c r="S260" s="16" t="n"/>
      <c r="T260" s="16" t="n"/>
      <c r="U260" s="16" t="n"/>
      <c r="V260" s="16" t="n"/>
      <c r="W260" s="16" t="n"/>
      <c r="X260" s="16" t="n"/>
      <c r="Y260" s="16" t="n"/>
      <c r="Z260" s="16" t="n"/>
      <c r="AA260" s="16" t="n"/>
      <c r="AB260" s="16" t="n"/>
      <c r="AC260" s="16" t="n"/>
    </row>
    <row r="261">
      <c r="A261" s="39" t="n"/>
      <c r="B261" s="33" t="n">
        <v>46206</v>
      </c>
      <c r="C261" s="40" t="inlineStr">
        <is>
          <t>Tuần 1</t>
        </is>
      </c>
      <c r="D261" s="41">
        <f>IF(G261&lt;&gt;"","TKCTDTTH_"&amp;TEXT(COUNTIF($G$245:G261,"&lt;&gt;"),"00"),"")</f>
        <v/>
      </c>
      <c r="E261" s="38" t="n"/>
      <c r="F261" s="14" t="n"/>
      <c r="G261" s="14" t="inlineStr">
        <is>
          <t xml:space="preserve">Kết hợp điều kiện </t>
        </is>
      </c>
      <c r="H261" s="14" t="inlineStr">
        <is>
          <t>Có dữ liệu phù hợp</t>
        </is>
      </c>
      <c r="I261" s="14" t="n"/>
      <c r="J261" s="14" t="inlineStr">
        <is>
          <t>1. Nhập từ khóa
 2. Chọn lĩnh vực
 3. Chọn khoảng ngày
 4. Bấm Tìm kiếm</t>
        </is>
      </c>
      <c r="K261" s="14" t="inlineStr">
        <is>
          <t>Hiển thị các bản ghi phù hợp với tiêu chí tìm kiếm</t>
        </is>
      </c>
      <c r="L261" s="14" t="inlineStr">
        <is>
          <t>Hiển thị các bản ghi phù hợp với tiêu chí tìm kiếm</t>
        </is>
      </c>
      <c r="M261" s="8" t="inlineStr">
        <is>
          <t>TKCTDTTH_17.jpg</t>
        </is>
      </c>
      <c r="N261" s="42" t="inlineStr">
        <is>
          <t>Pass</t>
        </is>
      </c>
      <c r="O261" s="16" t="n"/>
      <c r="P261" s="16" t="n"/>
      <c r="Q261" s="16" t="n"/>
      <c r="R261" s="16" t="n"/>
      <c r="S261" s="16" t="n"/>
      <c r="T261" s="16" t="n"/>
      <c r="U261" s="16" t="n"/>
      <c r="V261" s="16" t="n"/>
      <c r="W261" s="16" t="n"/>
      <c r="X261" s="16" t="n"/>
      <c r="Y261" s="16" t="n"/>
      <c r="Z261" s="16" t="n"/>
      <c r="AA261" s="16" t="n"/>
      <c r="AB261" s="16" t="n"/>
      <c r="AC261" s="16" t="n"/>
    </row>
    <row r="262">
      <c r="A262" s="39" t="n"/>
      <c r="B262" s="33" t="n">
        <v>46206</v>
      </c>
      <c r="C262" s="40" t="inlineStr">
        <is>
          <t>Tuần 1</t>
        </is>
      </c>
      <c r="D262" s="41">
        <f>IF(G262&lt;&gt;"","TKCTDTTH_"&amp;TEXT(COUNTIF($G$245:G262,"&lt;&gt;"),"00"),"")</f>
        <v/>
      </c>
      <c r="E262" s="38" t="n"/>
      <c r="F262" s="14" t="n"/>
      <c r="G262" s="14" t="inlineStr">
        <is>
          <t>Bấm Tìm kiếm khi không nhập bộ lọc</t>
        </is>
      </c>
      <c r="H262" s="14" t="inlineStr">
        <is>
          <t>-</t>
        </is>
      </c>
      <c r="I262" s="14" t="inlineStr">
        <is>
          <t>Trống</t>
        </is>
      </c>
      <c r="J262" s="14" t="inlineStr">
        <is>
          <t>1. Để trống tất cả điều kiện
 2. Bấm Tìm kiếm</t>
        </is>
      </c>
      <c r="K262" s="14" t="inlineStr">
        <is>
          <t>Hiển thị danh sách mặc định/toàn bộ dữ liệu theo tab hiện tại</t>
        </is>
      </c>
      <c r="L262" s="14" t="inlineStr">
        <is>
          <t>Hiển thị danh sách mặc định/toàn bộ dữ liệu theo tab hiện tại</t>
        </is>
      </c>
      <c r="M262" s="8" t="inlineStr">
        <is>
          <t>TKCTDTTH_18.jpg</t>
        </is>
      </c>
      <c r="N262" s="42" t="inlineStr">
        <is>
          <t>Pass</t>
        </is>
      </c>
      <c r="O262" s="16" t="n"/>
      <c r="P262" s="16" t="n"/>
      <c r="Q262" s="16" t="n"/>
      <c r="R262" s="16" t="n"/>
      <c r="S262" s="16" t="n"/>
      <c r="T262" s="16" t="n"/>
      <c r="U262" s="16" t="n"/>
      <c r="V262" s="16" t="n"/>
      <c r="W262" s="16" t="n"/>
      <c r="X262" s="16" t="n"/>
      <c r="Y262" s="16" t="n"/>
      <c r="Z262" s="16" t="n"/>
      <c r="AA262" s="16" t="n"/>
      <c r="AB262" s="16" t="n"/>
      <c r="AC262" s="16" t="n"/>
    </row>
    <row r="263">
      <c r="A263" s="39" t="n"/>
      <c r="B263" s="33" t="n">
        <v>46206</v>
      </c>
      <c r="C263" s="40" t="inlineStr">
        <is>
          <t>Tuần 1</t>
        </is>
      </c>
      <c r="D263" s="41">
        <f>IF(G263&lt;&gt;"","TKCTDTTH_"&amp;TEXT(COUNTIF($G$245:G263,"&lt;&gt;"),"00"),"")</f>
        <v/>
      </c>
      <c r="E263" s="38" t="n"/>
      <c r="F263" s="14" t="n"/>
      <c r="G263" s="14" t="inlineStr">
        <is>
          <t>Xóa toàn bộ điều kiện tìm kiếm</t>
        </is>
      </c>
      <c r="H263" s="14" t="inlineStr">
        <is>
          <t>Đã nhập từ khóa, lĩnh vực, ngày</t>
        </is>
      </c>
      <c r="I263" s="14" t="inlineStr">
        <is>
          <t>-</t>
        </is>
      </c>
      <c r="J263" s="14" t="inlineStr">
        <is>
          <t>1. Bấm Xóa bộ lọc</t>
        </is>
      </c>
      <c r="K263" s="14" t="inlineStr">
        <is>
          <t>Các ô tìm kiếm, lĩnh vực, từ ngày, đến ngày được làm trống; danh sách về trạng thái mặc định</t>
        </is>
      </c>
      <c r="L263" s="14" t="inlineStr">
        <is>
          <t>Các ô tìm kiếm, lĩnh vực, từ ngày, đến ngày được làm trống; danh sách về trạng thái mặc định</t>
        </is>
      </c>
      <c r="M263" s="8" t="inlineStr">
        <is>
          <t>TKCTDTTH_19.jpg</t>
        </is>
      </c>
      <c r="N263" s="42" t="inlineStr">
        <is>
          <t>Pass</t>
        </is>
      </c>
      <c r="O263" s="16" t="n"/>
      <c r="P263" s="16" t="n"/>
      <c r="Q263" s="16" t="n"/>
      <c r="R263" s="16" t="n"/>
      <c r="S263" s="16" t="n"/>
      <c r="T263" s="16" t="n"/>
      <c r="U263" s="16" t="n"/>
      <c r="V263" s="16" t="n"/>
      <c r="W263" s="16" t="n"/>
      <c r="X263" s="16" t="n"/>
      <c r="Y263" s="16" t="n"/>
      <c r="Z263" s="16" t="n"/>
      <c r="AA263" s="16" t="n"/>
      <c r="AB263" s="16" t="n"/>
      <c r="AC263" s="16" t="n"/>
    </row>
    <row r="264">
      <c r="A264" s="39" t="n"/>
      <c r="B264" s="33" t="n">
        <v>46206</v>
      </c>
      <c r="C264" s="40" t="inlineStr">
        <is>
          <t>Tuần 1</t>
        </is>
      </c>
      <c r="D264" s="41">
        <f>IF(G264&lt;&gt;"","TKCTDTTH_"&amp;TEXT(COUNTIF($G$245:G264,"&lt;&gt;"),"00"),"")</f>
        <v/>
      </c>
      <c r="E264" s="38" t="n"/>
      <c r="F264" s="14" t="n"/>
      <c r="G264" s="14" t="inlineStr">
        <is>
          <t>Tìm kiếm trong tab trạng thái đang chọn</t>
        </is>
      </c>
      <c r="H264" s="14" t="inlineStr">
        <is>
          <t>Có dữ liệu nhiều trạng thái</t>
        </is>
      </c>
      <c r="I264" s="14" t="inlineStr">
        <is>
          <t>Lao động</t>
        </is>
      </c>
      <c r="J264" s="14" t="inlineStr">
        <is>
          <t>1. Chọn tab Đã duyệt
 2. Nhập điều kiện tìm kiếm
 3. Bấm Tìm kiếm</t>
        </is>
      </c>
      <c r="K264" s="14" t="inlineStr">
        <is>
          <t>Kết quả chỉ nằm trong tab Đã duyệt và thỏa điều kiện tìm kiếm</t>
        </is>
      </c>
      <c r="L264" s="14" t="inlineStr">
        <is>
          <t>Kết quả chỉ nằm trong tab Đã duyệt và thỏa điều kiện tìm kiếm</t>
        </is>
      </c>
      <c r="M264" s="8" t="inlineStr">
        <is>
          <t>TKCTDTTH_20.jpg</t>
        </is>
      </c>
      <c r="N264" s="42" t="inlineStr">
        <is>
          <t>Pass</t>
        </is>
      </c>
      <c r="O264" s="16" t="n"/>
      <c r="P264" s="16" t="n"/>
      <c r="Q264" s="16" t="n"/>
      <c r="R264" s="16" t="n"/>
      <c r="S264" s="16" t="n"/>
      <c r="T264" s="16" t="n"/>
      <c r="U264" s="16" t="n"/>
      <c r="V264" s="16" t="n"/>
      <c r="W264" s="16" t="n"/>
      <c r="X264" s="16" t="n"/>
      <c r="Y264" s="16" t="n"/>
      <c r="Z264" s="16" t="n"/>
      <c r="AA264" s="16" t="n"/>
      <c r="AB264" s="16" t="n"/>
      <c r="AC264" s="16" t="n"/>
    </row>
    <row r="265">
      <c r="A265" s="39" t="n"/>
      <c r="B265" s="33" t="n">
        <v>46206</v>
      </c>
      <c r="C265" s="40" t="inlineStr">
        <is>
          <t>Tuần 1</t>
        </is>
      </c>
      <c r="D265" s="41">
        <f>IF(G265&lt;&gt;"","TKCTDTTH_"&amp;TEXT(COUNTIF($G$245:G265,"&lt;&gt;"),"00"),"")</f>
        <v/>
      </c>
      <c r="E265" s="38" t="n"/>
      <c r="F265" s="14" t="n"/>
      <c r="G265" s="14" t="inlineStr">
        <is>
          <t>Đổi tab sau khi đã lọc</t>
        </is>
      </c>
      <c r="H265" s="14" t="inlineStr">
        <is>
          <t>Đã áp dụng bộ lọc</t>
        </is>
      </c>
      <c r="I265" s="14" t="inlineStr">
        <is>
          <t>-</t>
        </is>
      </c>
      <c r="J265" s="14" t="inlineStr">
        <is>
          <t>1. Lọc dữ liệu
 2. Chuyển sang tab khác</t>
        </is>
      </c>
      <c r="K265" s="14" t="inlineStr">
        <is>
          <t>Hệ thống xử lý đúng theo thiết kế: giữ bộ lọc hoặc reset bộ lọc; dữ liệu không sai trạng thái</t>
        </is>
      </c>
      <c r="L265" s="14" t="inlineStr">
        <is>
          <t>Hệ thống xử lý đúng theo thiết kế: giữ bộ lọc hoặc reset bộ lọc; dữ liệu không sai trạng thái</t>
        </is>
      </c>
      <c r="M265" s="8" t="inlineStr">
        <is>
          <t>TKCTDTTH_21.jpg</t>
        </is>
      </c>
      <c r="N265" s="42" t="inlineStr">
        <is>
          <t>Pass</t>
        </is>
      </c>
      <c r="O265" s="16" t="n"/>
      <c r="P265" s="16" t="n"/>
      <c r="Q265" s="16" t="n"/>
      <c r="R265" s="16" t="n"/>
      <c r="S265" s="16" t="n"/>
      <c r="T265" s="16" t="n"/>
      <c r="U265" s="16" t="n"/>
      <c r="V265" s="16" t="n"/>
      <c r="W265" s="16" t="n"/>
      <c r="X265" s="16" t="n"/>
      <c r="Y265" s="16" t="n"/>
      <c r="Z265" s="16" t="n"/>
      <c r="AA265" s="16" t="n"/>
      <c r="AB265" s="16" t="n"/>
      <c r="AC265" s="16" t="n"/>
    </row>
    <row r="266">
      <c r="A266" s="17" t="n"/>
      <c r="B266" s="18" t="n">
        <v>22</v>
      </c>
      <c r="C266" s="18" t="inlineStr">
        <is>
          <t>Tuần 1</t>
        </is>
      </c>
      <c r="D266" s="24" t="n"/>
      <c r="E266" s="24" t="inlineStr">
        <is>
          <t>Quản lý đăng ký đào tạo, tập huấn</t>
        </is>
      </c>
      <c r="F266" s="24" t="inlineStr">
        <is>
          <t>Cán bộ nghiệp vụ TW,BN,ĐP/Cán bộ phê duyệt TW,BN,ĐP</t>
        </is>
      </c>
      <c r="G266" s="27" t="inlineStr">
        <is>
          <t>Quản lý danh sách người đăng ký tham gia các khóa đào tạo và trạng thái phê duyệt đăng ký.</t>
        </is>
      </c>
      <c r="H266" s="42" t="n"/>
      <c r="I266" s="16" t="n"/>
      <c r="J266" s="16" t="n"/>
      <c r="K266" s="16" t="n"/>
      <c r="L266" s="16" t="n"/>
      <c r="M266" s="16" t="n"/>
      <c r="N266" s="42" t="n"/>
      <c r="O266" s="16" t="n"/>
      <c r="P266" s="16" t="n"/>
      <c r="Q266" s="16" t="n"/>
      <c r="R266" s="16" t="n"/>
      <c r="S266" s="16" t="n"/>
      <c r="T266" s="16" t="n"/>
      <c r="U266" s="16" t="n"/>
      <c r="V266" s="16" t="n"/>
      <c r="W266" s="16" t="n"/>
      <c r="X266" s="16" t="n"/>
      <c r="Y266" s="16" t="n"/>
      <c r="Z266" s="16" t="n"/>
      <c r="AA266" s="16" t="n"/>
      <c r="AB266" s="16" t="n"/>
      <c r="AC266" s="16" t="n"/>
    </row>
    <row r="267">
      <c r="A267" s="39" t="n"/>
      <c r="B267" s="33" t="n">
        <v>46206</v>
      </c>
      <c r="C267" s="40" t="inlineStr">
        <is>
          <t>Tuần 1</t>
        </is>
      </c>
      <c r="D267" s="41">
        <f>IF(G267&lt;&gt;"","QLDKDTTH_"&amp;TEXT(COUNTIF($G$267:G267,"&lt;&gt;"),"00"),"")</f>
        <v/>
      </c>
      <c r="E267" s="41" t="n"/>
      <c r="F267" s="41" t="n"/>
      <c r="G267" s="41" t="inlineStr">
        <is>
          <t>Truy cập màn hình</t>
        </is>
      </c>
      <c r="H267" s="26" t="inlineStr">
        <is>
          <t>1. Đăng nhập tài khoản thuộc phân quyền thực hiện chức năng</t>
        </is>
      </c>
      <c r="I267" s="16" t="n"/>
      <c r="J267" s="16" t="inlineStr">
        <is>
          <t>1. Chọn menu "Đào tạo, tập huấn" -&gt; "Khóa học"</t>
        </is>
      </c>
      <c r="K267" s="16" t="inlineStr">
        <is>
          <t>Hệ thống truy cập màn hình thành công</t>
        </is>
      </c>
      <c r="L267" s="16" t="inlineStr">
        <is>
          <t>Hệ thống truy cập màn hình thành công</t>
        </is>
      </c>
      <c r="M267" s="8" t="inlineStr">
        <is>
          <t>QLDKDTTH_01.jpg</t>
        </is>
      </c>
      <c r="N267" s="42" t="inlineStr">
        <is>
          <t>Pass</t>
        </is>
      </c>
      <c r="O267" s="16" t="n"/>
      <c r="P267" s="16" t="n"/>
      <c r="Q267" s="16" t="n"/>
      <c r="R267" s="16" t="n"/>
      <c r="S267" s="16" t="n"/>
      <c r="T267" s="16" t="n"/>
      <c r="U267" s="16" t="n"/>
      <c r="V267" s="16" t="n"/>
      <c r="W267" s="16" t="n"/>
      <c r="X267" s="16" t="n"/>
      <c r="Y267" s="16" t="n"/>
      <c r="Z267" s="16" t="n"/>
      <c r="AA267" s="16" t="n"/>
      <c r="AB267" s="16" t="n"/>
      <c r="AC267" s="16" t="n"/>
    </row>
    <row r="268">
      <c r="A268" s="39" t="n"/>
      <c r="B268" s="33" t="n">
        <v>46206</v>
      </c>
      <c r="C268" s="40" t="inlineStr">
        <is>
          <t>Tuần 1</t>
        </is>
      </c>
      <c r="D268" s="41">
        <f>IF(G268&lt;&gt;"","QLDKDTTH_"&amp;TEXT(COUNTIF($G$267:G268,"&lt;&gt;"),"00"),"")</f>
        <v/>
      </c>
      <c r="E268" s="41" t="n"/>
      <c r="F268" s="41" t="n"/>
      <c r="G268" s="41" t="inlineStr">
        <is>
          <t>Tiêu đề màn hình</t>
        </is>
      </c>
      <c r="H268" s="26" t="inlineStr">
        <is>
          <t>1. Đăng nhập tài khoản thuộc phân quyền thực hiện chức năng</t>
        </is>
      </c>
      <c r="I268" s="16" t="n"/>
      <c r="J268" s="16" t="inlineStr">
        <is>
          <t>1. Chọn menu "Đào tạo, tập huấn" -&gt; "Khóa học"
2. Kiểm tra hiển thị tiêu đề</t>
        </is>
      </c>
      <c r="K268" s="16" t="inlineStr">
        <is>
          <t>Tiêu đề hiển thị đúng với màn hình chức năng</t>
        </is>
      </c>
      <c r="L268" s="16" t="inlineStr">
        <is>
          <t>Tiêu đề hiển thị đúng với màn hình chức năng</t>
        </is>
      </c>
      <c r="M268" s="8" t="inlineStr">
        <is>
          <t>QLDKDTTH_02.jpg</t>
        </is>
      </c>
      <c r="N268" s="42" t="inlineStr">
        <is>
          <t>Pass</t>
        </is>
      </c>
      <c r="O268" s="16" t="n"/>
      <c r="P268" s="16" t="n"/>
      <c r="Q268" s="16" t="n"/>
      <c r="R268" s="16" t="n"/>
      <c r="S268" s="16" t="n"/>
      <c r="T268" s="16" t="n"/>
      <c r="U268" s="16" t="n"/>
      <c r="V268" s="16" t="n"/>
      <c r="W268" s="16" t="n"/>
      <c r="X268" s="16" t="n"/>
      <c r="Y268" s="16" t="n"/>
      <c r="Z268" s="16" t="n"/>
      <c r="AA268" s="16" t="n"/>
      <c r="AB268" s="16" t="n"/>
      <c r="AC268" s="16" t="n"/>
    </row>
    <row r="269">
      <c r="A269" s="39" t="n"/>
      <c r="B269" s="33" t="n">
        <v>46206</v>
      </c>
      <c r="C269" s="40" t="inlineStr">
        <is>
          <t>Tuần 1</t>
        </is>
      </c>
      <c r="D269" s="41">
        <f>IF(G269&lt;&gt;"","QLDKDTTH_"&amp;TEXT(COUNTIF($G$267:G269,"&lt;&gt;"),"00"),"")</f>
        <v/>
      </c>
      <c r="E269" s="41" t="n"/>
      <c r="F269" s="41" t="n"/>
      <c r="G269" s="41" t="inlineStr">
        <is>
          <t>Kiểm tra hiển thị bảng danh sách Khóa học</t>
        </is>
      </c>
      <c r="H269" s="26" t="inlineStr">
        <is>
          <t>1. Đăng nhập tài khoản thuộc phân quyền thực hiện chức năng</t>
        </is>
      </c>
      <c r="I269" s="16" t="n"/>
      <c r="J269" s="16" t="inlineStr">
        <is>
          <t>1. Chọn menu "Đào tạo, tập huấn" -&gt; "Khóa học"
2. Kiểm tra hiển thị bảng danh sách</t>
        </is>
      </c>
      <c r="K269" s="16" t="inlineStr">
        <is>
          <t>- Bảng danh sách hiển thị dữ liệu ứng với các cột thông tin
- Dữ liệu hiển thị không bị tràn/đè lên nhau
- Mỗi trạng thái có màu phân biệt.
- Chỉ các khóa học có trạng thái Dự thảo mới được sửa/xóa</t>
        </is>
      </c>
      <c r="L269" s="16" t="inlineStr">
        <is>
          <t>- Bảng danh sách hiển thị dữ liệu ứng với các cột thông tin
- Dữ liệu hiển thị không bị tràn/đè lên nhau
- Mỗi trạng thái có màu phân biệt.
- Chỉ các khóa học có trạng thái Dự thảo mới được sửa/xóa</t>
        </is>
      </c>
      <c r="M269" s="8" t="inlineStr">
        <is>
          <t>QLDKDTTH_03.jpg</t>
        </is>
      </c>
      <c r="N269" s="42" t="inlineStr">
        <is>
          <t>Pass</t>
        </is>
      </c>
      <c r="O269" s="16" t="n"/>
      <c r="P269" s="16" t="n"/>
      <c r="Q269" s="16" t="n"/>
      <c r="R269" s="16" t="n"/>
      <c r="S269" s="16" t="n"/>
      <c r="T269" s="16" t="n"/>
      <c r="U269" s="16" t="n"/>
      <c r="V269" s="16" t="n"/>
      <c r="W269" s="16" t="n"/>
      <c r="X269" s="16" t="n"/>
      <c r="Y269" s="16" t="n"/>
      <c r="Z269" s="16" t="n"/>
      <c r="AA269" s="16" t="n"/>
      <c r="AB269" s="16" t="n"/>
      <c r="AC269" s="16" t="n"/>
    </row>
    <row r="270">
      <c r="A270" s="39" t="n"/>
      <c r="B270" s="33" t="n">
        <v>46206</v>
      </c>
      <c r="C270" s="40" t="inlineStr">
        <is>
          <t>Tuần 1</t>
        </is>
      </c>
      <c r="D270" s="41">
        <f>IF(G270&lt;&gt;"","QLDKDTTH_"&amp;TEXT(COUNTIF($G$267:G270,"&lt;&gt;"),"00"),"")</f>
        <v/>
      </c>
      <c r="E270" s="41" t="n"/>
      <c r="F270" s="41" t="n"/>
      <c r="G270" s="41" t="inlineStr">
        <is>
          <t>Kiểm tra hiển thị bảng danh sách Học viên</t>
        </is>
      </c>
      <c r="H270" s="26" t="inlineStr">
        <is>
          <t>1. Đăng nhập tài khoản thuộc phân quyền thực hiện chức năng</t>
        </is>
      </c>
      <c r="I270" s="16" t="n"/>
      <c r="J270" s="16" t="inlineStr">
        <is>
          <t>1. Chọn menu "Đào tạo, tập huấn" -&gt; "Khóa học"
2. Nhấn xem chi tiết khóa học
3. Chọn tab "Học viên"</t>
        </is>
      </c>
      <c r="K270" s="16" t="inlineStr">
        <is>
          <t>- Tại bước 2: Hệ thống hiển thị màn hình xem chi tiết thành công
- Tại bước 3: Hệ thống hiển thị danh sách học viên thành công</t>
        </is>
      </c>
      <c r="L270" s="16" t="inlineStr">
        <is>
          <t>Tại bước 3: Hệ thống không hiển thị thông tin danh sách học viên mặc dù tồn tại dữ liệu</t>
        </is>
      </c>
      <c r="M270" s="8" t="inlineStr">
        <is>
          <t>QLDKDTTH_04.jpg</t>
        </is>
      </c>
      <c r="N270" s="42" t="inlineStr">
        <is>
          <t>Fail</t>
        </is>
      </c>
      <c r="O270" s="16" t="n"/>
      <c r="P270" s="16" t="inlineStr">
        <is>
          <t>dev done</t>
        </is>
      </c>
      <c r="Q270" s="16" t="n"/>
      <c r="R270" s="16" t="n"/>
      <c r="S270" s="16" t="n"/>
      <c r="T270" s="16" t="n"/>
      <c r="U270" s="16" t="n"/>
      <c r="V270" s="16" t="n"/>
      <c r="W270" s="16" t="n"/>
      <c r="X270" s="16" t="n"/>
      <c r="Y270" s="16" t="n"/>
      <c r="Z270" s="16" t="n"/>
      <c r="AA270" s="16" t="n"/>
      <c r="AB270" s="16" t="n"/>
      <c r="AC270" s="16" t="n"/>
    </row>
    <row r="271">
      <c r="A271" s="39" t="n"/>
      <c r="B271" s="33" t="n">
        <v>46206</v>
      </c>
      <c r="C271" s="40" t="inlineStr">
        <is>
          <t>Tuần 1</t>
        </is>
      </c>
      <c r="D271" s="41">
        <f>IF(G271&lt;&gt;"","QLDKDTTH_"&amp;TEXT(COUNTIF($G$267:G271,"&lt;&gt;"),"00"),"")</f>
        <v/>
      </c>
      <c r="E271" s="41" t="n"/>
      <c r="F271" s="41" t="n"/>
      <c r="G271" s="41" t="inlineStr">
        <is>
          <t>Duyệt học viên khi khoá học còn mở đăng ký</t>
        </is>
      </c>
      <c r="H271" s="26" t="inlineStr">
        <is>
          <t>1. Đăng nhập tài khoản thuộc phân quyền thực hiện chức năng
2. Hồ sơ đăng ký ở trạng thái "Chờ duyệt" và khóa học còn mở đăng ký.</t>
        </is>
      </c>
      <c r="I271" s="16" t="n"/>
      <c r="J271" s="16" t="inlineStr">
        <is>
          <t>1. Chọn menu "Đào tạo, tập huấn" -&gt; "Khóa học"
2. Nhấn xem chi tiết khóa học
3. Chọn tab "Học viên"
4. Nhấn "Duyệt"</t>
        </is>
      </c>
      <c r="K271" s="16" t="inlineStr">
        <is>
          <t xml:space="preserve">- Hệ thống hiển thị thông báo "Đã duyệt đăng ký".
- Cập nhật trạng thái hồ sơ đăng ký: "Chờ duyệt" → "Đã duyệt".
- Gửi thông báo cho học viên về kết quả duyệt.
- Lưu vết thao tác theo quy định.
</t>
        </is>
      </c>
      <c r="L271" s="16" t="n"/>
      <c r="M271" s="16" t="n"/>
      <c r="N271" s="42" t="inlineStr">
        <is>
          <t>N/R</t>
        </is>
      </c>
      <c r="O271" s="16" t="inlineStr">
        <is>
          <t>uc QLDKDTTH_04 lỗi</t>
        </is>
      </c>
      <c r="P271" s="16" t="n"/>
      <c r="Q271" s="16" t="n"/>
      <c r="R271" s="16" t="n"/>
      <c r="S271" s="16" t="n"/>
      <c r="T271" s="16" t="n"/>
      <c r="U271" s="16" t="n"/>
      <c r="V271" s="16" t="n"/>
      <c r="W271" s="16" t="n"/>
      <c r="X271" s="16" t="n"/>
      <c r="Y271" s="16" t="n"/>
      <c r="Z271" s="16" t="n"/>
      <c r="AA271" s="16" t="n"/>
      <c r="AB271" s="16" t="n"/>
      <c r="AC271" s="16" t="n"/>
    </row>
    <row r="272">
      <c r="A272" s="39" t="n"/>
      <c r="B272" s="33" t="n">
        <v>46206</v>
      </c>
      <c r="C272" s="40" t="inlineStr">
        <is>
          <t>Tuần 1</t>
        </is>
      </c>
      <c r="D272" s="41">
        <f>IF(G272&lt;&gt;"","QLDKDTTH_"&amp;TEXT(COUNTIF($G$267:G272,"&lt;&gt;"),"00"),"")</f>
        <v/>
      </c>
      <c r="E272" s="41" t="n"/>
      <c r="F272" s="41" t="n"/>
      <c r="G272" s="41" t="inlineStr">
        <is>
          <t>Duyệt học viên khi khoá học đã đóng đăng ký</t>
        </is>
      </c>
      <c r="H272" s="26" t="inlineStr">
        <is>
          <t>1. Đăng nhập tài khoản thuộc phân quyền thực hiện chức năng
2. Hồ sơ đăng ký ở trạng thái "Chờ duyệt" và khóa học đã đóng đăng ký</t>
        </is>
      </c>
      <c r="I272" s="16" t="n"/>
      <c r="J272" s="16" t="inlineStr">
        <is>
          <t>1. Chọn menu "Đào tạo, tập huấn" -&gt; "Khóa học"
2. Nhấn xem chi tiết khóa học
3. Chọn tab "Học viên"
4. Nhấn "Duyệt"</t>
        </is>
      </c>
      <c r="K272" s="16" t="inlineStr">
        <is>
          <t>Hệ thống từ chối thao tác và hiển thị thông báo "Khóa học đã đóng đăng ký".</t>
        </is>
      </c>
      <c r="L272" s="16" t="n"/>
      <c r="M272" s="16" t="n"/>
      <c r="N272" s="42" t="inlineStr">
        <is>
          <t>N/R</t>
        </is>
      </c>
      <c r="O272" s="16" t="inlineStr">
        <is>
          <t>uc QLDKDTTH_04 lỗi</t>
        </is>
      </c>
      <c r="P272" s="16" t="n"/>
      <c r="Q272" s="16" t="n"/>
      <c r="R272" s="16" t="n"/>
      <c r="S272" s="16" t="n"/>
      <c r="T272" s="16" t="n"/>
      <c r="U272" s="16" t="n"/>
      <c r="V272" s="16" t="n"/>
      <c r="W272" s="16" t="n"/>
      <c r="X272" s="16" t="n"/>
      <c r="Y272" s="16" t="n"/>
      <c r="Z272" s="16" t="n"/>
      <c r="AA272" s="16" t="n"/>
      <c r="AB272" s="16" t="n"/>
      <c r="AC272" s="16" t="n"/>
    </row>
    <row r="273">
      <c r="A273" s="39" t="n"/>
      <c r="B273" s="33" t="n">
        <v>46206</v>
      </c>
      <c r="C273" s="40" t="inlineStr">
        <is>
          <t>Tuần 1</t>
        </is>
      </c>
      <c r="D273" s="41">
        <f>IF(G273&lt;&gt;"","QLDKDTTH_"&amp;TEXT(COUNTIF($G$267:G273,"&lt;&gt;"),"00"),"")</f>
        <v/>
      </c>
      <c r="E273" s="41" t="n"/>
      <c r="F273" s="41" t="n"/>
      <c r="G273" s="41" t="inlineStr">
        <is>
          <t>Kiểm tra form từ chối học viên</t>
        </is>
      </c>
      <c r="H273" s="26" t="inlineStr">
        <is>
          <t xml:space="preserve">1. Đăng nhập tài khoản thuộc phân quyền thực hiện chức năng
2. Hồ sơ đăng ký ở trạng thái "Chờ Duyệt" </t>
        </is>
      </c>
      <c r="I273" s="16" t="n"/>
      <c r="J273" s="16" t="inlineStr">
        <is>
          <t>1. Chọn menu "Đào tạo, tập huấn" -&gt; "Khóa học"
2. Nhấn xem chi tiết khóa học
3. Chọn tab "Học viên"
4. Nhấn "Từ chối"</t>
        </is>
      </c>
      <c r="K273" s="16" t="inlineStr">
        <is>
          <t>- Hệ thống hiển thị form từ chối gồm textbox nhập Lý do từ chối, 2 button Xác nhận và Hủy
- Form hiển thị đồng nhất về phông chữ, cỡ chữ, ngôn ngữ
- Thông tin và dữ liệu hiển thị không bị tràn/đè lên nhau</t>
        </is>
      </c>
      <c r="L273" s="16" t="inlineStr">
        <is>
          <t>- Form chưa đồng nhất về ngôn ngữ
- Thông tin hiển thị bị đè lên nhau</t>
        </is>
      </c>
      <c r="M273" s="15" t="inlineStr">
        <is>
          <t>QLDKDTTH_07.png</t>
        </is>
      </c>
      <c r="N273" s="42" t="inlineStr">
        <is>
          <t>Fail</t>
        </is>
      </c>
      <c r="O273" s="16" t="n"/>
      <c r="P273" s="16" t="inlineStr">
        <is>
          <t>dev done</t>
        </is>
      </c>
      <c r="Q273" s="16" t="n"/>
      <c r="R273" s="16" t="n"/>
      <c r="S273" s="16" t="n"/>
      <c r="T273" s="16" t="n"/>
      <c r="U273" s="16" t="n"/>
      <c r="V273" s="16" t="n"/>
      <c r="W273" s="16" t="n"/>
      <c r="X273" s="16" t="n"/>
      <c r="Y273" s="16" t="n"/>
      <c r="Z273" s="16" t="n"/>
      <c r="AA273" s="16" t="n"/>
      <c r="AB273" s="16" t="n"/>
      <c r="AC273" s="16" t="n"/>
    </row>
    <row r="274">
      <c r="A274" s="39" t="n"/>
      <c r="B274" s="33" t="n">
        <v>46206</v>
      </c>
      <c r="C274" s="40" t="inlineStr">
        <is>
          <t>Tuần 1</t>
        </is>
      </c>
      <c r="D274" s="41">
        <f>IF(G274&lt;&gt;"","QLDKDTTH_"&amp;TEXT(COUNTIF($G$267:G274,"&lt;&gt;"),"00"),"")</f>
        <v/>
      </c>
      <c r="E274" s="41" t="n"/>
      <c r="F274" s="41" t="n"/>
      <c r="G274" s="41" t="inlineStr">
        <is>
          <t>Từ chối học viên khi nhập lý do hợp lệ</t>
        </is>
      </c>
      <c r="H274" s="26" t="inlineStr">
        <is>
          <t xml:space="preserve">1. Đăng nhập tài khoản thuộc phân quyền thực hiện chức năng
2. Hồ sơ đăng ký ở trạng thái "Chờ Duyệt" </t>
        </is>
      </c>
      <c r="I274" s="16" t="n"/>
      <c r="J274" s="16" t="inlineStr">
        <is>
          <t>1. Chọn menu "Đào tạo, tập huấn" -&gt; "Khóa học"
2. Nhấn xem chi tiết khóa học
3. Chọn tab "Học viên"
4. Nhập lý do và Nhấn "Từ chối"</t>
        </is>
      </c>
      <c r="K274" s="16" t="inlineStr">
        <is>
          <t xml:space="preserve">- Hệ thống hiển thị thông báo "Đã Từ chối đăng ký".
- Cập nhật trạng thái hồ sơ đăng ký: "Chờ duyệt" → "Từ chối" kèm lý do.
- Gửi thông báo cho học viên kèm lý do từ chối.
- Lưu vết thao tác theo quy định.
</t>
        </is>
      </c>
      <c r="L274" s="16" t="n"/>
      <c r="M274" s="16" t="n"/>
      <c r="N274" s="42" t="inlineStr">
        <is>
          <t>N/R</t>
        </is>
      </c>
      <c r="O274" s="16" t="inlineStr">
        <is>
          <t>uc QLDKDTTH_04 lỗi</t>
        </is>
      </c>
      <c r="P274" s="16" t="n"/>
      <c r="Q274" s="16" t="n"/>
      <c r="R274" s="16" t="n"/>
      <c r="S274" s="16" t="n"/>
      <c r="T274" s="16" t="n"/>
      <c r="U274" s="16" t="n"/>
      <c r="V274" s="16" t="n"/>
      <c r="W274" s="16" t="n"/>
      <c r="X274" s="16" t="n"/>
      <c r="Y274" s="16" t="n"/>
      <c r="Z274" s="16" t="n"/>
      <c r="AA274" s="16" t="n"/>
      <c r="AB274" s="16" t="n"/>
      <c r="AC274" s="16" t="n"/>
    </row>
    <row r="275">
      <c r="A275" s="39" t="n"/>
      <c r="B275" s="33" t="n">
        <v>46206</v>
      </c>
      <c r="C275" s="40" t="inlineStr">
        <is>
          <t>Tuần 1</t>
        </is>
      </c>
      <c r="D275" s="41">
        <f>IF(G275&lt;&gt;"","QLDKDTTH_"&amp;TEXT(COUNTIF($G$267:G275,"&lt;&gt;"),"00"),"")</f>
        <v/>
      </c>
      <c r="E275" s="41" t="n"/>
      <c r="F275" s="41" t="n"/>
      <c r="G275" s="41" t="inlineStr">
        <is>
          <t>Từ chối học viên khi không nhập lý do</t>
        </is>
      </c>
      <c r="H275" s="26" t="inlineStr">
        <is>
          <t xml:space="preserve">1. Đăng nhập tài khoản thuộc phân quyền thực hiện chức năng
2. Hồ sơ đăng ký ở trạng thái "Chờ Duyệt" </t>
        </is>
      </c>
      <c r="I275" s="16" t="n"/>
      <c r="J275" s="16" t="inlineStr">
        <is>
          <t>1. Chọn menu "Đào tạo, tập huấn" -&gt; "Khóa học"
2. Nhấn xem chi tiết khóa học
3. Chọn tab "Học viên"
4. Nhấn "Từ chối"</t>
        </is>
      </c>
      <c r="K275" s="16" t="inlineStr">
        <is>
          <t>Hệ thống hiển thị thông báo "Lý do từ chối là bắt buộc" và yêu cầu NSD nhập hoặc disable nút xác nhận khi lý do để trống.</t>
        </is>
      </c>
      <c r="L275" s="16" t="inlineStr">
        <is>
          <t>Hệ thống hiển thị thông báo "Lý do từ chối là bắt buộc" và yêu cầu NSD nhập hoặc disable nút xác nhận khi lý do để trống.</t>
        </is>
      </c>
      <c r="M275" s="15" t="inlineStr">
        <is>
          <t>QLDKDTTH_09.jpg</t>
        </is>
      </c>
      <c r="N275" s="42" t="inlineStr">
        <is>
          <t>Pass</t>
        </is>
      </c>
      <c r="O275" s="16" t="n"/>
      <c r="P275" s="16" t="n"/>
      <c r="Q275" s="16" t="n"/>
      <c r="R275" s="16" t="n"/>
      <c r="S275" s="16" t="n"/>
      <c r="T275" s="16" t="n"/>
      <c r="U275" s="16" t="n"/>
      <c r="V275" s="16" t="n"/>
      <c r="W275" s="16" t="n"/>
      <c r="X275" s="16" t="n"/>
      <c r="Y275" s="16" t="n"/>
      <c r="Z275" s="16" t="n"/>
      <c r="AA275" s="16" t="n"/>
      <c r="AB275" s="16" t="n"/>
      <c r="AC275" s="16" t="n"/>
    </row>
    <row r="276">
      <c r="A276" s="39" t="n"/>
      <c r="B276" s="40" t="n"/>
      <c r="C276" s="40" t="n"/>
      <c r="D276" s="41">
        <f>IF(G276&lt;&gt;"","QLDKDTTH_"&amp;TEXT(COUNTIF($G$267:G276,"&lt;&gt;"),"00"),"")</f>
        <v/>
      </c>
      <c r="E276" s="41" t="n"/>
      <c r="F276" s="41" t="n"/>
      <c r="G276" s="41" t="n"/>
      <c r="H276" s="42" t="n"/>
      <c r="I276" s="16" t="n"/>
      <c r="J276" s="16" t="n"/>
      <c r="K276" s="16" t="n"/>
      <c r="L276" s="16" t="n"/>
      <c r="M276" s="16" t="n"/>
      <c r="N276" s="42" t="n"/>
      <c r="O276" s="16" t="n"/>
      <c r="P276" s="16" t="n"/>
      <c r="Q276" s="16" t="n"/>
      <c r="R276" s="16" t="n"/>
      <c r="S276" s="16" t="n"/>
      <c r="T276" s="16" t="n"/>
      <c r="U276" s="16" t="n"/>
      <c r="V276" s="16" t="n"/>
      <c r="W276" s="16" t="n"/>
      <c r="X276" s="16" t="n"/>
      <c r="Y276" s="16" t="n"/>
      <c r="Z276" s="16" t="n"/>
      <c r="AA276" s="16" t="n"/>
      <c r="AB276" s="16" t="n"/>
      <c r="AC276" s="16" t="n"/>
    </row>
    <row r="277">
      <c r="A277" s="39" t="n"/>
      <c r="B277" s="40" t="n"/>
      <c r="C277" s="40" t="n"/>
      <c r="D277" s="43" t="n"/>
      <c r="E277" s="43" t="n"/>
      <c r="F277" s="43" t="n"/>
      <c r="G277" s="43" t="n"/>
      <c r="H277" s="16" t="n"/>
      <c r="I277" s="16" t="n"/>
      <c r="J277" s="16" t="n"/>
      <c r="K277" s="16" t="n"/>
      <c r="L277" s="16" t="n"/>
      <c r="M277" s="16" t="n"/>
      <c r="N277" s="42" t="n"/>
      <c r="O277" s="16" t="n"/>
      <c r="P277" s="16" t="n"/>
      <c r="Q277" s="16" t="n"/>
      <c r="R277" s="16" t="n"/>
      <c r="S277" s="16" t="n"/>
      <c r="T277" s="16" t="n"/>
      <c r="U277" s="16" t="n"/>
      <c r="V277" s="16" t="n"/>
      <c r="W277" s="16" t="n"/>
      <c r="X277" s="16" t="n"/>
      <c r="Y277" s="16" t="n"/>
      <c r="Z277" s="16" t="n"/>
      <c r="AA277" s="16" t="n"/>
      <c r="AB277" s="16" t="n"/>
      <c r="AC277" s="16" t="n"/>
    </row>
    <row r="278">
      <c r="A278" s="44" t="n"/>
      <c r="B278" s="42" t="n"/>
      <c r="C278" s="42" t="n"/>
      <c r="D278" s="16" t="n"/>
      <c r="E278" s="16" t="n"/>
      <c r="F278" s="16" t="n"/>
      <c r="G278" s="16" t="n"/>
      <c r="H278" s="16" t="n"/>
      <c r="I278" s="16" t="n"/>
      <c r="J278" s="16" t="n"/>
      <c r="K278" s="16" t="n"/>
      <c r="L278" s="16" t="n"/>
      <c r="M278" s="16" t="n"/>
      <c r="N278" s="42" t="n"/>
      <c r="O278" s="16" t="n"/>
      <c r="P278" s="16" t="n"/>
      <c r="Q278" s="16" t="n"/>
      <c r="R278" s="16" t="n"/>
      <c r="S278" s="16" t="n"/>
      <c r="T278" s="16" t="n"/>
      <c r="U278" s="16" t="n"/>
      <c r="V278" s="16" t="n"/>
      <c r="W278" s="16" t="n"/>
      <c r="X278" s="16" t="n"/>
      <c r="Y278" s="16" t="n"/>
      <c r="Z278" s="16" t="n"/>
      <c r="AA278" s="16" t="n"/>
      <c r="AB278" s="16" t="n"/>
      <c r="AC278" s="16" t="n"/>
    </row>
    <row r="279">
      <c r="A279" s="44" t="n"/>
      <c r="B279" s="42" t="n"/>
      <c r="C279" s="42" t="n"/>
      <c r="D279" s="16" t="n"/>
      <c r="E279" s="16" t="n"/>
      <c r="F279" s="16" t="n"/>
      <c r="G279" s="16" t="n"/>
      <c r="H279" s="16" t="n"/>
      <c r="I279" s="16" t="n"/>
      <c r="J279" s="16" t="n"/>
      <c r="K279" s="16" t="n"/>
      <c r="L279" s="16" t="n"/>
      <c r="M279" s="16" t="n"/>
      <c r="N279" s="42" t="n"/>
      <c r="O279" s="16" t="n"/>
      <c r="P279" s="16" t="n"/>
      <c r="Q279" s="16" t="n"/>
      <c r="R279" s="16" t="n"/>
      <c r="S279" s="16" t="n"/>
      <c r="T279" s="16" t="n"/>
      <c r="U279" s="16" t="n"/>
      <c r="V279" s="16" t="n"/>
      <c r="W279" s="16" t="n"/>
      <c r="X279" s="16" t="n"/>
      <c r="Y279" s="16" t="n"/>
      <c r="Z279" s="16" t="n"/>
      <c r="AA279" s="16" t="n"/>
      <c r="AB279" s="16" t="n"/>
      <c r="AC279" s="16" t="n"/>
    </row>
    <row r="280">
      <c r="A280" s="44" t="n"/>
      <c r="B280" s="42" t="n"/>
      <c r="C280" s="42" t="n"/>
      <c r="D280" s="16" t="n"/>
      <c r="E280" s="16" t="n"/>
      <c r="F280" s="16" t="n"/>
      <c r="G280" s="16" t="n"/>
      <c r="H280" s="16" t="n"/>
      <c r="I280" s="16" t="n"/>
      <c r="J280" s="16" t="n"/>
      <c r="K280" s="16" t="n"/>
      <c r="L280" s="16" t="n"/>
      <c r="M280" s="16" t="n"/>
      <c r="N280" s="42" t="n"/>
      <c r="O280" s="16" t="n"/>
      <c r="P280" s="16" t="n"/>
      <c r="Q280" s="16" t="n"/>
      <c r="R280" s="16" t="n"/>
      <c r="S280" s="16" t="n"/>
      <c r="T280" s="16" t="n"/>
      <c r="U280" s="16" t="n"/>
      <c r="V280" s="16" t="n"/>
      <c r="W280" s="16" t="n"/>
      <c r="X280" s="16" t="n"/>
      <c r="Y280" s="16" t="n"/>
      <c r="Z280" s="16" t="n"/>
      <c r="AA280" s="16" t="n"/>
      <c r="AB280" s="16" t="n"/>
      <c r="AC280" s="16" t="n"/>
    </row>
    <row r="281">
      <c r="A281" s="44" t="n"/>
      <c r="B281" s="42" t="n"/>
      <c r="C281" s="42" t="n"/>
      <c r="D281" s="16" t="n"/>
      <c r="E281" s="16" t="n"/>
      <c r="F281" s="16" t="n"/>
      <c r="G281" s="16" t="n"/>
      <c r="H281" s="16" t="n"/>
      <c r="I281" s="16" t="n"/>
      <c r="J281" s="16" t="n"/>
      <c r="K281" s="16" t="n"/>
      <c r="L281" s="16" t="n"/>
      <c r="M281" s="16" t="n"/>
      <c r="N281" s="42" t="n"/>
      <c r="O281" s="16" t="n"/>
      <c r="P281" s="16" t="n"/>
      <c r="Q281" s="16" t="n"/>
      <c r="R281" s="16" t="n"/>
      <c r="S281" s="16" t="n"/>
      <c r="T281" s="16" t="n"/>
      <c r="U281" s="16" t="n"/>
      <c r="V281" s="16" t="n"/>
      <c r="W281" s="16" t="n"/>
      <c r="X281" s="16" t="n"/>
      <c r="Y281" s="16" t="n"/>
      <c r="Z281" s="16" t="n"/>
      <c r="AA281" s="16" t="n"/>
      <c r="AB281" s="16" t="n"/>
      <c r="AC281" s="16" t="n"/>
    </row>
    <row r="282">
      <c r="A282" s="44" t="n"/>
      <c r="B282" s="42" t="n"/>
      <c r="C282" s="42" t="n"/>
      <c r="D282" s="16" t="n"/>
      <c r="E282" s="16" t="n"/>
      <c r="F282" s="16" t="n"/>
      <c r="G282" s="16" t="n"/>
      <c r="H282" s="16" t="n"/>
      <c r="I282" s="16" t="n"/>
      <c r="J282" s="16" t="n"/>
      <c r="K282" s="16" t="n"/>
      <c r="L282" s="16" t="n"/>
      <c r="M282" s="16" t="n"/>
      <c r="N282" s="42" t="n"/>
      <c r="O282" s="16" t="n"/>
      <c r="P282" s="16" t="n"/>
      <c r="Q282" s="16" t="n"/>
      <c r="R282" s="16" t="n"/>
      <c r="S282" s="16" t="n"/>
      <c r="T282" s="16" t="n"/>
      <c r="U282" s="16" t="n"/>
      <c r="V282" s="16" t="n"/>
      <c r="W282" s="16" t="n"/>
      <c r="X282" s="16" t="n"/>
      <c r="Y282" s="16" t="n"/>
      <c r="Z282" s="16" t="n"/>
      <c r="AA282" s="16" t="n"/>
      <c r="AB282" s="16" t="n"/>
      <c r="AC282" s="16" t="n"/>
    </row>
    <row r="283">
      <c r="A283" s="44" t="n"/>
      <c r="B283" s="42" t="n"/>
      <c r="C283" s="42" t="n"/>
      <c r="D283" s="16" t="n"/>
      <c r="E283" s="16" t="n"/>
      <c r="F283" s="16" t="n"/>
      <c r="G283" s="16" t="n"/>
      <c r="H283" s="16" t="n"/>
      <c r="I283" s="16" t="n"/>
      <c r="J283" s="16" t="n"/>
      <c r="K283" s="16" t="n"/>
      <c r="L283" s="16" t="n"/>
      <c r="M283" s="16" t="n"/>
      <c r="N283" s="42" t="n"/>
      <c r="O283" s="16" t="n"/>
      <c r="P283" s="16" t="n"/>
      <c r="Q283" s="16" t="n"/>
      <c r="R283" s="16" t="n"/>
      <c r="S283" s="16" t="n"/>
      <c r="T283" s="16" t="n"/>
      <c r="U283" s="16" t="n"/>
      <c r="V283" s="16" t="n"/>
      <c r="W283" s="16" t="n"/>
      <c r="X283" s="16" t="n"/>
      <c r="Y283" s="16" t="n"/>
      <c r="Z283" s="16" t="n"/>
      <c r="AA283" s="16" t="n"/>
      <c r="AB283" s="16" t="n"/>
      <c r="AC283" s="16" t="n"/>
    </row>
    <row r="284">
      <c r="A284" s="44" t="n"/>
      <c r="B284" s="42" t="n"/>
      <c r="C284" s="42" t="n"/>
      <c r="D284" s="16" t="n"/>
      <c r="E284" s="16" t="n"/>
      <c r="F284" s="16" t="n"/>
      <c r="G284" s="16" t="n"/>
      <c r="H284" s="16" t="n"/>
      <c r="I284" s="16" t="n"/>
      <c r="J284" s="16" t="n"/>
      <c r="K284" s="16" t="n"/>
      <c r="L284" s="16" t="n"/>
      <c r="M284" s="16" t="n"/>
      <c r="N284" s="42" t="n"/>
      <c r="O284" s="16" t="n"/>
      <c r="P284" s="16" t="n"/>
      <c r="Q284" s="16" t="n"/>
      <c r="R284" s="16" t="n"/>
      <c r="S284" s="16" t="n"/>
      <c r="T284" s="16" t="n"/>
      <c r="U284" s="16" t="n"/>
      <c r="V284" s="16" t="n"/>
      <c r="W284" s="16" t="n"/>
      <c r="X284" s="16" t="n"/>
      <c r="Y284" s="16" t="n"/>
      <c r="Z284" s="16" t="n"/>
      <c r="AA284" s="16" t="n"/>
      <c r="AB284" s="16" t="n"/>
      <c r="AC284" s="16" t="n"/>
    </row>
    <row r="285">
      <c r="A285" s="44" t="n"/>
      <c r="B285" s="42" t="n"/>
      <c r="C285" s="42" t="n"/>
      <c r="D285" s="16" t="n"/>
      <c r="E285" s="16" t="n"/>
      <c r="F285" s="16" t="n"/>
      <c r="G285" s="16" t="n"/>
      <c r="H285" s="16" t="n"/>
      <c r="I285" s="16" t="n"/>
      <c r="J285" s="16" t="n"/>
      <c r="K285" s="16" t="n"/>
      <c r="L285" s="16" t="n"/>
      <c r="M285" s="16" t="n"/>
      <c r="N285" s="42" t="n"/>
      <c r="O285" s="16" t="n"/>
      <c r="P285" s="16" t="n"/>
      <c r="Q285" s="16" t="n"/>
      <c r="R285" s="16" t="n"/>
      <c r="S285" s="16" t="n"/>
      <c r="T285" s="16" t="n"/>
      <c r="U285" s="16" t="n"/>
      <c r="V285" s="16" t="n"/>
      <c r="W285" s="16" t="n"/>
      <c r="X285" s="16" t="n"/>
      <c r="Y285" s="16" t="n"/>
      <c r="Z285" s="16" t="n"/>
      <c r="AA285" s="16" t="n"/>
      <c r="AB285" s="16" t="n"/>
      <c r="AC285" s="16" t="n"/>
    </row>
    <row r="286">
      <c r="A286" s="44" t="n"/>
      <c r="B286" s="42" t="n"/>
      <c r="C286" s="42" t="n"/>
      <c r="D286" s="16" t="n"/>
      <c r="E286" s="16" t="n"/>
      <c r="F286" s="16" t="n"/>
      <c r="G286" s="16" t="n"/>
      <c r="H286" s="16" t="n"/>
      <c r="I286" s="16" t="n"/>
      <c r="J286" s="16" t="n"/>
      <c r="K286" s="16" t="n"/>
      <c r="L286" s="16" t="n"/>
      <c r="M286" s="16" t="n"/>
      <c r="N286" s="42" t="n"/>
      <c r="O286" s="16" t="n"/>
      <c r="P286" s="16" t="n"/>
      <c r="Q286" s="16" t="n"/>
      <c r="R286" s="16" t="n"/>
      <c r="S286" s="16" t="n"/>
      <c r="T286" s="16" t="n"/>
      <c r="U286" s="16" t="n"/>
      <c r="V286" s="16" t="n"/>
      <c r="W286" s="16" t="n"/>
      <c r="X286" s="16" t="n"/>
      <c r="Y286" s="16" t="n"/>
      <c r="Z286" s="16" t="n"/>
      <c r="AA286" s="16" t="n"/>
      <c r="AB286" s="16" t="n"/>
      <c r="AC286" s="16" t="n"/>
    </row>
    <row r="287">
      <c r="A287" s="44" t="n"/>
      <c r="B287" s="42" t="n"/>
      <c r="C287" s="42" t="n"/>
      <c r="D287" s="16" t="n"/>
      <c r="E287" s="16" t="n"/>
      <c r="F287" s="16" t="n"/>
      <c r="G287" s="16" t="n"/>
      <c r="H287" s="16" t="n"/>
      <c r="I287" s="16" t="n"/>
      <c r="J287" s="16" t="n"/>
      <c r="K287" s="16" t="n"/>
      <c r="L287" s="16" t="n"/>
      <c r="M287" s="16" t="n"/>
      <c r="N287" s="42" t="n"/>
      <c r="O287" s="16" t="n"/>
      <c r="P287" s="16" t="n"/>
      <c r="Q287" s="16" t="n"/>
      <c r="R287" s="16" t="n"/>
      <c r="S287" s="16" t="n"/>
      <c r="T287" s="16" t="n"/>
      <c r="U287" s="16" t="n"/>
      <c r="V287" s="16" t="n"/>
      <c r="W287" s="16" t="n"/>
      <c r="X287" s="16" t="n"/>
      <c r="Y287" s="16" t="n"/>
      <c r="Z287" s="16" t="n"/>
      <c r="AA287" s="16" t="n"/>
      <c r="AB287" s="16" t="n"/>
      <c r="AC287" s="16" t="n"/>
    </row>
    <row r="288">
      <c r="A288" s="44" t="n"/>
      <c r="B288" s="42" t="n"/>
      <c r="C288" s="42" t="n"/>
      <c r="D288" s="16" t="n"/>
      <c r="E288" s="16" t="n"/>
      <c r="F288" s="16" t="n"/>
      <c r="G288" s="16" t="n"/>
      <c r="H288" s="16" t="n"/>
      <c r="I288" s="16" t="n"/>
      <c r="J288" s="16" t="n"/>
      <c r="K288" s="16" t="n"/>
      <c r="L288" s="16" t="n"/>
      <c r="M288" s="16" t="n"/>
      <c r="N288" s="42" t="n"/>
      <c r="O288" s="16" t="n"/>
      <c r="P288" s="16" t="n"/>
      <c r="Q288" s="16" t="n"/>
      <c r="R288" s="16" t="n"/>
      <c r="S288" s="16" t="n"/>
      <c r="T288" s="16" t="n"/>
      <c r="U288" s="16" t="n"/>
      <c r="V288" s="16" t="n"/>
      <c r="W288" s="16" t="n"/>
      <c r="X288" s="16" t="n"/>
      <c r="Y288" s="16" t="n"/>
      <c r="Z288" s="16" t="n"/>
      <c r="AA288" s="16" t="n"/>
      <c r="AB288" s="16" t="n"/>
      <c r="AC288" s="16" t="n"/>
    </row>
    <row r="289">
      <c r="A289" s="44" t="n"/>
      <c r="B289" s="42" t="n"/>
      <c r="C289" s="42" t="n"/>
      <c r="D289" s="16" t="n"/>
      <c r="E289" s="16" t="n"/>
      <c r="F289" s="16" t="n"/>
      <c r="G289" s="16" t="n"/>
      <c r="H289" s="16" t="n"/>
      <c r="I289" s="16" t="n"/>
      <c r="J289" s="16" t="n"/>
      <c r="K289" s="16" t="n"/>
      <c r="L289" s="16" t="n"/>
      <c r="M289" s="16" t="n"/>
      <c r="N289" s="42" t="n"/>
      <c r="O289" s="16" t="n"/>
      <c r="P289" s="16" t="n"/>
      <c r="Q289" s="16" t="n"/>
      <c r="R289" s="16" t="n"/>
      <c r="S289" s="16" t="n"/>
      <c r="T289" s="16" t="n"/>
      <c r="U289" s="16" t="n"/>
      <c r="V289" s="16" t="n"/>
      <c r="W289" s="16" t="n"/>
      <c r="X289" s="16" t="n"/>
      <c r="Y289" s="16" t="n"/>
      <c r="Z289" s="16" t="n"/>
      <c r="AA289" s="16" t="n"/>
      <c r="AB289" s="16" t="n"/>
      <c r="AC289" s="16" t="n"/>
    </row>
    <row r="290">
      <c r="A290" s="44" t="n"/>
      <c r="B290" s="42" t="n"/>
      <c r="C290" s="42" t="n"/>
      <c r="D290" s="16" t="n"/>
      <c r="E290" s="16" t="n"/>
      <c r="F290" s="16" t="n"/>
      <c r="G290" s="16" t="n"/>
      <c r="H290" s="16" t="n"/>
      <c r="I290" s="16" t="n"/>
      <c r="J290" s="16" t="n"/>
      <c r="K290" s="16" t="n"/>
      <c r="L290" s="16" t="n"/>
      <c r="M290" s="16" t="n"/>
      <c r="N290" s="42" t="n"/>
      <c r="O290" s="16" t="n"/>
      <c r="P290" s="16" t="n"/>
      <c r="Q290" s="16" t="n"/>
      <c r="R290" s="16" t="n"/>
      <c r="S290" s="16" t="n"/>
      <c r="T290" s="16" t="n"/>
      <c r="U290" s="16" t="n"/>
      <c r="V290" s="16" t="n"/>
      <c r="W290" s="16" t="n"/>
      <c r="X290" s="16" t="n"/>
      <c r="Y290" s="16" t="n"/>
      <c r="Z290" s="16" t="n"/>
      <c r="AA290" s="16" t="n"/>
      <c r="AB290" s="16" t="n"/>
      <c r="AC290" s="16" t="n"/>
    </row>
    <row r="291">
      <c r="A291" s="44" t="n"/>
      <c r="B291" s="42" t="n"/>
      <c r="C291" s="42" t="n"/>
      <c r="D291" s="16" t="n"/>
      <c r="E291" s="16" t="n"/>
      <c r="F291" s="16" t="n"/>
      <c r="G291" s="16" t="n"/>
      <c r="H291" s="16" t="n"/>
      <c r="I291" s="16" t="n"/>
      <c r="J291" s="16" t="n"/>
      <c r="K291" s="16" t="n"/>
      <c r="L291" s="16" t="n"/>
      <c r="M291" s="16" t="n"/>
      <c r="N291" s="42" t="n"/>
      <c r="O291" s="16" t="n"/>
      <c r="P291" s="16" t="n"/>
      <c r="Q291" s="16" t="n"/>
      <c r="R291" s="16" t="n"/>
      <c r="S291" s="16" t="n"/>
      <c r="T291" s="16" t="n"/>
      <c r="U291" s="16" t="n"/>
      <c r="V291" s="16" t="n"/>
      <c r="W291" s="16" t="n"/>
      <c r="X291" s="16" t="n"/>
      <c r="Y291" s="16" t="n"/>
      <c r="Z291" s="16" t="n"/>
      <c r="AA291" s="16" t="n"/>
      <c r="AB291" s="16" t="n"/>
      <c r="AC291" s="16" t="n"/>
    </row>
    <row r="292">
      <c r="A292" s="44" t="n"/>
      <c r="B292" s="42" t="n"/>
      <c r="C292" s="42" t="n"/>
      <c r="D292" s="16" t="n"/>
      <c r="E292" s="16" t="n"/>
      <c r="F292" s="16" t="n"/>
      <c r="G292" s="16" t="n"/>
      <c r="H292" s="16" t="n"/>
      <c r="I292" s="16" t="n"/>
      <c r="J292" s="16" t="n"/>
      <c r="K292" s="16" t="n"/>
      <c r="L292" s="16" t="n"/>
      <c r="M292" s="16" t="n"/>
      <c r="N292" s="42" t="n"/>
      <c r="O292" s="16" t="n"/>
      <c r="P292" s="16" t="n"/>
      <c r="Q292" s="16" t="n"/>
      <c r="R292" s="16" t="n"/>
      <c r="S292" s="16" t="n"/>
      <c r="T292" s="16" t="n"/>
      <c r="U292" s="16" t="n"/>
      <c r="V292" s="16" t="n"/>
      <c r="W292" s="16" t="n"/>
      <c r="X292" s="16" t="n"/>
      <c r="Y292" s="16" t="n"/>
      <c r="Z292" s="16" t="n"/>
      <c r="AA292" s="16" t="n"/>
      <c r="AB292" s="16" t="n"/>
      <c r="AC292" s="16" t="n"/>
    </row>
    <row r="293">
      <c r="A293" s="44" t="n"/>
      <c r="B293" s="42" t="n"/>
      <c r="C293" s="42" t="n"/>
      <c r="D293" s="16" t="n"/>
      <c r="E293" s="16" t="n"/>
      <c r="F293" s="16" t="n"/>
      <c r="G293" s="16" t="n"/>
      <c r="H293" s="16" t="n"/>
      <c r="I293" s="16" t="n"/>
      <c r="J293" s="16" t="n"/>
      <c r="K293" s="16" t="n"/>
      <c r="L293" s="16" t="n"/>
      <c r="M293" s="16" t="n"/>
      <c r="N293" s="42" t="n"/>
      <c r="O293" s="16" t="n"/>
      <c r="P293" s="16" t="n"/>
      <c r="Q293" s="16" t="n"/>
      <c r="R293" s="16" t="n"/>
      <c r="S293" s="16" t="n"/>
      <c r="T293" s="16" t="n"/>
      <c r="U293" s="16" t="n"/>
      <c r="V293" s="16" t="n"/>
      <c r="W293" s="16" t="n"/>
      <c r="X293" s="16" t="n"/>
      <c r="Y293" s="16" t="n"/>
      <c r="Z293" s="16" t="n"/>
      <c r="AA293" s="16" t="n"/>
      <c r="AB293" s="16" t="n"/>
      <c r="AC293" s="16" t="n"/>
    </row>
    <row r="294">
      <c r="A294" s="44" t="n"/>
      <c r="B294" s="42" t="n"/>
      <c r="C294" s="42" t="n"/>
      <c r="D294" s="16" t="n"/>
      <c r="E294" s="16" t="n"/>
      <c r="F294" s="16" t="n"/>
      <c r="G294" s="16" t="n"/>
      <c r="H294" s="16" t="n"/>
      <c r="I294" s="16" t="n"/>
      <c r="J294" s="16" t="n"/>
      <c r="K294" s="16" t="n"/>
      <c r="L294" s="16" t="n"/>
      <c r="M294" s="16" t="n"/>
      <c r="N294" s="42" t="n"/>
      <c r="O294" s="16" t="n"/>
      <c r="P294" s="16" t="n"/>
      <c r="Q294" s="16" t="n"/>
      <c r="R294" s="16" t="n"/>
      <c r="S294" s="16" t="n"/>
      <c r="T294" s="16" t="n"/>
      <c r="U294" s="16" t="n"/>
      <c r="V294" s="16" t="n"/>
      <c r="W294" s="16" t="n"/>
      <c r="X294" s="16" t="n"/>
      <c r="Y294" s="16" t="n"/>
      <c r="Z294" s="16" t="n"/>
      <c r="AA294" s="16" t="n"/>
      <c r="AB294" s="16" t="n"/>
      <c r="AC294" s="16" t="n"/>
    </row>
    <row r="295">
      <c r="A295" s="44" t="n"/>
      <c r="B295" s="42" t="n"/>
      <c r="C295" s="42" t="n"/>
      <c r="D295" s="16" t="n"/>
      <c r="E295" s="16" t="n"/>
      <c r="F295" s="16" t="n"/>
      <c r="G295" s="16" t="n"/>
      <c r="H295" s="16" t="n"/>
      <c r="I295" s="16" t="n"/>
      <c r="J295" s="16" t="n"/>
      <c r="K295" s="16" t="n"/>
      <c r="L295" s="16" t="n"/>
      <c r="M295" s="16" t="n"/>
      <c r="N295" s="42" t="n"/>
      <c r="O295" s="16" t="n"/>
      <c r="P295" s="16" t="n"/>
      <c r="Q295" s="16" t="n"/>
      <c r="R295" s="16" t="n"/>
      <c r="S295" s="16" t="n"/>
      <c r="T295" s="16" t="n"/>
      <c r="U295" s="16" t="n"/>
      <c r="V295" s="16" t="n"/>
      <c r="W295" s="16" t="n"/>
      <c r="X295" s="16" t="n"/>
      <c r="Y295" s="16" t="n"/>
      <c r="Z295" s="16" t="n"/>
      <c r="AA295" s="16" t="n"/>
      <c r="AB295" s="16" t="n"/>
      <c r="AC295" s="16" t="n"/>
    </row>
    <row r="296">
      <c r="A296" s="44" t="n"/>
      <c r="B296" s="42" t="n"/>
      <c r="C296" s="42" t="n"/>
      <c r="D296" s="16" t="n"/>
      <c r="E296" s="16" t="n"/>
      <c r="F296" s="16" t="n"/>
      <c r="G296" s="16" t="n"/>
      <c r="H296" s="16" t="n"/>
      <c r="I296" s="16" t="n"/>
      <c r="J296" s="16" t="n"/>
      <c r="K296" s="16" t="n"/>
      <c r="L296" s="16" t="n"/>
      <c r="M296" s="16" t="n"/>
      <c r="N296" s="42" t="n"/>
      <c r="O296" s="16" t="n"/>
      <c r="P296" s="16" t="n"/>
      <c r="Q296" s="16" t="n"/>
      <c r="R296" s="16" t="n"/>
      <c r="S296" s="16" t="n"/>
      <c r="T296" s="16" t="n"/>
      <c r="U296" s="16" t="n"/>
      <c r="V296" s="16" t="n"/>
      <c r="W296" s="16" t="n"/>
      <c r="X296" s="16" t="n"/>
      <c r="Y296" s="16" t="n"/>
      <c r="Z296" s="16" t="n"/>
      <c r="AA296" s="16" t="n"/>
      <c r="AB296" s="16" t="n"/>
      <c r="AC296" s="16" t="n"/>
    </row>
    <row r="297">
      <c r="A297" s="44" t="n"/>
      <c r="B297" s="42" t="n"/>
      <c r="C297" s="42" t="n"/>
      <c r="D297" s="16" t="n"/>
      <c r="E297" s="16" t="n"/>
      <c r="F297" s="16" t="n"/>
      <c r="G297" s="16" t="n"/>
      <c r="H297" s="16" t="n"/>
      <c r="I297" s="16" t="n"/>
      <c r="J297" s="16" t="n"/>
      <c r="K297" s="16" t="n"/>
      <c r="L297" s="16" t="n"/>
      <c r="M297" s="16" t="n"/>
      <c r="N297" s="42" t="n"/>
      <c r="O297" s="16" t="n"/>
      <c r="P297" s="16" t="n"/>
      <c r="Q297" s="16" t="n"/>
      <c r="R297" s="16" t="n"/>
      <c r="S297" s="16" t="n"/>
      <c r="T297" s="16" t="n"/>
      <c r="U297" s="16" t="n"/>
      <c r="V297" s="16" t="n"/>
      <c r="W297" s="16" t="n"/>
      <c r="X297" s="16" t="n"/>
      <c r="Y297" s="16" t="n"/>
      <c r="Z297" s="16" t="n"/>
      <c r="AA297" s="16" t="n"/>
      <c r="AB297" s="16" t="n"/>
      <c r="AC297" s="16" t="n"/>
    </row>
    <row r="298">
      <c r="A298" s="44" t="n"/>
      <c r="B298" s="42" t="n"/>
      <c r="C298" s="42" t="n"/>
      <c r="D298" s="16" t="n"/>
      <c r="E298" s="16" t="n"/>
      <c r="F298" s="16" t="n"/>
      <c r="G298" s="16" t="n"/>
      <c r="H298" s="16" t="n"/>
      <c r="I298" s="16" t="n"/>
      <c r="J298" s="16" t="n"/>
      <c r="K298" s="16" t="n"/>
      <c r="L298" s="16" t="n"/>
      <c r="M298" s="16" t="n"/>
      <c r="N298" s="42" t="n"/>
      <c r="O298" s="16" t="n"/>
      <c r="P298" s="16" t="n"/>
      <c r="Q298" s="16" t="n"/>
      <c r="R298" s="16" t="n"/>
      <c r="S298" s="16" t="n"/>
      <c r="T298" s="16" t="n"/>
      <c r="U298" s="16" t="n"/>
      <c r="V298" s="16" t="n"/>
      <c r="W298" s="16" t="n"/>
      <c r="X298" s="16" t="n"/>
      <c r="Y298" s="16" t="n"/>
      <c r="Z298" s="16" t="n"/>
      <c r="AA298" s="16" t="n"/>
      <c r="AB298" s="16" t="n"/>
      <c r="AC298" s="16" t="n"/>
    </row>
    <row r="299">
      <c r="A299" s="44" t="n"/>
      <c r="B299" s="42" t="n"/>
      <c r="C299" s="42" t="n"/>
      <c r="D299" s="16" t="n"/>
      <c r="E299" s="16" t="n"/>
      <c r="F299" s="16" t="n"/>
      <c r="G299" s="16" t="n"/>
      <c r="H299" s="16" t="n"/>
      <c r="I299" s="16" t="n"/>
      <c r="J299" s="16" t="n"/>
      <c r="K299" s="16" t="n"/>
      <c r="L299" s="16" t="n"/>
      <c r="M299" s="16" t="n"/>
      <c r="N299" s="42" t="n"/>
      <c r="O299" s="16" t="n"/>
      <c r="P299" s="16" t="n"/>
      <c r="Q299" s="16" t="n"/>
      <c r="R299" s="16" t="n"/>
      <c r="S299" s="16" t="n"/>
      <c r="T299" s="16" t="n"/>
      <c r="U299" s="16" t="n"/>
      <c r="V299" s="16" t="n"/>
      <c r="W299" s="16" t="n"/>
      <c r="X299" s="16" t="n"/>
      <c r="Y299" s="16" t="n"/>
      <c r="Z299" s="16" t="n"/>
      <c r="AA299" s="16" t="n"/>
      <c r="AB299" s="16" t="n"/>
      <c r="AC299" s="16" t="n"/>
    </row>
    <row r="300">
      <c r="A300" s="44" t="n"/>
      <c r="B300" s="42" t="n"/>
      <c r="C300" s="42" t="n"/>
      <c r="D300" s="16" t="n"/>
      <c r="E300" s="16" t="n"/>
      <c r="F300" s="16" t="n"/>
      <c r="G300" s="16" t="n"/>
      <c r="H300" s="16" t="n"/>
      <c r="I300" s="16" t="n"/>
      <c r="J300" s="16" t="n"/>
      <c r="K300" s="16" t="n"/>
      <c r="L300" s="16" t="n"/>
      <c r="M300" s="16" t="n"/>
      <c r="N300" s="42" t="n"/>
      <c r="O300" s="16" t="n"/>
      <c r="P300" s="16" t="n"/>
      <c r="Q300" s="16" t="n"/>
      <c r="R300" s="16" t="n"/>
      <c r="S300" s="16" t="n"/>
      <c r="T300" s="16" t="n"/>
      <c r="U300" s="16" t="n"/>
      <c r="V300" s="16" t="n"/>
      <c r="W300" s="16" t="n"/>
      <c r="X300" s="16" t="n"/>
      <c r="Y300" s="16" t="n"/>
      <c r="Z300" s="16" t="n"/>
      <c r="AA300" s="16" t="n"/>
      <c r="AB300" s="16" t="n"/>
      <c r="AC300" s="16" t="n"/>
    </row>
    <row r="301">
      <c r="A301" s="44" t="n"/>
      <c r="B301" s="42" t="n"/>
      <c r="C301" s="42" t="n"/>
      <c r="D301" s="16" t="n"/>
      <c r="E301" s="16" t="n"/>
      <c r="F301" s="16" t="n"/>
      <c r="G301" s="16" t="n"/>
      <c r="H301" s="16" t="n"/>
      <c r="I301" s="16" t="n"/>
      <c r="J301" s="16" t="n"/>
      <c r="K301" s="16" t="n"/>
      <c r="L301" s="16" t="n"/>
      <c r="M301" s="16" t="n"/>
      <c r="N301" s="42" t="n"/>
      <c r="O301" s="16" t="n"/>
      <c r="P301" s="16" t="n"/>
      <c r="Q301" s="16" t="n"/>
      <c r="R301" s="16" t="n"/>
      <c r="S301" s="16" t="n"/>
      <c r="T301" s="16" t="n"/>
      <c r="U301" s="16" t="n"/>
      <c r="V301" s="16" t="n"/>
      <c r="W301" s="16" t="n"/>
      <c r="X301" s="16" t="n"/>
      <c r="Y301" s="16" t="n"/>
      <c r="Z301" s="16" t="n"/>
      <c r="AA301" s="16" t="n"/>
      <c r="AB301" s="16" t="n"/>
      <c r="AC301" s="16" t="n"/>
    </row>
    <row r="302">
      <c r="A302" s="44" t="n"/>
      <c r="B302" s="42" t="n"/>
      <c r="C302" s="42" t="n"/>
      <c r="D302" s="16" t="n"/>
      <c r="E302" s="16" t="n"/>
      <c r="F302" s="16" t="n"/>
      <c r="G302" s="16" t="n"/>
      <c r="H302" s="16" t="n"/>
      <c r="I302" s="16" t="n"/>
      <c r="J302" s="16" t="n"/>
      <c r="K302" s="16" t="n"/>
      <c r="L302" s="16" t="n"/>
      <c r="M302" s="16" t="n"/>
      <c r="N302" s="42" t="n"/>
      <c r="O302" s="16" t="n"/>
      <c r="P302" s="16" t="n"/>
      <c r="Q302" s="16" t="n"/>
      <c r="R302" s="16" t="n"/>
      <c r="S302" s="16" t="n"/>
      <c r="T302" s="16" t="n"/>
      <c r="U302" s="16" t="n"/>
      <c r="V302" s="16" t="n"/>
      <c r="W302" s="16" t="n"/>
      <c r="X302" s="16" t="n"/>
      <c r="Y302" s="16" t="n"/>
      <c r="Z302" s="16" t="n"/>
      <c r="AA302" s="16" t="n"/>
      <c r="AB302" s="16" t="n"/>
      <c r="AC302" s="16" t="n"/>
    </row>
    <row r="303">
      <c r="A303" s="44" t="n"/>
      <c r="B303" s="42" t="n"/>
      <c r="C303" s="42" t="n"/>
      <c r="D303" s="16" t="n"/>
      <c r="E303" s="16" t="n"/>
      <c r="F303" s="16" t="n"/>
      <c r="G303" s="16" t="n"/>
      <c r="H303" s="16" t="n"/>
      <c r="I303" s="16" t="n"/>
      <c r="J303" s="16" t="n"/>
      <c r="K303" s="16" t="n"/>
      <c r="L303" s="16" t="n"/>
      <c r="M303" s="16" t="n"/>
      <c r="N303" s="42" t="n"/>
      <c r="O303" s="16" t="n"/>
      <c r="P303" s="16" t="n"/>
      <c r="Q303" s="16" t="n"/>
      <c r="R303" s="16" t="n"/>
      <c r="S303" s="16" t="n"/>
      <c r="T303" s="16" t="n"/>
      <c r="U303" s="16" t="n"/>
      <c r="V303" s="16" t="n"/>
      <c r="W303" s="16" t="n"/>
      <c r="X303" s="16" t="n"/>
      <c r="Y303" s="16" t="n"/>
      <c r="Z303" s="16" t="n"/>
      <c r="AA303" s="16" t="n"/>
      <c r="AB303" s="16" t="n"/>
      <c r="AC303" s="16" t="n"/>
    </row>
    <row r="304">
      <c r="A304" s="44" t="n"/>
      <c r="B304" s="42" t="n"/>
      <c r="C304" s="42" t="n"/>
      <c r="D304" s="16" t="n"/>
      <c r="E304" s="16" t="n"/>
      <c r="F304" s="16" t="n"/>
      <c r="G304" s="16" t="n"/>
      <c r="H304" s="16" t="n"/>
      <c r="I304" s="16" t="n"/>
      <c r="J304" s="16" t="n"/>
      <c r="K304" s="16" t="n"/>
      <c r="L304" s="16" t="n"/>
      <c r="M304" s="16" t="n"/>
      <c r="N304" s="42" t="n"/>
      <c r="O304" s="16" t="n"/>
      <c r="P304" s="16" t="n"/>
      <c r="Q304" s="16" t="n"/>
      <c r="R304" s="16" t="n"/>
      <c r="S304" s="16" t="n"/>
      <c r="T304" s="16" t="n"/>
      <c r="U304" s="16" t="n"/>
      <c r="V304" s="16" t="n"/>
      <c r="W304" s="16" t="n"/>
      <c r="X304" s="16" t="n"/>
      <c r="Y304" s="16" t="n"/>
      <c r="Z304" s="16" t="n"/>
      <c r="AA304" s="16" t="n"/>
      <c r="AB304" s="16" t="n"/>
      <c r="AC304" s="16" t="n"/>
    </row>
    <row r="305">
      <c r="A305" s="44" t="n"/>
      <c r="B305" s="42" t="n"/>
      <c r="C305" s="42" t="n"/>
      <c r="D305" s="16" t="n"/>
      <c r="E305" s="16" t="n"/>
      <c r="F305" s="16" t="n"/>
      <c r="G305" s="16" t="n"/>
      <c r="H305" s="16" t="n"/>
      <c r="I305" s="16" t="n"/>
      <c r="J305" s="16" t="n"/>
      <c r="K305" s="16" t="n"/>
      <c r="L305" s="16" t="n"/>
      <c r="M305" s="16" t="n"/>
      <c r="N305" s="42" t="n"/>
      <c r="O305" s="16" t="n"/>
      <c r="P305" s="16" t="n"/>
      <c r="Q305" s="16" t="n"/>
      <c r="R305" s="16" t="n"/>
      <c r="S305" s="16" t="n"/>
      <c r="T305" s="16" t="n"/>
      <c r="U305" s="16" t="n"/>
      <c r="V305" s="16" t="n"/>
      <c r="W305" s="16" t="n"/>
      <c r="X305" s="16" t="n"/>
      <c r="Y305" s="16" t="n"/>
      <c r="Z305" s="16" t="n"/>
      <c r="AA305" s="16" t="n"/>
      <c r="AB305" s="16" t="n"/>
      <c r="AC305" s="16" t="n"/>
    </row>
    <row r="306">
      <c r="A306" s="44" t="n"/>
      <c r="B306" s="42" t="n"/>
      <c r="C306" s="42" t="n"/>
      <c r="D306" s="16" t="n"/>
      <c r="E306" s="16" t="n"/>
      <c r="F306" s="16" t="n"/>
      <c r="G306" s="16" t="n"/>
      <c r="H306" s="16" t="n"/>
      <c r="I306" s="16" t="n"/>
      <c r="J306" s="16" t="n"/>
      <c r="K306" s="16" t="n"/>
      <c r="L306" s="16" t="n"/>
      <c r="M306" s="16" t="n"/>
      <c r="N306" s="42" t="n"/>
      <c r="O306" s="16" t="n"/>
      <c r="P306" s="16" t="n"/>
      <c r="Q306" s="16" t="n"/>
      <c r="R306" s="16" t="n"/>
      <c r="S306" s="16" t="n"/>
      <c r="T306" s="16" t="n"/>
      <c r="U306" s="16" t="n"/>
      <c r="V306" s="16" t="n"/>
      <c r="W306" s="16" t="n"/>
      <c r="X306" s="16" t="n"/>
      <c r="Y306" s="16" t="n"/>
      <c r="Z306" s="16" t="n"/>
      <c r="AA306" s="16" t="n"/>
      <c r="AB306" s="16" t="n"/>
      <c r="AC306" s="16" t="n"/>
    </row>
    <row r="307">
      <c r="A307" s="44" t="n"/>
      <c r="B307" s="42" t="n"/>
      <c r="C307" s="42" t="n"/>
      <c r="D307" s="16" t="n"/>
      <c r="E307" s="16" t="n"/>
      <c r="F307" s="16" t="n"/>
      <c r="G307" s="16" t="n"/>
      <c r="H307" s="16" t="n"/>
      <c r="I307" s="16" t="n"/>
      <c r="J307" s="16" t="n"/>
      <c r="K307" s="16" t="n"/>
      <c r="L307" s="16" t="n"/>
      <c r="M307" s="16" t="n"/>
      <c r="N307" s="42" t="n"/>
      <c r="O307" s="16" t="n"/>
      <c r="P307" s="16" t="n"/>
      <c r="Q307" s="16" t="n"/>
      <c r="R307" s="16" t="n"/>
      <c r="S307" s="16" t="n"/>
      <c r="T307" s="16" t="n"/>
      <c r="U307" s="16" t="n"/>
      <c r="V307" s="16" t="n"/>
      <c r="W307" s="16" t="n"/>
      <c r="X307" s="16" t="n"/>
      <c r="Y307" s="16" t="n"/>
      <c r="Z307" s="16" t="n"/>
      <c r="AA307" s="16" t="n"/>
      <c r="AB307" s="16" t="n"/>
      <c r="AC307" s="16" t="n"/>
    </row>
    <row r="308">
      <c r="A308" s="44" t="n"/>
      <c r="B308" s="42" t="n"/>
      <c r="C308" s="42" t="n"/>
      <c r="D308" s="16" t="n"/>
      <c r="E308" s="16" t="n"/>
      <c r="F308" s="16" t="n"/>
      <c r="G308" s="16" t="n"/>
      <c r="H308" s="16" t="n"/>
      <c r="I308" s="16" t="n"/>
      <c r="J308" s="16" t="n"/>
      <c r="K308" s="16" t="n"/>
      <c r="L308" s="16" t="n"/>
      <c r="M308" s="16" t="n"/>
      <c r="N308" s="42" t="n"/>
      <c r="O308" s="16" t="n"/>
      <c r="P308" s="16" t="n"/>
      <c r="Q308" s="16" t="n"/>
      <c r="R308" s="16" t="n"/>
      <c r="S308" s="16" t="n"/>
      <c r="T308" s="16" t="n"/>
      <c r="U308" s="16" t="n"/>
      <c r="V308" s="16" t="n"/>
      <c r="W308" s="16" t="n"/>
      <c r="X308" s="16" t="n"/>
      <c r="Y308" s="16" t="n"/>
      <c r="Z308" s="16" t="n"/>
      <c r="AA308" s="16" t="n"/>
      <c r="AB308" s="16" t="n"/>
      <c r="AC308" s="16" t="n"/>
    </row>
    <row r="309">
      <c r="A309" s="44" t="n"/>
      <c r="B309" s="42" t="n"/>
      <c r="C309" s="42" t="n"/>
      <c r="D309" s="16" t="n"/>
      <c r="E309" s="16" t="n"/>
      <c r="F309" s="16" t="n"/>
      <c r="G309" s="16" t="n"/>
      <c r="H309" s="16" t="n"/>
      <c r="I309" s="16" t="n"/>
      <c r="J309" s="16" t="n"/>
      <c r="K309" s="16" t="n"/>
      <c r="L309" s="16" t="n"/>
      <c r="M309" s="16" t="n"/>
      <c r="N309" s="42" t="n"/>
      <c r="O309" s="16" t="n"/>
      <c r="P309" s="16" t="n"/>
      <c r="Q309" s="16" t="n"/>
      <c r="R309" s="16" t="n"/>
      <c r="S309" s="16" t="n"/>
      <c r="T309" s="16" t="n"/>
      <c r="U309" s="16" t="n"/>
      <c r="V309" s="16" t="n"/>
      <c r="W309" s="16" t="n"/>
      <c r="X309" s="16" t="n"/>
      <c r="Y309" s="16" t="n"/>
      <c r="Z309" s="16" t="n"/>
      <c r="AA309" s="16" t="n"/>
      <c r="AB309" s="16" t="n"/>
      <c r="AC309" s="16" t="n"/>
    </row>
    <row r="310">
      <c r="A310" s="44" t="n"/>
      <c r="B310" s="42" t="n"/>
      <c r="C310" s="42" t="n"/>
      <c r="D310" s="16" t="n"/>
      <c r="E310" s="16" t="n"/>
      <c r="F310" s="16" t="n"/>
      <c r="G310" s="16" t="n"/>
      <c r="H310" s="16" t="n"/>
      <c r="I310" s="16" t="n"/>
      <c r="J310" s="16" t="n"/>
      <c r="K310" s="16" t="n"/>
      <c r="L310" s="16" t="n"/>
      <c r="M310" s="16" t="n"/>
      <c r="N310" s="42" t="n"/>
      <c r="O310" s="16" t="n"/>
      <c r="P310" s="16" t="n"/>
      <c r="Q310" s="16" t="n"/>
      <c r="R310" s="16" t="n"/>
      <c r="S310" s="16" t="n"/>
      <c r="T310" s="16" t="n"/>
      <c r="U310" s="16" t="n"/>
      <c r="V310" s="16" t="n"/>
      <c r="W310" s="16" t="n"/>
      <c r="X310" s="16" t="n"/>
      <c r="Y310" s="16" t="n"/>
      <c r="Z310" s="16" t="n"/>
      <c r="AA310" s="16" t="n"/>
      <c r="AB310" s="16" t="n"/>
      <c r="AC310" s="16" t="n"/>
    </row>
    <row r="311">
      <c r="A311" s="44" t="n"/>
      <c r="B311" s="42" t="n"/>
      <c r="C311" s="42" t="n"/>
      <c r="D311" s="16" t="n"/>
      <c r="E311" s="16" t="n"/>
      <c r="F311" s="16" t="n"/>
      <c r="G311" s="16" t="n"/>
      <c r="H311" s="16" t="n"/>
      <c r="I311" s="16" t="n"/>
      <c r="J311" s="16" t="n"/>
      <c r="K311" s="16" t="n"/>
      <c r="L311" s="16" t="n"/>
      <c r="M311" s="16" t="n"/>
      <c r="N311" s="42" t="n"/>
      <c r="O311" s="16" t="n"/>
      <c r="P311" s="16" t="n"/>
      <c r="Q311" s="16" t="n"/>
      <c r="R311" s="16" t="n"/>
      <c r="S311" s="16" t="n"/>
      <c r="T311" s="16" t="n"/>
      <c r="U311" s="16" t="n"/>
      <c r="V311" s="16" t="n"/>
      <c r="W311" s="16" t="n"/>
      <c r="X311" s="16" t="n"/>
      <c r="Y311" s="16" t="n"/>
      <c r="Z311" s="16" t="n"/>
      <c r="AA311" s="16" t="n"/>
      <c r="AB311" s="16" t="n"/>
      <c r="AC311" s="16" t="n"/>
    </row>
    <row r="312">
      <c r="A312" s="44" t="n"/>
      <c r="B312" s="42" t="n"/>
      <c r="C312" s="42" t="n"/>
      <c r="D312" s="16" t="n"/>
      <c r="E312" s="16" t="n"/>
      <c r="F312" s="16" t="n"/>
      <c r="G312" s="16" t="n"/>
      <c r="H312" s="16" t="n"/>
      <c r="I312" s="16" t="n"/>
      <c r="J312" s="16" t="n"/>
      <c r="K312" s="16" t="n"/>
      <c r="L312" s="16" t="n"/>
      <c r="M312" s="16" t="n"/>
      <c r="N312" s="42" t="n"/>
      <c r="O312" s="16" t="n"/>
      <c r="P312" s="16" t="n"/>
      <c r="Q312" s="16" t="n"/>
      <c r="R312" s="16" t="n"/>
      <c r="S312" s="16" t="n"/>
      <c r="T312" s="16" t="n"/>
      <c r="U312" s="16" t="n"/>
      <c r="V312" s="16" t="n"/>
      <c r="W312" s="16" t="n"/>
      <c r="X312" s="16" t="n"/>
      <c r="Y312" s="16" t="n"/>
      <c r="Z312" s="16" t="n"/>
      <c r="AA312" s="16" t="n"/>
      <c r="AB312" s="16" t="n"/>
      <c r="AC312" s="16" t="n"/>
    </row>
    <row r="313">
      <c r="A313" s="44" t="n"/>
      <c r="B313" s="42" t="n"/>
      <c r="C313" s="42" t="n"/>
      <c r="D313" s="16" t="n"/>
      <c r="E313" s="16" t="n"/>
      <c r="F313" s="16" t="n"/>
      <c r="G313" s="16" t="n"/>
      <c r="H313" s="16" t="n"/>
      <c r="I313" s="16" t="n"/>
      <c r="J313" s="16" t="n"/>
      <c r="K313" s="16" t="n"/>
      <c r="L313" s="16" t="n"/>
      <c r="M313" s="16" t="n"/>
      <c r="N313" s="42" t="n"/>
      <c r="O313" s="16" t="n"/>
      <c r="P313" s="16" t="n"/>
      <c r="Q313" s="16" t="n"/>
      <c r="R313" s="16" t="n"/>
      <c r="S313" s="16" t="n"/>
      <c r="T313" s="16" t="n"/>
      <c r="U313" s="16" t="n"/>
      <c r="V313" s="16" t="n"/>
      <c r="W313" s="16" t="n"/>
      <c r="X313" s="16" t="n"/>
      <c r="Y313" s="16" t="n"/>
      <c r="Z313" s="16" t="n"/>
      <c r="AA313" s="16" t="n"/>
      <c r="AB313" s="16" t="n"/>
      <c r="AC313" s="16" t="n"/>
    </row>
    <row r="314">
      <c r="A314" s="44" t="n"/>
      <c r="B314" s="42" t="n"/>
      <c r="C314" s="42" t="n"/>
      <c r="D314" s="16" t="n"/>
      <c r="E314" s="16" t="n"/>
      <c r="F314" s="16" t="n"/>
      <c r="G314" s="16" t="n"/>
      <c r="H314" s="16" t="n"/>
      <c r="I314" s="16" t="n"/>
      <c r="J314" s="16" t="n"/>
      <c r="K314" s="16" t="n"/>
      <c r="L314" s="16" t="n"/>
      <c r="M314" s="16" t="n"/>
      <c r="N314" s="42" t="n"/>
      <c r="O314" s="16" t="n"/>
      <c r="P314" s="16" t="n"/>
      <c r="Q314" s="16" t="n"/>
      <c r="R314" s="16" t="n"/>
      <c r="S314" s="16" t="n"/>
      <c r="T314" s="16" t="n"/>
      <c r="U314" s="16" t="n"/>
      <c r="V314" s="16" t="n"/>
      <c r="W314" s="16" t="n"/>
      <c r="X314" s="16" t="n"/>
      <c r="Y314" s="16" t="n"/>
      <c r="Z314" s="16" t="n"/>
      <c r="AA314" s="16" t="n"/>
      <c r="AB314" s="16" t="n"/>
      <c r="AC314" s="16" t="n"/>
    </row>
    <row r="315">
      <c r="A315" s="44" t="n"/>
      <c r="B315" s="42" t="n"/>
      <c r="C315" s="42" t="n"/>
      <c r="D315" s="16" t="n"/>
      <c r="E315" s="16" t="n"/>
      <c r="F315" s="16" t="n"/>
      <c r="G315" s="16" t="n"/>
      <c r="H315" s="16" t="n"/>
      <c r="I315" s="16" t="n"/>
      <c r="J315" s="16" t="n"/>
      <c r="K315" s="16" t="n"/>
      <c r="L315" s="16" t="n"/>
      <c r="M315" s="16" t="n"/>
      <c r="N315" s="42" t="n"/>
      <c r="O315" s="16" t="n"/>
      <c r="P315" s="16" t="n"/>
      <c r="Q315" s="16" t="n"/>
      <c r="R315" s="16" t="n"/>
      <c r="S315" s="16" t="n"/>
      <c r="T315" s="16" t="n"/>
      <c r="U315" s="16" t="n"/>
      <c r="V315" s="16" t="n"/>
      <c r="W315" s="16" t="n"/>
      <c r="X315" s="16" t="n"/>
      <c r="Y315" s="16" t="n"/>
      <c r="Z315" s="16" t="n"/>
      <c r="AA315" s="16" t="n"/>
      <c r="AB315" s="16" t="n"/>
      <c r="AC315" s="16" t="n"/>
    </row>
    <row r="316">
      <c r="A316" s="44" t="n"/>
      <c r="B316" s="42" t="n"/>
      <c r="C316" s="42" t="n"/>
      <c r="D316" s="16" t="n"/>
      <c r="E316" s="16" t="n"/>
      <c r="F316" s="16" t="n"/>
      <c r="G316" s="16" t="n"/>
      <c r="H316" s="16" t="n"/>
      <c r="I316" s="16" t="n"/>
      <c r="J316" s="16" t="n"/>
      <c r="K316" s="16" t="n"/>
      <c r="L316" s="16" t="n"/>
      <c r="M316" s="16" t="n"/>
      <c r="N316" s="42" t="n"/>
      <c r="O316" s="16" t="n"/>
      <c r="P316" s="16" t="n"/>
      <c r="Q316" s="16" t="n"/>
      <c r="R316" s="16" t="n"/>
      <c r="S316" s="16" t="n"/>
      <c r="T316" s="16" t="n"/>
      <c r="U316" s="16" t="n"/>
      <c r="V316" s="16" t="n"/>
      <c r="W316" s="16" t="n"/>
      <c r="X316" s="16" t="n"/>
      <c r="Y316" s="16" t="n"/>
      <c r="Z316" s="16" t="n"/>
      <c r="AA316" s="16" t="n"/>
      <c r="AB316" s="16" t="n"/>
      <c r="AC316" s="16" t="n"/>
    </row>
    <row r="317">
      <c r="A317" s="44" t="n"/>
      <c r="B317" s="42" t="n"/>
      <c r="C317" s="42" t="n"/>
      <c r="D317" s="16" t="n"/>
      <c r="E317" s="16" t="n"/>
      <c r="F317" s="16" t="n"/>
      <c r="G317" s="16" t="n"/>
      <c r="H317" s="16" t="n"/>
      <c r="I317" s="16" t="n"/>
      <c r="J317" s="16" t="n"/>
      <c r="K317" s="16" t="n"/>
      <c r="L317" s="16" t="n"/>
      <c r="M317" s="16" t="n"/>
      <c r="N317" s="42" t="n"/>
      <c r="O317" s="16" t="n"/>
      <c r="P317" s="16" t="n"/>
      <c r="Q317" s="16" t="n"/>
      <c r="R317" s="16" t="n"/>
      <c r="S317" s="16" t="n"/>
      <c r="T317" s="16" t="n"/>
      <c r="U317" s="16" t="n"/>
      <c r="V317" s="16" t="n"/>
      <c r="W317" s="16" t="n"/>
      <c r="X317" s="16" t="n"/>
      <c r="Y317" s="16" t="n"/>
      <c r="Z317" s="16" t="n"/>
      <c r="AA317" s="16" t="n"/>
      <c r="AB317" s="16" t="n"/>
      <c r="AC317" s="16" t="n"/>
    </row>
    <row r="318">
      <c r="A318" s="44" t="n"/>
      <c r="B318" s="42" t="n"/>
      <c r="C318" s="42" t="n"/>
      <c r="D318" s="16" t="n"/>
      <c r="E318" s="16" t="n"/>
      <c r="F318" s="16" t="n"/>
      <c r="G318" s="16" t="n"/>
      <c r="H318" s="16" t="n"/>
      <c r="I318" s="16" t="n"/>
      <c r="J318" s="16" t="n"/>
      <c r="K318" s="16" t="n"/>
      <c r="L318" s="16" t="n"/>
      <c r="M318" s="16" t="n"/>
      <c r="N318" s="42" t="n"/>
      <c r="O318" s="16" t="n"/>
      <c r="P318" s="16" t="n"/>
      <c r="Q318" s="16" t="n"/>
      <c r="R318" s="16" t="n"/>
      <c r="S318" s="16" t="n"/>
      <c r="T318" s="16" t="n"/>
      <c r="U318" s="16" t="n"/>
      <c r="V318" s="16" t="n"/>
      <c r="W318" s="16" t="n"/>
      <c r="X318" s="16" t="n"/>
      <c r="Y318" s="16" t="n"/>
      <c r="Z318" s="16" t="n"/>
      <c r="AA318" s="16" t="n"/>
      <c r="AB318" s="16" t="n"/>
      <c r="AC318" s="16" t="n"/>
    </row>
    <row r="319">
      <c r="A319" s="44" t="n"/>
      <c r="B319" s="42" t="n"/>
      <c r="C319" s="42" t="n"/>
      <c r="D319" s="16" t="n"/>
      <c r="E319" s="16" t="n"/>
      <c r="F319" s="16" t="n"/>
      <c r="G319" s="16" t="n"/>
      <c r="H319" s="16" t="n"/>
      <c r="I319" s="16" t="n"/>
      <c r="J319" s="16" t="n"/>
      <c r="K319" s="16" t="n"/>
      <c r="L319" s="16" t="n"/>
      <c r="M319" s="16" t="n"/>
      <c r="N319" s="42" t="n"/>
      <c r="O319" s="16" t="n"/>
      <c r="P319" s="16" t="n"/>
      <c r="Q319" s="16" t="n"/>
      <c r="R319" s="16" t="n"/>
      <c r="S319" s="16" t="n"/>
      <c r="T319" s="16" t="n"/>
      <c r="U319" s="16" t="n"/>
      <c r="V319" s="16" t="n"/>
      <c r="W319" s="16" t="n"/>
      <c r="X319" s="16" t="n"/>
      <c r="Y319" s="16" t="n"/>
      <c r="Z319" s="16" t="n"/>
      <c r="AA319" s="16" t="n"/>
      <c r="AB319" s="16" t="n"/>
      <c r="AC319" s="16" t="n"/>
    </row>
    <row r="320">
      <c r="A320" s="44" t="n"/>
      <c r="B320" s="42" t="n"/>
      <c r="C320" s="42" t="n"/>
      <c r="D320" s="16" t="n"/>
      <c r="E320" s="16" t="n"/>
      <c r="F320" s="16" t="n"/>
      <c r="G320" s="16" t="n"/>
      <c r="H320" s="16" t="n"/>
      <c r="I320" s="16" t="n"/>
      <c r="J320" s="16" t="n"/>
      <c r="K320" s="16" t="n"/>
      <c r="L320" s="16" t="n"/>
      <c r="M320" s="16" t="n"/>
      <c r="N320" s="42" t="n"/>
      <c r="O320" s="16" t="n"/>
      <c r="P320" s="16" t="n"/>
      <c r="Q320" s="16" t="n"/>
      <c r="R320" s="16" t="n"/>
      <c r="S320" s="16" t="n"/>
      <c r="T320" s="16" t="n"/>
      <c r="U320" s="16" t="n"/>
      <c r="V320" s="16" t="n"/>
      <c r="W320" s="16" t="n"/>
      <c r="X320" s="16" t="n"/>
      <c r="Y320" s="16" t="n"/>
      <c r="Z320" s="16" t="n"/>
      <c r="AA320" s="16" t="n"/>
      <c r="AB320" s="16" t="n"/>
      <c r="AC320" s="16" t="n"/>
    </row>
    <row r="321">
      <c r="A321" s="44" t="n"/>
      <c r="B321" s="42" t="n"/>
      <c r="C321" s="42" t="n"/>
      <c r="D321" s="16" t="n"/>
      <c r="E321" s="16" t="n"/>
      <c r="F321" s="16" t="n"/>
      <c r="G321" s="16" t="n"/>
      <c r="H321" s="16" t="n"/>
      <c r="I321" s="16" t="n"/>
      <c r="J321" s="16" t="n"/>
      <c r="K321" s="16" t="n"/>
      <c r="L321" s="16" t="n"/>
      <c r="M321" s="16" t="n"/>
      <c r="N321" s="42" t="n"/>
      <c r="O321" s="16" t="n"/>
      <c r="P321" s="16" t="n"/>
      <c r="Q321" s="16" t="n"/>
      <c r="R321" s="16" t="n"/>
      <c r="S321" s="16" t="n"/>
      <c r="T321" s="16" t="n"/>
      <c r="U321" s="16" t="n"/>
      <c r="V321" s="16" t="n"/>
      <c r="W321" s="16" t="n"/>
      <c r="X321" s="16" t="n"/>
      <c r="Y321" s="16" t="n"/>
      <c r="Z321" s="16" t="n"/>
      <c r="AA321" s="16" t="n"/>
      <c r="AB321" s="16" t="n"/>
      <c r="AC321" s="16" t="n"/>
    </row>
    <row r="322">
      <c r="A322" s="44" t="n"/>
      <c r="B322" s="42" t="n"/>
      <c r="C322" s="42" t="n"/>
      <c r="D322" s="16" t="n"/>
      <c r="E322" s="16" t="n"/>
      <c r="F322" s="16" t="n"/>
      <c r="G322" s="16" t="n"/>
      <c r="H322" s="16" t="n"/>
      <c r="I322" s="16" t="n"/>
      <c r="J322" s="16" t="n"/>
      <c r="K322" s="16" t="n"/>
      <c r="L322" s="16" t="n"/>
      <c r="M322" s="16" t="n"/>
      <c r="N322" s="42" t="n"/>
      <c r="O322" s="16" t="n"/>
      <c r="P322" s="16" t="n"/>
      <c r="Q322" s="16" t="n"/>
      <c r="R322" s="16" t="n"/>
      <c r="S322" s="16" t="n"/>
      <c r="T322" s="16" t="n"/>
      <c r="U322" s="16" t="n"/>
      <c r="V322" s="16" t="n"/>
      <c r="W322" s="16" t="n"/>
      <c r="X322" s="16" t="n"/>
      <c r="Y322" s="16" t="n"/>
      <c r="Z322" s="16" t="n"/>
      <c r="AA322" s="16" t="n"/>
      <c r="AB322" s="16" t="n"/>
      <c r="AC322" s="16" t="n"/>
    </row>
    <row r="323">
      <c r="A323" s="44" t="n"/>
      <c r="B323" s="42" t="n"/>
      <c r="C323" s="42" t="n"/>
      <c r="D323" s="16" t="n"/>
      <c r="E323" s="16" t="n"/>
      <c r="F323" s="16" t="n"/>
      <c r="G323" s="16" t="n"/>
      <c r="H323" s="16" t="n"/>
      <c r="I323" s="16" t="n"/>
      <c r="J323" s="16" t="n"/>
      <c r="K323" s="16" t="n"/>
      <c r="L323" s="16" t="n"/>
      <c r="M323" s="16" t="n"/>
      <c r="N323" s="42" t="n"/>
      <c r="O323" s="16" t="n"/>
      <c r="P323" s="16" t="n"/>
      <c r="Q323" s="16" t="n"/>
      <c r="R323" s="16" t="n"/>
      <c r="S323" s="16" t="n"/>
      <c r="T323" s="16" t="n"/>
      <c r="U323" s="16" t="n"/>
      <c r="V323" s="16" t="n"/>
      <c r="W323" s="16" t="n"/>
      <c r="X323" s="16" t="n"/>
      <c r="Y323" s="16" t="n"/>
      <c r="Z323" s="16" t="n"/>
      <c r="AA323" s="16" t="n"/>
      <c r="AB323" s="16" t="n"/>
      <c r="AC323" s="16" t="n"/>
    </row>
    <row r="324">
      <c r="A324" s="44" t="n"/>
      <c r="B324" s="42" t="n"/>
      <c r="C324" s="42" t="n"/>
      <c r="D324" s="16" t="n"/>
      <c r="E324" s="16" t="n"/>
      <c r="F324" s="16" t="n"/>
      <c r="G324" s="16" t="n"/>
      <c r="H324" s="16" t="n"/>
      <c r="I324" s="16" t="n"/>
      <c r="J324" s="16" t="n"/>
      <c r="K324" s="16" t="n"/>
      <c r="L324" s="16" t="n"/>
      <c r="M324" s="16" t="n"/>
      <c r="N324" s="42" t="n"/>
      <c r="O324" s="16" t="n"/>
      <c r="P324" s="16" t="n"/>
      <c r="Q324" s="16" t="n"/>
      <c r="R324" s="16" t="n"/>
      <c r="S324" s="16" t="n"/>
      <c r="T324" s="16" t="n"/>
      <c r="U324" s="16" t="n"/>
      <c r="V324" s="16" t="n"/>
      <c r="W324" s="16" t="n"/>
      <c r="X324" s="16" t="n"/>
      <c r="Y324" s="16" t="n"/>
      <c r="Z324" s="16" t="n"/>
      <c r="AA324" s="16" t="n"/>
      <c r="AB324" s="16" t="n"/>
      <c r="AC324" s="16" t="n"/>
    </row>
    <row r="325">
      <c r="A325" s="44" t="n"/>
      <c r="B325" s="42" t="n"/>
      <c r="C325" s="42" t="n"/>
      <c r="D325" s="16" t="n"/>
      <c r="E325" s="16" t="n"/>
      <c r="F325" s="16" t="n"/>
      <c r="G325" s="16" t="n"/>
      <c r="H325" s="16" t="n"/>
      <c r="I325" s="16" t="n"/>
      <c r="J325" s="16" t="n"/>
      <c r="K325" s="16" t="n"/>
      <c r="L325" s="16" t="n"/>
      <c r="M325" s="16" t="n"/>
      <c r="N325" s="42" t="n"/>
      <c r="O325" s="16" t="n"/>
      <c r="P325" s="16" t="n"/>
      <c r="Q325" s="16" t="n"/>
      <c r="R325" s="16" t="n"/>
      <c r="S325" s="16" t="n"/>
      <c r="T325" s="16" t="n"/>
      <c r="U325" s="16" t="n"/>
      <c r="V325" s="16" t="n"/>
      <c r="W325" s="16" t="n"/>
      <c r="X325" s="16" t="n"/>
      <c r="Y325" s="16" t="n"/>
      <c r="Z325" s="16" t="n"/>
      <c r="AA325" s="16" t="n"/>
      <c r="AB325" s="16" t="n"/>
      <c r="AC325" s="16" t="n"/>
    </row>
    <row r="326">
      <c r="A326" s="44" t="n"/>
      <c r="B326" s="42" t="n"/>
      <c r="C326" s="42" t="n"/>
      <c r="D326" s="16" t="n"/>
      <c r="E326" s="16" t="n"/>
      <c r="F326" s="16" t="n"/>
      <c r="G326" s="16" t="n"/>
      <c r="H326" s="16" t="n"/>
      <c r="I326" s="16" t="n"/>
      <c r="J326" s="16" t="n"/>
      <c r="K326" s="16" t="n"/>
      <c r="L326" s="16" t="n"/>
      <c r="M326" s="16" t="n"/>
      <c r="N326" s="42" t="n"/>
      <c r="O326" s="16" t="n"/>
      <c r="P326" s="16" t="n"/>
      <c r="Q326" s="16" t="n"/>
      <c r="R326" s="16" t="n"/>
      <c r="S326" s="16" t="n"/>
      <c r="T326" s="16" t="n"/>
      <c r="U326" s="16" t="n"/>
      <c r="V326" s="16" t="n"/>
      <c r="W326" s="16" t="n"/>
      <c r="X326" s="16" t="n"/>
      <c r="Y326" s="16" t="n"/>
      <c r="Z326" s="16" t="n"/>
      <c r="AA326" s="16" t="n"/>
      <c r="AB326" s="16" t="n"/>
      <c r="AC326" s="16" t="n"/>
    </row>
    <row r="327">
      <c r="A327" s="44" t="n"/>
      <c r="B327" s="42" t="n"/>
      <c r="C327" s="42" t="n"/>
      <c r="D327" s="16" t="n"/>
      <c r="E327" s="16" t="n"/>
      <c r="F327" s="16" t="n"/>
      <c r="G327" s="16" t="n"/>
      <c r="H327" s="16" t="n"/>
      <c r="I327" s="16" t="n"/>
      <c r="J327" s="16" t="n"/>
      <c r="K327" s="16" t="n"/>
      <c r="L327" s="16" t="n"/>
      <c r="M327" s="16" t="n"/>
      <c r="N327" s="42" t="n"/>
      <c r="O327" s="16" t="n"/>
      <c r="P327" s="16" t="n"/>
      <c r="Q327" s="16" t="n"/>
      <c r="R327" s="16" t="n"/>
      <c r="S327" s="16" t="n"/>
      <c r="T327" s="16" t="n"/>
      <c r="U327" s="16" t="n"/>
      <c r="V327" s="16" t="n"/>
      <c r="W327" s="16" t="n"/>
      <c r="X327" s="16" t="n"/>
      <c r="Y327" s="16" t="n"/>
      <c r="Z327" s="16" t="n"/>
      <c r="AA327" s="16" t="n"/>
      <c r="AB327" s="16" t="n"/>
      <c r="AC327" s="16" t="n"/>
    </row>
    <row r="328">
      <c r="A328" s="44" t="n"/>
      <c r="B328" s="42" t="n"/>
      <c r="C328" s="42" t="n"/>
      <c r="D328" s="16" t="n"/>
      <c r="E328" s="16" t="n"/>
      <c r="F328" s="16" t="n"/>
      <c r="G328" s="16" t="n"/>
      <c r="H328" s="16" t="n"/>
      <c r="I328" s="16" t="n"/>
      <c r="J328" s="16" t="n"/>
      <c r="K328" s="16" t="n"/>
      <c r="L328" s="16" t="n"/>
      <c r="M328" s="16" t="n"/>
      <c r="N328" s="42" t="n"/>
      <c r="O328" s="16" t="n"/>
      <c r="P328" s="16" t="n"/>
      <c r="Q328" s="16" t="n"/>
      <c r="R328" s="16" t="n"/>
      <c r="S328" s="16" t="n"/>
      <c r="T328" s="16" t="n"/>
      <c r="U328" s="16" t="n"/>
      <c r="V328" s="16" t="n"/>
      <c r="W328" s="16" t="n"/>
      <c r="X328" s="16" t="n"/>
      <c r="Y328" s="16" t="n"/>
      <c r="Z328" s="16" t="n"/>
      <c r="AA328" s="16" t="n"/>
      <c r="AB328" s="16" t="n"/>
      <c r="AC328" s="16" t="n"/>
    </row>
    <row r="329">
      <c r="A329" s="44" t="n"/>
      <c r="B329" s="42" t="n"/>
      <c r="C329" s="42" t="n"/>
      <c r="D329" s="16" t="n"/>
      <c r="E329" s="16" t="n"/>
      <c r="F329" s="16" t="n"/>
      <c r="G329" s="16" t="n"/>
      <c r="H329" s="16" t="n"/>
      <c r="I329" s="16" t="n"/>
      <c r="J329" s="16" t="n"/>
      <c r="K329" s="16" t="n"/>
      <c r="L329" s="16" t="n"/>
      <c r="M329" s="16" t="n"/>
      <c r="N329" s="42" t="n"/>
      <c r="O329" s="16" t="n"/>
      <c r="P329" s="16" t="n"/>
      <c r="Q329" s="16" t="n"/>
      <c r="R329" s="16" t="n"/>
      <c r="S329" s="16" t="n"/>
      <c r="T329" s="16" t="n"/>
      <c r="U329" s="16" t="n"/>
      <c r="V329" s="16" t="n"/>
      <c r="W329" s="16" t="n"/>
      <c r="X329" s="16" t="n"/>
      <c r="Y329" s="16" t="n"/>
      <c r="Z329" s="16" t="n"/>
      <c r="AA329" s="16" t="n"/>
      <c r="AB329" s="16" t="n"/>
      <c r="AC329" s="16" t="n"/>
    </row>
    <row r="330">
      <c r="A330" s="44" t="n"/>
      <c r="B330" s="42" t="n"/>
      <c r="C330" s="42" t="n"/>
      <c r="D330" s="16" t="n"/>
      <c r="E330" s="16" t="n"/>
      <c r="F330" s="16" t="n"/>
      <c r="G330" s="16" t="n"/>
      <c r="H330" s="16" t="n"/>
      <c r="I330" s="16" t="n"/>
      <c r="J330" s="16" t="n"/>
      <c r="K330" s="16" t="n"/>
      <c r="L330" s="16" t="n"/>
      <c r="M330" s="16" t="n"/>
      <c r="N330" s="42" t="n"/>
      <c r="O330" s="16" t="n"/>
      <c r="P330" s="16" t="n"/>
      <c r="Q330" s="16" t="n"/>
      <c r="R330" s="16" t="n"/>
      <c r="S330" s="16" t="n"/>
      <c r="T330" s="16" t="n"/>
      <c r="U330" s="16" t="n"/>
      <c r="V330" s="16" t="n"/>
      <c r="W330" s="16" t="n"/>
      <c r="X330" s="16" t="n"/>
      <c r="Y330" s="16" t="n"/>
      <c r="Z330" s="16" t="n"/>
      <c r="AA330" s="16" t="n"/>
      <c r="AB330" s="16" t="n"/>
      <c r="AC330" s="16" t="n"/>
    </row>
    <row r="331">
      <c r="A331" s="44" t="n"/>
      <c r="B331" s="42" t="n"/>
      <c r="C331" s="42" t="n"/>
      <c r="D331" s="16" t="n"/>
      <c r="E331" s="16" t="n"/>
      <c r="F331" s="16" t="n"/>
      <c r="G331" s="16" t="n"/>
      <c r="H331" s="16" t="n"/>
      <c r="I331" s="16" t="n"/>
      <c r="J331" s="16" t="n"/>
      <c r="K331" s="16" t="n"/>
      <c r="L331" s="16" t="n"/>
      <c r="M331" s="16" t="n"/>
      <c r="N331" s="42" t="n"/>
      <c r="O331" s="16" t="n"/>
      <c r="P331" s="16" t="n"/>
      <c r="Q331" s="16" t="n"/>
      <c r="R331" s="16" t="n"/>
      <c r="S331" s="16" t="n"/>
      <c r="T331" s="16" t="n"/>
      <c r="U331" s="16" t="n"/>
      <c r="V331" s="16" t="n"/>
      <c r="W331" s="16" t="n"/>
      <c r="X331" s="16" t="n"/>
      <c r="Y331" s="16" t="n"/>
      <c r="Z331" s="16" t="n"/>
      <c r="AA331" s="16" t="n"/>
      <c r="AB331" s="16" t="n"/>
      <c r="AC331" s="16" t="n"/>
    </row>
    <row r="332">
      <c r="A332" s="44" t="n"/>
      <c r="B332" s="42" t="n"/>
      <c r="C332" s="42" t="n"/>
      <c r="D332" s="16" t="n"/>
      <c r="E332" s="16" t="n"/>
      <c r="F332" s="16" t="n"/>
      <c r="G332" s="16" t="n"/>
      <c r="H332" s="16" t="n"/>
      <c r="I332" s="16" t="n"/>
      <c r="J332" s="16" t="n"/>
      <c r="K332" s="16" t="n"/>
      <c r="L332" s="16" t="n"/>
      <c r="M332" s="16" t="n"/>
      <c r="N332" s="42" t="n"/>
      <c r="O332" s="16" t="n"/>
      <c r="P332" s="16" t="n"/>
      <c r="Q332" s="16" t="n"/>
      <c r="R332" s="16" t="n"/>
      <c r="S332" s="16" t="n"/>
      <c r="T332" s="16" t="n"/>
      <c r="U332" s="16" t="n"/>
      <c r="V332" s="16" t="n"/>
      <c r="W332" s="16" t="n"/>
      <c r="X332" s="16" t="n"/>
      <c r="Y332" s="16" t="n"/>
      <c r="Z332" s="16" t="n"/>
      <c r="AA332" s="16" t="n"/>
      <c r="AB332" s="16" t="n"/>
      <c r="AC332" s="16" t="n"/>
    </row>
    <row r="333">
      <c r="A333" s="44" t="n"/>
      <c r="B333" s="42" t="n"/>
      <c r="C333" s="42" t="n"/>
      <c r="D333" s="16" t="n"/>
      <c r="E333" s="16" t="n"/>
      <c r="F333" s="16" t="n"/>
      <c r="G333" s="16" t="n"/>
      <c r="H333" s="16" t="n"/>
      <c r="I333" s="16" t="n"/>
      <c r="J333" s="16" t="n"/>
      <c r="K333" s="16" t="n"/>
      <c r="L333" s="16" t="n"/>
      <c r="M333" s="16" t="n"/>
      <c r="N333" s="42" t="n"/>
      <c r="O333" s="16" t="n"/>
      <c r="P333" s="16" t="n"/>
      <c r="Q333" s="16" t="n"/>
      <c r="R333" s="16" t="n"/>
      <c r="S333" s="16" t="n"/>
      <c r="T333" s="16" t="n"/>
      <c r="U333" s="16" t="n"/>
      <c r="V333" s="16" t="n"/>
      <c r="W333" s="16" t="n"/>
      <c r="X333" s="16" t="n"/>
      <c r="Y333" s="16" t="n"/>
      <c r="Z333" s="16" t="n"/>
      <c r="AA333" s="16" t="n"/>
      <c r="AB333" s="16" t="n"/>
      <c r="AC333" s="16" t="n"/>
    </row>
    <row r="334">
      <c r="A334" s="44" t="n"/>
      <c r="B334" s="42" t="n"/>
      <c r="C334" s="42" t="n"/>
      <c r="D334" s="16" t="n"/>
      <c r="E334" s="16" t="n"/>
      <c r="F334" s="16" t="n"/>
      <c r="G334" s="16" t="n"/>
      <c r="H334" s="16" t="n"/>
      <c r="I334" s="16" t="n"/>
      <c r="J334" s="16" t="n"/>
      <c r="K334" s="16" t="n"/>
      <c r="L334" s="16" t="n"/>
      <c r="M334" s="16" t="n"/>
      <c r="N334" s="42" t="n"/>
      <c r="O334" s="16" t="n"/>
      <c r="P334" s="16" t="n"/>
      <c r="Q334" s="16" t="n"/>
      <c r="R334" s="16" t="n"/>
      <c r="S334" s="16" t="n"/>
      <c r="T334" s="16" t="n"/>
      <c r="U334" s="16" t="n"/>
      <c r="V334" s="16" t="n"/>
      <c r="W334" s="16" t="n"/>
      <c r="X334" s="16" t="n"/>
      <c r="Y334" s="16" t="n"/>
      <c r="Z334" s="16" t="n"/>
      <c r="AA334" s="16" t="n"/>
      <c r="AB334" s="16" t="n"/>
      <c r="AC334" s="16" t="n"/>
    </row>
    <row r="335">
      <c r="A335" s="44" t="n"/>
      <c r="B335" s="42" t="n"/>
      <c r="C335" s="42" t="n"/>
      <c r="D335" s="16" t="n"/>
      <c r="E335" s="16" t="n"/>
      <c r="F335" s="16" t="n"/>
      <c r="G335" s="16" t="n"/>
      <c r="H335" s="16" t="n"/>
      <c r="I335" s="16" t="n"/>
      <c r="J335" s="16" t="n"/>
      <c r="K335" s="16" t="n"/>
      <c r="L335" s="16" t="n"/>
      <c r="M335" s="16" t="n"/>
      <c r="N335" s="42" t="n"/>
      <c r="O335" s="16" t="n"/>
      <c r="P335" s="16" t="n"/>
      <c r="Q335" s="16" t="n"/>
      <c r="R335" s="16" t="n"/>
      <c r="S335" s="16" t="n"/>
      <c r="T335" s="16" t="n"/>
      <c r="U335" s="16" t="n"/>
      <c r="V335" s="16" t="n"/>
      <c r="W335" s="16" t="n"/>
      <c r="X335" s="16" t="n"/>
      <c r="Y335" s="16" t="n"/>
      <c r="Z335" s="16" t="n"/>
      <c r="AA335" s="16" t="n"/>
      <c r="AB335" s="16" t="n"/>
      <c r="AC335" s="16" t="n"/>
    </row>
    <row r="336">
      <c r="A336" s="44" t="n"/>
      <c r="B336" s="42" t="n"/>
      <c r="C336" s="42" t="n"/>
      <c r="D336" s="16" t="n"/>
      <c r="E336" s="16" t="n"/>
      <c r="F336" s="16" t="n"/>
      <c r="G336" s="16" t="n"/>
      <c r="H336" s="16" t="n"/>
      <c r="I336" s="16" t="n"/>
      <c r="J336" s="16" t="n"/>
      <c r="K336" s="16" t="n"/>
      <c r="L336" s="16" t="n"/>
      <c r="M336" s="16" t="n"/>
      <c r="N336" s="42" t="n"/>
      <c r="O336" s="16" t="n"/>
      <c r="P336" s="16" t="n"/>
      <c r="Q336" s="16" t="n"/>
      <c r="R336" s="16" t="n"/>
      <c r="S336" s="16" t="n"/>
      <c r="T336" s="16" t="n"/>
      <c r="U336" s="16" t="n"/>
      <c r="V336" s="16" t="n"/>
      <c r="W336" s="16" t="n"/>
      <c r="X336" s="16" t="n"/>
      <c r="Y336" s="16" t="n"/>
      <c r="Z336" s="16" t="n"/>
      <c r="AA336" s="16" t="n"/>
      <c r="AB336" s="16" t="n"/>
      <c r="AC336" s="16" t="n"/>
    </row>
    <row r="337">
      <c r="A337" s="44" t="n"/>
      <c r="B337" s="42" t="n"/>
      <c r="C337" s="42" t="n"/>
      <c r="D337" s="16" t="n"/>
      <c r="E337" s="16" t="n"/>
      <c r="F337" s="16" t="n"/>
      <c r="G337" s="16" t="n"/>
      <c r="H337" s="16" t="n"/>
      <c r="I337" s="16" t="n"/>
      <c r="J337" s="16" t="n"/>
      <c r="K337" s="16" t="n"/>
      <c r="L337" s="16" t="n"/>
      <c r="M337" s="16" t="n"/>
      <c r="N337" s="42" t="n"/>
      <c r="O337" s="16" t="n"/>
      <c r="P337" s="16" t="n"/>
      <c r="Q337" s="16" t="n"/>
      <c r="R337" s="16" t="n"/>
      <c r="S337" s="16" t="n"/>
      <c r="T337" s="16" t="n"/>
      <c r="U337" s="16" t="n"/>
      <c r="V337" s="16" t="n"/>
      <c r="W337" s="16" t="n"/>
      <c r="X337" s="16" t="n"/>
      <c r="Y337" s="16" t="n"/>
      <c r="Z337" s="16" t="n"/>
      <c r="AA337" s="16" t="n"/>
      <c r="AB337" s="16" t="n"/>
      <c r="AC337" s="16" t="n"/>
    </row>
    <row r="338">
      <c r="A338" s="44" t="n"/>
      <c r="B338" s="42" t="n"/>
      <c r="C338" s="42" t="n"/>
      <c r="D338" s="16" t="n"/>
      <c r="E338" s="16" t="n"/>
      <c r="F338" s="16" t="n"/>
      <c r="G338" s="16" t="n"/>
      <c r="H338" s="16" t="n"/>
      <c r="I338" s="16" t="n"/>
      <c r="J338" s="16" t="n"/>
      <c r="K338" s="16" t="n"/>
      <c r="L338" s="16" t="n"/>
      <c r="M338" s="16" t="n"/>
      <c r="N338" s="42" t="n"/>
      <c r="O338" s="16" t="n"/>
      <c r="P338" s="16" t="n"/>
      <c r="Q338" s="16" t="n"/>
      <c r="R338" s="16" t="n"/>
      <c r="S338" s="16" t="n"/>
      <c r="T338" s="16" t="n"/>
      <c r="U338" s="16" t="n"/>
      <c r="V338" s="16" t="n"/>
      <c r="W338" s="16" t="n"/>
      <c r="X338" s="16" t="n"/>
      <c r="Y338" s="16" t="n"/>
      <c r="Z338" s="16" t="n"/>
      <c r="AA338" s="16" t="n"/>
      <c r="AB338" s="16" t="n"/>
      <c r="AC338" s="16" t="n"/>
    </row>
    <row r="339">
      <c r="A339" s="44" t="n"/>
      <c r="B339" s="42" t="n"/>
      <c r="C339" s="42" t="n"/>
      <c r="D339" s="16" t="n"/>
      <c r="E339" s="16" t="n"/>
      <c r="F339" s="16" t="n"/>
      <c r="G339" s="16" t="n"/>
      <c r="H339" s="16" t="n"/>
      <c r="I339" s="16" t="n"/>
      <c r="J339" s="16" t="n"/>
      <c r="K339" s="16" t="n"/>
      <c r="L339" s="16" t="n"/>
      <c r="M339" s="16" t="n"/>
      <c r="N339" s="42" t="n"/>
      <c r="O339" s="16" t="n"/>
      <c r="P339" s="16" t="n"/>
      <c r="Q339" s="16" t="n"/>
      <c r="R339" s="16" t="n"/>
      <c r="S339" s="16" t="n"/>
      <c r="T339" s="16" t="n"/>
      <c r="U339" s="16" t="n"/>
      <c r="V339" s="16" t="n"/>
      <c r="W339" s="16" t="n"/>
      <c r="X339" s="16" t="n"/>
      <c r="Y339" s="16" t="n"/>
      <c r="Z339" s="16" t="n"/>
      <c r="AA339" s="16" t="n"/>
      <c r="AB339" s="16" t="n"/>
      <c r="AC339" s="16" t="n"/>
    </row>
    <row r="340">
      <c r="A340" s="44" t="n"/>
      <c r="B340" s="42" t="n"/>
      <c r="C340" s="42" t="n"/>
      <c r="D340" s="16" t="n"/>
      <c r="E340" s="16" t="n"/>
      <c r="F340" s="16" t="n"/>
      <c r="G340" s="16" t="n"/>
      <c r="H340" s="16" t="n"/>
      <c r="I340" s="16" t="n"/>
      <c r="J340" s="16" t="n"/>
      <c r="K340" s="16" t="n"/>
      <c r="L340" s="16" t="n"/>
      <c r="M340" s="16" t="n"/>
      <c r="N340" s="42" t="n"/>
      <c r="O340" s="16" t="n"/>
      <c r="P340" s="16" t="n"/>
      <c r="Q340" s="16" t="n"/>
      <c r="R340" s="16" t="n"/>
      <c r="S340" s="16" t="n"/>
      <c r="T340" s="16" t="n"/>
      <c r="U340" s="16" t="n"/>
      <c r="V340" s="16" t="n"/>
      <c r="W340" s="16" t="n"/>
      <c r="X340" s="16" t="n"/>
      <c r="Y340" s="16" t="n"/>
      <c r="Z340" s="16" t="n"/>
      <c r="AA340" s="16" t="n"/>
      <c r="AB340" s="16" t="n"/>
      <c r="AC340" s="16" t="n"/>
    </row>
    <row r="341">
      <c r="A341" s="44" t="n"/>
      <c r="B341" s="42" t="n"/>
      <c r="C341" s="42" t="n"/>
      <c r="D341" s="16" t="n"/>
      <c r="E341" s="16" t="n"/>
      <c r="F341" s="16" t="n"/>
      <c r="G341" s="16" t="n"/>
      <c r="H341" s="16" t="n"/>
      <c r="I341" s="16" t="n"/>
      <c r="J341" s="16" t="n"/>
      <c r="K341" s="16" t="n"/>
      <c r="L341" s="16" t="n"/>
      <c r="M341" s="16" t="n"/>
      <c r="N341" s="42" t="n"/>
      <c r="O341" s="16" t="n"/>
      <c r="P341" s="16" t="n"/>
      <c r="Q341" s="16" t="n"/>
      <c r="R341" s="16" t="n"/>
      <c r="S341" s="16" t="n"/>
      <c r="T341" s="16" t="n"/>
      <c r="U341" s="16" t="n"/>
      <c r="V341" s="16" t="n"/>
      <c r="W341" s="16" t="n"/>
      <c r="X341" s="16" t="n"/>
      <c r="Y341" s="16" t="n"/>
      <c r="Z341" s="16" t="n"/>
      <c r="AA341" s="16" t="n"/>
      <c r="AB341" s="16" t="n"/>
      <c r="AC341" s="16" t="n"/>
    </row>
    <row r="342">
      <c r="A342" s="44" t="n"/>
      <c r="B342" s="42" t="n"/>
      <c r="C342" s="42" t="n"/>
      <c r="D342" s="16" t="n"/>
      <c r="E342" s="16" t="n"/>
      <c r="F342" s="16" t="n"/>
      <c r="G342" s="16" t="n"/>
      <c r="H342" s="16" t="n"/>
      <c r="I342" s="16" t="n"/>
      <c r="J342" s="16" t="n"/>
      <c r="K342" s="16" t="n"/>
      <c r="L342" s="16" t="n"/>
      <c r="M342" s="16" t="n"/>
      <c r="N342" s="42" t="n"/>
      <c r="O342" s="16" t="n"/>
      <c r="P342" s="16" t="n"/>
      <c r="Q342" s="16" t="n"/>
      <c r="R342" s="16" t="n"/>
      <c r="S342" s="16" t="n"/>
      <c r="T342" s="16" t="n"/>
      <c r="U342" s="16" t="n"/>
      <c r="V342" s="16" t="n"/>
      <c r="W342" s="16" t="n"/>
      <c r="X342" s="16" t="n"/>
      <c r="Y342" s="16" t="n"/>
      <c r="Z342" s="16" t="n"/>
      <c r="AA342" s="16" t="n"/>
      <c r="AB342" s="16" t="n"/>
      <c r="AC342" s="16" t="n"/>
    </row>
    <row r="343">
      <c r="A343" s="44" t="n"/>
      <c r="B343" s="42" t="n"/>
      <c r="C343" s="42" t="n"/>
      <c r="D343" s="16" t="n"/>
      <c r="E343" s="16" t="n"/>
      <c r="F343" s="16" t="n"/>
      <c r="G343" s="16" t="n"/>
      <c r="H343" s="16" t="n"/>
      <c r="I343" s="16" t="n"/>
      <c r="J343" s="16" t="n"/>
      <c r="K343" s="16" t="n"/>
      <c r="L343" s="16" t="n"/>
      <c r="M343" s="16" t="n"/>
      <c r="N343" s="42" t="n"/>
      <c r="O343" s="16" t="n"/>
      <c r="P343" s="16" t="n"/>
      <c r="Q343" s="16" t="n"/>
      <c r="R343" s="16" t="n"/>
      <c r="S343" s="16" t="n"/>
      <c r="T343" s="16" t="n"/>
      <c r="U343" s="16" t="n"/>
      <c r="V343" s="16" t="n"/>
      <c r="W343" s="16" t="n"/>
      <c r="X343" s="16" t="n"/>
      <c r="Y343" s="16" t="n"/>
      <c r="Z343" s="16" t="n"/>
      <c r="AA343" s="16" t="n"/>
      <c r="AB343" s="16" t="n"/>
      <c r="AC343" s="16" t="n"/>
    </row>
    <row r="344">
      <c r="A344" s="44" t="n"/>
      <c r="B344" s="42" t="n"/>
      <c r="C344" s="42" t="n"/>
      <c r="D344" s="16" t="n"/>
      <c r="E344" s="16" t="n"/>
      <c r="F344" s="16" t="n"/>
      <c r="G344" s="16" t="n"/>
      <c r="H344" s="16" t="n"/>
      <c r="I344" s="16" t="n"/>
      <c r="J344" s="16" t="n"/>
      <c r="K344" s="16" t="n"/>
      <c r="L344" s="16" t="n"/>
      <c r="M344" s="16" t="n"/>
      <c r="N344" s="42" t="n"/>
      <c r="O344" s="16" t="n"/>
      <c r="P344" s="16" t="n"/>
      <c r="Q344" s="16" t="n"/>
      <c r="R344" s="16" t="n"/>
      <c r="S344" s="16" t="n"/>
      <c r="T344" s="16" t="n"/>
      <c r="U344" s="16" t="n"/>
      <c r="V344" s="16" t="n"/>
      <c r="W344" s="16" t="n"/>
      <c r="X344" s="16" t="n"/>
      <c r="Y344" s="16" t="n"/>
      <c r="Z344" s="16" t="n"/>
      <c r="AA344" s="16" t="n"/>
      <c r="AB344" s="16" t="n"/>
      <c r="AC344" s="16" t="n"/>
    </row>
    <row r="345">
      <c r="A345" s="44" t="n"/>
      <c r="B345" s="42" t="n"/>
      <c r="C345" s="42" t="n"/>
      <c r="D345" s="16" t="n"/>
      <c r="E345" s="16" t="n"/>
      <c r="F345" s="16" t="n"/>
      <c r="G345" s="16" t="n"/>
      <c r="H345" s="16" t="n"/>
      <c r="I345" s="16" t="n"/>
      <c r="J345" s="16" t="n"/>
      <c r="K345" s="16" t="n"/>
      <c r="L345" s="16" t="n"/>
      <c r="M345" s="16" t="n"/>
      <c r="N345" s="42" t="n"/>
      <c r="O345" s="16" t="n"/>
      <c r="P345" s="16" t="n"/>
      <c r="Q345" s="16" t="n"/>
      <c r="R345" s="16" t="n"/>
      <c r="S345" s="16" t="n"/>
      <c r="T345" s="16" t="n"/>
      <c r="U345" s="16" t="n"/>
      <c r="V345" s="16" t="n"/>
      <c r="W345" s="16" t="n"/>
      <c r="X345" s="16" t="n"/>
      <c r="Y345" s="16" t="n"/>
      <c r="Z345" s="16" t="n"/>
      <c r="AA345" s="16" t="n"/>
      <c r="AB345" s="16" t="n"/>
      <c r="AC345" s="16" t="n"/>
    </row>
    <row r="346">
      <c r="A346" s="44" t="n"/>
      <c r="B346" s="42" t="n"/>
      <c r="C346" s="42" t="n"/>
      <c r="D346" s="16" t="n"/>
      <c r="E346" s="16" t="n"/>
      <c r="F346" s="16" t="n"/>
      <c r="G346" s="16" t="n"/>
      <c r="H346" s="16" t="n"/>
      <c r="I346" s="16" t="n"/>
      <c r="J346" s="16" t="n"/>
      <c r="K346" s="16" t="n"/>
      <c r="L346" s="16" t="n"/>
      <c r="M346" s="16" t="n"/>
      <c r="N346" s="42" t="n"/>
      <c r="O346" s="16" t="n"/>
      <c r="P346" s="16" t="n"/>
      <c r="Q346" s="16" t="n"/>
      <c r="R346" s="16" t="n"/>
      <c r="S346" s="16" t="n"/>
      <c r="T346" s="16" t="n"/>
      <c r="U346" s="16" t="n"/>
      <c r="V346" s="16" t="n"/>
      <c r="W346" s="16" t="n"/>
      <c r="X346" s="16" t="n"/>
      <c r="Y346" s="16" t="n"/>
      <c r="Z346" s="16" t="n"/>
      <c r="AA346" s="16" t="n"/>
      <c r="AB346" s="16" t="n"/>
      <c r="AC346" s="16" t="n"/>
    </row>
    <row r="347">
      <c r="A347" s="44" t="n"/>
      <c r="B347" s="42" t="n"/>
      <c r="C347" s="42" t="n"/>
      <c r="D347" s="16" t="n"/>
      <c r="E347" s="16" t="n"/>
      <c r="F347" s="16" t="n"/>
      <c r="G347" s="16" t="n"/>
      <c r="H347" s="16" t="n"/>
      <c r="I347" s="16" t="n"/>
      <c r="J347" s="16" t="n"/>
      <c r="K347" s="16" t="n"/>
      <c r="L347" s="16" t="n"/>
      <c r="M347" s="16" t="n"/>
      <c r="N347" s="42" t="n"/>
      <c r="O347" s="16" t="n"/>
      <c r="P347" s="16" t="n"/>
      <c r="Q347" s="16" t="n"/>
      <c r="R347" s="16" t="n"/>
      <c r="S347" s="16" t="n"/>
      <c r="T347" s="16" t="n"/>
      <c r="U347" s="16" t="n"/>
      <c r="V347" s="16" t="n"/>
      <c r="W347" s="16" t="n"/>
      <c r="X347" s="16" t="n"/>
      <c r="Y347" s="16" t="n"/>
      <c r="Z347" s="16" t="n"/>
      <c r="AA347" s="16" t="n"/>
      <c r="AB347" s="16" t="n"/>
      <c r="AC347" s="16" t="n"/>
    </row>
    <row r="348">
      <c r="A348" s="44" t="n"/>
      <c r="B348" s="42" t="n"/>
      <c r="C348" s="42" t="n"/>
      <c r="D348" s="16" t="n"/>
      <c r="E348" s="16" t="n"/>
      <c r="F348" s="16" t="n"/>
      <c r="G348" s="16" t="n"/>
      <c r="H348" s="16" t="n"/>
      <c r="I348" s="16" t="n"/>
      <c r="J348" s="16" t="n"/>
      <c r="K348" s="16" t="n"/>
      <c r="L348" s="16" t="n"/>
      <c r="M348" s="16" t="n"/>
      <c r="N348" s="42" t="n"/>
      <c r="O348" s="16" t="n"/>
      <c r="P348" s="16" t="n"/>
      <c r="Q348" s="16" t="n"/>
      <c r="R348" s="16" t="n"/>
      <c r="S348" s="16" t="n"/>
      <c r="T348" s="16" t="n"/>
      <c r="U348" s="16" t="n"/>
      <c r="V348" s="16" t="n"/>
      <c r="W348" s="16" t="n"/>
      <c r="X348" s="16" t="n"/>
      <c r="Y348" s="16" t="n"/>
      <c r="Z348" s="16" t="n"/>
      <c r="AA348" s="16" t="n"/>
      <c r="AB348" s="16" t="n"/>
      <c r="AC348" s="16" t="n"/>
    </row>
    <row r="349">
      <c r="A349" s="44" t="n"/>
      <c r="B349" s="42" t="n"/>
      <c r="C349" s="42" t="n"/>
      <c r="D349" s="16" t="n"/>
      <c r="E349" s="16" t="n"/>
      <c r="F349" s="16" t="n"/>
      <c r="G349" s="16" t="n"/>
      <c r="H349" s="16" t="n"/>
      <c r="I349" s="16" t="n"/>
      <c r="J349" s="16" t="n"/>
      <c r="K349" s="16" t="n"/>
      <c r="L349" s="16" t="n"/>
      <c r="M349" s="16" t="n"/>
      <c r="N349" s="42" t="n"/>
      <c r="O349" s="16" t="n"/>
      <c r="P349" s="16" t="n"/>
      <c r="Q349" s="16" t="n"/>
      <c r="R349" s="16" t="n"/>
      <c r="S349" s="16" t="n"/>
      <c r="T349" s="16" t="n"/>
      <c r="U349" s="16" t="n"/>
      <c r="V349" s="16" t="n"/>
      <c r="W349" s="16" t="n"/>
      <c r="X349" s="16" t="n"/>
      <c r="Y349" s="16" t="n"/>
      <c r="Z349" s="16" t="n"/>
      <c r="AA349" s="16" t="n"/>
      <c r="AB349" s="16" t="n"/>
      <c r="AC349" s="16" t="n"/>
    </row>
    <row r="350">
      <c r="A350" s="44" t="n"/>
      <c r="B350" s="42" t="n"/>
      <c r="C350" s="42" t="n"/>
      <c r="D350" s="16" t="n"/>
      <c r="E350" s="16" t="n"/>
      <c r="F350" s="16" t="n"/>
      <c r="G350" s="16" t="n"/>
      <c r="H350" s="16" t="n"/>
      <c r="I350" s="16" t="n"/>
      <c r="J350" s="16" t="n"/>
      <c r="K350" s="16" t="n"/>
      <c r="L350" s="16" t="n"/>
      <c r="M350" s="16" t="n"/>
      <c r="N350" s="42" t="n"/>
      <c r="O350" s="16" t="n"/>
      <c r="P350" s="16" t="n"/>
      <c r="Q350" s="16" t="n"/>
      <c r="R350" s="16" t="n"/>
      <c r="S350" s="16" t="n"/>
      <c r="T350" s="16" t="n"/>
      <c r="U350" s="16" t="n"/>
      <c r="V350" s="16" t="n"/>
      <c r="W350" s="16" t="n"/>
      <c r="X350" s="16" t="n"/>
      <c r="Y350" s="16" t="n"/>
      <c r="Z350" s="16" t="n"/>
      <c r="AA350" s="16" t="n"/>
      <c r="AB350" s="16" t="n"/>
      <c r="AC350" s="16" t="n"/>
    </row>
    <row r="351">
      <c r="A351" s="44" t="n"/>
      <c r="B351" s="42" t="n"/>
      <c r="C351" s="42" t="n"/>
      <c r="D351" s="16" t="n"/>
      <c r="E351" s="16" t="n"/>
      <c r="F351" s="16" t="n"/>
      <c r="G351" s="16" t="n"/>
      <c r="H351" s="16" t="n"/>
      <c r="I351" s="16" t="n"/>
      <c r="J351" s="16" t="n"/>
      <c r="K351" s="16" t="n"/>
      <c r="L351" s="16" t="n"/>
      <c r="M351" s="16" t="n"/>
      <c r="N351" s="42" t="n"/>
      <c r="O351" s="16" t="n"/>
      <c r="P351" s="16" t="n"/>
      <c r="Q351" s="16" t="n"/>
      <c r="R351" s="16" t="n"/>
      <c r="S351" s="16" t="n"/>
      <c r="T351" s="16" t="n"/>
      <c r="U351" s="16" t="n"/>
      <c r="V351" s="16" t="n"/>
      <c r="W351" s="16" t="n"/>
      <c r="X351" s="16" t="n"/>
      <c r="Y351" s="16" t="n"/>
      <c r="Z351" s="16" t="n"/>
      <c r="AA351" s="16" t="n"/>
      <c r="AB351" s="16" t="n"/>
      <c r="AC351" s="16" t="n"/>
    </row>
    <row r="352">
      <c r="A352" s="44" t="n"/>
      <c r="B352" s="42" t="n"/>
      <c r="C352" s="42" t="n"/>
      <c r="D352" s="16" t="n"/>
      <c r="E352" s="16" t="n"/>
      <c r="F352" s="16" t="n"/>
      <c r="G352" s="16" t="n"/>
      <c r="H352" s="16" t="n"/>
      <c r="I352" s="16" t="n"/>
      <c r="J352" s="16" t="n"/>
      <c r="K352" s="16" t="n"/>
      <c r="L352" s="16" t="n"/>
      <c r="M352" s="16" t="n"/>
      <c r="N352" s="42" t="n"/>
      <c r="O352" s="16" t="n"/>
      <c r="P352" s="16" t="n"/>
      <c r="Q352" s="16" t="n"/>
      <c r="R352" s="16" t="n"/>
      <c r="S352" s="16" t="n"/>
      <c r="T352" s="16" t="n"/>
      <c r="U352" s="16" t="n"/>
      <c r="V352" s="16" t="n"/>
      <c r="W352" s="16" t="n"/>
      <c r="X352" s="16" t="n"/>
      <c r="Y352" s="16" t="n"/>
      <c r="Z352" s="16" t="n"/>
      <c r="AA352" s="16" t="n"/>
      <c r="AB352" s="16" t="n"/>
      <c r="AC352" s="16" t="n"/>
    </row>
    <row r="353">
      <c r="A353" s="44" t="n"/>
      <c r="B353" s="42" t="n"/>
      <c r="C353" s="42" t="n"/>
      <c r="D353" s="16" t="n"/>
      <c r="E353" s="16" t="n"/>
      <c r="F353" s="16" t="n"/>
      <c r="G353" s="16" t="n"/>
      <c r="H353" s="16" t="n"/>
      <c r="I353" s="16" t="n"/>
      <c r="J353" s="16" t="n"/>
      <c r="K353" s="16" t="n"/>
      <c r="L353" s="16" t="n"/>
      <c r="M353" s="16" t="n"/>
      <c r="N353" s="42" t="n"/>
      <c r="O353" s="16" t="n"/>
      <c r="P353" s="16" t="n"/>
      <c r="Q353" s="16" t="n"/>
      <c r="R353" s="16" t="n"/>
      <c r="S353" s="16" t="n"/>
      <c r="T353" s="16" t="n"/>
      <c r="U353" s="16" t="n"/>
      <c r="V353" s="16" t="n"/>
      <c r="W353" s="16" t="n"/>
      <c r="X353" s="16" t="n"/>
      <c r="Y353" s="16" t="n"/>
      <c r="Z353" s="16" t="n"/>
      <c r="AA353" s="16" t="n"/>
      <c r="AB353" s="16" t="n"/>
      <c r="AC353" s="16" t="n"/>
    </row>
    <row r="354">
      <c r="A354" s="44" t="n"/>
      <c r="B354" s="42" t="n"/>
      <c r="C354" s="42" t="n"/>
      <c r="D354" s="16" t="n"/>
      <c r="E354" s="16" t="n"/>
      <c r="F354" s="16" t="n"/>
      <c r="G354" s="16" t="n"/>
      <c r="H354" s="16" t="n"/>
      <c r="I354" s="16" t="n"/>
      <c r="J354" s="16" t="n"/>
      <c r="K354" s="16" t="n"/>
      <c r="L354" s="16" t="n"/>
      <c r="M354" s="16" t="n"/>
      <c r="N354" s="42" t="n"/>
      <c r="O354" s="16" t="n"/>
      <c r="P354" s="16" t="n"/>
      <c r="Q354" s="16" t="n"/>
      <c r="R354" s="16" t="n"/>
      <c r="S354" s="16" t="n"/>
      <c r="T354" s="16" t="n"/>
      <c r="U354" s="16" t="n"/>
      <c r="V354" s="16" t="n"/>
      <c r="W354" s="16" t="n"/>
      <c r="X354" s="16" t="n"/>
      <c r="Y354" s="16" t="n"/>
      <c r="Z354" s="16" t="n"/>
      <c r="AA354" s="16" t="n"/>
      <c r="AB354" s="16" t="n"/>
      <c r="AC354" s="16" t="n"/>
    </row>
    <row r="355">
      <c r="A355" s="44" t="n"/>
      <c r="B355" s="42" t="n"/>
      <c r="C355" s="42" t="n"/>
      <c r="D355" s="16" t="n"/>
      <c r="E355" s="16" t="n"/>
      <c r="F355" s="16" t="n"/>
      <c r="G355" s="16" t="n"/>
      <c r="H355" s="16" t="n"/>
      <c r="I355" s="16" t="n"/>
      <c r="J355" s="16" t="n"/>
      <c r="K355" s="16" t="n"/>
      <c r="L355" s="16" t="n"/>
      <c r="M355" s="16" t="n"/>
      <c r="N355" s="42" t="n"/>
      <c r="O355" s="16" t="n"/>
      <c r="P355" s="16" t="n"/>
      <c r="Q355" s="16" t="n"/>
      <c r="R355" s="16" t="n"/>
      <c r="S355" s="16" t="n"/>
      <c r="T355" s="16" t="n"/>
      <c r="U355" s="16" t="n"/>
      <c r="V355" s="16" t="n"/>
      <c r="W355" s="16" t="n"/>
      <c r="X355" s="16" t="n"/>
      <c r="Y355" s="16" t="n"/>
      <c r="Z355" s="16" t="n"/>
      <c r="AA355" s="16" t="n"/>
      <c r="AB355" s="16" t="n"/>
      <c r="AC355" s="16" t="n"/>
    </row>
    <row r="356" ht="15.75" customHeight="1" s="56">
      <c r="A356" s="44" t="n"/>
      <c r="B356" s="42" t="n"/>
      <c r="C356" s="42" t="n"/>
      <c r="D356" s="16" t="n"/>
      <c r="E356" s="16" t="n"/>
      <c r="F356" s="16" t="n"/>
      <c r="G356" s="16" t="n"/>
      <c r="H356" s="16" t="n"/>
      <c r="I356" s="16" t="n"/>
      <c r="J356" s="16" t="n"/>
      <c r="K356" s="16" t="n"/>
      <c r="L356" s="16" t="n"/>
      <c r="M356" s="16" t="n"/>
      <c r="N356" s="42" t="n"/>
      <c r="O356" s="16" t="n"/>
      <c r="P356" s="16" t="n"/>
      <c r="Q356" s="16" t="n"/>
      <c r="R356" s="16" t="n"/>
      <c r="S356" s="16" t="n"/>
      <c r="T356" s="16" t="n"/>
      <c r="U356" s="16" t="n"/>
      <c r="V356" s="16" t="n"/>
      <c r="W356" s="16" t="n"/>
      <c r="X356" s="16" t="n"/>
      <c r="Y356" s="16" t="n"/>
      <c r="Z356" s="16" t="n"/>
      <c r="AA356" s="16" t="n"/>
      <c r="AB356" s="16" t="n"/>
      <c r="AC356" s="16" t="n"/>
    </row>
    <row r="357" ht="15.75" customHeight="1" s="56">
      <c r="A357" s="44" t="n"/>
      <c r="B357" s="42" t="n"/>
      <c r="C357" s="42" t="n"/>
      <c r="D357" s="16" t="n"/>
      <c r="E357" s="16" t="n"/>
      <c r="F357" s="16" t="n"/>
      <c r="G357" s="16" t="n"/>
      <c r="H357" s="16" t="n"/>
      <c r="I357" s="16" t="n"/>
      <c r="J357" s="16" t="n"/>
      <c r="K357" s="16" t="n"/>
      <c r="L357" s="16" t="n"/>
      <c r="M357" s="16" t="n"/>
      <c r="N357" s="42" t="n"/>
      <c r="O357" s="16" t="n"/>
      <c r="P357" s="16" t="n"/>
      <c r="Q357" s="16" t="n"/>
      <c r="R357" s="16" t="n"/>
      <c r="S357" s="16" t="n"/>
      <c r="T357" s="16" t="n"/>
      <c r="U357" s="16" t="n"/>
      <c r="V357" s="16" t="n"/>
      <c r="W357" s="16" t="n"/>
      <c r="X357" s="16" t="n"/>
      <c r="Y357" s="16" t="n"/>
      <c r="Z357" s="16" t="n"/>
      <c r="AA357" s="16" t="n"/>
      <c r="AB357" s="16" t="n"/>
      <c r="AC357" s="16" t="n"/>
    </row>
    <row r="358" ht="15.75" customHeight="1" s="56">
      <c r="A358" s="44" t="n"/>
      <c r="B358" s="42" t="n"/>
      <c r="C358" s="42" t="n"/>
      <c r="D358" s="16" t="n"/>
      <c r="E358" s="16" t="n"/>
      <c r="F358" s="16" t="n"/>
      <c r="G358" s="16" t="n"/>
      <c r="H358" s="16" t="n"/>
      <c r="I358" s="16" t="n"/>
      <c r="J358" s="16" t="n"/>
      <c r="K358" s="16" t="n"/>
      <c r="L358" s="16" t="n"/>
      <c r="M358" s="16" t="n"/>
      <c r="N358" s="42" t="n"/>
      <c r="O358" s="16" t="n"/>
      <c r="P358" s="16" t="n"/>
      <c r="Q358" s="16" t="n"/>
      <c r="R358" s="16" t="n"/>
      <c r="S358" s="16" t="n"/>
      <c r="T358" s="16" t="n"/>
      <c r="U358" s="16" t="n"/>
      <c r="V358" s="16" t="n"/>
      <c r="W358" s="16" t="n"/>
      <c r="X358" s="16" t="n"/>
      <c r="Y358" s="16" t="n"/>
      <c r="Z358" s="16" t="n"/>
      <c r="AA358" s="16" t="n"/>
      <c r="AB358" s="16" t="n"/>
      <c r="AC358" s="16" t="n"/>
    </row>
    <row r="359" ht="15.75" customHeight="1" s="56">
      <c r="A359" s="44" t="n"/>
      <c r="B359" s="42" t="n"/>
      <c r="C359" s="42" t="n"/>
      <c r="D359" s="16" t="n"/>
      <c r="E359" s="16" t="n"/>
      <c r="F359" s="16" t="n"/>
      <c r="G359" s="16" t="n"/>
      <c r="H359" s="16" t="n"/>
      <c r="I359" s="16" t="n"/>
      <c r="J359" s="16" t="n"/>
      <c r="K359" s="16" t="n"/>
      <c r="L359" s="16" t="n"/>
      <c r="M359" s="16" t="n"/>
      <c r="N359" s="42" t="n"/>
      <c r="O359" s="16" t="n"/>
      <c r="P359" s="16" t="n"/>
      <c r="Q359" s="16" t="n"/>
      <c r="R359" s="16" t="n"/>
      <c r="S359" s="16" t="n"/>
      <c r="T359" s="16" t="n"/>
      <c r="U359" s="16" t="n"/>
      <c r="V359" s="16" t="n"/>
      <c r="W359" s="16" t="n"/>
      <c r="X359" s="16" t="n"/>
      <c r="Y359" s="16" t="n"/>
      <c r="Z359" s="16" t="n"/>
      <c r="AA359" s="16" t="n"/>
      <c r="AB359" s="16" t="n"/>
      <c r="AC359" s="16" t="n"/>
    </row>
    <row r="360" ht="15.75" customHeight="1" s="56">
      <c r="A360" s="44" t="n"/>
      <c r="B360" s="42" t="n"/>
      <c r="C360" s="42" t="n"/>
      <c r="D360" s="16" t="n"/>
      <c r="E360" s="16" t="n"/>
      <c r="F360" s="16" t="n"/>
      <c r="G360" s="16" t="n"/>
      <c r="H360" s="16" t="n"/>
      <c r="I360" s="16" t="n"/>
      <c r="J360" s="16" t="n"/>
      <c r="K360" s="16" t="n"/>
      <c r="L360" s="16" t="n"/>
      <c r="M360" s="16" t="n"/>
      <c r="N360" s="42" t="n"/>
      <c r="O360" s="16" t="n"/>
      <c r="P360" s="16" t="n"/>
      <c r="Q360" s="16" t="n"/>
      <c r="R360" s="16" t="n"/>
      <c r="S360" s="16" t="n"/>
      <c r="T360" s="16" t="n"/>
      <c r="U360" s="16" t="n"/>
      <c r="V360" s="16" t="n"/>
      <c r="W360" s="16" t="n"/>
      <c r="X360" s="16" t="n"/>
      <c r="Y360" s="16" t="n"/>
      <c r="Z360" s="16" t="n"/>
      <c r="AA360" s="16" t="n"/>
      <c r="AB360" s="16" t="n"/>
      <c r="AC360" s="16" t="n"/>
    </row>
    <row r="361" ht="15.75" customHeight="1" s="56">
      <c r="A361" s="44" t="n"/>
      <c r="B361" s="42" t="n"/>
      <c r="C361" s="42" t="n"/>
      <c r="D361" s="16" t="n"/>
      <c r="E361" s="16" t="n"/>
      <c r="F361" s="16" t="n"/>
      <c r="G361" s="16" t="n"/>
      <c r="H361" s="16" t="n"/>
      <c r="I361" s="16" t="n"/>
      <c r="J361" s="16" t="n"/>
      <c r="K361" s="16" t="n"/>
      <c r="L361" s="16" t="n"/>
      <c r="M361" s="16" t="n"/>
      <c r="N361" s="42" t="n"/>
      <c r="O361" s="16" t="n"/>
      <c r="P361" s="16" t="n"/>
      <c r="Q361" s="16" t="n"/>
      <c r="R361" s="16" t="n"/>
      <c r="S361" s="16" t="n"/>
      <c r="T361" s="16" t="n"/>
      <c r="U361" s="16" t="n"/>
      <c r="V361" s="16" t="n"/>
      <c r="W361" s="16" t="n"/>
      <c r="X361" s="16" t="n"/>
      <c r="Y361" s="16" t="n"/>
      <c r="Z361" s="16" t="n"/>
      <c r="AA361" s="16" t="n"/>
      <c r="AB361" s="16" t="n"/>
      <c r="AC361" s="16" t="n"/>
    </row>
    <row r="362" ht="15.75" customHeight="1" s="56">
      <c r="A362" s="44" t="n"/>
      <c r="B362" s="42" t="n"/>
      <c r="C362" s="42" t="n"/>
      <c r="D362" s="16" t="n"/>
      <c r="E362" s="16" t="n"/>
      <c r="F362" s="16" t="n"/>
      <c r="G362" s="16" t="n"/>
      <c r="H362" s="16" t="n"/>
      <c r="I362" s="16" t="n"/>
      <c r="J362" s="16" t="n"/>
      <c r="K362" s="16" t="n"/>
      <c r="L362" s="16" t="n"/>
      <c r="M362" s="16" t="n"/>
      <c r="N362" s="42" t="n"/>
      <c r="O362" s="16" t="n"/>
      <c r="P362" s="16" t="n"/>
      <c r="Q362" s="16" t="n"/>
      <c r="R362" s="16" t="n"/>
      <c r="S362" s="16" t="n"/>
      <c r="T362" s="16" t="n"/>
      <c r="U362" s="16" t="n"/>
      <c r="V362" s="16" t="n"/>
      <c r="W362" s="16" t="n"/>
      <c r="X362" s="16" t="n"/>
      <c r="Y362" s="16" t="n"/>
      <c r="Z362" s="16" t="n"/>
      <c r="AA362" s="16" t="n"/>
      <c r="AB362" s="16" t="n"/>
      <c r="AC362" s="16" t="n"/>
    </row>
    <row r="363" ht="15.75" customHeight="1" s="56">
      <c r="A363" s="44" t="n"/>
      <c r="B363" s="42" t="n"/>
      <c r="C363" s="42" t="n"/>
      <c r="D363" s="16" t="n"/>
      <c r="E363" s="16" t="n"/>
      <c r="F363" s="16" t="n"/>
      <c r="G363" s="16" t="n"/>
      <c r="H363" s="16" t="n"/>
      <c r="I363" s="16" t="n"/>
      <c r="J363" s="16" t="n"/>
      <c r="K363" s="16" t="n"/>
      <c r="L363" s="16" t="n"/>
      <c r="M363" s="16" t="n"/>
      <c r="N363" s="42" t="n"/>
      <c r="O363" s="16" t="n"/>
      <c r="P363" s="16" t="n"/>
      <c r="Q363" s="16" t="n"/>
      <c r="R363" s="16" t="n"/>
      <c r="S363" s="16" t="n"/>
      <c r="T363" s="16" t="n"/>
      <c r="U363" s="16" t="n"/>
      <c r="V363" s="16" t="n"/>
      <c r="W363" s="16" t="n"/>
      <c r="X363" s="16" t="n"/>
      <c r="Y363" s="16" t="n"/>
      <c r="Z363" s="16" t="n"/>
      <c r="AA363" s="16" t="n"/>
      <c r="AB363" s="16" t="n"/>
      <c r="AC363" s="16" t="n"/>
    </row>
    <row r="364" ht="15.75" customHeight="1" s="56">
      <c r="A364" s="44" t="n"/>
      <c r="B364" s="42" t="n"/>
      <c r="C364" s="42" t="n"/>
      <c r="D364" s="16" t="n"/>
      <c r="E364" s="16" t="n"/>
      <c r="F364" s="16" t="n"/>
      <c r="G364" s="16" t="n"/>
      <c r="H364" s="16" t="n"/>
      <c r="I364" s="16" t="n"/>
      <c r="J364" s="16" t="n"/>
      <c r="K364" s="16" t="n"/>
      <c r="L364" s="16" t="n"/>
      <c r="M364" s="16" t="n"/>
      <c r="N364" s="42" t="n"/>
      <c r="O364" s="16" t="n"/>
      <c r="P364" s="16" t="n"/>
      <c r="Q364" s="16" t="n"/>
      <c r="R364" s="16" t="n"/>
      <c r="S364" s="16" t="n"/>
      <c r="T364" s="16" t="n"/>
      <c r="U364" s="16" t="n"/>
      <c r="V364" s="16" t="n"/>
      <c r="W364" s="16" t="n"/>
      <c r="X364" s="16" t="n"/>
      <c r="Y364" s="16" t="n"/>
      <c r="Z364" s="16" t="n"/>
      <c r="AA364" s="16" t="n"/>
      <c r="AB364" s="16" t="n"/>
      <c r="AC364" s="16" t="n"/>
    </row>
    <row r="365" ht="15.75" customHeight="1" s="56">
      <c r="A365" s="44" t="n"/>
      <c r="B365" s="42" t="n"/>
      <c r="C365" s="42" t="n"/>
      <c r="D365" s="16" t="n"/>
      <c r="E365" s="16" t="n"/>
      <c r="F365" s="16" t="n"/>
      <c r="G365" s="16" t="n"/>
      <c r="H365" s="16" t="n"/>
      <c r="I365" s="16" t="n"/>
      <c r="J365" s="16" t="n"/>
      <c r="K365" s="16" t="n"/>
      <c r="L365" s="16" t="n"/>
      <c r="M365" s="16" t="n"/>
      <c r="N365" s="42" t="n"/>
      <c r="O365" s="16" t="n"/>
      <c r="P365" s="16" t="n"/>
      <c r="Q365" s="16" t="n"/>
      <c r="R365" s="16" t="n"/>
      <c r="S365" s="16" t="n"/>
      <c r="T365" s="16" t="n"/>
      <c r="U365" s="16" t="n"/>
      <c r="V365" s="16" t="n"/>
      <c r="W365" s="16" t="n"/>
      <c r="X365" s="16" t="n"/>
      <c r="Y365" s="16" t="n"/>
      <c r="Z365" s="16" t="n"/>
      <c r="AA365" s="16" t="n"/>
      <c r="AB365" s="16" t="n"/>
      <c r="AC365" s="16" t="n"/>
    </row>
    <row r="366" ht="15.75" customHeight="1" s="56">
      <c r="A366" s="44" t="n"/>
      <c r="B366" s="42" t="n"/>
      <c r="C366" s="42" t="n"/>
      <c r="D366" s="16" t="n"/>
      <c r="E366" s="16" t="n"/>
      <c r="F366" s="16" t="n"/>
      <c r="G366" s="16" t="n"/>
      <c r="H366" s="16" t="n"/>
      <c r="I366" s="16" t="n"/>
      <c r="J366" s="16" t="n"/>
      <c r="K366" s="16" t="n"/>
      <c r="L366" s="16" t="n"/>
      <c r="M366" s="16" t="n"/>
      <c r="N366" s="42" t="n"/>
      <c r="O366" s="16" t="n"/>
      <c r="P366" s="16" t="n"/>
      <c r="Q366" s="16" t="n"/>
      <c r="R366" s="16" t="n"/>
      <c r="S366" s="16" t="n"/>
      <c r="T366" s="16" t="n"/>
      <c r="U366" s="16" t="n"/>
      <c r="V366" s="16" t="n"/>
      <c r="W366" s="16" t="n"/>
      <c r="X366" s="16" t="n"/>
      <c r="Y366" s="16" t="n"/>
      <c r="Z366" s="16" t="n"/>
      <c r="AA366" s="16" t="n"/>
      <c r="AB366" s="16" t="n"/>
      <c r="AC366" s="16" t="n"/>
    </row>
    <row r="367" ht="15.75" customHeight="1" s="56">
      <c r="A367" s="44" t="n"/>
      <c r="B367" s="42" t="n"/>
      <c r="C367" s="42" t="n"/>
      <c r="D367" s="16" t="n"/>
      <c r="E367" s="16" t="n"/>
      <c r="F367" s="16" t="n"/>
      <c r="G367" s="16" t="n"/>
      <c r="H367" s="16" t="n"/>
      <c r="I367" s="16" t="n"/>
      <c r="J367" s="16" t="n"/>
      <c r="K367" s="16" t="n"/>
      <c r="L367" s="16" t="n"/>
      <c r="M367" s="16" t="n"/>
      <c r="N367" s="42" t="n"/>
      <c r="O367" s="16" t="n"/>
      <c r="P367" s="16" t="n"/>
      <c r="Q367" s="16" t="n"/>
      <c r="R367" s="16" t="n"/>
      <c r="S367" s="16" t="n"/>
      <c r="T367" s="16" t="n"/>
      <c r="U367" s="16" t="n"/>
      <c r="V367" s="16" t="n"/>
      <c r="W367" s="16" t="n"/>
      <c r="X367" s="16" t="n"/>
      <c r="Y367" s="16" t="n"/>
      <c r="Z367" s="16" t="n"/>
      <c r="AA367" s="16" t="n"/>
      <c r="AB367" s="16" t="n"/>
      <c r="AC367" s="16" t="n"/>
    </row>
    <row r="368" ht="15.75" customHeight="1" s="56">
      <c r="A368" s="44" t="n"/>
      <c r="B368" s="42" t="n"/>
      <c r="C368" s="42" t="n"/>
      <c r="D368" s="16" t="n"/>
      <c r="E368" s="16" t="n"/>
      <c r="F368" s="16" t="n"/>
      <c r="G368" s="16" t="n"/>
      <c r="H368" s="16" t="n"/>
      <c r="I368" s="16" t="n"/>
      <c r="J368" s="16" t="n"/>
      <c r="K368" s="16" t="n"/>
      <c r="L368" s="16" t="n"/>
      <c r="M368" s="16" t="n"/>
      <c r="N368" s="42" t="n"/>
      <c r="O368" s="16" t="n"/>
      <c r="P368" s="16" t="n"/>
      <c r="Q368" s="16" t="n"/>
      <c r="R368" s="16" t="n"/>
      <c r="S368" s="16" t="n"/>
      <c r="T368" s="16" t="n"/>
      <c r="U368" s="16" t="n"/>
      <c r="V368" s="16" t="n"/>
      <c r="W368" s="16" t="n"/>
      <c r="X368" s="16" t="n"/>
      <c r="Y368" s="16" t="n"/>
      <c r="Z368" s="16" t="n"/>
      <c r="AA368" s="16" t="n"/>
      <c r="AB368" s="16" t="n"/>
      <c r="AC368" s="16" t="n"/>
    </row>
    <row r="369" ht="15.75" customHeight="1" s="56">
      <c r="A369" s="44" t="n"/>
      <c r="B369" s="42" t="n"/>
      <c r="C369" s="42" t="n"/>
      <c r="D369" s="16" t="n"/>
      <c r="E369" s="16" t="n"/>
      <c r="F369" s="16" t="n"/>
      <c r="G369" s="16" t="n"/>
      <c r="H369" s="16" t="n"/>
      <c r="I369" s="16" t="n"/>
      <c r="J369" s="16" t="n"/>
      <c r="K369" s="16" t="n"/>
      <c r="L369" s="16" t="n"/>
      <c r="M369" s="16" t="n"/>
      <c r="N369" s="42" t="n"/>
      <c r="O369" s="16" t="n"/>
      <c r="P369" s="16" t="n"/>
      <c r="Q369" s="16" t="n"/>
      <c r="R369" s="16" t="n"/>
      <c r="S369" s="16" t="n"/>
      <c r="T369" s="16" t="n"/>
      <c r="U369" s="16" t="n"/>
      <c r="V369" s="16" t="n"/>
      <c r="W369" s="16" t="n"/>
      <c r="X369" s="16" t="n"/>
      <c r="Y369" s="16" t="n"/>
      <c r="Z369" s="16" t="n"/>
      <c r="AA369" s="16" t="n"/>
      <c r="AB369" s="16" t="n"/>
      <c r="AC369" s="16" t="n"/>
    </row>
    <row r="370" ht="15.75" customHeight="1" s="56">
      <c r="A370" s="44" t="n"/>
      <c r="B370" s="42" t="n"/>
      <c r="C370" s="42" t="n"/>
      <c r="D370" s="16" t="n"/>
      <c r="E370" s="16" t="n"/>
      <c r="F370" s="16" t="n"/>
      <c r="G370" s="16" t="n"/>
      <c r="H370" s="16" t="n"/>
      <c r="I370" s="16" t="n"/>
      <c r="J370" s="16" t="n"/>
      <c r="K370" s="16" t="n"/>
      <c r="L370" s="16" t="n"/>
      <c r="M370" s="16" t="n"/>
      <c r="N370" s="42" t="n"/>
      <c r="O370" s="16" t="n"/>
      <c r="P370" s="16" t="n"/>
      <c r="Q370" s="16" t="n"/>
      <c r="R370" s="16" t="n"/>
      <c r="S370" s="16" t="n"/>
      <c r="T370" s="16" t="n"/>
      <c r="U370" s="16" t="n"/>
      <c r="V370" s="16" t="n"/>
      <c r="W370" s="16" t="n"/>
      <c r="X370" s="16" t="n"/>
      <c r="Y370" s="16" t="n"/>
      <c r="Z370" s="16" t="n"/>
      <c r="AA370" s="16" t="n"/>
      <c r="AB370" s="16" t="n"/>
      <c r="AC370" s="16" t="n"/>
    </row>
    <row r="371" ht="15.75" customHeight="1" s="56">
      <c r="A371" s="44" t="n"/>
      <c r="B371" s="42" t="n"/>
      <c r="C371" s="42" t="n"/>
      <c r="D371" s="16" t="n"/>
      <c r="E371" s="16" t="n"/>
      <c r="F371" s="16" t="n"/>
      <c r="G371" s="16" t="n"/>
      <c r="H371" s="16" t="n"/>
      <c r="I371" s="16" t="n"/>
      <c r="J371" s="16" t="n"/>
      <c r="K371" s="16" t="n"/>
      <c r="L371" s="16" t="n"/>
      <c r="M371" s="16" t="n"/>
      <c r="N371" s="42" t="n"/>
      <c r="O371" s="16" t="n"/>
      <c r="P371" s="16" t="n"/>
      <c r="Q371" s="16" t="n"/>
      <c r="R371" s="16" t="n"/>
      <c r="S371" s="16" t="n"/>
      <c r="T371" s="16" t="n"/>
      <c r="U371" s="16" t="n"/>
      <c r="V371" s="16" t="n"/>
      <c r="W371" s="16" t="n"/>
      <c r="X371" s="16" t="n"/>
      <c r="Y371" s="16" t="n"/>
      <c r="Z371" s="16" t="n"/>
      <c r="AA371" s="16" t="n"/>
      <c r="AB371" s="16" t="n"/>
      <c r="AC371" s="16" t="n"/>
    </row>
    <row r="372" ht="15.75" customHeight="1" s="56">
      <c r="A372" s="44" t="n"/>
      <c r="B372" s="42" t="n"/>
      <c r="C372" s="42" t="n"/>
      <c r="D372" s="16" t="n"/>
      <c r="E372" s="16" t="n"/>
      <c r="F372" s="16" t="n"/>
      <c r="G372" s="16" t="n"/>
      <c r="H372" s="16" t="n"/>
      <c r="I372" s="16" t="n"/>
      <c r="J372" s="16" t="n"/>
      <c r="K372" s="16" t="n"/>
      <c r="L372" s="16" t="n"/>
      <c r="M372" s="16" t="n"/>
      <c r="N372" s="42" t="n"/>
      <c r="O372" s="16" t="n"/>
      <c r="P372" s="16" t="n"/>
      <c r="Q372" s="16" t="n"/>
      <c r="R372" s="16" t="n"/>
      <c r="S372" s="16" t="n"/>
      <c r="T372" s="16" t="n"/>
      <c r="U372" s="16" t="n"/>
      <c r="V372" s="16" t="n"/>
      <c r="W372" s="16" t="n"/>
      <c r="X372" s="16" t="n"/>
      <c r="Y372" s="16" t="n"/>
      <c r="Z372" s="16" t="n"/>
      <c r="AA372" s="16" t="n"/>
      <c r="AB372" s="16" t="n"/>
      <c r="AC372" s="16" t="n"/>
    </row>
    <row r="373" ht="15.75" customHeight="1" s="56">
      <c r="A373" s="44" t="n"/>
      <c r="B373" s="42" t="n"/>
      <c r="C373" s="42" t="n"/>
      <c r="D373" s="16" t="n"/>
      <c r="E373" s="16" t="n"/>
      <c r="F373" s="16" t="n"/>
      <c r="G373" s="16" t="n"/>
      <c r="H373" s="16" t="n"/>
      <c r="I373" s="16" t="n"/>
      <c r="J373" s="16" t="n"/>
      <c r="K373" s="16" t="n"/>
      <c r="L373" s="16" t="n"/>
      <c r="M373" s="16" t="n"/>
      <c r="N373" s="42" t="n"/>
      <c r="O373" s="16" t="n"/>
      <c r="P373" s="16" t="n"/>
      <c r="Q373" s="16" t="n"/>
      <c r="R373" s="16" t="n"/>
      <c r="S373" s="16" t="n"/>
      <c r="T373" s="16" t="n"/>
      <c r="U373" s="16" t="n"/>
      <c r="V373" s="16" t="n"/>
      <c r="W373" s="16" t="n"/>
      <c r="X373" s="16" t="n"/>
      <c r="Y373" s="16" t="n"/>
      <c r="Z373" s="16" t="n"/>
      <c r="AA373" s="16" t="n"/>
      <c r="AB373" s="16" t="n"/>
      <c r="AC373" s="16" t="n"/>
    </row>
    <row r="374" ht="15.75" customHeight="1" s="56">
      <c r="A374" s="44" t="n"/>
      <c r="B374" s="42" t="n"/>
      <c r="C374" s="42" t="n"/>
      <c r="D374" s="16" t="n"/>
      <c r="E374" s="16" t="n"/>
      <c r="F374" s="16" t="n"/>
      <c r="G374" s="16" t="n"/>
      <c r="H374" s="16" t="n"/>
      <c r="I374" s="16" t="n"/>
      <c r="J374" s="16" t="n"/>
      <c r="K374" s="16" t="n"/>
      <c r="L374" s="16" t="n"/>
      <c r="M374" s="16" t="n"/>
      <c r="N374" s="42" t="n"/>
      <c r="O374" s="16" t="n"/>
      <c r="P374" s="16" t="n"/>
      <c r="Q374" s="16" t="n"/>
      <c r="R374" s="16" t="n"/>
      <c r="S374" s="16" t="n"/>
      <c r="T374" s="16" t="n"/>
      <c r="U374" s="16" t="n"/>
      <c r="V374" s="16" t="n"/>
      <c r="W374" s="16" t="n"/>
      <c r="X374" s="16" t="n"/>
      <c r="Y374" s="16" t="n"/>
      <c r="Z374" s="16" t="n"/>
      <c r="AA374" s="16" t="n"/>
      <c r="AB374" s="16" t="n"/>
      <c r="AC374" s="16" t="n"/>
    </row>
    <row r="375" ht="15.75" customHeight="1" s="56">
      <c r="A375" s="44" t="n"/>
      <c r="B375" s="42" t="n"/>
      <c r="C375" s="42" t="n"/>
      <c r="D375" s="16" t="n"/>
      <c r="E375" s="16" t="n"/>
      <c r="F375" s="16" t="n"/>
      <c r="G375" s="16" t="n"/>
      <c r="H375" s="16" t="n"/>
      <c r="I375" s="16" t="n"/>
      <c r="J375" s="16" t="n"/>
      <c r="K375" s="16" t="n"/>
      <c r="L375" s="16" t="n"/>
      <c r="M375" s="16" t="n"/>
      <c r="N375" s="42" t="n"/>
      <c r="O375" s="16" t="n"/>
      <c r="P375" s="16" t="n"/>
      <c r="Q375" s="16" t="n"/>
      <c r="R375" s="16" t="n"/>
      <c r="S375" s="16" t="n"/>
      <c r="T375" s="16" t="n"/>
      <c r="U375" s="16" t="n"/>
      <c r="V375" s="16" t="n"/>
      <c r="W375" s="16" t="n"/>
      <c r="X375" s="16" t="n"/>
      <c r="Y375" s="16" t="n"/>
      <c r="Z375" s="16" t="n"/>
      <c r="AA375" s="16" t="n"/>
      <c r="AB375" s="16" t="n"/>
      <c r="AC375" s="16" t="n"/>
    </row>
    <row r="376" ht="15.75" customHeight="1" s="56">
      <c r="A376" s="44" t="n"/>
      <c r="B376" s="42" t="n"/>
      <c r="C376" s="42" t="n"/>
      <c r="D376" s="16" t="n"/>
      <c r="E376" s="16" t="n"/>
      <c r="F376" s="16" t="n"/>
      <c r="G376" s="16" t="n"/>
      <c r="H376" s="16" t="n"/>
      <c r="I376" s="16" t="n"/>
      <c r="J376" s="16" t="n"/>
      <c r="K376" s="16" t="n"/>
      <c r="L376" s="16" t="n"/>
      <c r="M376" s="16" t="n"/>
      <c r="N376" s="42" t="n"/>
      <c r="O376" s="16" t="n"/>
      <c r="P376" s="16" t="n"/>
      <c r="Q376" s="16" t="n"/>
      <c r="R376" s="16" t="n"/>
      <c r="S376" s="16" t="n"/>
      <c r="T376" s="16" t="n"/>
      <c r="U376" s="16" t="n"/>
      <c r="V376" s="16" t="n"/>
      <c r="W376" s="16" t="n"/>
      <c r="X376" s="16" t="n"/>
      <c r="Y376" s="16" t="n"/>
      <c r="Z376" s="16" t="n"/>
      <c r="AA376" s="16" t="n"/>
      <c r="AB376" s="16" t="n"/>
      <c r="AC376" s="16" t="n"/>
    </row>
    <row r="377" ht="15.75" customHeight="1" s="56">
      <c r="A377" s="44" t="n"/>
      <c r="B377" s="42" t="n"/>
      <c r="C377" s="42" t="n"/>
      <c r="D377" s="16" t="n"/>
      <c r="E377" s="16" t="n"/>
      <c r="F377" s="16" t="n"/>
      <c r="G377" s="16" t="n"/>
      <c r="H377" s="16" t="n"/>
      <c r="I377" s="16" t="n"/>
      <c r="J377" s="16" t="n"/>
      <c r="K377" s="16" t="n"/>
      <c r="L377" s="16" t="n"/>
      <c r="M377" s="16" t="n"/>
      <c r="N377" s="42" t="n"/>
      <c r="O377" s="16" t="n"/>
      <c r="P377" s="16" t="n"/>
      <c r="Q377" s="16" t="n"/>
      <c r="R377" s="16" t="n"/>
      <c r="S377" s="16" t="n"/>
      <c r="T377" s="16" t="n"/>
      <c r="U377" s="16" t="n"/>
      <c r="V377" s="16" t="n"/>
      <c r="W377" s="16" t="n"/>
      <c r="X377" s="16" t="n"/>
      <c r="Y377" s="16" t="n"/>
      <c r="Z377" s="16" t="n"/>
      <c r="AA377" s="16" t="n"/>
      <c r="AB377" s="16" t="n"/>
      <c r="AC377" s="16" t="n"/>
    </row>
    <row r="378" ht="15.75" customHeight="1" s="56">
      <c r="A378" s="44" t="n"/>
      <c r="B378" s="42" t="n"/>
      <c r="C378" s="42" t="n"/>
      <c r="D378" s="16" t="n"/>
      <c r="E378" s="16" t="n"/>
      <c r="F378" s="16" t="n"/>
      <c r="G378" s="16" t="n"/>
      <c r="H378" s="16" t="n"/>
      <c r="I378" s="16" t="n"/>
      <c r="J378" s="16" t="n"/>
      <c r="K378" s="16" t="n"/>
      <c r="L378" s="16" t="n"/>
      <c r="M378" s="16" t="n"/>
      <c r="N378" s="42" t="n"/>
      <c r="O378" s="16" t="n"/>
      <c r="P378" s="16" t="n"/>
      <c r="Q378" s="16" t="n"/>
      <c r="R378" s="16" t="n"/>
      <c r="S378" s="16" t="n"/>
      <c r="T378" s="16" t="n"/>
      <c r="U378" s="16" t="n"/>
      <c r="V378" s="16" t="n"/>
      <c r="W378" s="16" t="n"/>
      <c r="X378" s="16" t="n"/>
      <c r="Y378" s="16" t="n"/>
      <c r="Z378" s="16" t="n"/>
      <c r="AA378" s="16" t="n"/>
      <c r="AB378" s="16" t="n"/>
      <c r="AC378" s="16" t="n"/>
    </row>
    <row r="379" ht="15.75" customHeight="1" s="56">
      <c r="A379" s="44" t="n"/>
      <c r="B379" s="42" t="n"/>
      <c r="C379" s="42" t="n"/>
      <c r="D379" s="16" t="n"/>
      <c r="E379" s="16" t="n"/>
      <c r="F379" s="16" t="n"/>
      <c r="G379" s="16" t="n"/>
      <c r="H379" s="16" t="n"/>
      <c r="I379" s="16" t="n"/>
      <c r="J379" s="16" t="n"/>
      <c r="K379" s="16" t="n"/>
      <c r="L379" s="16" t="n"/>
      <c r="M379" s="16" t="n"/>
      <c r="N379" s="42" t="n"/>
      <c r="O379" s="16" t="n"/>
      <c r="P379" s="16" t="n"/>
      <c r="Q379" s="16" t="n"/>
      <c r="R379" s="16" t="n"/>
      <c r="S379" s="16" t="n"/>
      <c r="T379" s="16" t="n"/>
      <c r="U379" s="16" t="n"/>
      <c r="V379" s="16" t="n"/>
      <c r="W379" s="16" t="n"/>
      <c r="X379" s="16" t="n"/>
      <c r="Y379" s="16" t="n"/>
      <c r="Z379" s="16" t="n"/>
      <c r="AA379" s="16" t="n"/>
      <c r="AB379" s="16" t="n"/>
      <c r="AC379" s="16" t="n"/>
    </row>
    <row r="380" ht="15.75" customHeight="1" s="56">
      <c r="A380" s="44" t="n"/>
      <c r="B380" s="42" t="n"/>
      <c r="C380" s="42" t="n"/>
      <c r="D380" s="16" t="n"/>
      <c r="E380" s="16" t="n"/>
      <c r="F380" s="16" t="n"/>
      <c r="G380" s="16" t="n"/>
      <c r="H380" s="16" t="n"/>
      <c r="I380" s="16" t="n"/>
      <c r="J380" s="16" t="n"/>
      <c r="K380" s="16" t="n"/>
      <c r="L380" s="16" t="n"/>
      <c r="M380" s="16" t="n"/>
      <c r="N380" s="42" t="n"/>
      <c r="O380" s="16" t="n"/>
      <c r="P380" s="16" t="n"/>
      <c r="Q380" s="16" t="n"/>
      <c r="R380" s="16" t="n"/>
      <c r="S380" s="16" t="n"/>
      <c r="T380" s="16" t="n"/>
      <c r="U380" s="16" t="n"/>
      <c r="V380" s="16" t="n"/>
      <c r="W380" s="16" t="n"/>
      <c r="X380" s="16" t="n"/>
      <c r="Y380" s="16" t="n"/>
      <c r="Z380" s="16" t="n"/>
      <c r="AA380" s="16" t="n"/>
      <c r="AB380" s="16" t="n"/>
      <c r="AC380" s="16" t="n"/>
    </row>
    <row r="381" ht="15.75" customHeight="1" s="56">
      <c r="A381" s="44" t="n"/>
      <c r="B381" s="42" t="n"/>
      <c r="C381" s="42" t="n"/>
      <c r="D381" s="16" t="n"/>
      <c r="E381" s="16" t="n"/>
      <c r="F381" s="16" t="n"/>
      <c r="G381" s="16" t="n"/>
      <c r="H381" s="16" t="n"/>
      <c r="I381" s="16" t="n"/>
      <c r="J381" s="16" t="n"/>
      <c r="K381" s="16" t="n"/>
      <c r="L381" s="16" t="n"/>
      <c r="M381" s="16" t="n"/>
      <c r="N381" s="42" t="n"/>
      <c r="O381" s="16" t="n"/>
      <c r="P381" s="16" t="n"/>
      <c r="Q381" s="16" t="n"/>
      <c r="R381" s="16" t="n"/>
      <c r="S381" s="16" t="n"/>
      <c r="T381" s="16" t="n"/>
      <c r="U381" s="16" t="n"/>
      <c r="V381" s="16" t="n"/>
      <c r="W381" s="16" t="n"/>
      <c r="X381" s="16" t="n"/>
      <c r="Y381" s="16" t="n"/>
      <c r="Z381" s="16" t="n"/>
      <c r="AA381" s="16" t="n"/>
      <c r="AB381" s="16" t="n"/>
      <c r="AC381" s="16" t="n"/>
    </row>
    <row r="382" ht="15.75" customHeight="1" s="56">
      <c r="A382" s="44" t="n"/>
      <c r="B382" s="42" t="n"/>
      <c r="C382" s="42" t="n"/>
      <c r="D382" s="16" t="n"/>
      <c r="E382" s="16" t="n"/>
      <c r="F382" s="16" t="n"/>
      <c r="G382" s="16" t="n"/>
      <c r="H382" s="16" t="n"/>
      <c r="I382" s="16" t="n"/>
      <c r="J382" s="16" t="n"/>
      <c r="K382" s="16" t="n"/>
      <c r="L382" s="16" t="n"/>
      <c r="M382" s="16" t="n"/>
      <c r="N382" s="42" t="n"/>
      <c r="O382" s="16" t="n"/>
      <c r="P382" s="16" t="n"/>
      <c r="Q382" s="16" t="n"/>
      <c r="R382" s="16" t="n"/>
      <c r="S382" s="16" t="n"/>
      <c r="T382" s="16" t="n"/>
      <c r="U382" s="16" t="n"/>
      <c r="V382" s="16" t="n"/>
      <c r="W382" s="16" t="n"/>
      <c r="X382" s="16" t="n"/>
      <c r="Y382" s="16" t="n"/>
      <c r="Z382" s="16" t="n"/>
      <c r="AA382" s="16" t="n"/>
      <c r="AB382" s="16" t="n"/>
      <c r="AC382" s="16" t="n"/>
    </row>
    <row r="383" ht="15.75" customHeight="1" s="56">
      <c r="A383" s="44" t="n"/>
      <c r="B383" s="42" t="n"/>
      <c r="C383" s="42" t="n"/>
      <c r="D383" s="16" t="n"/>
      <c r="E383" s="16" t="n"/>
      <c r="F383" s="16" t="n"/>
      <c r="G383" s="16" t="n"/>
      <c r="H383" s="16" t="n"/>
      <c r="I383" s="16" t="n"/>
      <c r="J383" s="16" t="n"/>
      <c r="K383" s="16" t="n"/>
      <c r="L383" s="16" t="n"/>
      <c r="M383" s="16" t="n"/>
      <c r="N383" s="42" t="n"/>
      <c r="O383" s="16" t="n"/>
      <c r="P383" s="16" t="n"/>
      <c r="Q383" s="16" t="n"/>
      <c r="R383" s="16" t="n"/>
      <c r="S383" s="16" t="n"/>
      <c r="T383" s="16" t="n"/>
      <c r="U383" s="16" t="n"/>
      <c r="V383" s="16" t="n"/>
      <c r="W383" s="16" t="n"/>
      <c r="X383" s="16" t="n"/>
      <c r="Y383" s="16" t="n"/>
      <c r="Z383" s="16" t="n"/>
      <c r="AA383" s="16" t="n"/>
      <c r="AB383" s="16" t="n"/>
      <c r="AC383" s="16" t="n"/>
    </row>
    <row r="384" ht="15.75" customHeight="1" s="56">
      <c r="A384" s="44" t="n"/>
      <c r="B384" s="42" t="n"/>
      <c r="C384" s="42" t="n"/>
      <c r="D384" s="16" t="n"/>
      <c r="E384" s="16" t="n"/>
      <c r="F384" s="16" t="n"/>
      <c r="G384" s="16" t="n"/>
      <c r="H384" s="16" t="n"/>
      <c r="I384" s="16" t="n"/>
      <c r="J384" s="16" t="n"/>
      <c r="K384" s="16" t="n"/>
      <c r="L384" s="16" t="n"/>
      <c r="M384" s="16" t="n"/>
      <c r="N384" s="42" t="n"/>
      <c r="O384" s="16" t="n"/>
      <c r="P384" s="16" t="n"/>
      <c r="Q384" s="16" t="n"/>
      <c r="R384" s="16" t="n"/>
      <c r="S384" s="16" t="n"/>
      <c r="T384" s="16" t="n"/>
      <c r="U384" s="16" t="n"/>
      <c r="V384" s="16" t="n"/>
      <c r="W384" s="16" t="n"/>
      <c r="X384" s="16" t="n"/>
      <c r="Y384" s="16" t="n"/>
      <c r="Z384" s="16" t="n"/>
      <c r="AA384" s="16" t="n"/>
      <c r="AB384" s="16" t="n"/>
      <c r="AC384" s="16" t="n"/>
    </row>
    <row r="385" ht="15.75" customHeight="1" s="56">
      <c r="A385" s="44" t="n"/>
      <c r="B385" s="42" t="n"/>
      <c r="C385" s="42" t="n"/>
      <c r="D385" s="16" t="n"/>
      <c r="E385" s="16" t="n"/>
      <c r="F385" s="16" t="n"/>
      <c r="G385" s="16" t="n"/>
      <c r="H385" s="16" t="n"/>
      <c r="I385" s="16" t="n"/>
      <c r="J385" s="16" t="n"/>
      <c r="K385" s="16" t="n"/>
      <c r="L385" s="16" t="n"/>
      <c r="M385" s="16" t="n"/>
      <c r="N385" s="42" t="n"/>
      <c r="O385" s="16" t="n"/>
      <c r="P385" s="16" t="n"/>
      <c r="Q385" s="16" t="n"/>
      <c r="R385" s="16" t="n"/>
      <c r="S385" s="16" t="n"/>
      <c r="T385" s="16" t="n"/>
      <c r="U385" s="16" t="n"/>
      <c r="V385" s="16" t="n"/>
      <c r="W385" s="16" t="n"/>
      <c r="X385" s="16" t="n"/>
      <c r="Y385" s="16" t="n"/>
      <c r="Z385" s="16" t="n"/>
      <c r="AA385" s="16" t="n"/>
      <c r="AB385" s="16" t="n"/>
      <c r="AC385" s="16" t="n"/>
    </row>
    <row r="386" ht="15.75" customHeight="1" s="56">
      <c r="A386" s="44" t="n"/>
      <c r="B386" s="42" t="n"/>
      <c r="C386" s="42" t="n"/>
      <c r="D386" s="16" t="n"/>
      <c r="E386" s="16" t="n"/>
      <c r="F386" s="16" t="n"/>
      <c r="G386" s="16" t="n"/>
      <c r="H386" s="16" t="n"/>
      <c r="I386" s="16" t="n"/>
      <c r="J386" s="16" t="n"/>
      <c r="K386" s="16" t="n"/>
      <c r="L386" s="16" t="n"/>
      <c r="M386" s="16" t="n"/>
      <c r="N386" s="42" t="n"/>
      <c r="O386" s="16" t="n"/>
      <c r="P386" s="16" t="n"/>
      <c r="Q386" s="16" t="n"/>
      <c r="R386" s="16" t="n"/>
      <c r="S386" s="16" t="n"/>
      <c r="T386" s="16" t="n"/>
      <c r="U386" s="16" t="n"/>
      <c r="V386" s="16" t="n"/>
      <c r="W386" s="16" t="n"/>
      <c r="X386" s="16" t="n"/>
      <c r="Y386" s="16" t="n"/>
      <c r="Z386" s="16" t="n"/>
      <c r="AA386" s="16" t="n"/>
      <c r="AB386" s="16" t="n"/>
      <c r="AC386" s="16" t="n"/>
    </row>
    <row r="387" ht="15.75" customHeight="1" s="56">
      <c r="A387" s="44" t="n"/>
      <c r="B387" s="42" t="n"/>
      <c r="C387" s="42" t="n"/>
      <c r="D387" s="16" t="n"/>
      <c r="E387" s="16" t="n"/>
      <c r="F387" s="16" t="n"/>
      <c r="G387" s="16" t="n"/>
      <c r="H387" s="16" t="n"/>
      <c r="I387" s="16" t="n"/>
      <c r="J387" s="16" t="n"/>
      <c r="K387" s="16" t="n"/>
      <c r="L387" s="16" t="n"/>
      <c r="M387" s="16" t="n"/>
      <c r="N387" s="42" t="n"/>
      <c r="O387" s="16" t="n"/>
      <c r="P387" s="16" t="n"/>
      <c r="Q387" s="16" t="n"/>
      <c r="R387" s="16" t="n"/>
      <c r="S387" s="16" t="n"/>
      <c r="T387" s="16" t="n"/>
      <c r="U387" s="16" t="n"/>
      <c r="V387" s="16" t="n"/>
      <c r="W387" s="16" t="n"/>
      <c r="X387" s="16" t="n"/>
      <c r="Y387" s="16" t="n"/>
      <c r="Z387" s="16" t="n"/>
      <c r="AA387" s="16" t="n"/>
      <c r="AB387" s="16" t="n"/>
      <c r="AC387" s="16" t="n"/>
    </row>
    <row r="388" ht="15.75" customHeight="1" s="56">
      <c r="A388" s="44" t="n"/>
      <c r="B388" s="42" t="n"/>
      <c r="C388" s="42" t="n"/>
      <c r="D388" s="16" t="n"/>
      <c r="E388" s="16" t="n"/>
      <c r="F388" s="16" t="n"/>
      <c r="G388" s="16" t="n"/>
      <c r="H388" s="16" t="n"/>
      <c r="I388" s="16" t="n"/>
      <c r="J388" s="16" t="n"/>
      <c r="K388" s="16" t="n"/>
      <c r="L388" s="16" t="n"/>
      <c r="M388" s="16" t="n"/>
      <c r="N388" s="42" t="n"/>
      <c r="O388" s="16" t="n"/>
      <c r="P388" s="16" t="n"/>
      <c r="Q388" s="16" t="n"/>
      <c r="R388" s="16" t="n"/>
      <c r="S388" s="16" t="n"/>
      <c r="T388" s="16" t="n"/>
      <c r="U388" s="16" t="n"/>
      <c r="V388" s="16" t="n"/>
      <c r="W388" s="16" t="n"/>
      <c r="X388" s="16" t="n"/>
      <c r="Y388" s="16" t="n"/>
      <c r="Z388" s="16" t="n"/>
      <c r="AA388" s="16" t="n"/>
      <c r="AB388" s="16" t="n"/>
      <c r="AC388" s="16" t="n"/>
    </row>
    <row r="389" ht="15.75" customHeight="1" s="56">
      <c r="A389" s="44" t="n"/>
      <c r="B389" s="42" t="n"/>
      <c r="C389" s="42" t="n"/>
      <c r="D389" s="16" t="n"/>
      <c r="E389" s="16" t="n"/>
      <c r="F389" s="16" t="n"/>
      <c r="G389" s="16" t="n"/>
      <c r="H389" s="16" t="n"/>
      <c r="I389" s="16" t="n"/>
      <c r="J389" s="16" t="n"/>
      <c r="K389" s="16" t="n"/>
      <c r="L389" s="16" t="n"/>
      <c r="M389" s="16" t="n"/>
      <c r="N389" s="42" t="n"/>
      <c r="O389" s="16" t="n"/>
      <c r="P389" s="16" t="n"/>
      <c r="Q389" s="16" t="n"/>
      <c r="R389" s="16" t="n"/>
      <c r="S389" s="16" t="n"/>
      <c r="T389" s="16" t="n"/>
      <c r="U389" s="16" t="n"/>
      <c r="V389" s="16" t="n"/>
      <c r="W389" s="16" t="n"/>
      <c r="X389" s="16" t="n"/>
      <c r="Y389" s="16" t="n"/>
      <c r="Z389" s="16" t="n"/>
      <c r="AA389" s="16" t="n"/>
      <c r="AB389" s="16" t="n"/>
      <c r="AC389" s="16" t="n"/>
    </row>
    <row r="390" ht="15.75" customHeight="1" s="56">
      <c r="A390" s="44" t="n"/>
      <c r="B390" s="42" t="n"/>
      <c r="C390" s="42" t="n"/>
      <c r="D390" s="16" t="n"/>
      <c r="E390" s="16" t="n"/>
      <c r="F390" s="16" t="n"/>
      <c r="G390" s="16" t="n"/>
      <c r="H390" s="16" t="n"/>
      <c r="I390" s="16" t="n"/>
      <c r="J390" s="16" t="n"/>
      <c r="K390" s="16" t="n"/>
      <c r="L390" s="16" t="n"/>
      <c r="M390" s="16" t="n"/>
      <c r="N390" s="42" t="n"/>
      <c r="O390" s="16" t="n"/>
      <c r="P390" s="16" t="n"/>
      <c r="Q390" s="16" t="n"/>
      <c r="R390" s="16" t="n"/>
      <c r="S390" s="16" t="n"/>
      <c r="T390" s="16" t="n"/>
      <c r="U390" s="16" t="n"/>
      <c r="V390" s="16" t="n"/>
      <c r="W390" s="16" t="n"/>
      <c r="X390" s="16" t="n"/>
      <c r="Y390" s="16" t="n"/>
      <c r="Z390" s="16" t="n"/>
      <c r="AA390" s="16" t="n"/>
      <c r="AB390" s="16" t="n"/>
      <c r="AC390" s="16" t="n"/>
    </row>
    <row r="391" ht="15.75" customHeight="1" s="56">
      <c r="A391" s="44" t="n"/>
      <c r="B391" s="42" t="n"/>
      <c r="C391" s="42" t="n"/>
      <c r="D391" s="16" t="n"/>
      <c r="E391" s="16" t="n"/>
      <c r="F391" s="16" t="n"/>
      <c r="G391" s="16" t="n"/>
      <c r="H391" s="16" t="n"/>
      <c r="I391" s="16" t="n"/>
      <c r="J391" s="16" t="n"/>
      <c r="K391" s="16" t="n"/>
      <c r="L391" s="16" t="n"/>
      <c r="M391" s="16" t="n"/>
      <c r="N391" s="42" t="n"/>
      <c r="O391" s="16" t="n"/>
      <c r="P391" s="16" t="n"/>
      <c r="Q391" s="16" t="n"/>
      <c r="R391" s="16" t="n"/>
      <c r="S391" s="16" t="n"/>
      <c r="T391" s="16" t="n"/>
      <c r="U391" s="16" t="n"/>
      <c r="V391" s="16" t="n"/>
      <c r="W391" s="16" t="n"/>
      <c r="X391" s="16" t="n"/>
      <c r="Y391" s="16" t="n"/>
      <c r="Z391" s="16" t="n"/>
      <c r="AA391" s="16" t="n"/>
      <c r="AB391" s="16" t="n"/>
      <c r="AC391" s="16" t="n"/>
    </row>
    <row r="392" ht="15.75" customHeight="1" s="56">
      <c r="A392" s="44" t="n"/>
      <c r="B392" s="42" t="n"/>
      <c r="C392" s="42" t="n"/>
      <c r="D392" s="16" t="n"/>
      <c r="E392" s="16" t="n"/>
      <c r="F392" s="16" t="n"/>
      <c r="G392" s="16" t="n"/>
      <c r="H392" s="16" t="n"/>
      <c r="I392" s="16" t="n"/>
      <c r="J392" s="16" t="n"/>
      <c r="K392" s="16" t="n"/>
      <c r="L392" s="16" t="n"/>
      <c r="M392" s="16" t="n"/>
      <c r="N392" s="42" t="n"/>
      <c r="O392" s="16" t="n"/>
      <c r="P392" s="16" t="n"/>
      <c r="Q392" s="16" t="n"/>
      <c r="R392" s="16" t="n"/>
      <c r="S392" s="16" t="n"/>
      <c r="T392" s="16" t="n"/>
      <c r="U392" s="16" t="n"/>
      <c r="V392" s="16" t="n"/>
      <c r="W392" s="16" t="n"/>
      <c r="X392" s="16" t="n"/>
      <c r="Y392" s="16" t="n"/>
      <c r="Z392" s="16" t="n"/>
      <c r="AA392" s="16" t="n"/>
      <c r="AB392" s="16" t="n"/>
      <c r="AC392" s="16" t="n"/>
    </row>
    <row r="393" ht="15.75" customHeight="1" s="56">
      <c r="A393" s="44" t="n"/>
      <c r="B393" s="42" t="n"/>
      <c r="C393" s="42" t="n"/>
      <c r="D393" s="16" t="n"/>
      <c r="E393" s="16" t="n"/>
      <c r="F393" s="16" t="n"/>
      <c r="G393" s="16" t="n"/>
      <c r="H393" s="16" t="n"/>
      <c r="I393" s="16" t="n"/>
      <c r="J393" s="16" t="n"/>
      <c r="K393" s="16" t="n"/>
      <c r="L393" s="16" t="n"/>
      <c r="M393" s="16" t="n"/>
      <c r="N393" s="42" t="n"/>
      <c r="O393" s="16" t="n"/>
      <c r="P393" s="16" t="n"/>
      <c r="Q393" s="16" t="n"/>
      <c r="R393" s="16" t="n"/>
      <c r="S393" s="16" t="n"/>
      <c r="T393" s="16" t="n"/>
      <c r="U393" s="16" t="n"/>
      <c r="V393" s="16" t="n"/>
      <c r="W393" s="16" t="n"/>
      <c r="X393" s="16" t="n"/>
      <c r="Y393" s="16" t="n"/>
      <c r="Z393" s="16" t="n"/>
      <c r="AA393" s="16" t="n"/>
      <c r="AB393" s="16" t="n"/>
      <c r="AC393" s="16" t="n"/>
    </row>
    <row r="394" ht="15.75" customHeight="1" s="56">
      <c r="A394" s="44" t="n"/>
      <c r="B394" s="42" t="n"/>
      <c r="C394" s="42" t="n"/>
      <c r="D394" s="16" t="n"/>
      <c r="E394" s="16" t="n"/>
      <c r="F394" s="16" t="n"/>
      <c r="G394" s="16" t="n"/>
      <c r="H394" s="16" t="n"/>
      <c r="I394" s="16" t="n"/>
      <c r="J394" s="16" t="n"/>
      <c r="K394" s="16" t="n"/>
      <c r="L394" s="16" t="n"/>
      <c r="M394" s="16" t="n"/>
      <c r="N394" s="42" t="n"/>
      <c r="O394" s="16" t="n"/>
      <c r="P394" s="16" t="n"/>
      <c r="Q394" s="16" t="n"/>
      <c r="R394" s="16" t="n"/>
      <c r="S394" s="16" t="n"/>
      <c r="T394" s="16" t="n"/>
      <c r="U394" s="16" t="n"/>
      <c r="V394" s="16" t="n"/>
      <c r="W394" s="16" t="n"/>
      <c r="X394" s="16" t="n"/>
      <c r="Y394" s="16" t="n"/>
      <c r="Z394" s="16" t="n"/>
      <c r="AA394" s="16" t="n"/>
      <c r="AB394" s="16" t="n"/>
      <c r="AC394" s="16" t="n"/>
    </row>
    <row r="395" ht="15.75" customHeight="1" s="56">
      <c r="A395" s="44" t="n"/>
      <c r="B395" s="42" t="n"/>
      <c r="C395" s="42" t="n"/>
      <c r="D395" s="16" t="n"/>
      <c r="E395" s="16" t="n"/>
      <c r="F395" s="16" t="n"/>
      <c r="G395" s="16" t="n"/>
      <c r="H395" s="16" t="n"/>
      <c r="I395" s="16" t="n"/>
      <c r="J395" s="16" t="n"/>
      <c r="K395" s="16" t="n"/>
      <c r="L395" s="16" t="n"/>
      <c r="M395" s="16" t="n"/>
      <c r="N395" s="42" t="n"/>
      <c r="O395" s="16" t="n"/>
      <c r="P395" s="16" t="n"/>
      <c r="Q395" s="16" t="n"/>
      <c r="R395" s="16" t="n"/>
      <c r="S395" s="16" t="n"/>
      <c r="T395" s="16" t="n"/>
      <c r="U395" s="16" t="n"/>
      <c r="V395" s="16" t="n"/>
      <c r="W395" s="16" t="n"/>
      <c r="X395" s="16" t="n"/>
      <c r="Y395" s="16" t="n"/>
      <c r="Z395" s="16" t="n"/>
      <c r="AA395" s="16" t="n"/>
      <c r="AB395" s="16" t="n"/>
      <c r="AC395" s="16" t="n"/>
    </row>
    <row r="396" ht="15.75" customHeight="1" s="56">
      <c r="A396" s="44" t="n"/>
      <c r="B396" s="42" t="n"/>
      <c r="C396" s="42" t="n"/>
      <c r="D396" s="16" t="n"/>
      <c r="E396" s="16" t="n"/>
      <c r="F396" s="16" t="n"/>
      <c r="G396" s="16" t="n"/>
      <c r="H396" s="16" t="n"/>
      <c r="I396" s="16" t="n"/>
      <c r="J396" s="16" t="n"/>
      <c r="K396" s="16" t="n"/>
      <c r="L396" s="16" t="n"/>
      <c r="M396" s="16" t="n"/>
      <c r="N396" s="42" t="n"/>
      <c r="O396" s="16" t="n"/>
      <c r="P396" s="16" t="n"/>
      <c r="Q396" s="16" t="n"/>
      <c r="R396" s="16" t="n"/>
      <c r="S396" s="16" t="n"/>
      <c r="T396" s="16" t="n"/>
      <c r="U396" s="16" t="n"/>
      <c r="V396" s="16" t="n"/>
      <c r="W396" s="16" t="n"/>
      <c r="X396" s="16" t="n"/>
      <c r="Y396" s="16" t="n"/>
      <c r="Z396" s="16" t="n"/>
      <c r="AA396" s="16" t="n"/>
      <c r="AB396" s="16" t="n"/>
      <c r="AC396" s="16" t="n"/>
    </row>
    <row r="397" ht="15.75" customHeight="1" s="56">
      <c r="A397" s="44" t="n"/>
      <c r="B397" s="42" t="n"/>
      <c r="C397" s="42" t="n"/>
      <c r="D397" s="16" t="n"/>
      <c r="E397" s="16" t="n"/>
      <c r="F397" s="16" t="n"/>
      <c r="G397" s="16" t="n"/>
      <c r="H397" s="16" t="n"/>
      <c r="I397" s="16" t="n"/>
      <c r="J397" s="16" t="n"/>
      <c r="K397" s="16" t="n"/>
      <c r="L397" s="16" t="n"/>
      <c r="M397" s="16" t="n"/>
      <c r="N397" s="42" t="n"/>
      <c r="O397" s="16" t="n"/>
      <c r="P397" s="16" t="n"/>
      <c r="Q397" s="16" t="n"/>
      <c r="R397" s="16" t="n"/>
      <c r="S397" s="16" t="n"/>
      <c r="T397" s="16" t="n"/>
      <c r="U397" s="16" t="n"/>
      <c r="V397" s="16" t="n"/>
      <c r="W397" s="16" t="n"/>
      <c r="X397" s="16" t="n"/>
      <c r="Y397" s="16" t="n"/>
      <c r="Z397" s="16" t="n"/>
      <c r="AA397" s="16" t="n"/>
      <c r="AB397" s="16" t="n"/>
      <c r="AC397" s="16" t="n"/>
    </row>
    <row r="398" ht="15.75" customHeight="1" s="56">
      <c r="A398" s="44" t="n"/>
      <c r="B398" s="42" t="n"/>
      <c r="C398" s="42" t="n"/>
      <c r="D398" s="16" t="n"/>
      <c r="E398" s="16" t="n"/>
      <c r="F398" s="16" t="n"/>
      <c r="G398" s="16" t="n"/>
      <c r="H398" s="16" t="n"/>
      <c r="I398" s="16" t="n"/>
      <c r="J398" s="16" t="n"/>
      <c r="K398" s="16" t="n"/>
      <c r="L398" s="16" t="n"/>
      <c r="M398" s="16" t="n"/>
      <c r="N398" s="42" t="n"/>
      <c r="O398" s="16" t="n"/>
      <c r="P398" s="16" t="n"/>
      <c r="Q398" s="16" t="n"/>
      <c r="R398" s="16" t="n"/>
      <c r="S398" s="16" t="n"/>
      <c r="T398" s="16" t="n"/>
      <c r="U398" s="16" t="n"/>
      <c r="V398" s="16" t="n"/>
      <c r="W398" s="16" t="n"/>
      <c r="X398" s="16" t="n"/>
      <c r="Y398" s="16" t="n"/>
      <c r="Z398" s="16" t="n"/>
      <c r="AA398" s="16" t="n"/>
      <c r="AB398" s="16" t="n"/>
      <c r="AC398" s="16" t="n"/>
    </row>
    <row r="399" ht="15.75" customHeight="1" s="56">
      <c r="A399" s="44" t="n"/>
      <c r="B399" s="42" t="n"/>
      <c r="C399" s="42" t="n"/>
      <c r="D399" s="16" t="n"/>
      <c r="E399" s="16" t="n"/>
      <c r="F399" s="16" t="n"/>
      <c r="G399" s="16" t="n"/>
      <c r="H399" s="16" t="n"/>
      <c r="I399" s="16" t="n"/>
      <c r="J399" s="16" t="n"/>
      <c r="K399" s="16" t="n"/>
      <c r="L399" s="16" t="n"/>
      <c r="M399" s="16" t="n"/>
      <c r="N399" s="42" t="n"/>
      <c r="O399" s="16" t="n"/>
      <c r="P399" s="16" t="n"/>
      <c r="Q399" s="16" t="n"/>
      <c r="R399" s="16" t="n"/>
      <c r="S399" s="16" t="n"/>
      <c r="T399" s="16" t="n"/>
      <c r="U399" s="16" t="n"/>
      <c r="V399" s="16" t="n"/>
      <c r="W399" s="16" t="n"/>
      <c r="X399" s="16" t="n"/>
      <c r="Y399" s="16" t="n"/>
      <c r="Z399" s="16" t="n"/>
      <c r="AA399" s="16" t="n"/>
      <c r="AB399" s="16" t="n"/>
      <c r="AC399" s="16" t="n"/>
    </row>
    <row r="400" ht="15.75" customHeight="1" s="56">
      <c r="A400" s="44" t="n"/>
      <c r="B400" s="42" t="n"/>
      <c r="C400" s="42" t="n"/>
      <c r="D400" s="16" t="n"/>
      <c r="E400" s="16" t="n"/>
      <c r="F400" s="16" t="n"/>
      <c r="G400" s="16" t="n"/>
      <c r="H400" s="16" t="n"/>
      <c r="I400" s="16" t="n"/>
      <c r="J400" s="16" t="n"/>
      <c r="K400" s="16" t="n"/>
      <c r="L400" s="16" t="n"/>
      <c r="M400" s="16" t="n"/>
      <c r="N400" s="42" t="n"/>
      <c r="O400" s="16" t="n"/>
      <c r="P400" s="16" t="n"/>
      <c r="Q400" s="16" t="n"/>
      <c r="R400" s="16" t="n"/>
      <c r="S400" s="16" t="n"/>
      <c r="T400" s="16" t="n"/>
      <c r="U400" s="16" t="n"/>
      <c r="V400" s="16" t="n"/>
      <c r="W400" s="16" t="n"/>
      <c r="X400" s="16" t="n"/>
      <c r="Y400" s="16" t="n"/>
      <c r="Z400" s="16" t="n"/>
      <c r="AA400" s="16" t="n"/>
      <c r="AB400" s="16" t="n"/>
      <c r="AC400" s="16" t="n"/>
    </row>
    <row r="401" ht="15.75" customHeight="1" s="56">
      <c r="A401" s="44" t="n"/>
      <c r="B401" s="42" t="n"/>
      <c r="C401" s="42" t="n"/>
      <c r="D401" s="16" t="n"/>
      <c r="E401" s="16" t="n"/>
      <c r="F401" s="16" t="n"/>
      <c r="G401" s="16" t="n"/>
      <c r="H401" s="16" t="n"/>
      <c r="I401" s="16" t="n"/>
      <c r="J401" s="16" t="n"/>
      <c r="K401" s="16" t="n"/>
      <c r="L401" s="16" t="n"/>
      <c r="M401" s="16" t="n"/>
      <c r="N401" s="42" t="n"/>
      <c r="O401" s="16" t="n"/>
      <c r="P401" s="16" t="n"/>
      <c r="Q401" s="16" t="n"/>
      <c r="R401" s="16" t="n"/>
      <c r="S401" s="16" t="n"/>
      <c r="T401" s="16" t="n"/>
      <c r="U401" s="16" t="n"/>
      <c r="V401" s="16" t="n"/>
      <c r="W401" s="16" t="n"/>
      <c r="X401" s="16" t="n"/>
      <c r="Y401" s="16" t="n"/>
      <c r="Z401" s="16" t="n"/>
      <c r="AA401" s="16" t="n"/>
      <c r="AB401" s="16" t="n"/>
      <c r="AC401" s="16" t="n"/>
    </row>
    <row r="402" ht="15.75" customHeight="1" s="56">
      <c r="A402" s="44" t="n"/>
      <c r="B402" s="42" t="n"/>
      <c r="C402" s="42" t="n"/>
      <c r="D402" s="16" t="n"/>
      <c r="E402" s="16" t="n"/>
      <c r="F402" s="16" t="n"/>
      <c r="G402" s="16" t="n"/>
      <c r="H402" s="16" t="n"/>
      <c r="I402" s="16" t="n"/>
      <c r="J402" s="16" t="n"/>
      <c r="K402" s="16" t="n"/>
      <c r="L402" s="16" t="n"/>
      <c r="M402" s="16" t="n"/>
      <c r="N402" s="42" t="n"/>
      <c r="O402" s="16" t="n"/>
      <c r="P402" s="16" t="n"/>
      <c r="Q402" s="16" t="n"/>
      <c r="R402" s="16" t="n"/>
      <c r="S402" s="16" t="n"/>
      <c r="T402" s="16" t="n"/>
      <c r="U402" s="16" t="n"/>
      <c r="V402" s="16" t="n"/>
      <c r="W402" s="16" t="n"/>
      <c r="X402" s="16" t="n"/>
      <c r="Y402" s="16" t="n"/>
      <c r="Z402" s="16" t="n"/>
      <c r="AA402" s="16" t="n"/>
      <c r="AB402" s="16" t="n"/>
      <c r="AC402" s="16" t="n"/>
    </row>
    <row r="403" ht="15.75" customHeight="1" s="56">
      <c r="A403" s="44" t="n"/>
      <c r="B403" s="42" t="n"/>
      <c r="C403" s="42" t="n"/>
      <c r="D403" s="16" t="n"/>
      <c r="E403" s="16" t="n"/>
      <c r="F403" s="16" t="n"/>
      <c r="G403" s="16" t="n"/>
      <c r="H403" s="16" t="n"/>
      <c r="I403" s="16" t="n"/>
      <c r="J403" s="16" t="n"/>
      <c r="K403" s="16" t="n"/>
      <c r="L403" s="16" t="n"/>
      <c r="M403" s="16" t="n"/>
      <c r="N403" s="42" t="n"/>
      <c r="O403" s="16" t="n"/>
      <c r="P403" s="16" t="n"/>
      <c r="Q403" s="16" t="n"/>
      <c r="R403" s="16" t="n"/>
      <c r="S403" s="16" t="n"/>
      <c r="T403" s="16" t="n"/>
      <c r="U403" s="16" t="n"/>
      <c r="V403" s="16" t="n"/>
      <c r="W403" s="16" t="n"/>
      <c r="X403" s="16" t="n"/>
      <c r="Y403" s="16" t="n"/>
      <c r="Z403" s="16" t="n"/>
      <c r="AA403" s="16" t="n"/>
      <c r="AB403" s="16" t="n"/>
      <c r="AC403" s="16" t="n"/>
    </row>
    <row r="404" ht="15.75" customHeight="1" s="56">
      <c r="A404" s="44" t="n"/>
      <c r="B404" s="42" t="n"/>
      <c r="C404" s="42" t="n"/>
      <c r="D404" s="16" t="n"/>
      <c r="E404" s="16" t="n"/>
      <c r="F404" s="16" t="n"/>
      <c r="G404" s="16" t="n"/>
      <c r="H404" s="16" t="n"/>
      <c r="I404" s="16" t="n"/>
      <c r="J404" s="16" t="n"/>
      <c r="K404" s="16" t="n"/>
      <c r="L404" s="16" t="n"/>
      <c r="M404" s="16" t="n"/>
      <c r="N404" s="42" t="n"/>
      <c r="O404" s="16" t="n"/>
      <c r="P404" s="16" t="n"/>
      <c r="Q404" s="16" t="n"/>
      <c r="R404" s="16" t="n"/>
      <c r="S404" s="16" t="n"/>
      <c r="T404" s="16" t="n"/>
      <c r="U404" s="16" t="n"/>
      <c r="V404" s="16" t="n"/>
      <c r="W404" s="16" t="n"/>
      <c r="X404" s="16" t="n"/>
      <c r="Y404" s="16" t="n"/>
      <c r="Z404" s="16" t="n"/>
      <c r="AA404" s="16" t="n"/>
      <c r="AB404" s="16" t="n"/>
      <c r="AC404" s="16" t="n"/>
    </row>
    <row r="405" ht="15.75" customHeight="1" s="56">
      <c r="A405" s="44" t="n"/>
      <c r="B405" s="42" t="n"/>
      <c r="C405" s="42" t="n"/>
      <c r="D405" s="16" t="n"/>
      <c r="E405" s="16" t="n"/>
      <c r="F405" s="16" t="n"/>
      <c r="G405" s="16" t="n"/>
      <c r="H405" s="16" t="n"/>
      <c r="I405" s="16" t="n"/>
      <c r="J405" s="16" t="n"/>
      <c r="K405" s="16" t="n"/>
      <c r="L405" s="16" t="n"/>
      <c r="M405" s="16" t="n"/>
      <c r="N405" s="42" t="n"/>
      <c r="O405" s="16" t="n"/>
      <c r="P405" s="16" t="n"/>
      <c r="Q405" s="16" t="n"/>
      <c r="R405" s="16" t="n"/>
      <c r="S405" s="16" t="n"/>
      <c r="T405" s="16" t="n"/>
      <c r="U405" s="16" t="n"/>
      <c r="V405" s="16" t="n"/>
      <c r="W405" s="16" t="n"/>
      <c r="X405" s="16" t="n"/>
      <c r="Y405" s="16" t="n"/>
      <c r="Z405" s="16" t="n"/>
      <c r="AA405" s="16" t="n"/>
      <c r="AB405" s="16" t="n"/>
      <c r="AC405" s="16" t="n"/>
    </row>
    <row r="406" ht="15.75" customHeight="1" s="56">
      <c r="A406" s="44" t="n"/>
      <c r="B406" s="42" t="n"/>
      <c r="C406" s="42" t="n"/>
      <c r="D406" s="16" t="n"/>
      <c r="E406" s="16" t="n"/>
      <c r="F406" s="16" t="n"/>
      <c r="G406" s="16" t="n"/>
      <c r="H406" s="16" t="n"/>
      <c r="I406" s="16" t="n"/>
      <c r="J406" s="16" t="n"/>
      <c r="K406" s="16" t="n"/>
      <c r="L406" s="16" t="n"/>
      <c r="M406" s="16" t="n"/>
      <c r="N406" s="42" t="n"/>
      <c r="O406" s="16" t="n"/>
      <c r="P406" s="16" t="n"/>
      <c r="Q406" s="16" t="n"/>
      <c r="R406" s="16" t="n"/>
      <c r="S406" s="16" t="n"/>
      <c r="T406" s="16" t="n"/>
      <c r="U406" s="16" t="n"/>
      <c r="V406" s="16" t="n"/>
      <c r="W406" s="16" t="n"/>
      <c r="X406" s="16" t="n"/>
      <c r="Y406" s="16" t="n"/>
      <c r="Z406" s="16" t="n"/>
      <c r="AA406" s="16" t="n"/>
      <c r="AB406" s="16" t="n"/>
      <c r="AC406" s="16" t="n"/>
    </row>
    <row r="407" ht="15.75" customHeight="1" s="56">
      <c r="A407" s="44" t="n"/>
      <c r="B407" s="42" t="n"/>
      <c r="C407" s="42" t="n"/>
      <c r="D407" s="16" t="n"/>
      <c r="E407" s="16" t="n"/>
      <c r="F407" s="16" t="n"/>
      <c r="G407" s="16" t="n"/>
      <c r="H407" s="16" t="n"/>
      <c r="I407" s="16" t="n"/>
      <c r="J407" s="16" t="n"/>
      <c r="K407" s="16" t="n"/>
      <c r="L407" s="16" t="n"/>
      <c r="M407" s="16" t="n"/>
      <c r="N407" s="42" t="n"/>
      <c r="O407" s="16" t="n"/>
      <c r="P407" s="16" t="n"/>
      <c r="Q407" s="16" t="n"/>
      <c r="R407" s="16" t="n"/>
      <c r="S407" s="16" t="n"/>
      <c r="T407" s="16" t="n"/>
      <c r="U407" s="16" t="n"/>
      <c r="V407" s="16" t="n"/>
      <c r="W407" s="16" t="n"/>
      <c r="X407" s="16" t="n"/>
      <c r="Y407" s="16" t="n"/>
      <c r="Z407" s="16" t="n"/>
      <c r="AA407" s="16" t="n"/>
      <c r="AB407" s="16" t="n"/>
      <c r="AC407" s="16" t="n"/>
    </row>
    <row r="408" ht="15.75" customHeight="1" s="56">
      <c r="A408" s="44" t="n"/>
      <c r="B408" s="42" t="n"/>
      <c r="C408" s="42" t="n"/>
      <c r="D408" s="16" t="n"/>
      <c r="E408" s="16" t="n"/>
      <c r="F408" s="16" t="n"/>
      <c r="G408" s="16" t="n"/>
      <c r="H408" s="16" t="n"/>
      <c r="I408" s="16" t="n"/>
      <c r="J408" s="16" t="n"/>
      <c r="K408" s="16" t="n"/>
      <c r="L408" s="16" t="n"/>
      <c r="M408" s="16" t="n"/>
      <c r="N408" s="42" t="n"/>
      <c r="O408" s="16" t="n"/>
      <c r="P408" s="16" t="n"/>
      <c r="Q408" s="16" t="n"/>
      <c r="R408" s="16" t="n"/>
      <c r="S408" s="16" t="n"/>
      <c r="T408" s="16" t="n"/>
      <c r="U408" s="16" t="n"/>
      <c r="V408" s="16" t="n"/>
      <c r="W408" s="16" t="n"/>
      <c r="X408" s="16" t="n"/>
      <c r="Y408" s="16" t="n"/>
      <c r="Z408" s="16" t="n"/>
      <c r="AA408" s="16" t="n"/>
      <c r="AB408" s="16" t="n"/>
      <c r="AC408" s="16" t="n"/>
    </row>
    <row r="409" ht="15.75" customHeight="1" s="56">
      <c r="A409" s="44" t="n"/>
      <c r="B409" s="42" t="n"/>
      <c r="C409" s="42" t="n"/>
      <c r="D409" s="16" t="n"/>
      <c r="E409" s="16" t="n"/>
      <c r="F409" s="16" t="n"/>
      <c r="G409" s="16" t="n"/>
      <c r="H409" s="16" t="n"/>
      <c r="I409" s="16" t="n"/>
      <c r="J409" s="16" t="n"/>
      <c r="K409" s="16" t="n"/>
      <c r="L409" s="16" t="n"/>
      <c r="M409" s="16" t="n"/>
      <c r="N409" s="42" t="n"/>
      <c r="O409" s="16" t="n"/>
      <c r="P409" s="16" t="n"/>
      <c r="Q409" s="16" t="n"/>
      <c r="R409" s="16" t="n"/>
      <c r="S409" s="16" t="n"/>
      <c r="T409" s="16" t="n"/>
      <c r="U409" s="16" t="n"/>
      <c r="V409" s="16" t="n"/>
      <c r="W409" s="16" t="n"/>
      <c r="X409" s="16" t="n"/>
      <c r="Y409" s="16" t="n"/>
      <c r="Z409" s="16" t="n"/>
      <c r="AA409" s="16" t="n"/>
      <c r="AB409" s="16" t="n"/>
      <c r="AC409" s="16" t="n"/>
    </row>
    <row r="410" ht="15.75" customHeight="1" s="56">
      <c r="A410" s="44" t="n"/>
      <c r="B410" s="42" t="n"/>
      <c r="C410" s="42" t="n"/>
      <c r="D410" s="16" t="n"/>
      <c r="E410" s="16" t="n"/>
      <c r="F410" s="16" t="n"/>
      <c r="G410" s="16" t="n"/>
      <c r="H410" s="16" t="n"/>
      <c r="I410" s="16" t="n"/>
      <c r="J410" s="16" t="n"/>
      <c r="K410" s="16" t="n"/>
      <c r="L410" s="16" t="n"/>
      <c r="M410" s="16" t="n"/>
      <c r="N410" s="42" t="n"/>
      <c r="O410" s="16" t="n"/>
      <c r="P410" s="16" t="n"/>
      <c r="Q410" s="16" t="n"/>
      <c r="R410" s="16" t="n"/>
      <c r="S410" s="16" t="n"/>
      <c r="T410" s="16" t="n"/>
      <c r="U410" s="16" t="n"/>
      <c r="V410" s="16" t="n"/>
      <c r="W410" s="16" t="n"/>
      <c r="X410" s="16" t="n"/>
      <c r="Y410" s="16" t="n"/>
      <c r="Z410" s="16" t="n"/>
      <c r="AA410" s="16" t="n"/>
      <c r="AB410" s="16" t="n"/>
      <c r="AC410" s="16" t="n"/>
    </row>
    <row r="411" ht="15.75" customHeight="1" s="56">
      <c r="A411" s="44" t="n"/>
      <c r="B411" s="42" t="n"/>
      <c r="C411" s="42" t="n"/>
      <c r="D411" s="16" t="n"/>
      <c r="E411" s="16" t="n"/>
      <c r="F411" s="16" t="n"/>
      <c r="G411" s="16" t="n"/>
      <c r="H411" s="16" t="n"/>
      <c r="I411" s="16" t="n"/>
      <c r="J411" s="16" t="n"/>
      <c r="K411" s="16" t="n"/>
      <c r="L411" s="16" t="n"/>
      <c r="M411" s="16" t="n"/>
      <c r="N411" s="42" t="n"/>
      <c r="O411" s="16" t="n"/>
      <c r="P411" s="16" t="n"/>
      <c r="Q411" s="16" t="n"/>
      <c r="R411" s="16" t="n"/>
      <c r="S411" s="16" t="n"/>
      <c r="T411" s="16" t="n"/>
      <c r="U411" s="16" t="n"/>
      <c r="V411" s="16" t="n"/>
      <c r="W411" s="16" t="n"/>
      <c r="X411" s="16" t="n"/>
      <c r="Y411" s="16" t="n"/>
      <c r="Z411" s="16" t="n"/>
      <c r="AA411" s="16" t="n"/>
      <c r="AB411" s="16" t="n"/>
      <c r="AC411" s="16" t="n"/>
    </row>
    <row r="412" ht="15.75" customHeight="1" s="56">
      <c r="A412" s="44" t="n"/>
      <c r="B412" s="42" t="n"/>
      <c r="C412" s="42" t="n"/>
      <c r="D412" s="16" t="n"/>
      <c r="E412" s="16" t="n"/>
      <c r="F412" s="16" t="n"/>
      <c r="G412" s="16" t="n"/>
      <c r="H412" s="16" t="n"/>
      <c r="I412" s="16" t="n"/>
      <c r="J412" s="16" t="n"/>
      <c r="K412" s="16" t="n"/>
      <c r="L412" s="16" t="n"/>
      <c r="M412" s="16" t="n"/>
      <c r="N412" s="42" t="n"/>
      <c r="O412" s="16" t="n"/>
      <c r="P412" s="16" t="n"/>
      <c r="Q412" s="16" t="n"/>
      <c r="R412" s="16" t="n"/>
      <c r="S412" s="16" t="n"/>
      <c r="T412" s="16" t="n"/>
      <c r="U412" s="16" t="n"/>
      <c r="V412" s="16" t="n"/>
      <c r="W412" s="16" t="n"/>
      <c r="X412" s="16" t="n"/>
      <c r="Y412" s="16" t="n"/>
      <c r="Z412" s="16" t="n"/>
      <c r="AA412" s="16" t="n"/>
      <c r="AB412" s="16" t="n"/>
      <c r="AC412" s="16" t="n"/>
    </row>
    <row r="413" ht="15.75" customHeight="1" s="56">
      <c r="A413" s="44" t="n"/>
      <c r="B413" s="42" t="n"/>
      <c r="C413" s="42" t="n"/>
      <c r="D413" s="16" t="n"/>
      <c r="E413" s="16" t="n"/>
      <c r="F413" s="16" t="n"/>
      <c r="G413" s="16" t="n"/>
      <c r="H413" s="16" t="n"/>
      <c r="I413" s="16" t="n"/>
      <c r="J413" s="16" t="n"/>
      <c r="K413" s="16" t="n"/>
      <c r="L413" s="16" t="n"/>
      <c r="M413" s="16" t="n"/>
      <c r="N413" s="42" t="n"/>
      <c r="O413" s="16" t="n"/>
      <c r="P413" s="16" t="n"/>
      <c r="Q413" s="16" t="n"/>
      <c r="R413" s="16" t="n"/>
      <c r="S413" s="16" t="n"/>
      <c r="T413" s="16" t="n"/>
      <c r="U413" s="16" t="n"/>
      <c r="V413" s="16" t="n"/>
      <c r="W413" s="16" t="n"/>
      <c r="X413" s="16" t="n"/>
      <c r="Y413" s="16" t="n"/>
      <c r="Z413" s="16" t="n"/>
      <c r="AA413" s="16" t="n"/>
      <c r="AB413" s="16" t="n"/>
      <c r="AC413" s="16" t="n"/>
    </row>
    <row r="414" ht="15.75" customHeight="1" s="56">
      <c r="A414" s="44" t="n"/>
      <c r="B414" s="42" t="n"/>
      <c r="C414" s="42" t="n"/>
      <c r="D414" s="16" t="n"/>
      <c r="E414" s="16" t="n"/>
      <c r="F414" s="16" t="n"/>
      <c r="G414" s="16" t="n"/>
      <c r="H414" s="16" t="n"/>
      <c r="I414" s="16" t="n"/>
      <c r="J414" s="16" t="n"/>
      <c r="K414" s="16" t="n"/>
      <c r="L414" s="16" t="n"/>
      <c r="M414" s="16" t="n"/>
      <c r="N414" s="42" t="n"/>
      <c r="O414" s="16" t="n"/>
      <c r="P414" s="16" t="n"/>
      <c r="Q414" s="16" t="n"/>
      <c r="R414" s="16" t="n"/>
      <c r="S414" s="16" t="n"/>
      <c r="T414" s="16" t="n"/>
      <c r="U414" s="16" t="n"/>
      <c r="V414" s="16" t="n"/>
      <c r="W414" s="16" t="n"/>
      <c r="X414" s="16" t="n"/>
      <c r="Y414" s="16" t="n"/>
      <c r="Z414" s="16" t="n"/>
      <c r="AA414" s="16" t="n"/>
      <c r="AB414" s="16" t="n"/>
      <c r="AC414" s="16" t="n"/>
    </row>
    <row r="415" ht="15.75" customHeight="1" s="56">
      <c r="A415" s="44" t="n"/>
      <c r="B415" s="42" t="n"/>
      <c r="C415" s="42" t="n"/>
      <c r="D415" s="16" t="n"/>
      <c r="E415" s="16" t="n"/>
      <c r="F415" s="16" t="n"/>
      <c r="G415" s="16" t="n"/>
      <c r="H415" s="16" t="n"/>
      <c r="I415" s="16" t="n"/>
      <c r="J415" s="16" t="n"/>
      <c r="K415" s="16" t="n"/>
      <c r="L415" s="16" t="n"/>
      <c r="M415" s="16" t="n"/>
      <c r="N415" s="42" t="n"/>
      <c r="O415" s="16" t="n"/>
      <c r="P415" s="16" t="n"/>
      <c r="Q415" s="16" t="n"/>
      <c r="R415" s="16" t="n"/>
      <c r="S415" s="16" t="n"/>
      <c r="T415" s="16" t="n"/>
      <c r="U415" s="16" t="n"/>
      <c r="V415" s="16" t="n"/>
      <c r="W415" s="16" t="n"/>
      <c r="X415" s="16" t="n"/>
      <c r="Y415" s="16" t="n"/>
      <c r="Z415" s="16" t="n"/>
      <c r="AA415" s="16" t="n"/>
      <c r="AB415" s="16" t="n"/>
      <c r="AC415" s="16" t="n"/>
    </row>
    <row r="416" ht="15.75" customHeight="1" s="56">
      <c r="A416" s="44" t="n"/>
      <c r="B416" s="42" t="n"/>
      <c r="C416" s="42" t="n"/>
      <c r="D416" s="16" t="n"/>
      <c r="E416" s="16" t="n"/>
      <c r="F416" s="16" t="n"/>
      <c r="G416" s="16" t="n"/>
      <c r="H416" s="16" t="n"/>
      <c r="I416" s="16" t="n"/>
      <c r="J416" s="16" t="n"/>
      <c r="K416" s="16" t="n"/>
      <c r="L416" s="16" t="n"/>
      <c r="M416" s="16" t="n"/>
      <c r="N416" s="42" t="n"/>
      <c r="O416" s="16" t="n"/>
      <c r="P416" s="16" t="n"/>
      <c r="Q416" s="16" t="n"/>
      <c r="R416" s="16" t="n"/>
      <c r="S416" s="16" t="n"/>
      <c r="T416" s="16" t="n"/>
      <c r="U416" s="16" t="n"/>
      <c r="V416" s="16" t="n"/>
      <c r="W416" s="16" t="n"/>
      <c r="X416" s="16" t="n"/>
      <c r="Y416" s="16" t="n"/>
      <c r="Z416" s="16" t="n"/>
      <c r="AA416" s="16" t="n"/>
      <c r="AB416" s="16" t="n"/>
      <c r="AC416" s="16" t="n"/>
    </row>
    <row r="417" ht="15.75" customHeight="1" s="56">
      <c r="A417" s="44" t="n"/>
      <c r="B417" s="42" t="n"/>
      <c r="C417" s="42" t="n"/>
      <c r="D417" s="16" t="n"/>
      <c r="E417" s="16" t="n"/>
      <c r="F417" s="16" t="n"/>
      <c r="G417" s="16" t="n"/>
      <c r="H417" s="16" t="n"/>
      <c r="I417" s="16" t="n"/>
      <c r="J417" s="16" t="n"/>
      <c r="K417" s="16" t="n"/>
      <c r="L417" s="16" t="n"/>
      <c r="M417" s="16" t="n"/>
      <c r="N417" s="42" t="n"/>
      <c r="O417" s="16" t="n"/>
      <c r="P417" s="16" t="n"/>
      <c r="Q417" s="16" t="n"/>
      <c r="R417" s="16" t="n"/>
      <c r="S417" s="16" t="n"/>
      <c r="T417" s="16" t="n"/>
      <c r="U417" s="16" t="n"/>
      <c r="V417" s="16" t="n"/>
      <c r="W417" s="16" t="n"/>
      <c r="X417" s="16" t="n"/>
      <c r="Y417" s="16" t="n"/>
      <c r="Z417" s="16" t="n"/>
      <c r="AA417" s="16" t="n"/>
      <c r="AB417" s="16" t="n"/>
      <c r="AC417" s="16" t="n"/>
    </row>
    <row r="418" ht="15.75" customHeight="1" s="56">
      <c r="A418" s="44" t="n"/>
      <c r="B418" s="42" t="n"/>
      <c r="C418" s="42" t="n"/>
      <c r="D418" s="16" t="n"/>
      <c r="E418" s="16" t="n"/>
      <c r="F418" s="16" t="n"/>
      <c r="G418" s="16" t="n"/>
      <c r="H418" s="16" t="n"/>
      <c r="I418" s="16" t="n"/>
      <c r="J418" s="16" t="n"/>
      <c r="K418" s="16" t="n"/>
      <c r="L418" s="16" t="n"/>
      <c r="M418" s="16" t="n"/>
      <c r="N418" s="42" t="n"/>
      <c r="O418" s="16" t="n"/>
      <c r="P418" s="16" t="n"/>
      <c r="Q418" s="16" t="n"/>
      <c r="R418" s="16" t="n"/>
      <c r="S418" s="16" t="n"/>
      <c r="T418" s="16" t="n"/>
      <c r="U418" s="16" t="n"/>
      <c r="V418" s="16" t="n"/>
      <c r="W418" s="16" t="n"/>
      <c r="X418" s="16" t="n"/>
      <c r="Y418" s="16" t="n"/>
      <c r="Z418" s="16" t="n"/>
      <c r="AA418" s="16" t="n"/>
      <c r="AB418" s="16" t="n"/>
      <c r="AC418" s="16" t="n"/>
    </row>
    <row r="419" ht="15.75" customHeight="1" s="56">
      <c r="A419" s="44" t="n"/>
      <c r="B419" s="42" t="n"/>
      <c r="C419" s="42" t="n"/>
      <c r="D419" s="16" t="n"/>
      <c r="E419" s="16" t="n"/>
      <c r="F419" s="16" t="n"/>
      <c r="G419" s="16" t="n"/>
      <c r="H419" s="16" t="n"/>
      <c r="I419" s="16" t="n"/>
      <c r="J419" s="16" t="n"/>
      <c r="K419" s="16" t="n"/>
      <c r="L419" s="16" t="n"/>
      <c r="M419" s="16" t="n"/>
      <c r="N419" s="42" t="n"/>
      <c r="O419" s="16" t="n"/>
      <c r="P419" s="16" t="n"/>
      <c r="Q419" s="16" t="n"/>
      <c r="R419" s="16" t="n"/>
      <c r="S419" s="16" t="n"/>
      <c r="T419" s="16" t="n"/>
      <c r="U419" s="16" t="n"/>
      <c r="V419" s="16" t="n"/>
      <c r="W419" s="16" t="n"/>
      <c r="X419" s="16" t="n"/>
      <c r="Y419" s="16" t="n"/>
      <c r="Z419" s="16" t="n"/>
      <c r="AA419" s="16" t="n"/>
      <c r="AB419" s="16" t="n"/>
      <c r="AC419" s="16" t="n"/>
    </row>
    <row r="420" ht="15.75" customHeight="1" s="56">
      <c r="A420" s="44" t="n"/>
      <c r="B420" s="42" t="n"/>
      <c r="C420" s="42" t="n"/>
      <c r="D420" s="16" t="n"/>
      <c r="E420" s="16" t="n"/>
      <c r="F420" s="16" t="n"/>
      <c r="G420" s="16" t="n"/>
      <c r="H420" s="16" t="n"/>
      <c r="I420" s="16" t="n"/>
      <c r="J420" s="16" t="n"/>
      <c r="K420" s="16" t="n"/>
      <c r="L420" s="16" t="n"/>
      <c r="M420" s="16" t="n"/>
      <c r="N420" s="42" t="n"/>
      <c r="O420" s="16" t="n"/>
      <c r="P420" s="16" t="n"/>
      <c r="Q420" s="16" t="n"/>
      <c r="R420" s="16" t="n"/>
      <c r="S420" s="16" t="n"/>
      <c r="T420" s="16" t="n"/>
      <c r="U420" s="16" t="n"/>
      <c r="V420" s="16" t="n"/>
      <c r="W420" s="16" t="n"/>
      <c r="X420" s="16" t="n"/>
      <c r="Y420" s="16" t="n"/>
      <c r="Z420" s="16" t="n"/>
      <c r="AA420" s="16" t="n"/>
      <c r="AB420" s="16" t="n"/>
      <c r="AC420" s="16" t="n"/>
    </row>
    <row r="421" ht="15.75" customHeight="1" s="56">
      <c r="A421" s="44" t="n"/>
      <c r="B421" s="42" t="n"/>
      <c r="C421" s="42" t="n"/>
      <c r="D421" s="16" t="n"/>
      <c r="E421" s="16" t="n"/>
      <c r="F421" s="16" t="n"/>
      <c r="G421" s="16" t="n"/>
      <c r="H421" s="16" t="n"/>
      <c r="I421" s="16" t="n"/>
      <c r="J421" s="16" t="n"/>
      <c r="K421" s="16" t="n"/>
      <c r="L421" s="16" t="n"/>
      <c r="M421" s="16" t="n"/>
      <c r="N421" s="42" t="n"/>
      <c r="O421" s="16" t="n"/>
      <c r="P421" s="16" t="n"/>
      <c r="Q421" s="16" t="n"/>
      <c r="R421" s="16" t="n"/>
      <c r="S421" s="16" t="n"/>
      <c r="T421" s="16" t="n"/>
      <c r="U421" s="16" t="n"/>
      <c r="V421" s="16" t="n"/>
      <c r="W421" s="16" t="n"/>
      <c r="X421" s="16" t="n"/>
      <c r="Y421" s="16" t="n"/>
      <c r="Z421" s="16" t="n"/>
      <c r="AA421" s="16" t="n"/>
      <c r="AB421" s="16" t="n"/>
      <c r="AC421" s="16" t="n"/>
    </row>
    <row r="422" ht="15.75" customHeight="1" s="56">
      <c r="A422" s="44" t="n"/>
      <c r="B422" s="42" t="n"/>
      <c r="C422" s="42" t="n"/>
      <c r="D422" s="16" t="n"/>
      <c r="E422" s="16" t="n"/>
      <c r="F422" s="16" t="n"/>
      <c r="G422" s="16" t="n"/>
      <c r="H422" s="16" t="n"/>
      <c r="I422" s="16" t="n"/>
      <c r="J422" s="16" t="n"/>
      <c r="K422" s="16" t="n"/>
      <c r="L422" s="16" t="n"/>
      <c r="M422" s="16" t="n"/>
      <c r="N422" s="42" t="n"/>
      <c r="O422" s="16" t="n"/>
      <c r="P422" s="16" t="n"/>
      <c r="Q422" s="16" t="n"/>
      <c r="R422" s="16" t="n"/>
      <c r="S422" s="16" t="n"/>
      <c r="T422" s="16" t="n"/>
      <c r="U422" s="16" t="n"/>
      <c r="V422" s="16" t="n"/>
      <c r="W422" s="16" t="n"/>
      <c r="X422" s="16" t="n"/>
      <c r="Y422" s="16" t="n"/>
      <c r="Z422" s="16" t="n"/>
      <c r="AA422" s="16" t="n"/>
      <c r="AB422" s="16" t="n"/>
      <c r="AC422" s="16" t="n"/>
    </row>
    <row r="423" ht="15.75" customHeight="1" s="56">
      <c r="A423" s="44" t="n"/>
      <c r="B423" s="42" t="n"/>
      <c r="C423" s="42" t="n"/>
      <c r="D423" s="16" t="n"/>
      <c r="E423" s="16" t="n"/>
      <c r="F423" s="16" t="n"/>
      <c r="G423" s="16" t="n"/>
      <c r="H423" s="16" t="n"/>
      <c r="I423" s="16" t="n"/>
      <c r="J423" s="16" t="n"/>
      <c r="K423" s="16" t="n"/>
      <c r="L423" s="16" t="n"/>
      <c r="M423" s="16" t="n"/>
      <c r="N423" s="42" t="n"/>
      <c r="O423" s="16" t="n"/>
      <c r="P423" s="16" t="n"/>
      <c r="Q423" s="16" t="n"/>
      <c r="R423" s="16" t="n"/>
      <c r="S423" s="16" t="n"/>
      <c r="T423" s="16" t="n"/>
      <c r="U423" s="16" t="n"/>
      <c r="V423" s="16" t="n"/>
      <c r="W423" s="16" t="n"/>
      <c r="X423" s="16" t="n"/>
      <c r="Y423" s="16" t="n"/>
      <c r="Z423" s="16" t="n"/>
      <c r="AA423" s="16" t="n"/>
      <c r="AB423" s="16" t="n"/>
      <c r="AC423" s="16" t="n"/>
    </row>
    <row r="424" ht="15.75" customHeight="1" s="56">
      <c r="A424" s="44" t="n"/>
      <c r="B424" s="42" t="n"/>
      <c r="C424" s="42" t="n"/>
      <c r="D424" s="16" t="n"/>
      <c r="E424" s="16" t="n"/>
      <c r="F424" s="16" t="n"/>
      <c r="G424" s="16" t="n"/>
      <c r="H424" s="16" t="n"/>
      <c r="I424" s="16" t="n"/>
      <c r="J424" s="16" t="n"/>
      <c r="K424" s="16" t="n"/>
      <c r="L424" s="16" t="n"/>
      <c r="M424" s="16" t="n"/>
      <c r="N424" s="42" t="n"/>
      <c r="O424" s="16" t="n"/>
      <c r="P424" s="16" t="n"/>
      <c r="Q424" s="16" t="n"/>
      <c r="R424" s="16" t="n"/>
      <c r="S424" s="16" t="n"/>
      <c r="T424" s="16" t="n"/>
      <c r="U424" s="16" t="n"/>
      <c r="V424" s="16" t="n"/>
      <c r="W424" s="16" t="n"/>
      <c r="X424" s="16" t="n"/>
      <c r="Y424" s="16" t="n"/>
      <c r="Z424" s="16" t="n"/>
      <c r="AA424" s="16" t="n"/>
      <c r="AB424" s="16" t="n"/>
      <c r="AC424" s="16" t="n"/>
    </row>
    <row r="425" ht="15.75" customHeight="1" s="56">
      <c r="A425" s="44" t="n"/>
      <c r="B425" s="42" t="n"/>
      <c r="C425" s="42" t="n"/>
      <c r="D425" s="16" t="n"/>
      <c r="E425" s="16" t="n"/>
      <c r="F425" s="16" t="n"/>
      <c r="G425" s="16" t="n"/>
      <c r="H425" s="16" t="n"/>
      <c r="I425" s="16" t="n"/>
      <c r="J425" s="16" t="n"/>
      <c r="K425" s="16" t="n"/>
      <c r="L425" s="16" t="n"/>
      <c r="M425" s="16" t="n"/>
      <c r="N425" s="42" t="n"/>
      <c r="O425" s="16" t="n"/>
      <c r="P425" s="16" t="n"/>
      <c r="Q425" s="16" t="n"/>
      <c r="R425" s="16" t="n"/>
      <c r="S425" s="16" t="n"/>
      <c r="T425" s="16" t="n"/>
      <c r="U425" s="16" t="n"/>
      <c r="V425" s="16" t="n"/>
      <c r="W425" s="16" t="n"/>
      <c r="X425" s="16" t="n"/>
      <c r="Y425" s="16" t="n"/>
      <c r="Z425" s="16" t="n"/>
      <c r="AA425" s="16" t="n"/>
      <c r="AB425" s="16" t="n"/>
      <c r="AC425" s="16" t="n"/>
    </row>
    <row r="426" ht="15.75" customHeight="1" s="56">
      <c r="A426" s="44" t="n"/>
      <c r="B426" s="42" t="n"/>
      <c r="C426" s="42" t="n"/>
      <c r="D426" s="16" t="n"/>
      <c r="E426" s="16" t="n"/>
      <c r="F426" s="16" t="n"/>
      <c r="G426" s="16" t="n"/>
      <c r="H426" s="16" t="n"/>
      <c r="I426" s="16" t="n"/>
      <c r="J426" s="16" t="n"/>
      <c r="K426" s="16" t="n"/>
      <c r="L426" s="16" t="n"/>
      <c r="M426" s="16" t="n"/>
      <c r="N426" s="42" t="n"/>
      <c r="O426" s="16" t="n"/>
      <c r="P426" s="16" t="n"/>
      <c r="Q426" s="16" t="n"/>
      <c r="R426" s="16" t="n"/>
      <c r="S426" s="16" t="n"/>
      <c r="T426" s="16" t="n"/>
      <c r="U426" s="16" t="n"/>
      <c r="V426" s="16" t="n"/>
      <c r="W426" s="16" t="n"/>
      <c r="X426" s="16" t="n"/>
      <c r="Y426" s="16" t="n"/>
      <c r="Z426" s="16" t="n"/>
      <c r="AA426" s="16" t="n"/>
      <c r="AB426" s="16" t="n"/>
      <c r="AC426" s="16" t="n"/>
    </row>
    <row r="427" ht="15.75" customHeight="1" s="56">
      <c r="A427" s="44" t="n"/>
      <c r="B427" s="42" t="n"/>
      <c r="C427" s="42" t="n"/>
      <c r="D427" s="16" t="n"/>
      <c r="E427" s="16" t="n"/>
      <c r="F427" s="16" t="n"/>
      <c r="G427" s="16" t="n"/>
      <c r="H427" s="16" t="n"/>
      <c r="I427" s="16" t="n"/>
      <c r="J427" s="16" t="n"/>
      <c r="K427" s="16" t="n"/>
      <c r="L427" s="16" t="n"/>
      <c r="M427" s="16" t="n"/>
      <c r="N427" s="42" t="n"/>
      <c r="O427" s="16" t="n"/>
      <c r="P427" s="16" t="n"/>
      <c r="Q427" s="16" t="n"/>
      <c r="R427" s="16" t="n"/>
      <c r="S427" s="16" t="n"/>
      <c r="T427" s="16" t="n"/>
      <c r="U427" s="16" t="n"/>
      <c r="V427" s="16" t="n"/>
      <c r="W427" s="16" t="n"/>
      <c r="X427" s="16" t="n"/>
      <c r="Y427" s="16" t="n"/>
      <c r="Z427" s="16" t="n"/>
      <c r="AA427" s="16" t="n"/>
      <c r="AB427" s="16" t="n"/>
      <c r="AC427" s="16" t="n"/>
    </row>
    <row r="428" ht="15.75" customHeight="1" s="56">
      <c r="A428" s="44" t="n"/>
      <c r="B428" s="42" t="n"/>
      <c r="C428" s="42" t="n"/>
      <c r="D428" s="16" t="n"/>
      <c r="E428" s="16" t="n"/>
      <c r="F428" s="16" t="n"/>
      <c r="G428" s="16" t="n"/>
      <c r="H428" s="16" t="n"/>
      <c r="I428" s="16" t="n"/>
      <c r="J428" s="16" t="n"/>
      <c r="K428" s="16" t="n"/>
      <c r="L428" s="16" t="n"/>
      <c r="M428" s="16" t="n"/>
      <c r="N428" s="42" t="n"/>
      <c r="O428" s="16" t="n"/>
      <c r="P428" s="16" t="n"/>
      <c r="Q428" s="16" t="n"/>
      <c r="R428" s="16" t="n"/>
      <c r="S428" s="16" t="n"/>
      <c r="T428" s="16" t="n"/>
      <c r="U428" s="16" t="n"/>
      <c r="V428" s="16" t="n"/>
      <c r="W428" s="16" t="n"/>
      <c r="X428" s="16" t="n"/>
      <c r="Y428" s="16" t="n"/>
      <c r="Z428" s="16" t="n"/>
      <c r="AA428" s="16" t="n"/>
      <c r="AB428" s="16" t="n"/>
      <c r="AC428" s="16" t="n"/>
    </row>
    <row r="429" ht="15.75" customHeight="1" s="56">
      <c r="A429" s="44" t="n"/>
      <c r="B429" s="42" t="n"/>
      <c r="C429" s="42" t="n"/>
      <c r="D429" s="16" t="n"/>
      <c r="E429" s="16" t="n"/>
      <c r="F429" s="16" t="n"/>
      <c r="G429" s="16" t="n"/>
      <c r="H429" s="16" t="n"/>
      <c r="I429" s="16" t="n"/>
      <c r="J429" s="16" t="n"/>
      <c r="K429" s="16" t="n"/>
      <c r="L429" s="16" t="n"/>
      <c r="M429" s="16" t="n"/>
      <c r="N429" s="42" t="n"/>
      <c r="O429" s="16" t="n"/>
      <c r="P429" s="16" t="n"/>
      <c r="Q429" s="16" t="n"/>
      <c r="R429" s="16" t="n"/>
      <c r="S429" s="16" t="n"/>
      <c r="T429" s="16" t="n"/>
      <c r="U429" s="16" t="n"/>
      <c r="V429" s="16" t="n"/>
      <c r="W429" s="16" t="n"/>
      <c r="X429" s="16" t="n"/>
      <c r="Y429" s="16" t="n"/>
      <c r="Z429" s="16" t="n"/>
      <c r="AA429" s="16" t="n"/>
      <c r="AB429" s="16" t="n"/>
      <c r="AC429" s="16" t="n"/>
    </row>
    <row r="430" ht="15.75" customHeight="1" s="56">
      <c r="A430" s="44" t="n"/>
      <c r="B430" s="42" t="n"/>
      <c r="C430" s="42" t="n"/>
      <c r="D430" s="16" t="n"/>
      <c r="E430" s="16" t="n"/>
      <c r="F430" s="16" t="n"/>
      <c r="G430" s="16" t="n"/>
      <c r="H430" s="16" t="n"/>
      <c r="I430" s="16" t="n"/>
      <c r="J430" s="16" t="n"/>
      <c r="K430" s="16" t="n"/>
      <c r="L430" s="16" t="n"/>
      <c r="M430" s="16" t="n"/>
      <c r="N430" s="42" t="n"/>
      <c r="O430" s="16" t="n"/>
      <c r="P430" s="16" t="n"/>
      <c r="Q430" s="16" t="n"/>
      <c r="R430" s="16" t="n"/>
      <c r="S430" s="16" t="n"/>
      <c r="T430" s="16" t="n"/>
      <c r="U430" s="16" t="n"/>
      <c r="V430" s="16" t="n"/>
      <c r="W430" s="16" t="n"/>
      <c r="X430" s="16" t="n"/>
      <c r="Y430" s="16" t="n"/>
      <c r="Z430" s="16" t="n"/>
      <c r="AA430" s="16" t="n"/>
      <c r="AB430" s="16" t="n"/>
      <c r="AC430" s="16" t="n"/>
    </row>
    <row r="431" ht="15.75" customHeight="1" s="56">
      <c r="A431" s="44" t="n"/>
      <c r="B431" s="42" t="n"/>
      <c r="C431" s="42" t="n"/>
      <c r="D431" s="16" t="n"/>
      <c r="E431" s="16" t="n"/>
      <c r="F431" s="16" t="n"/>
      <c r="G431" s="16" t="n"/>
      <c r="H431" s="16" t="n"/>
      <c r="I431" s="16" t="n"/>
      <c r="J431" s="16" t="n"/>
      <c r="K431" s="16" t="n"/>
      <c r="L431" s="16" t="n"/>
      <c r="M431" s="16" t="n"/>
      <c r="N431" s="42" t="n"/>
      <c r="O431" s="16" t="n"/>
      <c r="P431" s="16" t="n"/>
      <c r="Q431" s="16" t="n"/>
      <c r="R431" s="16" t="n"/>
      <c r="S431" s="16" t="n"/>
      <c r="T431" s="16" t="n"/>
      <c r="U431" s="16" t="n"/>
      <c r="V431" s="16" t="n"/>
      <c r="W431" s="16" t="n"/>
      <c r="X431" s="16" t="n"/>
      <c r="Y431" s="16" t="n"/>
      <c r="Z431" s="16" t="n"/>
      <c r="AA431" s="16" t="n"/>
      <c r="AB431" s="16" t="n"/>
      <c r="AC431" s="16" t="n"/>
    </row>
    <row r="432" ht="15.75" customHeight="1" s="56">
      <c r="A432" s="44" t="n"/>
      <c r="B432" s="42" t="n"/>
      <c r="C432" s="42" t="n"/>
      <c r="D432" s="16" t="n"/>
      <c r="E432" s="16" t="n"/>
      <c r="F432" s="16" t="n"/>
      <c r="G432" s="16" t="n"/>
      <c r="H432" s="16" t="n"/>
      <c r="I432" s="16" t="n"/>
      <c r="J432" s="16" t="n"/>
      <c r="K432" s="16" t="n"/>
      <c r="L432" s="16" t="n"/>
      <c r="M432" s="16" t="n"/>
      <c r="N432" s="42" t="n"/>
      <c r="O432" s="16" t="n"/>
      <c r="P432" s="16" t="n"/>
      <c r="Q432" s="16" t="n"/>
      <c r="R432" s="16" t="n"/>
      <c r="S432" s="16" t="n"/>
      <c r="T432" s="16" t="n"/>
      <c r="U432" s="16" t="n"/>
      <c r="V432" s="16" t="n"/>
      <c r="W432" s="16" t="n"/>
      <c r="X432" s="16" t="n"/>
      <c r="Y432" s="16" t="n"/>
      <c r="Z432" s="16" t="n"/>
      <c r="AA432" s="16" t="n"/>
      <c r="AB432" s="16" t="n"/>
      <c r="AC432" s="16" t="n"/>
    </row>
    <row r="433" ht="15.75" customHeight="1" s="56">
      <c r="A433" s="44" t="n"/>
      <c r="B433" s="42" t="n"/>
      <c r="C433" s="42" t="n"/>
      <c r="D433" s="16" t="n"/>
      <c r="E433" s="16" t="n"/>
      <c r="F433" s="16" t="n"/>
      <c r="G433" s="16" t="n"/>
      <c r="H433" s="16" t="n"/>
      <c r="I433" s="16" t="n"/>
      <c r="J433" s="16" t="n"/>
      <c r="K433" s="16" t="n"/>
      <c r="L433" s="16" t="n"/>
      <c r="M433" s="16" t="n"/>
      <c r="N433" s="42" t="n"/>
      <c r="O433" s="16" t="n"/>
      <c r="P433" s="16" t="n"/>
      <c r="Q433" s="16" t="n"/>
      <c r="R433" s="16" t="n"/>
      <c r="S433" s="16" t="n"/>
      <c r="T433" s="16" t="n"/>
      <c r="U433" s="16" t="n"/>
      <c r="V433" s="16" t="n"/>
      <c r="W433" s="16" t="n"/>
      <c r="X433" s="16" t="n"/>
      <c r="Y433" s="16" t="n"/>
      <c r="Z433" s="16" t="n"/>
      <c r="AA433" s="16" t="n"/>
      <c r="AB433" s="16" t="n"/>
      <c r="AC433" s="16" t="n"/>
    </row>
    <row r="434" ht="15.75" customHeight="1" s="56">
      <c r="A434" s="44" t="n"/>
      <c r="B434" s="42" t="n"/>
      <c r="C434" s="42" t="n"/>
      <c r="D434" s="16" t="n"/>
      <c r="E434" s="16" t="n"/>
      <c r="F434" s="16" t="n"/>
      <c r="G434" s="16" t="n"/>
      <c r="H434" s="16" t="n"/>
      <c r="I434" s="16" t="n"/>
      <c r="J434" s="16" t="n"/>
      <c r="K434" s="16" t="n"/>
      <c r="L434" s="16" t="n"/>
      <c r="M434" s="16" t="n"/>
      <c r="N434" s="42" t="n"/>
      <c r="O434" s="16" t="n"/>
      <c r="P434" s="16" t="n"/>
      <c r="Q434" s="16" t="n"/>
      <c r="R434" s="16" t="n"/>
      <c r="S434" s="16" t="n"/>
      <c r="T434" s="16" t="n"/>
      <c r="U434" s="16" t="n"/>
      <c r="V434" s="16" t="n"/>
      <c r="W434" s="16" t="n"/>
      <c r="X434" s="16" t="n"/>
      <c r="Y434" s="16" t="n"/>
      <c r="Z434" s="16" t="n"/>
      <c r="AA434" s="16" t="n"/>
      <c r="AB434" s="16" t="n"/>
      <c r="AC434" s="16" t="n"/>
    </row>
    <row r="435" ht="15.75" customHeight="1" s="56">
      <c r="A435" s="44" t="n"/>
      <c r="B435" s="42" t="n"/>
      <c r="C435" s="42" t="n"/>
      <c r="D435" s="16" t="n"/>
      <c r="E435" s="16" t="n"/>
      <c r="F435" s="16" t="n"/>
      <c r="G435" s="16" t="n"/>
      <c r="H435" s="16" t="n"/>
      <c r="I435" s="16" t="n"/>
      <c r="J435" s="16" t="n"/>
      <c r="K435" s="16" t="n"/>
      <c r="L435" s="16" t="n"/>
      <c r="M435" s="16" t="n"/>
      <c r="N435" s="42" t="n"/>
      <c r="O435" s="16" t="n"/>
      <c r="P435" s="16" t="n"/>
      <c r="Q435" s="16" t="n"/>
      <c r="R435" s="16" t="n"/>
      <c r="S435" s="16" t="n"/>
      <c r="T435" s="16" t="n"/>
      <c r="U435" s="16" t="n"/>
      <c r="V435" s="16" t="n"/>
      <c r="W435" s="16" t="n"/>
      <c r="X435" s="16" t="n"/>
      <c r="Y435" s="16" t="n"/>
      <c r="Z435" s="16" t="n"/>
      <c r="AA435" s="16" t="n"/>
      <c r="AB435" s="16" t="n"/>
      <c r="AC435" s="16" t="n"/>
    </row>
    <row r="436" ht="15.75" customHeight="1" s="56">
      <c r="A436" s="44" t="n"/>
      <c r="B436" s="42" t="n"/>
      <c r="C436" s="42" t="n"/>
      <c r="D436" s="16" t="n"/>
      <c r="E436" s="16" t="n"/>
      <c r="F436" s="16" t="n"/>
      <c r="G436" s="16" t="n"/>
      <c r="H436" s="16" t="n"/>
      <c r="I436" s="16" t="n"/>
      <c r="J436" s="16" t="n"/>
      <c r="K436" s="16" t="n"/>
      <c r="L436" s="16" t="n"/>
      <c r="M436" s="16" t="n"/>
      <c r="N436" s="42" t="n"/>
      <c r="O436" s="16" t="n"/>
      <c r="P436" s="16" t="n"/>
      <c r="Q436" s="16" t="n"/>
      <c r="R436" s="16" t="n"/>
      <c r="S436" s="16" t="n"/>
      <c r="T436" s="16" t="n"/>
      <c r="U436" s="16" t="n"/>
      <c r="V436" s="16" t="n"/>
      <c r="W436" s="16" t="n"/>
      <c r="X436" s="16" t="n"/>
      <c r="Y436" s="16" t="n"/>
      <c r="Z436" s="16" t="n"/>
      <c r="AA436" s="16" t="n"/>
      <c r="AB436" s="16" t="n"/>
      <c r="AC436" s="16" t="n"/>
    </row>
    <row r="437" ht="15.75" customHeight="1" s="56">
      <c r="A437" s="44" t="n"/>
      <c r="B437" s="42" t="n"/>
      <c r="C437" s="42" t="n"/>
      <c r="D437" s="16" t="n"/>
      <c r="E437" s="16" t="n"/>
      <c r="F437" s="16" t="n"/>
      <c r="G437" s="16" t="n"/>
      <c r="H437" s="16" t="n"/>
      <c r="I437" s="16" t="n"/>
      <c r="J437" s="16" t="n"/>
      <c r="K437" s="16" t="n"/>
      <c r="L437" s="16" t="n"/>
      <c r="M437" s="16" t="n"/>
      <c r="N437" s="42" t="n"/>
      <c r="O437" s="16" t="n"/>
      <c r="P437" s="16" t="n"/>
      <c r="Q437" s="16" t="n"/>
      <c r="R437" s="16" t="n"/>
      <c r="S437" s="16" t="n"/>
      <c r="T437" s="16" t="n"/>
      <c r="U437" s="16" t="n"/>
      <c r="V437" s="16" t="n"/>
      <c r="W437" s="16" t="n"/>
      <c r="X437" s="16" t="n"/>
      <c r="Y437" s="16" t="n"/>
      <c r="Z437" s="16" t="n"/>
      <c r="AA437" s="16" t="n"/>
      <c r="AB437" s="16" t="n"/>
      <c r="AC437" s="16" t="n"/>
    </row>
    <row r="438" ht="15.75" customHeight="1" s="56">
      <c r="A438" s="44" t="n"/>
      <c r="B438" s="42" t="n"/>
      <c r="C438" s="42" t="n"/>
      <c r="D438" s="16" t="n"/>
      <c r="E438" s="16" t="n"/>
      <c r="F438" s="16" t="n"/>
      <c r="G438" s="16" t="n"/>
      <c r="H438" s="16" t="n"/>
      <c r="I438" s="16" t="n"/>
      <c r="J438" s="16" t="n"/>
      <c r="K438" s="16" t="n"/>
      <c r="L438" s="16" t="n"/>
      <c r="M438" s="16" t="n"/>
      <c r="N438" s="42" t="n"/>
      <c r="O438" s="16" t="n"/>
      <c r="P438" s="16" t="n"/>
      <c r="Q438" s="16" t="n"/>
      <c r="R438" s="16" t="n"/>
      <c r="S438" s="16" t="n"/>
      <c r="T438" s="16" t="n"/>
      <c r="U438" s="16" t="n"/>
      <c r="V438" s="16" t="n"/>
      <c r="W438" s="16" t="n"/>
      <c r="X438" s="16" t="n"/>
      <c r="Y438" s="16" t="n"/>
      <c r="Z438" s="16" t="n"/>
      <c r="AA438" s="16" t="n"/>
      <c r="AB438" s="16" t="n"/>
      <c r="AC438" s="16" t="n"/>
    </row>
    <row r="439" ht="15.75" customHeight="1" s="56">
      <c r="A439" s="44" t="n"/>
      <c r="B439" s="42" t="n"/>
      <c r="C439" s="42" t="n"/>
      <c r="D439" s="16" t="n"/>
      <c r="E439" s="16" t="n"/>
      <c r="F439" s="16" t="n"/>
      <c r="G439" s="16" t="n"/>
      <c r="H439" s="16" t="n"/>
      <c r="I439" s="16" t="n"/>
      <c r="J439" s="16" t="n"/>
      <c r="K439" s="16" t="n"/>
      <c r="L439" s="16" t="n"/>
      <c r="M439" s="16" t="n"/>
      <c r="N439" s="42" t="n"/>
      <c r="O439" s="16" t="n"/>
      <c r="P439" s="16" t="n"/>
      <c r="Q439" s="16" t="n"/>
      <c r="R439" s="16" t="n"/>
      <c r="S439" s="16" t="n"/>
      <c r="T439" s="16" t="n"/>
      <c r="U439" s="16" t="n"/>
      <c r="V439" s="16" t="n"/>
      <c r="W439" s="16" t="n"/>
      <c r="X439" s="16" t="n"/>
      <c r="Y439" s="16" t="n"/>
      <c r="Z439" s="16" t="n"/>
      <c r="AA439" s="16" t="n"/>
      <c r="AB439" s="16" t="n"/>
      <c r="AC439" s="16" t="n"/>
    </row>
    <row r="440" ht="15.75" customHeight="1" s="56">
      <c r="A440" s="44" t="n"/>
      <c r="B440" s="42" t="n"/>
      <c r="C440" s="42" t="n"/>
      <c r="D440" s="16" t="n"/>
      <c r="E440" s="16" t="n"/>
      <c r="F440" s="16" t="n"/>
      <c r="G440" s="16" t="n"/>
      <c r="H440" s="16" t="n"/>
      <c r="I440" s="16" t="n"/>
      <c r="J440" s="16" t="n"/>
      <c r="K440" s="16" t="n"/>
      <c r="L440" s="16" t="n"/>
      <c r="M440" s="16" t="n"/>
      <c r="N440" s="42" t="n"/>
      <c r="O440" s="16" t="n"/>
      <c r="P440" s="16" t="n"/>
      <c r="Q440" s="16" t="n"/>
      <c r="R440" s="16" t="n"/>
      <c r="S440" s="16" t="n"/>
      <c r="T440" s="16" t="n"/>
      <c r="U440" s="16" t="n"/>
      <c r="V440" s="16" t="n"/>
      <c r="W440" s="16" t="n"/>
      <c r="X440" s="16" t="n"/>
      <c r="Y440" s="16" t="n"/>
      <c r="Z440" s="16" t="n"/>
      <c r="AA440" s="16" t="n"/>
      <c r="AB440" s="16" t="n"/>
      <c r="AC440" s="16" t="n"/>
    </row>
    <row r="441" ht="15.75" customHeight="1" s="56">
      <c r="A441" s="44" t="n"/>
      <c r="B441" s="42" t="n"/>
      <c r="C441" s="42" t="n"/>
      <c r="D441" s="16" t="n"/>
      <c r="E441" s="16" t="n"/>
      <c r="F441" s="16" t="n"/>
      <c r="G441" s="16" t="n"/>
      <c r="H441" s="16" t="n"/>
      <c r="I441" s="16" t="n"/>
      <c r="J441" s="16" t="n"/>
      <c r="K441" s="16" t="n"/>
      <c r="L441" s="16" t="n"/>
      <c r="M441" s="16" t="n"/>
      <c r="N441" s="42" t="n"/>
      <c r="O441" s="16" t="n"/>
      <c r="P441" s="16" t="n"/>
      <c r="Q441" s="16" t="n"/>
      <c r="R441" s="16" t="n"/>
      <c r="S441" s="16" t="n"/>
      <c r="T441" s="16" t="n"/>
      <c r="U441" s="16" t="n"/>
      <c r="V441" s="16" t="n"/>
      <c r="W441" s="16" t="n"/>
      <c r="X441" s="16" t="n"/>
      <c r="Y441" s="16" t="n"/>
      <c r="Z441" s="16" t="n"/>
      <c r="AA441" s="16" t="n"/>
      <c r="AB441" s="16" t="n"/>
      <c r="AC441" s="16" t="n"/>
    </row>
    <row r="442" ht="15.75" customHeight="1" s="56">
      <c r="A442" s="44" t="n"/>
      <c r="B442" s="42" t="n"/>
      <c r="C442" s="42" t="n"/>
      <c r="D442" s="16" t="n"/>
      <c r="E442" s="16" t="n"/>
      <c r="F442" s="16" t="n"/>
      <c r="G442" s="16" t="n"/>
      <c r="H442" s="16" t="n"/>
      <c r="I442" s="16" t="n"/>
      <c r="J442" s="16" t="n"/>
      <c r="K442" s="16" t="n"/>
      <c r="L442" s="16" t="n"/>
      <c r="M442" s="16" t="n"/>
      <c r="N442" s="42" t="n"/>
      <c r="O442" s="16" t="n"/>
      <c r="P442" s="16" t="n"/>
      <c r="Q442" s="16" t="n"/>
      <c r="R442" s="16" t="n"/>
      <c r="S442" s="16" t="n"/>
      <c r="T442" s="16" t="n"/>
      <c r="U442" s="16" t="n"/>
      <c r="V442" s="16" t="n"/>
      <c r="W442" s="16" t="n"/>
      <c r="X442" s="16" t="n"/>
      <c r="Y442" s="16" t="n"/>
      <c r="Z442" s="16" t="n"/>
      <c r="AA442" s="16" t="n"/>
      <c r="AB442" s="16" t="n"/>
      <c r="AC442" s="16" t="n"/>
    </row>
    <row r="443" ht="15.75" customHeight="1" s="56">
      <c r="A443" s="44" t="n"/>
      <c r="B443" s="42" t="n"/>
      <c r="C443" s="42" t="n"/>
      <c r="D443" s="16" t="n"/>
      <c r="E443" s="16" t="n"/>
      <c r="F443" s="16" t="n"/>
      <c r="G443" s="16" t="n"/>
      <c r="H443" s="16" t="n"/>
      <c r="I443" s="16" t="n"/>
      <c r="J443" s="16" t="n"/>
      <c r="K443" s="16" t="n"/>
      <c r="L443" s="16" t="n"/>
      <c r="M443" s="16" t="n"/>
      <c r="N443" s="42" t="n"/>
      <c r="O443" s="16" t="n"/>
      <c r="P443" s="16" t="n"/>
      <c r="Q443" s="16" t="n"/>
      <c r="R443" s="16" t="n"/>
      <c r="S443" s="16" t="n"/>
      <c r="T443" s="16" t="n"/>
      <c r="U443" s="16" t="n"/>
      <c r="V443" s="16" t="n"/>
      <c r="W443" s="16" t="n"/>
      <c r="X443" s="16" t="n"/>
      <c r="Y443" s="16" t="n"/>
      <c r="Z443" s="16" t="n"/>
      <c r="AA443" s="16" t="n"/>
      <c r="AB443" s="16" t="n"/>
      <c r="AC443" s="16" t="n"/>
    </row>
    <row r="444" ht="15.75" customHeight="1" s="56">
      <c r="A444" s="44" t="n"/>
      <c r="B444" s="42" t="n"/>
      <c r="C444" s="42" t="n"/>
      <c r="D444" s="16" t="n"/>
      <c r="E444" s="16" t="n"/>
      <c r="F444" s="16" t="n"/>
      <c r="G444" s="16" t="n"/>
      <c r="H444" s="16" t="n"/>
      <c r="I444" s="16" t="n"/>
      <c r="J444" s="16" t="n"/>
      <c r="K444" s="16" t="n"/>
      <c r="L444" s="16" t="n"/>
      <c r="M444" s="16" t="n"/>
      <c r="N444" s="42" t="n"/>
      <c r="O444" s="16" t="n"/>
      <c r="P444" s="16" t="n"/>
      <c r="Q444" s="16" t="n"/>
      <c r="R444" s="16" t="n"/>
      <c r="S444" s="16" t="n"/>
      <c r="T444" s="16" t="n"/>
      <c r="U444" s="16" t="n"/>
      <c r="V444" s="16" t="n"/>
      <c r="W444" s="16" t="n"/>
      <c r="X444" s="16" t="n"/>
      <c r="Y444" s="16" t="n"/>
      <c r="Z444" s="16" t="n"/>
      <c r="AA444" s="16" t="n"/>
      <c r="AB444" s="16" t="n"/>
      <c r="AC444" s="16" t="n"/>
    </row>
    <row r="445" ht="15.75" customHeight="1" s="56">
      <c r="A445" s="44" t="n"/>
      <c r="B445" s="42" t="n"/>
      <c r="C445" s="42" t="n"/>
      <c r="D445" s="16" t="n"/>
      <c r="E445" s="16" t="n"/>
      <c r="F445" s="16" t="n"/>
      <c r="G445" s="16" t="n"/>
      <c r="H445" s="16" t="n"/>
      <c r="I445" s="16" t="n"/>
      <c r="J445" s="16" t="n"/>
      <c r="K445" s="16" t="n"/>
      <c r="L445" s="16" t="n"/>
      <c r="M445" s="16" t="n"/>
      <c r="N445" s="42" t="n"/>
      <c r="O445" s="16" t="n"/>
      <c r="P445" s="16" t="n"/>
      <c r="Q445" s="16" t="n"/>
      <c r="R445" s="16" t="n"/>
      <c r="S445" s="16" t="n"/>
      <c r="T445" s="16" t="n"/>
      <c r="U445" s="16" t="n"/>
      <c r="V445" s="16" t="n"/>
      <c r="W445" s="16" t="n"/>
      <c r="X445" s="16" t="n"/>
      <c r="Y445" s="16" t="n"/>
      <c r="Z445" s="16" t="n"/>
      <c r="AA445" s="16" t="n"/>
      <c r="AB445" s="16" t="n"/>
      <c r="AC445" s="16" t="n"/>
    </row>
    <row r="446" ht="15.75" customHeight="1" s="56">
      <c r="A446" s="44" t="n"/>
      <c r="B446" s="42" t="n"/>
      <c r="C446" s="42" t="n"/>
      <c r="D446" s="16" t="n"/>
      <c r="E446" s="16" t="n"/>
      <c r="F446" s="16" t="n"/>
      <c r="G446" s="16" t="n"/>
      <c r="H446" s="16" t="n"/>
      <c r="I446" s="16" t="n"/>
      <c r="J446" s="16" t="n"/>
      <c r="K446" s="16" t="n"/>
      <c r="L446" s="16" t="n"/>
      <c r="M446" s="16" t="n"/>
      <c r="N446" s="42" t="n"/>
      <c r="O446" s="16" t="n"/>
      <c r="P446" s="16" t="n"/>
      <c r="Q446" s="16" t="n"/>
      <c r="R446" s="16" t="n"/>
      <c r="S446" s="16" t="n"/>
      <c r="T446" s="16" t="n"/>
      <c r="U446" s="16" t="n"/>
      <c r="V446" s="16" t="n"/>
      <c r="W446" s="16" t="n"/>
      <c r="X446" s="16" t="n"/>
      <c r="Y446" s="16" t="n"/>
      <c r="Z446" s="16" t="n"/>
      <c r="AA446" s="16" t="n"/>
      <c r="AB446" s="16" t="n"/>
      <c r="AC446" s="16" t="n"/>
    </row>
    <row r="447" ht="15.75" customHeight="1" s="56">
      <c r="A447" s="44" t="n"/>
      <c r="B447" s="42" t="n"/>
      <c r="C447" s="42" t="n"/>
      <c r="D447" s="16" t="n"/>
      <c r="E447" s="16" t="n"/>
      <c r="F447" s="16" t="n"/>
      <c r="G447" s="16" t="n"/>
      <c r="H447" s="16" t="n"/>
      <c r="I447" s="16" t="n"/>
      <c r="J447" s="16" t="n"/>
      <c r="K447" s="16" t="n"/>
      <c r="L447" s="16" t="n"/>
      <c r="M447" s="16" t="n"/>
      <c r="N447" s="42" t="n"/>
      <c r="O447" s="16" t="n"/>
      <c r="P447" s="16" t="n"/>
      <c r="Q447" s="16" t="n"/>
      <c r="R447" s="16" t="n"/>
      <c r="S447" s="16" t="n"/>
      <c r="T447" s="16" t="n"/>
      <c r="U447" s="16" t="n"/>
      <c r="V447" s="16" t="n"/>
      <c r="W447" s="16" t="n"/>
      <c r="X447" s="16" t="n"/>
      <c r="Y447" s="16" t="n"/>
      <c r="Z447" s="16" t="n"/>
      <c r="AA447" s="16" t="n"/>
      <c r="AB447" s="16" t="n"/>
      <c r="AC447" s="16" t="n"/>
    </row>
  </sheetData>
  <autoFilter ref="$A$1:$W$275"/>
  <dataValidations count="3">
    <dataValidation sqref="P2:P276 V2:V276" showDropDown="0" showInputMessage="0" showErrorMessage="1" allowBlank="1" type="list">
      <formula1>"New,Reopent,InProcess,Resoved,Reject,dev done"</formula1>
    </dataValidation>
    <dataValidation sqref="C2:C275" showDropDown="0" showInputMessage="0" showErrorMessage="0" allowBlank="1" type="list">
      <formula1>"Tuần 1,Tuần 2,Tuần 3,Tuần 4"</formula1>
    </dataValidation>
    <dataValidation sqref="N2:N276 T2:T276" showDropDown="0" showInputMessage="0" showErrorMessage="1" allowBlank="1" type="list">
      <formula1>"Pass,Fail,N/R"</formula1>
    </dataValidation>
  </dataValidations>
  <hyperlinks>
    <hyperlink xmlns:r="http://schemas.openxmlformats.org/officeDocument/2006/relationships" ref="G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46" r:id="rId37"/>
    <hyperlink xmlns:r="http://schemas.openxmlformats.org/officeDocument/2006/relationships" ref="M47" r:id="rId38"/>
    <hyperlink xmlns:r="http://schemas.openxmlformats.org/officeDocument/2006/relationships" ref="M98" r:id="rId39"/>
    <hyperlink xmlns:r="http://schemas.openxmlformats.org/officeDocument/2006/relationships" ref="M99" r:id="rId40"/>
    <hyperlink xmlns:r="http://schemas.openxmlformats.org/officeDocument/2006/relationships" ref="M100" r:id="rId41"/>
    <hyperlink xmlns:r="http://schemas.openxmlformats.org/officeDocument/2006/relationships" ref="M101" r:id="rId42"/>
    <hyperlink xmlns:r="http://schemas.openxmlformats.org/officeDocument/2006/relationships" ref="M102" r:id="rId43"/>
    <hyperlink xmlns:r="http://schemas.openxmlformats.org/officeDocument/2006/relationships" ref="M103" r:id="rId44"/>
    <hyperlink xmlns:r="http://schemas.openxmlformats.org/officeDocument/2006/relationships" ref="M104" r:id="rId45"/>
    <hyperlink xmlns:r="http://schemas.openxmlformats.org/officeDocument/2006/relationships" ref="M105" r:id="rId46"/>
    <hyperlink xmlns:r="http://schemas.openxmlformats.org/officeDocument/2006/relationships" ref="M106" r:id="rId47"/>
    <hyperlink xmlns:r="http://schemas.openxmlformats.org/officeDocument/2006/relationships" ref="M107" r:id="rId48"/>
    <hyperlink xmlns:r="http://schemas.openxmlformats.org/officeDocument/2006/relationships" ref="M108" r:id="rId49"/>
    <hyperlink xmlns:r="http://schemas.openxmlformats.org/officeDocument/2006/relationships" ref="M109" r:id="rId50"/>
    <hyperlink xmlns:r="http://schemas.openxmlformats.org/officeDocument/2006/relationships" ref="M110" r:id="rId51"/>
    <hyperlink xmlns:r="http://schemas.openxmlformats.org/officeDocument/2006/relationships" ref="M111" r:id="rId52"/>
    <hyperlink xmlns:r="http://schemas.openxmlformats.org/officeDocument/2006/relationships" ref="M112" r:id="rId53"/>
    <hyperlink xmlns:r="http://schemas.openxmlformats.org/officeDocument/2006/relationships" ref="M113" r:id="rId54"/>
    <hyperlink xmlns:r="http://schemas.openxmlformats.org/officeDocument/2006/relationships" ref="M114" r:id="rId55"/>
    <hyperlink xmlns:r="http://schemas.openxmlformats.org/officeDocument/2006/relationships" ref="M115" r:id="rId56"/>
    <hyperlink xmlns:r="http://schemas.openxmlformats.org/officeDocument/2006/relationships" ref="M116" r:id="rId57"/>
    <hyperlink xmlns:r="http://schemas.openxmlformats.org/officeDocument/2006/relationships" ref="M117" r:id="rId58"/>
    <hyperlink xmlns:r="http://schemas.openxmlformats.org/officeDocument/2006/relationships" ref="M118" r:id="rId59"/>
    <hyperlink xmlns:r="http://schemas.openxmlformats.org/officeDocument/2006/relationships" ref="M119" r:id="rId60"/>
    <hyperlink xmlns:r="http://schemas.openxmlformats.org/officeDocument/2006/relationships" ref="M120" r:id="rId61"/>
    <hyperlink xmlns:r="http://schemas.openxmlformats.org/officeDocument/2006/relationships" ref="M121" r:id="rId62"/>
    <hyperlink xmlns:r="http://schemas.openxmlformats.org/officeDocument/2006/relationships" ref="M122" r:id="rId63"/>
    <hyperlink xmlns:r="http://schemas.openxmlformats.org/officeDocument/2006/relationships" ref="M123" r:id="rId64"/>
    <hyperlink xmlns:r="http://schemas.openxmlformats.org/officeDocument/2006/relationships" ref="M124" r:id="rId65"/>
    <hyperlink xmlns:r="http://schemas.openxmlformats.org/officeDocument/2006/relationships" ref="M125" r:id="rId66"/>
    <hyperlink xmlns:r="http://schemas.openxmlformats.org/officeDocument/2006/relationships" ref="M126" r:id="rId67"/>
    <hyperlink xmlns:r="http://schemas.openxmlformats.org/officeDocument/2006/relationships" ref="M127" r:id="rId68"/>
    <hyperlink xmlns:r="http://schemas.openxmlformats.org/officeDocument/2006/relationships" ref="M128" r:id="rId69"/>
    <hyperlink xmlns:r="http://schemas.openxmlformats.org/officeDocument/2006/relationships" ref="M129" r:id="rId70"/>
    <hyperlink xmlns:r="http://schemas.openxmlformats.org/officeDocument/2006/relationships" ref="M131" r:id="rId71"/>
    <hyperlink xmlns:r="http://schemas.openxmlformats.org/officeDocument/2006/relationships" ref="M132" r:id="rId72"/>
    <hyperlink xmlns:r="http://schemas.openxmlformats.org/officeDocument/2006/relationships" ref="M133" r:id="rId73"/>
    <hyperlink xmlns:r="http://schemas.openxmlformats.org/officeDocument/2006/relationships" ref="M134" r:id="rId74"/>
    <hyperlink xmlns:r="http://schemas.openxmlformats.org/officeDocument/2006/relationships" ref="M135" r:id="rId75"/>
    <hyperlink xmlns:r="http://schemas.openxmlformats.org/officeDocument/2006/relationships" ref="M136" r:id="rId76"/>
    <hyperlink xmlns:r="http://schemas.openxmlformats.org/officeDocument/2006/relationships" ref="M138" r:id="rId77"/>
    <hyperlink xmlns:r="http://schemas.openxmlformats.org/officeDocument/2006/relationships" ref="M139" r:id="rId78"/>
    <hyperlink xmlns:r="http://schemas.openxmlformats.org/officeDocument/2006/relationships" ref="M140" r:id="rId79"/>
    <hyperlink xmlns:r="http://schemas.openxmlformats.org/officeDocument/2006/relationships" ref="M141" r:id="rId80"/>
    <hyperlink xmlns:r="http://schemas.openxmlformats.org/officeDocument/2006/relationships" ref="M142" r:id="rId81"/>
    <hyperlink xmlns:r="http://schemas.openxmlformats.org/officeDocument/2006/relationships" ref="M143" r:id="rId82"/>
    <hyperlink xmlns:r="http://schemas.openxmlformats.org/officeDocument/2006/relationships" ref="M144" r:id="rId83"/>
    <hyperlink xmlns:r="http://schemas.openxmlformats.org/officeDocument/2006/relationships" ref="M145" r:id="rId84"/>
    <hyperlink xmlns:r="http://schemas.openxmlformats.org/officeDocument/2006/relationships" ref="M146" r:id="rId85"/>
    <hyperlink xmlns:r="http://schemas.openxmlformats.org/officeDocument/2006/relationships" ref="M148" r:id="rId86"/>
    <hyperlink xmlns:r="http://schemas.openxmlformats.org/officeDocument/2006/relationships" ref="M149" r:id="rId87"/>
    <hyperlink xmlns:r="http://schemas.openxmlformats.org/officeDocument/2006/relationships" ref="M150" r:id="rId88"/>
    <hyperlink xmlns:r="http://schemas.openxmlformats.org/officeDocument/2006/relationships" ref="M151" r:id="rId89"/>
    <hyperlink xmlns:r="http://schemas.openxmlformats.org/officeDocument/2006/relationships" ref="M152" r:id="rId90"/>
    <hyperlink xmlns:r="http://schemas.openxmlformats.org/officeDocument/2006/relationships" ref="M153" r:id="rId91"/>
    <hyperlink xmlns:r="http://schemas.openxmlformats.org/officeDocument/2006/relationships" ref="M154" r:id="rId92"/>
    <hyperlink xmlns:r="http://schemas.openxmlformats.org/officeDocument/2006/relationships" ref="M155" r:id="rId93"/>
    <hyperlink xmlns:r="http://schemas.openxmlformats.org/officeDocument/2006/relationships" ref="M156" r:id="rId94"/>
    <hyperlink xmlns:r="http://schemas.openxmlformats.org/officeDocument/2006/relationships" ref="M157" r:id="rId95"/>
    <hyperlink xmlns:r="http://schemas.openxmlformats.org/officeDocument/2006/relationships" ref="M158" r:id="rId96"/>
    <hyperlink xmlns:r="http://schemas.openxmlformats.org/officeDocument/2006/relationships" ref="M159" r:id="rId97"/>
    <hyperlink xmlns:r="http://schemas.openxmlformats.org/officeDocument/2006/relationships" ref="M161" r:id="rId98"/>
    <hyperlink xmlns:r="http://schemas.openxmlformats.org/officeDocument/2006/relationships" ref="M162" r:id="rId99"/>
    <hyperlink xmlns:r="http://schemas.openxmlformats.org/officeDocument/2006/relationships" ref="M163" r:id="rId100"/>
    <hyperlink xmlns:r="http://schemas.openxmlformats.org/officeDocument/2006/relationships" ref="M164" r:id="rId101"/>
    <hyperlink xmlns:r="http://schemas.openxmlformats.org/officeDocument/2006/relationships" ref="M165" r:id="rId102"/>
    <hyperlink xmlns:r="http://schemas.openxmlformats.org/officeDocument/2006/relationships" ref="M166" r:id="rId103"/>
    <hyperlink xmlns:r="http://schemas.openxmlformats.org/officeDocument/2006/relationships" ref="M167" r:id="rId104"/>
    <hyperlink xmlns:r="http://schemas.openxmlformats.org/officeDocument/2006/relationships" ref="M168" r:id="rId105"/>
    <hyperlink xmlns:r="http://schemas.openxmlformats.org/officeDocument/2006/relationships" ref="M170" r:id="rId106"/>
    <hyperlink xmlns:r="http://schemas.openxmlformats.org/officeDocument/2006/relationships" ref="M171" r:id="rId107"/>
    <hyperlink xmlns:r="http://schemas.openxmlformats.org/officeDocument/2006/relationships" ref="M172" r:id="rId108"/>
    <hyperlink xmlns:r="http://schemas.openxmlformats.org/officeDocument/2006/relationships" ref="M173" r:id="rId109"/>
    <hyperlink xmlns:r="http://schemas.openxmlformats.org/officeDocument/2006/relationships" ref="M174" r:id="rId110"/>
    <hyperlink xmlns:r="http://schemas.openxmlformats.org/officeDocument/2006/relationships" ref="M175" r:id="rId111"/>
    <hyperlink xmlns:r="http://schemas.openxmlformats.org/officeDocument/2006/relationships" ref="M176" r:id="rId112"/>
    <hyperlink xmlns:r="http://schemas.openxmlformats.org/officeDocument/2006/relationships" ref="M177" r:id="rId113"/>
    <hyperlink xmlns:r="http://schemas.openxmlformats.org/officeDocument/2006/relationships" ref="M178" r:id="rId114"/>
    <hyperlink xmlns:r="http://schemas.openxmlformats.org/officeDocument/2006/relationships" ref="M179" r:id="rId115"/>
    <hyperlink xmlns:r="http://schemas.openxmlformats.org/officeDocument/2006/relationships" ref="M180" r:id="rId116"/>
    <hyperlink xmlns:r="http://schemas.openxmlformats.org/officeDocument/2006/relationships" ref="M181" r:id="rId117"/>
    <hyperlink xmlns:r="http://schemas.openxmlformats.org/officeDocument/2006/relationships" ref="M183" r:id="rId118"/>
    <hyperlink xmlns:r="http://schemas.openxmlformats.org/officeDocument/2006/relationships" ref="M184" r:id="rId119"/>
    <hyperlink xmlns:r="http://schemas.openxmlformats.org/officeDocument/2006/relationships" ref="M185" r:id="rId120"/>
    <hyperlink xmlns:r="http://schemas.openxmlformats.org/officeDocument/2006/relationships" ref="M186" r:id="rId121"/>
    <hyperlink xmlns:r="http://schemas.openxmlformats.org/officeDocument/2006/relationships" ref="M187" r:id="rId122"/>
    <hyperlink xmlns:r="http://schemas.openxmlformats.org/officeDocument/2006/relationships" ref="M188" r:id="rId123"/>
    <hyperlink xmlns:r="http://schemas.openxmlformats.org/officeDocument/2006/relationships" ref="M189" r:id="rId124"/>
    <hyperlink xmlns:r="http://schemas.openxmlformats.org/officeDocument/2006/relationships" ref="M190" r:id="rId125"/>
    <hyperlink xmlns:r="http://schemas.openxmlformats.org/officeDocument/2006/relationships" ref="M191" r:id="rId126"/>
    <hyperlink xmlns:r="http://schemas.openxmlformats.org/officeDocument/2006/relationships" ref="M192" r:id="rId127"/>
    <hyperlink xmlns:r="http://schemas.openxmlformats.org/officeDocument/2006/relationships" ref="M193" r:id="rId128"/>
    <hyperlink xmlns:r="http://schemas.openxmlformats.org/officeDocument/2006/relationships" ref="M196" r:id="rId129"/>
    <hyperlink xmlns:r="http://schemas.openxmlformats.org/officeDocument/2006/relationships" ref="M197" r:id="rId130"/>
    <hyperlink xmlns:r="http://schemas.openxmlformats.org/officeDocument/2006/relationships" ref="M198" r:id="rId131"/>
    <hyperlink xmlns:r="http://schemas.openxmlformats.org/officeDocument/2006/relationships" ref="M199" r:id="rId132"/>
    <hyperlink xmlns:r="http://schemas.openxmlformats.org/officeDocument/2006/relationships" ref="M200" r:id="rId133"/>
    <hyperlink xmlns:r="http://schemas.openxmlformats.org/officeDocument/2006/relationships" ref="M201" r:id="rId134"/>
    <hyperlink xmlns:r="http://schemas.openxmlformats.org/officeDocument/2006/relationships" ref="M202" r:id="rId135"/>
    <hyperlink xmlns:r="http://schemas.openxmlformats.org/officeDocument/2006/relationships" ref="M203" r:id="rId136"/>
    <hyperlink xmlns:r="http://schemas.openxmlformats.org/officeDocument/2006/relationships" ref="M204" r:id="rId137"/>
    <hyperlink xmlns:r="http://schemas.openxmlformats.org/officeDocument/2006/relationships" ref="M205" r:id="rId138"/>
    <hyperlink xmlns:r="http://schemas.openxmlformats.org/officeDocument/2006/relationships" ref="M207" r:id="rId139"/>
    <hyperlink xmlns:r="http://schemas.openxmlformats.org/officeDocument/2006/relationships" ref="M208" r:id="rId140"/>
    <hyperlink xmlns:r="http://schemas.openxmlformats.org/officeDocument/2006/relationships" ref="M209" r:id="rId141"/>
    <hyperlink xmlns:r="http://schemas.openxmlformats.org/officeDocument/2006/relationships" ref="M210" r:id="rId142"/>
    <hyperlink xmlns:r="http://schemas.openxmlformats.org/officeDocument/2006/relationships" ref="M211" r:id="rId143"/>
    <hyperlink xmlns:r="http://schemas.openxmlformats.org/officeDocument/2006/relationships" ref="M212" r:id="rId144"/>
    <hyperlink xmlns:r="http://schemas.openxmlformats.org/officeDocument/2006/relationships" ref="M213" r:id="rId145"/>
    <hyperlink xmlns:r="http://schemas.openxmlformats.org/officeDocument/2006/relationships" ref="M214" r:id="rId146"/>
    <hyperlink xmlns:r="http://schemas.openxmlformats.org/officeDocument/2006/relationships" ref="M215" r:id="rId147"/>
    <hyperlink xmlns:r="http://schemas.openxmlformats.org/officeDocument/2006/relationships" ref="M216" r:id="rId148"/>
    <hyperlink xmlns:r="http://schemas.openxmlformats.org/officeDocument/2006/relationships" ref="M217" r:id="rId149"/>
    <hyperlink xmlns:r="http://schemas.openxmlformats.org/officeDocument/2006/relationships" ref="M218" r:id="rId150"/>
    <hyperlink xmlns:r="http://schemas.openxmlformats.org/officeDocument/2006/relationships" ref="M221" r:id="rId151"/>
    <hyperlink xmlns:r="http://schemas.openxmlformats.org/officeDocument/2006/relationships" ref="M222" r:id="rId152"/>
    <hyperlink xmlns:r="http://schemas.openxmlformats.org/officeDocument/2006/relationships" ref="M223" r:id="rId153"/>
    <hyperlink xmlns:r="http://schemas.openxmlformats.org/officeDocument/2006/relationships" ref="M224" r:id="rId154"/>
    <hyperlink xmlns:r="http://schemas.openxmlformats.org/officeDocument/2006/relationships" ref="M225" r:id="rId155"/>
    <hyperlink xmlns:r="http://schemas.openxmlformats.org/officeDocument/2006/relationships" ref="M226" r:id="rId156"/>
    <hyperlink xmlns:r="http://schemas.openxmlformats.org/officeDocument/2006/relationships" ref="M227" r:id="rId157"/>
    <hyperlink xmlns:r="http://schemas.openxmlformats.org/officeDocument/2006/relationships" ref="M228" r:id="rId158"/>
    <hyperlink xmlns:r="http://schemas.openxmlformats.org/officeDocument/2006/relationships" ref="M229" r:id="rId159"/>
    <hyperlink xmlns:r="http://schemas.openxmlformats.org/officeDocument/2006/relationships" ref="M230" r:id="rId160"/>
    <hyperlink xmlns:r="http://schemas.openxmlformats.org/officeDocument/2006/relationships" ref="M231" r:id="rId161"/>
    <hyperlink xmlns:r="http://schemas.openxmlformats.org/officeDocument/2006/relationships" ref="M232" r:id="rId162"/>
    <hyperlink xmlns:r="http://schemas.openxmlformats.org/officeDocument/2006/relationships" ref="M233" r:id="rId163"/>
    <hyperlink xmlns:r="http://schemas.openxmlformats.org/officeDocument/2006/relationships" ref="M234" r:id="rId164"/>
    <hyperlink xmlns:r="http://schemas.openxmlformats.org/officeDocument/2006/relationships" ref="M235" r:id="rId165"/>
    <hyperlink xmlns:r="http://schemas.openxmlformats.org/officeDocument/2006/relationships" ref="M238" r:id="rId166"/>
    <hyperlink xmlns:r="http://schemas.openxmlformats.org/officeDocument/2006/relationships" ref="M239" r:id="rId167"/>
    <hyperlink xmlns:r="http://schemas.openxmlformats.org/officeDocument/2006/relationships" ref="M240" r:id="rId168"/>
    <hyperlink xmlns:r="http://schemas.openxmlformats.org/officeDocument/2006/relationships" ref="M241" r:id="rId169"/>
    <hyperlink xmlns:r="http://schemas.openxmlformats.org/officeDocument/2006/relationships" ref="M242" r:id="rId170"/>
    <hyperlink xmlns:r="http://schemas.openxmlformats.org/officeDocument/2006/relationships" ref="M243" r:id="rId171"/>
    <hyperlink xmlns:r="http://schemas.openxmlformats.org/officeDocument/2006/relationships" ref="M245" r:id="rId172"/>
    <hyperlink xmlns:r="http://schemas.openxmlformats.org/officeDocument/2006/relationships" ref="M246" r:id="rId173"/>
    <hyperlink xmlns:r="http://schemas.openxmlformats.org/officeDocument/2006/relationships" ref="M247" r:id="rId174"/>
    <hyperlink xmlns:r="http://schemas.openxmlformats.org/officeDocument/2006/relationships" ref="M248" r:id="rId175"/>
    <hyperlink xmlns:r="http://schemas.openxmlformats.org/officeDocument/2006/relationships" ref="M249" r:id="rId176"/>
    <hyperlink xmlns:r="http://schemas.openxmlformats.org/officeDocument/2006/relationships" ref="M250" r:id="rId177"/>
    <hyperlink xmlns:r="http://schemas.openxmlformats.org/officeDocument/2006/relationships" ref="M251" r:id="rId178"/>
    <hyperlink xmlns:r="http://schemas.openxmlformats.org/officeDocument/2006/relationships" ref="M252" r:id="rId179"/>
    <hyperlink xmlns:r="http://schemas.openxmlformats.org/officeDocument/2006/relationships" ref="M253" r:id="rId180"/>
    <hyperlink xmlns:r="http://schemas.openxmlformats.org/officeDocument/2006/relationships" ref="M254" r:id="rId181"/>
    <hyperlink xmlns:r="http://schemas.openxmlformats.org/officeDocument/2006/relationships" ref="M255" r:id="rId182"/>
    <hyperlink xmlns:r="http://schemas.openxmlformats.org/officeDocument/2006/relationships" ref="M256" r:id="rId183"/>
    <hyperlink xmlns:r="http://schemas.openxmlformats.org/officeDocument/2006/relationships" ref="M257" r:id="rId184"/>
    <hyperlink xmlns:r="http://schemas.openxmlformats.org/officeDocument/2006/relationships" ref="M258" r:id="rId185"/>
    <hyperlink xmlns:r="http://schemas.openxmlformats.org/officeDocument/2006/relationships" ref="M259" r:id="rId186"/>
    <hyperlink xmlns:r="http://schemas.openxmlformats.org/officeDocument/2006/relationships" ref="M260" r:id="rId187"/>
    <hyperlink xmlns:r="http://schemas.openxmlformats.org/officeDocument/2006/relationships" ref="M261" r:id="rId188"/>
    <hyperlink xmlns:r="http://schemas.openxmlformats.org/officeDocument/2006/relationships" ref="M262" r:id="rId189"/>
    <hyperlink xmlns:r="http://schemas.openxmlformats.org/officeDocument/2006/relationships" ref="M263" r:id="rId190"/>
    <hyperlink xmlns:r="http://schemas.openxmlformats.org/officeDocument/2006/relationships" ref="M264" r:id="rId191"/>
    <hyperlink xmlns:r="http://schemas.openxmlformats.org/officeDocument/2006/relationships" ref="M265" r:id="rId192"/>
    <hyperlink xmlns:r="http://schemas.openxmlformats.org/officeDocument/2006/relationships" ref="M267" r:id="rId193"/>
    <hyperlink xmlns:r="http://schemas.openxmlformats.org/officeDocument/2006/relationships" ref="M268" r:id="rId194"/>
    <hyperlink xmlns:r="http://schemas.openxmlformats.org/officeDocument/2006/relationships" ref="M269" r:id="rId195"/>
    <hyperlink xmlns:r="http://schemas.openxmlformats.org/officeDocument/2006/relationships" ref="M270" r:id="rId196"/>
    <hyperlink xmlns:r="http://schemas.openxmlformats.org/officeDocument/2006/relationships" ref="M273" r:id="rId197"/>
    <hyperlink xmlns:r="http://schemas.openxmlformats.org/officeDocument/2006/relationships" ref="M275" r:id="rId198"/>
  </hyperlinks>
  <pageMargins left="0.75" right="0.75" top="1" bottom="1" header="0.5" footer="0.5"/>
  <tableParts count="1">
    <tablePart xmlns:r="http://schemas.openxmlformats.org/officeDocument/2006/relationships" r:id="rId199"/>
  </tableParts>
</worksheet>
</file>

<file path=xl/worksheets/sheet2.xml><?xml version="1.0" encoding="utf-8"?>
<worksheet xmlns="http://schemas.openxmlformats.org/spreadsheetml/2006/main">
  <sheetPr>
    <outlinePr summaryBelow="0" summaryRight="0"/>
    <pageSetUpPr/>
  </sheetPr>
  <dimension ref="A1:N3"/>
  <sheetViews>
    <sheetView workbookViewId="0">
      <selection activeCell="A1" sqref="A1"/>
    </sheetView>
  </sheetViews>
  <sheetFormatPr baseColWidth="8" defaultColWidth="12.63" defaultRowHeight="15" customHeight="1"/>
  <cols>
    <col width="17.13" customWidth="1" style="56" min="1" max="1"/>
    <col width="12.63" customWidth="1" style="56" min="2" max="6"/>
    <col width="2" customWidth="1" style="56" min="8" max="8"/>
  </cols>
  <sheetData>
    <row r="1" ht="15.75" customHeight="1" s="56">
      <c r="A1" s="55" t="n"/>
      <c r="B1" s="57" t="n"/>
      <c r="C1" s="50" t="inlineStr">
        <is>
          <t>Tuần 1</t>
        </is>
      </c>
      <c r="D1" s="58" t="n"/>
      <c r="E1" s="58" t="n"/>
      <c r="F1" s="58" t="n"/>
      <c r="G1" s="57" t="n"/>
      <c r="H1" s="49" t="n"/>
      <c r="I1" s="50" t="inlineStr">
        <is>
          <t>Tuần 2</t>
        </is>
      </c>
      <c r="J1" s="58" t="n"/>
      <c r="K1" s="58" t="n"/>
      <c r="L1" s="58" t="n"/>
      <c r="M1" s="58" t="n"/>
      <c r="N1" s="57" t="n"/>
    </row>
    <row r="2" ht="15.75" customHeight="1" s="56">
      <c r="A2" s="50" t="inlineStr">
        <is>
          <t>Tên PM</t>
        </is>
      </c>
      <c r="B2" s="50" t="inlineStr">
        <is>
          <t>Tổng</t>
        </is>
      </c>
      <c r="C2" s="51" t="n">
        <v>46171</v>
      </c>
      <c r="D2" s="51" t="n">
        <v>46203</v>
      </c>
      <c r="E2" s="51" t="n">
        <v>46204</v>
      </c>
      <c r="F2" s="51" t="n">
        <v>46205</v>
      </c>
      <c r="G2" s="51" t="n">
        <v>46206</v>
      </c>
      <c r="H2" s="52" t="n"/>
      <c r="I2" s="51" t="n">
        <v>46209</v>
      </c>
      <c r="J2" s="51" t="n">
        <v>46210</v>
      </c>
      <c r="K2" s="51" t="n">
        <v>46211</v>
      </c>
      <c r="L2" s="51" t="n">
        <v>46212</v>
      </c>
      <c r="M2" s="51" t="n">
        <v>46213</v>
      </c>
      <c r="N2" s="51" t="n">
        <v>46214</v>
      </c>
    </row>
    <row r="3" ht="15.75" customHeight="1" s="56">
      <c r="A3" s="53" t="inlineStr">
        <is>
          <t>TGPL DN</t>
        </is>
      </c>
      <c r="B3" s="54" t="n"/>
      <c r="C3" s="54" t="n"/>
      <c r="D3" s="54" t="n"/>
      <c r="E3" s="54" t="n"/>
      <c r="F3" s="54" t="n"/>
      <c r="G3" s="54" t="n"/>
      <c r="H3" s="55" t="n"/>
      <c r="I3" s="55" t="n"/>
      <c r="J3" s="55" t="n"/>
      <c r="K3" s="55" t="n"/>
      <c r="L3" s="55" t="n"/>
      <c r="M3" s="55" t="n"/>
      <c r="N3" s="55" t="n"/>
    </row>
    <row r="4" ht="15.75" customHeight="1" s="56"/>
    <row r="5" ht="15.75" customHeight="1" s="56"/>
    <row r="6" ht="15.75" customHeight="1" s="56"/>
    <row r="7" ht="15.75" customHeight="1" s="56"/>
    <row r="8" ht="15.75" customHeight="1" s="56"/>
    <row r="9" ht="15.75" customHeight="1" s="56"/>
    <row r="10" ht="15.75" customHeight="1" s="56"/>
    <row r="11" ht="15.75" customHeight="1" s="56"/>
    <row r="12" ht="15.75" customHeight="1" s="56"/>
    <row r="13" ht="15.75" customHeight="1" s="56"/>
    <row r="14" ht="15.75" customHeight="1" s="56"/>
    <row r="15" ht="15.75" customHeight="1" s="56"/>
    <row r="16" ht="15.75" customHeight="1" s="56"/>
    <row r="17" ht="15.75" customHeight="1" s="56"/>
    <row r="18" ht="15.75" customHeight="1" s="56"/>
    <row r="19" ht="15.75" customHeight="1" s="56"/>
    <row r="20" ht="15.75" customHeight="1" s="56"/>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3">
    <mergeCell ref="I1:N1"/>
    <mergeCell ref="C1:G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2026-07-07T08:48:32Z</dcterms:created>
  <dcterms:modified xsi:type="dcterms:W3CDTF">2026-07-08T09:32:49Z</dcterms:modified>
</cp:coreProperties>
</file>