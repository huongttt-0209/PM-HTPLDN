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_TGPL Doanh Nghiệp-tuần 1" sheetId="1" r:id="rId5"/>
    <sheet state="visible" name="UAT_TGPL Doanh Nghiệp-tuần 2" sheetId="2" r:id="rId6"/>
    <sheet state="visible" name="Tổng hợp tiến độ" sheetId="3" r:id="rId7"/>
  </sheets>
  <definedNames>
    <definedName name="A1P2P20000">#REF!</definedName>
    <definedName hidden="1" localSheetId="0" name="_xlnm._FilterDatabase">'UAT_TGPL Doanh Nghiệp-tuần 1'!$A$1:$X$275</definedName>
    <definedName hidden="1" localSheetId="1" name="_xlnm._FilterDatabase">'UAT_TGPL Doanh Nghiệp-tuần 2'!$N$1:$N$111</definedName>
    <definedName hidden="1" localSheetId="0" name="Z_29A43B39_9DC5_49BD_A6E8_6B79FBAA3080_.wvu.FilterData">'UAT_TGPL Doanh Nghiệp-tuần 1'!$A$1:$X$275</definedName>
    <definedName hidden="1" localSheetId="0" name="Z_FF5EA53E_E769_44DF_A820_DCF312DD565F_.wvu.FilterData">'UAT_TGPL Doanh Nghiệp-tuần 1'!$A$1:$X$275</definedName>
  </definedNames>
  <calcPr/>
  <customWorkbookViews>
    <customWorkbookView activeSheetId="0" maximized="1" windowHeight="0" windowWidth="0" guid="{29A43B39-9DC5-49BD-A6E8-6B79FBAA3080}" name="Dopai_Linh"/>
    <customWorkbookView activeSheetId="0" maximized="1" windowHeight="0" windowWidth="0" guid="{FF5EA53E-E769-44DF-A820-DCF312DD565F}" name="Bộ lọc 1"/>
  </customWorkbookViews>
</workbook>
</file>

<file path=xl/sharedStrings.xml><?xml version="1.0" encoding="utf-8"?>
<sst xmlns="http://schemas.openxmlformats.org/spreadsheetml/2006/main" count="3229" uniqueCount="1703">
  <si>
    <t>Tên</t>
  </si>
  <si>
    <t>STT</t>
  </si>
  <si>
    <t>Tuần</t>
  </si>
  <si>
    <t>Mã TC</t>
  </si>
  <si>
    <t>Tên chức năng</t>
  </si>
  <si>
    <t>Tác nhân
"cbnv_tw        Test@1234
cbnv_bn        Test@1234
cbnv_dp Test@1234
cbpd_tw Test@1234
cbpd_bn Test@1234
cbpd_dp Test@1234"</t>
  </si>
  <si>
    <t>Mô tả</t>
  </si>
  <si>
    <t>Điều kiện</t>
  </si>
  <si>
    <t>Dữ liệu đầu vào</t>
  </si>
  <si>
    <t>Các bước thực hiện</t>
  </si>
  <si>
    <t>Kết quả mong đợi</t>
  </si>
  <si>
    <t>Kết quả thực tế</t>
  </si>
  <si>
    <t>Ảnh/vieo 1</t>
  </si>
  <si>
    <t>Trạng thái 1</t>
  </si>
  <si>
    <t>TKM phản hồi lần 1</t>
  </si>
  <si>
    <t>Trạng thái dev fix 1</t>
  </si>
  <si>
    <t>Verify</t>
  </si>
  <si>
    <t>DEV phản hồi lần 1</t>
  </si>
  <si>
    <t>Kết quả thực tế lần 2</t>
  </si>
  <si>
    <t>Ảnh/video 2</t>
  </si>
  <si>
    <t>Trạng thái 2</t>
  </si>
  <si>
    <t>TKM phản hồi lần 2</t>
  </si>
  <si>
    <t>Trạng thái dev fix 2</t>
  </si>
  <si>
    <t>DEV phản hồi lần 2</t>
  </si>
  <si>
    <t>I</t>
  </si>
  <si>
    <t>Dashboard</t>
  </si>
  <si>
    <t>cbnv_tw        Test@1234
cbnv_bn        Test@1234
cbnv_dp Test@1234
cbpd_tw Test@1234
cbpd_bn Test@1234
cbpd_dp Test@1234</t>
  </si>
  <si>
    <t>https://htpldn-uat.ospgroup.vn/login</t>
  </si>
  <si>
    <t>Tuần 1</t>
  </si>
  <si>
    <t>DB_01</t>
  </si>
  <si>
    <t>Cán bộ nghiệp vụ TW,BN,ĐP/Cán bộ phê duyệt TW,BN,ĐP</t>
  </si>
  <si>
    <t>Mở Dashboard thành công</t>
  </si>
  <si>
    <t>Đăng nhập hợp lệ</t>
  </si>
  <si>
    <t>Không có</t>
  </si>
  <si>
    <t>1. Đăng nhập
 2. Mở Tổng quan hệ thống</t>
  </si>
  <si>
    <t>Hiển thị Dashboard, loading các widget</t>
  </si>
  <si>
    <t>DB_01.png</t>
  </si>
  <si>
    <t>Pass</t>
  </si>
  <si>
    <t>DB_02</t>
  </si>
  <si>
    <t>Kiểm tra giá trị mặc định</t>
  </si>
  <si>
    <t>Có quyền xem</t>
  </si>
  <si>
    <t>Mở Dashboard</t>
  </si>
  <si>
    <t>Năm hiện tại, phạm vi đúng quyền, đơn vị đúng theo vai trò</t>
  </si>
  <si>
    <t>DB_03</t>
  </si>
  <si>
    <t>Người dùng TW xem toàn quốc</t>
  </si>
  <si>
    <t>TK Trung ương</t>
  </si>
  <si>
    <t>Xem được dữ liệu toàn quốc</t>
  </si>
  <si>
    <t>DB_04</t>
  </si>
  <si>
    <t>Người dùng Bộ chỉ xem đơn vị mình</t>
  </si>
  <si>
    <t>TK Bộ</t>
  </si>
  <si>
    <t>Không xem dữ liệu đơn vị khác</t>
  </si>
  <si>
    <t>DB_04.png</t>
  </si>
  <si>
    <t>DB_05</t>
  </si>
  <si>
    <t>Người dùng ĐP chỉ xem địa phương</t>
  </si>
  <si>
    <t>TK ĐP</t>
  </si>
  <si>
    <t>Không đổi được đơn vị</t>
  </si>
  <si>
    <t>DB_05.png</t>
  </si>
  <si>
    <t>DB_06</t>
  </si>
  <si>
    <t>Lọc theo năm</t>
  </si>
  <si>
    <t>Có dữ liệu</t>
  </si>
  <si>
    <t>Chọn năm-&gt;Áp dụng</t>
  </si>
  <si>
    <t>Các chỉ số cập nhật đúng</t>
  </si>
  <si>
    <t>Chức năng lọc thông tin theo năm không chính xác</t>
  </si>
  <si>
    <t>DB_06.mp4</t>
  </si>
  <si>
    <t>Fail</t>
  </si>
  <si>
    <t>dev done</t>
  </si>
  <si>
    <t>DB_07</t>
  </si>
  <si>
    <t>Lọc theo tháng</t>
  </si>
  <si>
    <t>Chọn tháng-&gt;Áp dụng</t>
  </si>
  <si>
    <t>Dữ liệu đúng kỳ</t>
  </si>
  <si>
    <t>Chức năng lọc theo tháng không hoạt động  chính xác</t>
  </si>
  <si>
    <t>DB_07.mp4</t>
  </si>
  <si>
    <t>DB_08</t>
  </si>
  <si>
    <t>Đổi cấp đơn vị</t>
  </si>
  <si>
    <t>TK TW</t>
  </si>
  <si>
    <t>Chọn cấp đơn vị</t>
  </si>
  <si>
    <t>Danh sách đơn vị thay đổi</t>
  </si>
  <si>
    <t>Chức năng đổi cấp đơn vị không hoạt động</t>
  </si>
  <si>
    <t>DB_08.mp4</t>
  </si>
  <si>
    <t>DB_09</t>
  </si>
  <si>
    <t>Xóa bộ lọc</t>
  </si>
  <si>
    <t>Đã lọc</t>
  </si>
  <si>
    <t>Bấm Xóa bộ lọc</t>
  </si>
  <si>
    <t>Trở về mặc định</t>
  </si>
  <si>
    <t>DB_09.png</t>
  </si>
  <si>
    <t>DB_10</t>
  </si>
  <si>
    <t>Làm mới</t>
  </si>
  <si>
    <t>Bấm Làm mới</t>
  </si>
  <si>
    <t>Dữ liệu cập nhật</t>
  </si>
  <si>
    <t>DB_10.png</t>
  </si>
  <si>
    <t>DB_11</t>
  </si>
  <si>
    <t>Hiển thị mũi tên tăng</t>
  </si>
  <si>
    <t>Màu xanh khi tăng</t>
  </si>
  <si>
    <t>DB_11.png</t>
  </si>
  <si>
    <t>DB_12</t>
  </si>
  <si>
    <t>Hiển thị mũi tên giảm</t>
  </si>
  <si>
    <t>Màu đỏ khi giảm</t>
  </si>
  <si>
    <t>DB_13</t>
  </si>
  <si>
    <t>Không có dữ liệu kỳ trước</t>
  </si>
  <si>
    <t>Hiển thị '-'</t>
  </si>
  <si>
    <t>THHDVM_01</t>
  </si>
  <si>
    <t>Tổng hợp hỏi đáp, vướng mắc được gửi về</t>
  </si>
  <si>
    <t>Cung cấp chức năng tổng hợp số liệu và hiển thị chỉ số chính về số lượng yêu cầu hỏi đáp/vướng mắc mới đã tiếp nhận.</t>
  </si>
  <si>
    <t>Số liệu đúng DB</t>
  </si>
  <si>
    <t>THHDVM_01.png</t>
  </si>
  <si>
    <t>THHDVM_02</t>
  </si>
  <si>
    <t>Kiểm tra Hỏi đáp mới</t>
  </si>
  <si>
    <t>THHDVM_03</t>
  </si>
  <si>
    <t>Click Hỏi đáp</t>
  </si>
  <si>
    <t>Click thẻ hỏi đáp mới</t>
  </si>
  <si>
    <t>Mở DS hỏi đáp mới</t>
  </si>
  <si>
    <t>THHDVM_03.png</t>
  </si>
  <si>
    <t>THHDVM_04</t>
  </si>
  <si>
    <t>Khoảng thời gian không có dữ liệu</t>
  </si>
  <si>
    <t>Lọc</t>
  </si>
  <si>
    <t>Hiển thị 0/Không có dữ liệu, không lỗi</t>
  </si>
  <si>
    <t>THHDVM_04.png</t>
  </si>
  <si>
    <t>VVDTN_01</t>
  </si>
  <si>
    <t>Tổng hợp các vụ việc đã tiếp nhận</t>
  </si>
  <si>
    <t>Cung cấp chỉ số tổng số vụ việc đã được ghi nhận vào hệ thống (bao gồm cả đang chờ xử lý).</t>
  </si>
  <si>
    <t>VVDTN_01.png</t>
  </si>
  <si>
    <t>VVDTN_02</t>
  </si>
  <si>
    <t>Click Vụ việc tiếp nhận</t>
  </si>
  <si>
    <t>Click thẻ Vụ việc tiếp nhận</t>
  </si>
  <si>
    <t>Mở DS Vụ việc tiếp nhận</t>
  </si>
  <si>
    <t>VVDTN_02.png</t>
  </si>
  <si>
    <t>VVDTN_03</t>
  </si>
  <si>
    <t>VVDTN_03.png</t>
  </si>
  <si>
    <t>VVDHT_01</t>
  </si>
  <si>
    <t>Tổng hợp các vụ việc đang hỗ trợ</t>
  </si>
  <si>
    <t>Cung cấp chỉ số về số lượng vụ việc đang trong quá trình phân công hoặc đang được chuyên gia thực hiện hỗ trợ.</t>
  </si>
  <si>
    <t>VVDHT_01.png</t>
  </si>
  <si>
    <t>VVDHT_03</t>
  </si>
  <si>
    <t>Click Vụ việc đang xử lý</t>
  </si>
  <si>
    <t xml:space="preserve">Click thẻ vụ việc đang xử lý </t>
  </si>
  <si>
    <t>Mở DS Vụ việc đang xử lý</t>
  </si>
  <si>
    <t>VVDHT_02.png</t>
  </si>
  <si>
    <t>VVDHT_04</t>
  </si>
  <si>
    <t>VVDHT_04.png</t>
  </si>
  <si>
    <t>VVDHTHT_01</t>
  </si>
  <si>
    <t>Tổng hợp các vụ việc đã hoàn thành hỗ trợ</t>
  </si>
  <si>
    <t>Cung cấp chỉ số tổng số vụ việc đã được xử lý xong và đóng hồ sơ.</t>
  </si>
  <si>
    <t>VVDHTHT_01.png</t>
  </si>
  <si>
    <t>VVDHTHT_02</t>
  </si>
  <si>
    <t>Click Vụ việc hoàn thành</t>
  </si>
  <si>
    <t>Click thẻ Vụ việc hoàn thành</t>
  </si>
  <si>
    <t>Mở DS Vụ việc hoàn thành</t>
  </si>
  <si>
    <t>VVDHTHT_02.png</t>
  </si>
  <si>
    <t>VVDHTHT_03</t>
  </si>
  <si>
    <t>VVDHTHT_03.png</t>
  </si>
  <si>
    <t>LDTBDDDR_01</t>
  </si>
  <si>
    <t>Tổng hợp các lớp đào tạo bồi dưỡng đang diễn ra</t>
  </si>
  <si>
    <t>Hiển thị số lượng và danh sách các khóa đào tạo/tập huấn đang mở và đang diễn ra.</t>
  </si>
  <si>
    <t>LDTBDDDR_01.png</t>
  </si>
  <si>
    <t>LDTBDDDR_02</t>
  </si>
  <si>
    <t>Click Đào tạo đang diễn ra</t>
  </si>
  <si>
    <t>Click thẻ Đào tạo đang diễn ra</t>
  </si>
  <si>
    <t>Mở DS Đào tạo đang diễn ra</t>
  </si>
  <si>
    <t>LDTBDDDR_02.png</t>
  </si>
  <si>
    <t>LDTBDDDR_03</t>
  </si>
  <si>
    <t>LDTBDDDR_03.png</t>
  </si>
  <si>
    <t>LDTBDDHT_01</t>
  </si>
  <si>
    <t>Tổng hợp các lớp đào tạo bồi dưỡng đã diễn ra</t>
  </si>
  <si>
    <t>Hiển thị số lượng và danh sách các khóa đào tạo/tập huấn đã hoàn thành và có kết quả.</t>
  </si>
  <si>
    <t>LDTBDDHT_01.png</t>
  </si>
  <si>
    <t>LDTBDDHT_02</t>
  </si>
  <si>
    <t>Click Đào tạo hoàn thành</t>
  </si>
  <si>
    <t>Click thẻ Đào tạo hoàn thành</t>
  </si>
  <si>
    <t>Mở DS Đào tạo hoàn thành</t>
  </si>
  <si>
    <t>LDTBDDHT_02.png</t>
  </si>
  <si>
    <t>LDTBDDHT_03</t>
  </si>
  <si>
    <t>CGTVPL_01</t>
  </si>
  <si>
    <t>Tổng số chuyên gia tư vấn pháp luật</t>
  </si>
  <si>
    <t>Hiển thị tổng số lượng chuyên gia, tư vấn viên đã được thẩm định và công nhận trong mạng lưới.</t>
  </si>
  <si>
    <t>CGTVPL_01.png</t>
  </si>
  <si>
    <t>CGTVPL_02</t>
  </si>
  <si>
    <t>Click Chuyên gia / Tư vấn viên</t>
  </si>
  <si>
    <t>Click thẻ Chuyên gia / Tư vấn viên</t>
  </si>
  <si>
    <t>Mở DS Chuyên gia / Tư vấn viên</t>
  </si>
  <si>
    <t>CGTVPL_02.png</t>
  </si>
  <si>
    <t>CGTVPL_03</t>
  </si>
  <si>
    <t>CGTVPL_03.png</t>
  </si>
  <si>
    <t>BS</t>
  </si>
  <si>
    <t>Tỷ lệ hồ sơ bổ sung</t>
  </si>
  <si>
    <t>Kiểm tra Tỷ lệ hố sơ bổ sung</t>
  </si>
  <si>
    <t>Click Tỷ lệ hố sơ bổ sung</t>
  </si>
  <si>
    <t>Click thẻ Tỷ lệ hố sơ bổ sung</t>
  </si>
  <si>
    <t>Mở DS Tỷ lệ hố sơ bổ sung</t>
  </si>
  <si>
    <t>Thời gian xử lý trung bình</t>
  </si>
  <si>
    <t>Kiểm tra Thời gian xử lý trung bình</t>
  </si>
  <si>
    <t>Click Thời gian xử lý trung bình</t>
  </si>
  <si>
    <t>Click thẻ Thời gian xử lý trung bình</t>
  </si>
  <si>
    <t>Mở DS Thời gian xử lý trung bình</t>
  </si>
  <si>
    <t>TKDGHQHTPL_01</t>
  </si>
  <si>
    <t>Biểu đồ thống kê đánh giá hiệu quả hỗ trợ pháp lý</t>
  </si>
  <si>
    <t>Trực quan hóa dữ liệu đánh giá chất lượng hỗ trợ, bao gồm điểm hài lòng và tỷ lệ tuân thủ (thời hạn xử lý).</t>
  </si>
  <si>
    <t>Dữ liệu đúng KPI</t>
  </si>
  <si>
    <r>
      <rPr>
        <rFont val="Times New Roman"/>
        <color rgb="FF1155CC"/>
        <sz val="12.0"/>
        <u/>
      </rPr>
      <t>TKDGHQHTPL_01.jpg</t>
    </r>
  </si>
  <si>
    <t>TKDGHQHTPL_02</t>
  </si>
  <si>
    <t>Biểu đồ hiệu quả hỗ trợ pháp lý</t>
  </si>
  <si>
    <t>-Biểu đồ đúng thiết kế
- Dữ liệu đúng KPI</t>
  </si>
  <si>
    <t>Biểu đồ không giống với thiết kế</t>
  </si>
  <si>
    <r>
      <rPr>
        <rFont val="Times New Roman"/>
        <color rgb="FF1155CC"/>
        <sz val="12.0"/>
        <u/>
      </rPr>
      <t>TKDGHQHTPL_02.webm</t>
    </r>
  </si>
  <si>
    <t>BA confirm</t>
  </si>
  <si>
    <t>TKCLDTBDPL_01</t>
  </si>
  <si>
    <t>Biểu đồ thống kê chất lượng đào tạo bồi dưỡng pháp lý</t>
  </si>
  <si>
    <t>Trực quan hóa dữ liệu về hiệu quả đào tạo (ví dụ: Tỷ lệ đạt chứng nhận, điểm trung bình kiểm tra).</t>
  </si>
  <si>
    <t>Hiển thị đúng %</t>
  </si>
  <si>
    <t>N/R</t>
  </si>
  <si>
    <t>chưa có dữ liệu test</t>
  </si>
  <si>
    <t>TKCLDTBDPL_02</t>
  </si>
  <si>
    <t>Biểu đồ tuân thủ thời hạn</t>
  </si>
  <si>
    <t>II</t>
  </si>
  <si>
    <t>Quản lý tiếp nhận hỏi đáp, vướng mắc pháp lý</t>
  </si>
  <si>
    <t>II.1</t>
  </si>
  <si>
    <t>Quản lý tổng hợp hỏi đáp, vướng mắc pháp lý</t>
  </si>
  <si>
    <t>Thêm mới hỏi đáp vướng mắc pháp lý</t>
  </si>
  <si>
    <t>Mở màn hình thêm mới</t>
  </si>
  <si>
    <t>Có quyền thao tác</t>
  </si>
  <si>
    <t>1. Mở màn hình
 2. Thực hiện theo TC
 3. Nhấn Lưu</t>
  </si>
  <si>
    <t>Hiển thị đầy đủ trường nhập</t>
  </si>
  <si>
    <t>Không nhập Nội dung</t>
  </si>
  <si>
    <t>Báo lỗi bắt buộc</t>
  </si>
  <si>
    <t>Không chọn Lĩnh vực</t>
  </si>
  <si>
    <t>Báo lỗi</t>
  </si>
  <si>
    <t>Không chọn Kênh</t>
  </si>
  <si>
    <t>Không chọn Mức độ</t>
  </si>
  <si>
    <t>Nội dung 1 ký tự</t>
  </si>
  <si>
    <t>Lưu thành công</t>
  </si>
  <si>
    <t>Nội dung 5000 ký tự</t>
  </si>
  <si>
    <t>Nội dung &gt;5000 ký tự</t>
  </si>
  <si>
    <t>Không cho lưu</t>
  </si>
  <si>
    <t>Email hợp lệ</t>
  </si>
  <si>
    <t>Email sai</t>
  </si>
  <si>
    <t>SĐT hợp lệ</t>
  </si>
  <si>
    <t>SĐT sai</t>
  </si>
  <si>
    <t>Chọn doanh nghiệp</t>
  </si>
  <si>
    <t>Lưu đúng</t>
  </si>
  <si>
    <t>Kênh Từ tư vấn nhanh</t>
  </si>
  <si>
    <t>Không cho chọn</t>
  </si>
  <si>
    <t>Mức Thường</t>
  </si>
  <si>
    <t>Deadline 15 ngày</t>
  </si>
  <si>
    <t>Mức Phức tạp</t>
  </si>
  <si>
    <t>Deadline 30 ngày</t>
  </si>
  <si>
    <t>Đơn vị mặc định</t>
  </si>
  <si>
    <t>Đúng user</t>
  </si>
  <si>
    <t>Upload PDF</t>
  </si>
  <si>
    <t>Thành công</t>
  </si>
  <si>
    <t>Upload Word</t>
  </si>
  <si>
    <t>Upload Excel</t>
  </si>
  <si>
    <t>Upload JPG</t>
  </si>
  <si>
    <t>File &gt;20MB</t>
  </si>
  <si>
    <t>10 file</t>
  </si>
  <si>
    <t>11 file</t>
  </si>
  <si>
    <t>Tổng &gt;100MB</t>
  </si>
  <si>
    <t>Lưu hợp lệ</t>
  </si>
  <si>
    <t>Tạo mới thành công</t>
  </si>
  <si>
    <t>Nhấn Hủy</t>
  </si>
  <si>
    <t>Không lưu</t>
  </si>
  <si>
    <t>Double click Lưu</t>
  </si>
  <si>
    <t>Chỉ tạo 1 bản ghi</t>
  </si>
  <si>
    <t>Sửa hỏi đáp vướng mắc pháp lý</t>
  </si>
  <si>
    <t>Mở màn sửa</t>
  </si>
  <si>
    <t>1. Mở màn hình
 2. Thực hiện theo TC
 3. Nhấn Lưu/Xóa</t>
  </si>
  <si>
    <t>Hiển thị dữ liệu</t>
  </si>
  <si>
    <t>Sửa nội dung</t>
  </si>
  <si>
    <t>Cập nhật thành công</t>
  </si>
  <si>
    <t>Xóa nội dung</t>
  </si>
  <si>
    <t>Đổi lĩnh vực</t>
  </si>
  <si>
    <t>Đổi mức độ</t>
  </si>
  <si>
    <t>Deadline cập nhật</t>
  </si>
  <si>
    <t>Thêm file</t>
  </si>
  <si>
    <t>Upload thành công</t>
  </si>
  <si>
    <t>Xóa file</t>
  </si>
  <si>
    <t>Xóa thành công</t>
  </si>
  <si>
    <t>Quá 10 file</t>
  </si>
  <si>
    <t>Chỉ cập nhật 1 lần</t>
  </si>
  <si>
    <t>Xóa hỏi đáp vướng mắc pháp lý</t>
  </si>
  <si>
    <t>Xóa 1 câu hỏi</t>
  </si>
  <si>
    <t>Chọn Không</t>
  </si>
  <si>
    <t>Không xóa</t>
  </si>
  <si>
    <t>Chọn Có</t>
  </si>
  <si>
    <t>Không có quyền</t>
  </si>
  <si>
    <t>Không được xóa</t>
  </si>
  <si>
    <t>Double click Xóa</t>
  </si>
  <si>
    <t>Chỉ xóa 1 lần</t>
  </si>
  <si>
    <t>Quản lý thông tin hỏi đáp, vướng mắc pháp lý</t>
  </si>
  <si>
    <t>Cán  bộ 
 TW,BN,ĐP</t>
  </si>
  <si>
    <t>Quản lý các trường dữ liệu chi tiết của từng yêu cầu (nội dung, người gửi, lĩnh vực, thời gian gửi...).</t>
  </si>
  <si>
    <t>· Đã đăng nhập, có quyền Quản lý hỏi đáp.</t>
  </si>
  <si>
    <t>1. Vào menu Trang chủ &gt; Hỏi đáp pháp lý</t>
  </si>
  <si>
    <r>
      <rPr>
        <rFont val="Times New Roman"/>
        <color rgb="FF1155CC"/>
        <sz val="12.0"/>
        <u/>
      </rPr>
      <t>QLTTHDVMPL_01.jpg</t>
    </r>
  </si>
  <si>
    <t>Kiểm tra truy cập màn hình danh sách hỏi đáp</t>
  </si>
  <si>
    <t>Tài khoản Cán bộ TW/BN/ĐP đã đăng nhập và có quyền xem màn hình</t>
  </si>
  <si>
    <t>Tài khoản hợp lệ</t>
  </si>
  <si>
    <t>1. Đăng nhập hệ thống
 2. Vào menu Trang chủ &gt; Hỏi đáp pháp lý</t>
  </si>
  <si>
    <t>Hiển thị đúng màn hình 'Quản lý hỏi đáp, vướng mắc pháp lý'; có breadcrumb, tiêu đề màn hình, bộ lọc, tab trạng thái, bảng danh sách và phân trang</t>
  </si>
  <si>
    <r>
      <rPr>
        <rFont val="Times New Roman"/>
        <color rgb="FF1155CC"/>
        <sz val="12.0"/>
        <u/>
      </rPr>
      <t>QLTTHDVMPL_02.jpg</t>
    </r>
  </si>
  <si>
    <t>Kiểm tra các cột thông tin hiển thị trên bảng</t>
  </si>
  <si>
    <t>Có dữ liệu hỏi đáp</t>
  </si>
  <si>
    <t>Danh sách có ít nhất 1 bản ghi</t>
  </si>
  <si>
    <t>1. Truy cập màn hình
 2. Quan sát header bảng</t>
  </si>
  <si>
    <t>Bảng hiển thị đủ các cột: checkbox, Mã HĐ, Nội dung, Lĩnh vực PL, Người gửi, Kênh, Trạng thái, Mức độ, SLA/Thời hạn, Ngày tạo, Hành động</t>
  </si>
  <si>
    <r>
      <rPr>
        <rFont val="Times New Roman"/>
        <color rgb="FF1155CC"/>
        <sz val="12.0"/>
        <u/>
      </rPr>
      <t>QLTTHDVMPL_03.jpg</t>
    </r>
  </si>
  <si>
    <t>Kiểm tra dữ liệu từng dòng hiển thị đúng thông tin chi tiết theo yêu cầu đề bài</t>
  </si>
  <si>
    <t>Có dữ liệu hỏi đáp đã tạo</t>
  </si>
  <si>
    <t>Bản ghi có mã, nội dung, lĩnh vực, người gửi, kênh, trạng thái, mức độ, SLA, ngày tạo</t>
  </si>
  <si>
    <t>1. Truy cập danh sách
 2. Đối chiếu thông tin 1 bản ghi với dữ liệu trong hệ thống/DB/API</t>
  </si>
  <si>
    <t>- Thông tin trên danh sách khớp với dữ liệu nguồn: mã hỏi đáp, nội dung ngắn gọn, lĩnh vực, người gửi, kênh, trạng thái, mức độ, SLA/thời hạn, ngày tạo
- Thông tin hiển thị rõ ràng và chính xác, không lỗi font, ghi đè/tràn dữ liệu</t>
  </si>
  <si>
    <t>Thông tin cột SLA/Thời hạn hiển thị không rõ ràng, khó tiếp cận</t>
  </si>
  <si>
    <r>
      <rPr>
        <rFont val="Times New Roman"/>
        <color rgb="FF1155CC"/>
        <sz val="12.0"/>
        <u/>
      </rPr>
      <t>QLTTHDVMPL_04.png</t>
    </r>
  </si>
  <si>
    <t>Kiểm tra nội dung câu hỏi dài được rút gọn trên danh sách</t>
  </si>
  <si>
    <t>Có bản ghi có nội dung dài</t>
  </si>
  <si>
    <t>Nội dung câu hỏi &gt; độ rộng cột</t>
  </si>
  <si>
    <t>1. Truy cập danh sách
 2. Quan sát cột Nội dung</t>
  </si>
  <si>
    <t>Nội dung dài được hiển thị dạng rút gọn/dấu '...' và không làm vỡ giao diện bảng</t>
  </si>
  <si>
    <r>
      <rPr>
        <rFont val="Times New Roman"/>
        <color rgb="FF1155CC"/>
        <sz val="12.0"/>
        <u/>
      </rPr>
      <t>QLTTHDVMPL_05.jpg</t>
    </r>
  </si>
  <si>
    <t>Kiểm tra mã hỏi đáp hiển thị dạng link có thể bấm</t>
  </si>
  <si>
    <t>Có bản ghi trong danh sách</t>
  </si>
  <si>
    <t>Mã HĐ bất kỳ</t>
  </si>
  <si>
    <t>1. Truy cập danh sách
 2. Bấm vào Mã HĐ</t>
  </si>
  <si>
    <t>Điều hướng/mở màn hình chi tiết hỏi đáp tương ứng với đúng bản ghi đã chọn</t>
  </si>
  <si>
    <r>
      <rPr>
        <rFont val="Times New Roman"/>
        <color rgb="FF1155CC"/>
        <sz val="12.0"/>
        <u/>
      </rPr>
      <t>QLTTHDVMPL_06.jpg</t>
    </r>
  </si>
  <si>
    <t>Kiểm tra các tab trạng thái và số lượng hiển thị</t>
  </si>
  <si>
    <t>Có dữ liệu ở các trạng thái</t>
  </si>
  <si>
    <t>Tất cả, Mới, Đang xử lý, Chờ phê duyệt, Đã duyệt, Công khai, Hoàn thành</t>
  </si>
  <si>
    <t>1. Truy cập màn hình
 2. Quan sát các tab và badge số lượng</t>
  </si>
  <si>
    <t>Hiển thị đủ tab trạng thái theo thiết kế; badge số lượng khớp với dữ liệu tương ứng</t>
  </si>
  <si>
    <r>
      <rPr>
        <rFont val="Times New Roman"/>
        <color rgb="FF1155CC"/>
        <sz val="12.0"/>
        <u/>
      </rPr>
      <t>QLTTHDVMPL_07.jpg</t>
    </r>
  </si>
  <si>
    <t>Kiểm tra bấm tab Mới</t>
  </si>
  <si>
    <t>Có bản ghi trạng thái Mới</t>
  </si>
  <si>
    <t>Tab Mới</t>
  </si>
  <si>
    <t>1. Bấm tab Mới</t>
  </si>
  <si>
    <t>Danh sách chỉ hiển thị bản ghi trạng thái Mới; tab Mới được active; số lượng hiển thị đúng</t>
  </si>
  <si>
    <r>
      <rPr>
        <rFont val="Times New Roman"/>
        <color rgb="FF1155CC"/>
        <sz val="12.0"/>
        <u/>
      </rPr>
      <t>QLTTHDVMPL_08.jpg</t>
    </r>
  </si>
  <si>
    <t>Kiểm tra bấm tab Đang xử lý</t>
  </si>
  <si>
    <t>Có bản ghi trạng thái Đang xử lý</t>
  </si>
  <si>
    <t>Tab Đang xử lý</t>
  </si>
  <si>
    <t>1. Bấm tab Đang xử lý</t>
  </si>
  <si>
    <t>Danh sách chỉ hiển thị bản ghi trạng thái Đang xử lý; tab được active</t>
  </si>
  <si>
    <r>
      <rPr>
        <rFont val="Times New Roman"/>
        <color rgb="FF1155CC"/>
        <sz val="12.0"/>
        <u/>
      </rPr>
      <t>QLTTHDVMPL_09.jpg</t>
    </r>
  </si>
  <si>
    <t>Kiểm tra sắp xếp theo Ngày tạo</t>
  </si>
  <si>
    <t>Có nhiều bản ghi khác ngày tạo</t>
  </si>
  <si>
    <t>Cột Ngày tạo</t>
  </si>
  <si>
    <t>1. Bấm biểu tượng sắp xếp ở cột Ngày tạo
 2. Bấm lại lần nữa</t>
  </si>
  <si>
    <t>Lần 1 danh sách sắp xếp tăng/giảm theo ngày tạo; lần 2 đảo chiều sắp xếp; dữ liệu đúng thứ tự</t>
  </si>
  <si>
    <t>Danh sách không cập nhật lại thứ tự khi nhấn vào cột Ngày tạo</t>
  </si>
  <si>
    <r>
      <rPr>
        <rFont val="Times New Roman"/>
        <color rgb="FF1155CC"/>
        <sz val="12.0"/>
        <u/>
      </rPr>
      <t>QLTTHDVMPL_10.webm</t>
    </r>
  </si>
  <si>
    <t>Kiểm tra hiển thị số lượng bản ghi và phân trang</t>
  </si>
  <si>
    <t>Có nhiều hơn 20 bản ghi</t>
  </si>
  <si>
    <t>Dữ liệu 44 bản ghi</t>
  </si>
  <si>
    <t>1. Truy cập màn hình
 2. Quan sát dòng 'Hiển thị 1-20 / 44 kết quả' và các nút trang</t>
  </si>
  <si>
    <t>Hiển thị đúng khoảng bản ghi hiện tại, tổng số kết quả và các nút trang</t>
  </si>
  <si>
    <r>
      <rPr>
        <rFont val="Times New Roman"/>
        <color rgb="FF1155CC"/>
        <sz val="12.0"/>
        <u/>
      </rPr>
      <t>QLTTHDVMPL_11.jpg</t>
    </r>
  </si>
  <si>
    <t>Kiểm tra chuyển sang trang tiếp theo</t>
  </si>
  <si>
    <t>Có nhiều hơn 1 trang dữ liệu</t>
  </si>
  <si>
    <t>Bấm trang 2 hoặc nút &gt;</t>
  </si>
  <si>
    <t>1. Bấm trang 2 hoặc nút chuyển trang</t>
  </si>
  <si>
    <t>Danh sách tải dữ liệu trang 2; không trùng dữ liệu trang 1; chỉ số hiển thị cập nhật đúng</t>
  </si>
  <si>
    <r>
      <rPr>
        <rFont val="Times New Roman"/>
        <color rgb="FF1155CC"/>
        <sz val="12.0"/>
        <u/>
      </rPr>
      <t>QLTTHDVMPL_12.jpg</t>
    </r>
  </si>
  <si>
    <t>Kiểm tra thay đổi số bản ghi/trang</t>
  </si>
  <si>
    <t>Có nhiều bản ghi</t>
  </si>
  <si>
    <t>Chọn 10/trang, 20/trang nếu hệ thống hỗ trợ</t>
  </si>
  <si>
    <t>1. Mở dropdown số dòng/trang
 2. Chọn giá trị khác</t>
  </si>
  <si>
    <t>Danh sách cập nhật số dòng theo lựa chọn; phân trang và tổng số kết quả cập nhật đúng</t>
  </si>
  <si>
    <r>
      <rPr>
        <rFont val="Times New Roman"/>
        <color rgb="FF1155CC"/>
        <sz val="12.0"/>
        <u/>
      </rPr>
      <t>QLTTHDVMPL_13.jpg</t>
    </r>
  </si>
  <si>
    <t>Kiểm tra icon Xem chi tiết</t>
  </si>
  <si>
    <t>Icon mắt tại cột Hành động</t>
  </si>
  <si>
    <t>1. Bấm icon Xem của 1 bản ghi</t>
  </si>
  <si>
    <t>Mở màn hình chi tiết đúng bản ghi; thông tin chi tiết khớp với dòng đã chọn</t>
  </si>
  <si>
    <r>
      <rPr>
        <rFont val="Times New Roman"/>
        <color rgb="FF1155CC"/>
        <sz val="12.0"/>
        <u/>
      </rPr>
      <t>QLTTHDVMPL_14.jpg</t>
    </r>
  </si>
  <si>
    <t>Kiểm tra chọn từng bản ghi bằng checkbox</t>
  </si>
  <si>
    <t>Checkbox từng dòng</t>
  </si>
  <si>
    <t>1. Tick checkbox 1 dòng
 2. Bỏ tick checkbox</t>
  </si>
  <si>
    <t>Dòng được chọn/bỏ chọn đúng; trạng thái checkbox phản ánh chính xác</t>
  </si>
  <si>
    <r>
      <rPr>
        <rFont val="Times New Roman"/>
        <color rgb="FF1155CC"/>
        <sz val="12.0"/>
        <u/>
      </rPr>
      <t>QLTTHDVMPL_15.jpg</t>
    </r>
  </si>
  <si>
    <t>Kiểm tra checkbox chọn tất cả trên trang hiện tại</t>
  </si>
  <si>
    <t>Có nhiều bản ghi trên trang</t>
  </si>
  <si>
    <t>Checkbox header</t>
  </si>
  <si>
    <t>1. Tick checkbox ở header
 2. Bỏ tick checkbox ở header</t>
  </si>
  <si>
    <t>Tất cả bản ghi trên trang hiện tại được chọn/bỏ chọn; không ảnh hưởng dữ liệu trang khác nếu chưa tải</t>
  </si>
  <si>
    <r>
      <rPr>
        <rFont val="Times New Roman"/>
        <color rgb="FF1155CC"/>
        <sz val="12.0"/>
        <u/>
      </rPr>
      <t>QLTTHDVMPL_16.jpg</t>
    </r>
  </si>
  <si>
    <t>Kiểm tra xuất Excel danh sách hiện tại</t>
  </si>
  <si>
    <t>Có dữ liệu danh sách</t>
  </si>
  <si>
    <t>Nút Xuất Excel</t>
  </si>
  <si>
    <t>1. Lọc dữ liệu nếu cần
 2. Bấm Xuất Excel
 3. Mở file tải về</t>
  </si>
  <si>
    <t>File Excel được tải về thành công; dữ liệu trong file khớp với danh sách/điều kiện lọc; đúng các cột cần xuất</t>
  </si>
  <si>
    <r>
      <rPr>
        <rFont val="Times New Roman"/>
        <color rgb="FF1155CC"/>
        <sz val="12.0"/>
        <u/>
      </rPr>
      <t>QLTTHDVMPL_17.jpg</t>
    </r>
  </si>
  <si>
    <t>Kiểm tra nút Làm mới</t>
  </si>
  <si>
    <t>Danh sách đang hiển thị</t>
  </si>
  <si>
    <t>Nút Làm mới</t>
  </si>
  <si>
    <t>1. Bấm Làm mới</t>
  </si>
  <si>
    <t>Danh sách được tải lại; dữ liệu mới nhất hiển thị; không làm lỗi giao diện</t>
  </si>
  <si>
    <r>
      <rPr>
        <rFont val="Times New Roman"/>
        <color rgb="FF1155CC"/>
        <sz val="12.0"/>
        <u/>
      </rPr>
      <t>QLTTHDVMPL_18.jpg</t>
    </r>
  </si>
  <si>
    <t>Kiểm tra giao diện khi màn hình nhỏ/zoom</t>
  </si>
  <si>
    <t>Có quyền truy cập</t>
  </si>
  <si>
    <t>Zoom 125%, màn hình laptop</t>
  </si>
  <si>
    <t>1. Mở màn hình ở kích thước nhỏ hoặc zoom trình duyệt
 2. Quan sát bảng và bộ lọc</t>
  </si>
  <si>
    <t>Giao diện không vỡ; bảng có scroll ngang nếu cần; nút chức năng vẫn thao tác được</t>
  </si>
  <si>
    <r>
      <rPr>
        <rFont val="Times New Roman"/>
        <color rgb="FF1155CC"/>
        <sz val="12.0"/>
        <u/>
      </rPr>
      <t>QLTTHDVMPL_19.jpg</t>
    </r>
  </si>
  <si>
    <t>Tìm kiếm hỏi đáp, vướng mắc được tổng hợp</t>
  </si>
  <si>
    <t>Cung cấp công cụ tìm kiếm toàn văn, nâng cao theo lĩnh vực, thời gian đối với các yêu cầu hỏi đáp đã tổng hợp.</t>
  </si>
  <si>
    <t>Lưu ý uc 11.14.19 sẽ trùng chức năng tìm kiếm</t>
  </si>
  <si>
    <r>
      <rPr>
        <rFont val="Times New Roman"/>
        <color rgb="FF1155CC"/>
        <sz val="12.0"/>
        <u/>
      </rPr>
      <t>TKHDVMTH_01.jpg</t>
    </r>
  </si>
  <si>
    <t>Kiểm tra tìm kiếm theo nội dung câu hỏi</t>
  </si>
  <si>
    <t>Có dữ liệu chứa từ khóa cần tìm</t>
  </si>
  <si>
    <t>Từ khóa: 'Doanh nghiệp'</t>
  </si>
  <si>
    <t>1. Nhập từ khóa vào ô tìm kiếm
 2. Bấm Tìm kiếm</t>
  </si>
  <si>
    <t>Danh sách chỉ hiển thị các bản ghi có nội dung/mã/người gửi phù hợp với từ khóa; số lượng kết quả được cập nhật đúng</t>
  </si>
  <si>
    <r>
      <rPr>
        <rFont val="Times New Roman"/>
        <color rgb="FF1155CC"/>
        <sz val="12.0"/>
        <u/>
      </rPr>
      <t>TKHDVMTH_02.jpg</t>
    </r>
  </si>
  <si>
    <t>Kiểm tra tìm kiếm theo mã hỏi đáp</t>
  </si>
  <si>
    <t>Có bản ghi có mã HĐ cụ thể</t>
  </si>
  <si>
    <t>Mã HĐ: HD-20260624-001</t>
  </si>
  <si>
    <t>1. Nhập mã HĐ vào ô tìm kiếm
 2. Bấm Tìm kiếm</t>
  </si>
  <si>
    <t>Hiển thị đúng bản ghi có mã HĐ tương ứng; không hiển thị bản ghi không liên quan</t>
  </si>
  <si>
    <r>
      <rPr>
        <rFont val="Times New Roman"/>
        <color rgb="FF1155CC"/>
        <sz val="12.0"/>
        <u/>
      </rPr>
      <t>TKHDVMTH_03.jpg</t>
    </r>
  </si>
  <si>
    <t>Kiểm tra tìm kiếm theo người gửi</t>
  </si>
  <si>
    <t>Có bản ghi người gửi cụ thể</t>
  </si>
  <si>
    <t>Người gửi: Nguyễn Văn A</t>
  </si>
  <si>
    <t>1. Nhập tên người gửi vào ô tìm kiếm
 2. Bấm Tìm kiếm</t>
  </si>
  <si>
    <t>Danh sách hiển thị các bản ghi của người gửi phù hợp</t>
  </si>
  <si>
    <r>
      <rPr>
        <rFont val="Times New Roman"/>
        <color rgb="FF1155CC"/>
        <sz val="12.0"/>
        <u/>
      </rPr>
      <t>TKHDVMTH_04.jpg</t>
    </r>
  </si>
  <si>
    <t>Kiểm tra tìm kiếm khi không có kết quả</t>
  </si>
  <si>
    <t>Có quyền truy cập màn hình</t>
  </si>
  <si>
    <t>Từ khóa không tồn tại: xyz999</t>
  </si>
  <si>
    <t>1. Nhập từ khóa không tồn tại
 2. Bấm Tìm kiếm</t>
  </si>
  <si>
    <t>Hiển thị trạng thái không có dữ liệu/kết quả; không lỗi giao diện; phân trang hiển thị phù hợp</t>
  </si>
  <si>
    <r>
      <rPr>
        <rFont val="Times New Roman"/>
        <color rgb="FF1155CC"/>
        <sz val="12.0"/>
        <u/>
      </rPr>
      <t>TKHDVMTH_05.jpg</t>
    </r>
  </si>
  <si>
    <t>Kiểm tra lọc theo Lĩnh vực PL</t>
  </si>
  <si>
    <t>Có dữ liệu thuộc nhiều lĩnh vực</t>
  </si>
  <si>
    <t>Lĩnh vực: Thuế</t>
  </si>
  <si>
    <t>1. Chọn Lĩnh vực pháp luật = Thuế
 2. Bấm Tìm kiếm</t>
  </si>
  <si>
    <t>Danh sách chỉ hiển thị bản ghi thuộc lĩnh vực Thuế; số lượng kết quả đúng</t>
  </si>
  <si>
    <r>
      <rPr>
        <rFont val="Times New Roman"/>
        <color rgb="FF1155CC"/>
        <sz val="12.0"/>
        <u/>
      </rPr>
      <t>TKHDVMTH_06.jpg</t>
    </r>
  </si>
  <si>
    <t>Kiểm tra lọc theo trạng thái</t>
  </si>
  <si>
    <t>Có dữ liệu nhiều trạng thái</t>
  </si>
  <si>
    <t>Trạng thái: Mới</t>
  </si>
  <si>
    <t>1. Chọn Trạng thái = Mới
 2. Bấm Tìm kiếm</t>
  </si>
  <si>
    <t>Danh sách chỉ hiển thị các bản ghi có trạng thái Mới</t>
  </si>
  <si>
    <t>- Tổng số bản ghi trên các tab hiển thị không đúng số lượng</t>
  </si>
  <si>
    <r>
      <rPr>
        <rFont val="Times New Roman"/>
        <color rgb="FF1155CC"/>
        <sz val="12.0"/>
        <u/>
      </rPr>
      <t>TKHDVMTH_07.webm</t>
    </r>
  </si>
  <si>
    <t>Kiểm tra nhập Từ ngày lớn hơn Đến ngày</t>
  </si>
  <si>
    <t>Từ ngày 25/06/2026, Đến ngày 24/06/2026</t>
  </si>
  <si>
    <t>1. Nhập Từ ngày &gt; Đến ngày
 2. Bấm Tìm kiếm</t>
  </si>
  <si>
    <t>Hệ thống hiển thị thông báo lỗi hợp lệ, không thực hiện tìm kiếm sai dữ liệu</t>
  </si>
  <si>
    <r>
      <rPr>
        <rFont val="Times New Roman"/>
        <sz val="12.0"/>
        <u/>
      </rPr>
      <t>TKHDVMTH_11.jpg</t>
    </r>
  </si>
  <si>
    <t>Kiểm tra lọc theo kênh tiếp nhận</t>
  </si>
  <si>
    <t>Có dữ liệu nhiều kênh</t>
  </si>
  <si>
    <t>Kênh: Trực tiếp/Hệ thống khác/Cổng PLQG</t>
  </si>
  <si>
    <t>1. Chọn Kênh tiếp nhận
 2. Bấm Tìm kiếm</t>
  </si>
  <si>
    <t>Danh sách chỉ hiển thị bản ghi đúng kênh tiếp nhận đã chọn</t>
  </si>
  <si>
    <r>
      <rPr>
        <rFont val="Times New Roman"/>
        <color rgb="FF1155CC"/>
        <sz val="12.0"/>
        <u/>
      </rPr>
      <t>TKHDVMTH_08.jpg</t>
    </r>
  </si>
  <si>
    <t>Kiểm tra lọc theo mức độ phức tạp</t>
  </si>
  <si>
    <t>Có dữ liệu nhiều mức độ</t>
  </si>
  <si>
    <t>Mức độ: Thường</t>
  </si>
  <si>
    <t>1. Chọn Mức độ phức tạp = Thường
 2. Bấm Tìm kiếm</t>
  </si>
  <si>
    <t>Danh sách chỉ hiển thị bản ghi có mức độ Thường</t>
  </si>
  <si>
    <r>
      <rPr>
        <rFont val="Times New Roman"/>
        <color rgb="FF1155CC"/>
        <sz val="12.0"/>
        <u/>
      </rPr>
      <t>TKHDVMTH_09.jpg</t>
    </r>
  </si>
  <si>
    <t>Kiểm tra lọc theo khoảng ngày hợp lệ</t>
  </si>
  <si>
    <t>Có dữ liệu trong khoảng ngày</t>
  </si>
  <si>
    <t>Từ ngày 22/06/2026, Đến ngày 24/06/2026</t>
  </si>
  <si>
    <t>1. Nhập Từ ngày
 2. Nhập Đến ngày
 3. Bấm Tìm kiếm</t>
  </si>
  <si>
    <t>Danh sách chỉ hiển thị bản ghi có ngày tạo nằm trong khoảng đã chọn, bao gồm ngày bắt đầu và ngày kết thúc nếu có dữ liệu</t>
  </si>
  <si>
    <r>
      <rPr>
        <rFont val="Times New Roman"/>
        <color rgb="FF1155CC"/>
        <sz val="12.0"/>
        <u/>
      </rPr>
      <t>TKHDVMTH_10.jpg</t>
    </r>
  </si>
  <si>
    <t>Kiểm tra kết hợp nhiều điều kiện lọc</t>
  </si>
  <si>
    <t>Có dữ liệu thỏa mãn nhiều điều kiện</t>
  </si>
  <si>
    <t>Từ khóa + Lĩnh vực Thuế + Trạng thái Mới + Kênh Hệ thống khác</t>
  </si>
  <si>
    <t>1. Nhập/chọn các điều kiện lọc
 2. Bấm Tìm kiếm</t>
  </si>
  <si>
    <t>Danh sách hiển thị đúng các bản ghi thỏa mãn đồng thời tất cả điều kiện lọc</t>
  </si>
  <si>
    <r>
      <rPr>
        <rFont val="Times New Roman"/>
        <color rgb="FF1155CC"/>
        <sz val="12.0"/>
        <u/>
      </rPr>
      <t>TKHDVMTH_12.jpg</t>
    </r>
  </si>
  <si>
    <t>Kiểm tra nút Xóa bộ lọc</t>
  </si>
  <si>
    <t>Đang có điều kiện lọc được nhập/chọn</t>
  </si>
  <si>
    <t>Có ít nhất 1 bộ lọc đã set</t>
  </si>
  <si>
    <t>1. Nhập/chọn bộ lọc
 2. Bấm Xóa bộ lọc</t>
  </si>
  <si>
    <t>Toàn bộ điều kiện lọc được reset về mặc định; danh sách quay về trạng thái ban đầu</t>
  </si>
  <si>
    <r>
      <rPr>
        <rFont val="Times New Roman"/>
        <color rgb="FF1155CC"/>
        <sz val="12.0"/>
        <u/>
      </rPr>
      <t>TKHDVMTH_13.jpg</t>
    </r>
  </si>
  <si>
    <t>II.2</t>
  </si>
  <si>
    <t>Quản lý tiếp nhận xử lý hỏi đáp, vướng mắc pháp lý</t>
  </si>
  <si>
    <t>Tiếp nhận xử lý hỏi đáp, vướng mắc pháp lý</t>
  </si>
  <si>
    <t>Thực hiện thao tác tiếp nhận và chuyển yêu cầu vào quy trình phân công xử lý.</t>
  </si>
  <si>
    <t>- User CB_NV đã đăng nhập.
 - Tồn tại bản ghi ở trạng thái Mới có đơn vị xử lý thuộc tài khoản đang đăng nhập.</t>
  </si>
  <si>
    <t>1. Vào menu Trang chủ &gt; Hỏi đáp pháp lý
2/ Mở danh sách tab "Mới".
3. Chọn bản ghi ở trạng thái Mới có đơn vị xử lý thuộc tài khoản đang đăng nhập..
4. Nhấn [Tiếp nhận].
5. Xác nhận tiếp nhận</t>
  </si>
  <si>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</si>
  <si>
    <r>
      <rPr>
        <rFont val="Times New Roman"/>
        <color rgb="FF1155CC"/>
        <sz val="12.0"/>
        <u/>
      </rPr>
      <t>TNXLHDVMPL_01.jpg</t>
    </r>
  </si>
  <si>
    <t>Tiếp nhận và mở chi tiết — Stepper hiển thị đúng</t>
  </si>
  <si>
    <t>- User CB_NV đã đăng nhập.
- Tiếp nhận bản ghi ở uc TNXLHDVMPL_01 thành công.</t>
  </si>
  <si>
    <t>1. Click vào bản ghi đã tiếp nhận.
2. Kiểm tra SCR-II-02 (Chi tiết).</t>
  </si>
  <si>
    <t>- Stepper 6 bước hiển thị, bước "Tiếp nhận" được highlight active.
 - Accordion Thông tin câu hỏi hiển thị đầy đủ.</t>
  </si>
  <si>
    <r>
      <rPr>
        <rFont val="Times New Roman"/>
        <color rgb="FF1155CC"/>
        <sz val="12.0"/>
        <u/>
      </rPr>
      <t>TNXLHDVMPL_02.jpg</t>
    </r>
  </si>
  <si>
    <t>Tiếp nhận vào Thứ 6 — deadline tính đúng ngày làm việc</t>
  </si>
  <si>
    <t>- User CB_NV đã đăng nhập.
 - HD-011 ở trạng thái MOI.
 - Hôm nay là Thứ 6.</t>
  </si>
  <si>
    <t>1. Tiếp nhận HD-011 vào Thứ 6 (18/04/2026).
 2. Kiểm tra deadline.</t>
  </si>
  <si>
    <t>- Deadline = Thứ 6 (18/04) + 5 ngày làm việc = skip Thứ 7+CN → Thứ 5 (24/04/2026) hoặc muộn hơn nếu có NGAY_LE.
 - SLA chỉ đếm T2-T6, trừ nghỉ lễ.</t>
  </si>
  <si>
    <r>
      <rPr>
        <rFont val="Times New Roman"/>
        <color rgb="FF1155CC"/>
        <sz val="12.0"/>
        <u/>
      </rPr>
      <t>TNXLHDVMPL_03.jpg</t>
    </r>
  </si>
  <si>
    <t>Tiếp nhận bản ghi đã bị xóa → lỗi</t>
  </si>
  <si>
    <t>- User CB_NV đã đăng nhập.
 - HD-013 ở MOI trên danh sách.
 - CB khác đã xóa mềm HD-013 (is_deleted=1).</t>
  </si>
  <si>
    <t>1. CB_NV nhấn [Tiếp nhận] HD-013 (đã bị xóa nhưng danh sách chưa refresh).</t>
  </si>
  <si>
    <t>- Lỗi **ERR-TN-02**: "Hỏi đáp không tồn tại hoặc đã bị xóa".
 - Không thay đổi trạng thái.</t>
  </si>
  <si>
    <r>
      <rPr>
        <rFont val="Times New Roman"/>
        <color rgb="FF1155CC"/>
        <sz val="12.0"/>
        <u/>
      </rPr>
      <t>TNXLHDVMPL_04.jpg</t>
    </r>
  </si>
  <si>
    <t>Tiếp nhận bản ghi ở trạng thái TIEP_NHAN → bị chặn</t>
  </si>
  <si>
    <t>- User CB_NV đã đăng nhập.
 - HD-015 đã ở TIEP_NHAN.</t>
  </si>
  <si>
    <t>1. Thử nhấn [Tiếp nhận] cho HD-015.</t>
  </si>
  <si>
    <t xml:space="preserve">- Nút [Tiếp nhận] bị ẩn cho bản ghi không ở trạng thái MOI.
</t>
  </si>
  <si>
    <r>
      <rPr>
        <rFont val="Times New Roman"/>
        <color rgb="FF1155CC"/>
        <sz val="12.0"/>
        <u/>
      </rPr>
      <t>TNXLHDVMPL_05.jpg</t>
    </r>
  </si>
  <si>
    <t>CB NV BN tiếp nhận bản ghi thuộc đơn vị khác → bị chặn</t>
  </si>
  <si>
    <t>- User CB_NV_BN (Bộ KH&amp;ĐT) đã đăng nhập.
 - Bản ghi thuộc đơn vị TW ở MOI.</t>
  </si>
  <si>
    <t>1. Thử truy cập/tiếp nhận bản ghi (thuộc TW).</t>
  </si>
  <si>
    <t>- Bản ghi KHÔNG xuất hiện trong danh sách CB_NV_BN (BR-AUTH-08).</t>
  </si>
  <si>
    <r>
      <rPr>
        <rFont val="Times New Roman"/>
        <color rgb="FF1155CC"/>
        <sz val="12.0"/>
        <u/>
      </rPr>
      <t>TNXLHDVMPL_06.jpg</t>
    </r>
  </si>
  <si>
    <t>Quản lý thông tin tiếp nhận xử lý hỏi đáp, vướng mắc pháp lý</t>
  </si>
  <si>
    <t>Quản lý các thông tin liên quan đến quá trình xử lý (người phân công, thời hạn xử lý, trạng thái luân chuyển).</t>
  </si>
  <si>
    <t>Lưu ý uc 13 và 18 gần tương tự nhau</t>
  </si>
  <si>
    <t>Xem danh sách đang xử lý — hard filter đúng trạng thái</t>
  </si>
  <si>
    <t>- User CB_NV đã đăng nhập.
 - Tồn tại bản ghi ở TIEP_NHAN, DA_PHAN_CONG, DANG_XU_LY, và DA_DUYET.</t>
  </si>
  <si>
    <t>1. Mở tab "Đang xử lý".
 2. Kiểm tra danh sách.</t>
  </si>
  <si>
    <t xml:space="preserve">- Chỉ hiển thị `trang_thai IN (TIEP_NHAN, DA_PHAN_CONG, DANG_XU_LY)`.
 - KHÔNG hiển thị MOI, DA_DUYET, CONG_KHAI, HOAN_THANH.
 </t>
  </si>
  <si>
    <r>
      <rPr>
        <rFont val="Times New Roman"/>
        <color rgb="FF1155CC"/>
        <sz val="12.0"/>
        <u/>
      </rPr>
      <t>QLTNXLHDVM_01.jpg</t>
    </r>
  </si>
  <si>
    <t>Cập nhật thời hạn xử lý kèm lý do thành công</t>
  </si>
  <si>
    <t>- User CB_NV đã đăng nhập.
 - Bản ghi ở **DANG_XU_LY**</t>
  </si>
  <si>
    <t>1. Mở chi tiết Bản ghi.
 2. Nhập thời hạn mới
 3. Nhập lý do thay đổi.
 4. Click [Lưu].</t>
  </si>
  <si>
    <t>Cập nhật thành công, hệ thống hiển thị thông báo "Đã cập nhật thời hạn" và tải lại thông tin trên màn hình.</t>
  </si>
  <si>
    <r>
      <rPr>
        <rFont val="Times New Roman"/>
        <color rgb="FF1155CC"/>
        <sz val="12.0"/>
        <u/>
      </rPr>
      <t>QLTNXLHDVM_02.jpg</t>
    </r>
  </si>
  <si>
    <t>Xem lịch sử Timeline (AUDIT_LOG)</t>
  </si>
  <si>
    <t>- User CB_NV đã đăng nhập.
 - Bản ghi có lịch sử: MOI → TIEP_NHAN → DA_PHAN_CONG → DANG_XU_LY.</t>
  </si>
  <si>
    <t>1. Mở chi tiết bản ghi vừa cập nhật.
 2. Mở Accordion "lịch sử xử lý" (Timeline).</t>
  </si>
  <si>
    <t>Hệ thống hiển thị dòng thời gian liệt kê toàn bộ các thao tác đã thực hiện trên hỏi đáp theo thứ tự thời gian, gồm các cột: thời điểm, người thực hiện, hành động, giá trị cũ → giá trị mới.</t>
  </si>
  <si>
    <r>
      <rPr>
        <rFont val="Times New Roman"/>
        <color rgb="FF1155CC"/>
        <sz val="12.0"/>
        <u/>
      </rPr>
      <t>QLTNXLHDVM_03.jpg</t>
    </r>
  </si>
  <si>
    <t>Cập nhật thời hạn — thiếu lý do → bị chặn</t>
  </si>
  <si>
    <t>- User CB_NV đã đăng nhập.
 - HD-022 ở DANG_XU_LY.</t>
  </si>
  <si>
    <t>1. Mở chi tiết HD-022.
 2. Nhập thời hạn mới.
 3. Bỏ trống lý do.
 4. Click [Lưu].</t>
  </si>
  <si>
    <t>- Không cho phép lưu khi lý do trống.</t>
  </si>
  <si>
    <r>
      <rPr>
        <rFont val="Times New Roman"/>
        <color rgb="FF1155CC"/>
        <sz val="12.0"/>
        <u/>
      </rPr>
      <t>QLTNXLHDVM_04.jpg</t>
    </r>
  </si>
  <si>
    <t>CB NV ĐP xem timeline bản ghi thuộc đơn vị khác → bị chặn</t>
  </si>
  <si>
    <t>- User CB_NV_DP (Sở TP HN) đã đăng nhập.
 - Bản ghi thuộc đơn vị TW ở DANG_XU_LY.</t>
  </si>
  <si>
    <t>1. Thử truy cập chi tiết bản ghi (đơn vị TW).</t>
  </si>
  <si>
    <t xml:space="preserve">- Bản ghi KHÔNG xuất hiện trong danh sách tab "Đang xử lý" của CB_NV_DP.
</t>
  </si>
  <si>
    <r>
      <rPr>
        <rFont val="Times New Roman"/>
        <color rgb="FF1155CC"/>
        <sz val="12.0"/>
        <u/>
      </rPr>
      <t>QLTNXLHDVM_05.jpg</t>
    </r>
  </si>
  <si>
    <t>Xem danh sách đã xử lý — Read-only</t>
  </si>
  <si>
    <t>- User CB_NV đã đăng nhập.
 - Tồn tại bản ghi ở DA_DUYET, CONG_KHAI, HOAN_THANH.</t>
  </si>
  <si>
    <t>1. Mở tab "Hoàn thành" 
 2. Kiểm tra danh sách.</t>
  </si>
  <si>
    <t>- Chỉ hiển thị `trang_thai IN (DA_DUYET, CONG_KHAI, HOAN_THANH)`.
 - Read-only: KHÔNG có nút [Thêm mới], [Sửa], [Xóa].
 - Cột bổ sung: `nguoi_duyet`, `ngay_duyet`.</t>
  </si>
  <si>
    <t>Không có cột bổ sung Người duyệt, Ngày duyệt</t>
  </si>
  <si>
    <r>
      <rPr>
        <rFont val="Times New Roman"/>
        <color rgb="FF1155CC"/>
        <sz val="12.0"/>
        <u/>
      </rPr>
      <t>QLTNXLHDVM_06.jpg</t>
    </r>
  </si>
  <si>
    <t>chờ cf lại tách trạng thái hay gộp =&gt; tách trạng thái</t>
  </si>
  <si>
    <t>Xem chi tiết đã xử lý — hiển thị toàn bộ lịch sử</t>
  </si>
  <si>
    <t>- User CB_NV đã đăng nhập.
 - Bản ghi ở HOAN_THANH.</t>
  </si>
  <si>
    <t>1. Click vào Bản ghi.
 2. Xem SCR-II-02 (Chi tiết).</t>
  </si>
  <si>
    <t>- Hiển thị nội dung phản hồi cuối cùng.
 - Thông tin người duyệt + ngày duyệt.
 - Timeline đầy đủ từ MOI → ... → HOAN_THANH.
 - Tất cả trường bị disabled/locked (BR-FLOW-03).</t>
  </si>
  <si>
    <r>
      <rPr>
        <rFont val="Times New Roman"/>
        <color rgb="FF1155CC"/>
        <sz val="12.0"/>
        <u/>
      </rPr>
      <t>QLTNXLHDVM_07.jpg</t>
    </r>
  </si>
  <si>
    <t>CB_PD_TW xem data cấp BN/ĐP — xem được nhưng KHÔNG duyệt được</t>
  </si>
  <si>
    <t>- User CB_PD_TW đã đăng nhập.
 - HD-090 thuộc cấp BN ở DANG_XU_LY.</t>
  </si>
  <si>
    <t>1. Mở tab "Đang xử lý".
 2. Xác nhận HD-090 (cấp BN) CÓ hiển thị.
 3. Click vào HD-090.</t>
  </si>
  <si>
    <t>- BR-AUTH-04: CB_PD_TW CÓ quyền XEM toàn bộ TW + BN + ĐP.
 - HD-090 hiển thị trong danh sách.
 - Nhưng khi chuyển CHO_PHE_DUYET, nút [Phê duyệt] sẽ bị chặn (BR-AUTH-05: phê duyệt cùng cấp).</t>
  </si>
  <si>
    <r>
      <rPr>
        <rFont val="Times New Roman"/>
        <color rgb="FF1155CC"/>
        <sz val="12.0"/>
        <u/>
      </rPr>
      <t>QLTNXLHDVM_08.jpg</t>
    </r>
  </si>
  <si>
    <t>Cập nhật thời hạn — thời hạn mới &lt; ngày hiện tại → kiểm tra ràng buộc</t>
  </si>
  <si>
    <t>- User CB_NV đã đăng nhập.
 - Bản ghi ở DANG_XU_LY</t>
  </si>
  <si>
    <t>1. Mở chi tiết bản ghi.
 2. Nhập thời hạn mới &lt; ngày hiện tại.
 3. Click [Lưu].</t>
  </si>
  <si>
    <t xml:space="preserve">- Hệ thống chặn không cho cập nhật ngày &lt; thời hạn hiện tại
</t>
  </si>
  <si>
    <r>
      <rPr>
        <rFont val="Times New Roman"/>
        <color rgb="FF1155CC"/>
        <sz val="12.0"/>
        <u/>
      </rPr>
      <t>QLTNXLHDVM_09.jpg</t>
    </r>
  </si>
  <si>
    <t>Tìm kiếm thông tin hỏi đáp, vướng mắc pháp lý đã tiếp 
 nhận xử lý</t>
  </si>
  <si>
    <t>Tìm kiếm các yêu cầu đang nằm trong hàng đợi chờ xử lý hoặc đã được phân công xử lý.</t>
  </si>
  <si>
    <r>
      <rPr>
        <rFont val="Times New Roman"/>
        <color rgb="FF1155CC"/>
        <sz val="12.0"/>
        <u/>
      </rPr>
      <t>TKHDVMPLDTNXL_01.jpg</t>
    </r>
  </si>
  <si>
    <r>
      <rPr>
        <rFont val="Times New Roman"/>
        <color rgb="FF1155CC"/>
        <sz val="12.0"/>
        <u/>
      </rPr>
      <t>TKHDVMPLDTNXL_02.jpg</t>
    </r>
  </si>
  <si>
    <r>
      <rPr>
        <rFont val="Times New Roman"/>
        <color rgb="FF1155CC"/>
        <sz val="12.0"/>
        <u/>
      </rPr>
      <t>TKHDVMPLDTNXL_03.jpg</t>
    </r>
  </si>
  <si>
    <r>
      <rPr>
        <rFont val="Times New Roman"/>
        <color rgb="FF1155CC"/>
        <sz val="12.0"/>
        <u/>
      </rPr>
      <t>TKHDVMPLDTNXL_04.jpg</t>
    </r>
  </si>
  <si>
    <r>
      <rPr>
        <rFont val="Times New Roman"/>
        <color rgb="FF1155CC"/>
        <sz val="12.0"/>
        <u/>
      </rPr>
      <t>TKHDVMPLDTNXL_05.jpg</t>
    </r>
  </si>
  <si>
    <t>- Các bản ghi của các trạng thái khác vẫn hiển thị
- Số lượng bản ghi ở tab Tất cả hiển thị không đúng với số lượng bản ghi tìm kiếm</t>
  </si>
  <si>
    <r>
      <rPr>
        <rFont val="Times New Roman"/>
        <color rgb="FF1155CC"/>
        <sz val="12.0"/>
        <u/>
      </rPr>
      <t>TKHDVMPLDTNXL_06.webm</t>
    </r>
  </si>
  <si>
    <r>
      <rPr>
        <rFont val="Times New Roman"/>
        <color rgb="FF1155CC"/>
        <sz val="12.0"/>
        <u/>
      </rPr>
      <t>TKHDVMPLDTNXL_07.jpg</t>
    </r>
  </si>
  <si>
    <r>
      <rPr>
        <rFont val="Times New Roman"/>
        <color rgb="FF1155CC"/>
        <sz val="12.0"/>
        <u/>
      </rPr>
      <t>TKHDVMPLDTNXL_08.jpg</t>
    </r>
  </si>
  <si>
    <r>
      <rPr>
        <rFont val="Times New Roman"/>
        <color rgb="FF1155CC"/>
        <sz val="12.0"/>
        <u/>
      </rPr>
      <t>TKHDVMPLDTNXL_09.jpg</t>
    </r>
  </si>
  <si>
    <r>
      <rPr>
        <rFont val="Times New Roman"/>
        <color rgb="FF1155CC"/>
        <sz val="12.0"/>
        <u/>
      </rPr>
      <t>TKHDVMPLDTNXL_10.jpg</t>
    </r>
  </si>
  <si>
    <r>
      <rPr>
        <rFont val="Times New Roman"/>
        <color rgb="FF1155CC"/>
        <sz val="12.0"/>
        <u/>
      </rPr>
      <t>TKHDVMPLDTNXL_11.jpg</t>
    </r>
  </si>
  <si>
    <r>
      <rPr>
        <rFont val="Times New Roman"/>
        <color rgb="FF1155CC"/>
        <sz val="12.0"/>
        <u/>
      </rPr>
      <t>TKHDVMPLDTNXL_12.jpg</t>
    </r>
  </si>
  <si>
    <t>Phân công xử lý câu hỏi, vướng mắc</t>
  </si>
  <si>
    <t>Cung cấp công cụ cho CB Nghiệp vụ gán/chuyển yêu cầu hỏi đáp đến Người hỗ trợ/Tổ chức tư vấn phù hợp.</t>
  </si>
  <si>
    <t>Kiểm tra hiển thị màn hình phân công</t>
  </si>
  <si>
    <t>1. Cán  bộ TW,BN,ĐP đăng nhập thành công
2. Tồn tại bản ghi có trạng thái Tiếp nhận</t>
  </si>
  <si>
    <t>1. Chọn "Hỏi đáp pháp lý" 
2. Chọn bản ghi có trạng thái Tiếp nhận
3. Nhấn "Phân công"
4. Kiểm tra popup phân công được hiển thị</t>
  </si>
  <si>
    <t>Popup/màn hình phân công hiển thị đúng với thiết kế</t>
  </si>
  <si>
    <t>Popup/màn hình phân công không giống với thiết kế</t>
  </si>
  <si>
    <r>
      <rPr>
        <rFont val="Times New Roman"/>
        <color rgb="FF000000"/>
        <sz val="12.0"/>
        <u/>
      </rPr>
      <t>PCXLCHVM_01.webm</t>
    </r>
  </si>
  <si>
    <t xml:space="preserve">Phân công xử lý thành công </t>
  </si>
  <si>
    <t>1. Cán  bộ TW,BN,ĐP đăng nhập thành công
2. Tồn tại bản ghi có trạng thái Đang xử lý</t>
  </si>
  <si>
    <t>1. Chọn "Hỏi đáp pháp lý" 
2. Chọn bản ghi có trạng thái Đang xử lý
3. Nhấn "Phân công"
4. Chọn cán bộ, nhập ghi chú và nhấn Phân công</t>
  </si>
  <si>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</si>
  <si>
    <r>
      <rPr>
        <rFont val="Times New Roman"/>
        <color rgb="FF1155CC"/>
        <sz val="12.0"/>
        <u/>
      </rPr>
      <t>PCXLCHVM_01.webm</t>
    </r>
  </si>
  <si>
    <t>Phân công lại (re-assign) — thay đổi người xử lý</t>
  </si>
  <si>
    <t>- User CB_NV đã đăng nhập.
 - HD-031 ở DA_PHAN_CONG, `nguoi_xu_ly = CB_A`.</t>
  </si>
  <si>
    <t>1. Mở chi tiết HD-031.
 2. Nhấn [Phân công].
 3. Chọn CB_B thay CB_A.
 4. Click [Xác nhận].</t>
  </si>
  <si>
    <t>- Cập nhật người xử lý
 - Gửi thông báo cho CB_B.
 - AUDIT_LOG ghi thay đổi (CB_A → CB_B).</t>
  </si>
  <si>
    <r>
      <rPr>
        <rFont val="Times New Roman"/>
        <color rgb="FF1155CC"/>
        <sz val="12.0"/>
        <u/>
      </rPr>
      <t>PCXLCHVM_03.jpg</t>
    </r>
  </si>
  <si>
    <t>Phân công cho CB có workload quá tải — cảnh báo nhưng vẫn cho phép</t>
  </si>
  <si>
    <t>- User CB_NV đã đăng nhập.
 - HD-032 ở TIEP_NHAN.
 - CB_C đang xử lý 15 yêu cầu (vượt ngưỡng).</t>
  </si>
  <si>
    <t>1. Mở phân công HD-032.
 2. Danh sách gợi ý hiện CB_C với nhãn cảnh báo đỏ.
 3. Chọn CB_C.
 4. Click [Xác nhận].</t>
  </si>
  <si>
    <t>- **WRN-PC-01**: "CB {CB_C} đang xử lý {15} yêu cầu. Xác nhận phân công?".
 - Nhãn cảnh báo đỏ hiển thị trên dòng CB_C.
 - Cho phép lưu sau khi xác nhận (WARNING, KHÔNG block).</t>
  </si>
  <si>
    <r>
      <rPr>
        <rFont val="Times New Roman"/>
        <color rgb="FF1155CC"/>
        <sz val="12.0"/>
        <u/>
      </rPr>
      <t>PCXLCHVM_04.jpg</t>
    </r>
  </si>
  <si>
    <t>Phân công khi trạng thái không hợp lệ (HOAN_THANH) → lỗi</t>
  </si>
  <si>
    <t>- User CB_NV đã đăng nhập.
 - HD-034 ở HOAN_THANH.</t>
  </si>
  <si>
    <t>1. Thử nhấn [Phân công] cho HD-034.</t>
  </si>
  <si>
    <t>- Nút [Phân công] bị ẩn cho HOAN_THANH.
 - Nếu API: **ERR-PC-02**: "Hỏi đáp ở trạng thái 'HOAN_THANH' không thể phân công".</t>
  </si>
  <si>
    <r>
      <rPr>
        <rFont val="Times New Roman"/>
        <color rgb="FF1155CC"/>
        <sz val="12.0"/>
        <u/>
      </rPr>
      <t>PCXLCHVM_05.jpg</t>
    </r>
  </si>
  <si>
    <t>Phân công mà không chọn người xử lý → bị chặn</t>
  </si>
  <si>
    <t>- User CB_NV đã đăng nhập.
 - HD-035 ở TIEP_NHAN.</t>
  </si>
  <si>
    <t>1. Mở phân công HD-035.
 2. Không chọn người xử lý.
 3. Click [Xác nhận].</t>
  </si>
  <si>
    <t>- Hệ thống yêu cầu chọn người xử lý.
 - Nút [Xác nhận] bị disabled hoặc báo lỗi validation.</t>
  </si>
  <si>
    <r>
      <rPr>
        <rFont val="Times New Roman"/>
        <color rgb="FF1155CC"/>
        <sz val="12.0"/>
        <u/>
      </rPr>
      <t>PCXLCHVM_06.jpg</t>
    </r>
  </si>
  <si>
    <t>CB NV BN phân công — danh sách gợi ý chỉ hiện CB cùng đơn vị</t>
  </si>
  <si>
    <t>- User CB_NV_BN đã đăng nhập.
 - HD-037 ở TIEP_NHAN, thuộc đơn vị BN.</t>
  </si>
  <si>
    <t>1. Mở phân công HD-037.
 2. Kiểm tra danh sách CB gợi ý.</t>
  </si>
  <si>
    <t>- Chỉ hiện CB thuộc cùng đơn vị BN (Row-Level Security).
 - KHÔNG hiện CB TW, BN khác, ĐP.</t>
  </si>
  <si>
    <r>
      <rPr>
        <rFont val="Times New Roman"/>
        <color rgb="FF1155CC"/>
        <sz val="12.0"/>
        <u/>
      </rPr>
      <t>PCXLCHVM_07.jpg</t>
    </r>
  </si>
  <si>
    <t>Phân công + đặt thời hạn tùy chỉnh (override SLA default)</t>
  </si>
  <si>
    <t>- User CB_NV đã đăng nhập.
 - HD-038 ở TIEP_NHAN.
 - SLA mặc định = 5 ngày.</t>
  </si>
  <si>
    <t>1. Mở phân công HD-038.
 2. Ô thời hạn hiện mặc định theo SLA.
 3. Sửa thời hạn = 10 ngày.
 4. Click [Xác nhận].</t>
  </si>
  <si>
    <t>- Phân công thành công với thời hạn = 10 ngày (override SLA default).
 - Deadline tính theo giá trị tùy chỉnh.</t>
  </si>
  <si>
    <r>
      <rPr>
        <rFont val="Times New Roman"/>
        <color rgb="FF1155CC"/>
        <sz val="12.0"/>
        <u/>
      </rPr>
      <t>PCXLCHVM_08.jpg</t>
    </r>
  </si>
  <si>
    <t>Phản hồi câu hỏi, vướng mắc</t>
  </si>
  <si>
    <t>Cung cấp công cụ cho Người hỗ trợ/CB Nghiệp vụ soạn thảo và gửi nội dung phản hồi chính thức cho người gửi.</t>
  </si>
  <si>
    <t>Kiểm tra hiển thị màn hình/popup phản hồi</t>
  </si>
  <si>
    <t xml:space="preserve">- User CB_NV đã đăng nhập.
- Tồn tại bản ghi tài khoản đăng nhập được phân công xử lý </t>
  </si>
  <si>
    <t>1. Chọn "Hỏi đáp pháp lý" 
2. Chọn bản ghi có trạng thái Đang xử lý hoặc đã tiếp nhận
3. Nhấn trực tiếp vào bản ghi
4. Kiểm tra popup/màn hình phản hồi được hiển thị</t>
  </si>
  <si>
    <t>- Màn hình/popup phản hồi hiển thị các trường thông tin giống với thiết kế</t>
  </si>
  <si>
    <t>- Hệ thống hiển thị thiếu trường thông tin "Tệp đính kèm phản hồi"
- Nội dung phản hồi tối đa 5000 ký tự nhưng hệ thống cho phép tối đa 20000 ký tự</t>
  </si>
  <si>
    <r>
      <rPr>
        <rFont val="Times New Roman"/>
        <color rgb="FF1155CC"/>
        <sz val="12.0"/>
        <u/>
      </rPr>
      <t>PHCHVM_02.jpg</t>
    </r>
  </si>
  <si>
    <t xml:space="preserve">SRS v3.5 STT7 = 20000 =&gt; giới hạn 20000 ký tự là đúng </t>
  </si>
  <si>
    <t>Soạn phản hồi và lưu nháp thành công</t>
  </si>
  <si>
    <t>1. Chọn "Hỏi đáp pháp lý" 
2. Chọn bản ghi có trạng thái Đang xử lý
3. Nhấn trực tiếp vào bản ghi
4. Nhập thông tin phản hồi hợp lệ và nhấn Lưu nháp</t>
  </si>
  <si>
    <t>Hệ thống lưu hoặc cập nhật nội dung phản hồi hiện tại và giữ nguyên trạng thái hỏi đáp là "Đang xử lý". Không kích hoạt chuyển trạng thái.</t>
  </si>
  <si>
    <r>
      <rPr>
        <rFont val="Times New Roman"/>
        <color rgb="FF1155CC"/>
        <sz val="12.0"/>
        <u/>
      </rPr>
      <t>PHCHVM_01.webm</t>
    </r>
  </si>
  <si>
    <t>Đính kèm tài liệu VBPL khi phản hồi</t>
  </si>
  <si>
    <t>1. Chọn "Hỏi đáp pháp lý" 
2. Chọn bản ghi có trạng thái Đang xử lý
3. Nhấn trực tiếp vào bản ghi
4. Đính kèm tài liệu hợp lệ và nhấn Lưu nháp</t>
  </si>
  <si>
    <t>- File hiển thị trong danh sách đính kèm.
- Lưu nháp thành công.</t>
  </si>
  <si>
    <t>Hệ thống hiển thị thiếu trường thông tin "Tệp đính kèm phản hồi"</t>
  </si>
  <si>
    <r>
      <rPr>
        <rFont val="Times New Roman"/>
        <color rgb="FF1155CC"/>
        <sz val="12.0"/>
        <u/>
      </rPr>
      <t>PHCHVM_03.webm</t>
    </r>
  </si>
  <si>
    <t>Gửi phản hồi — nội dung trống → lỗi</t>
  </si>
  <si>
    <t>1. Chọn "Hỏi đáp pháp lý" -&gt; Chọn bản ghi có trạng thái Đang xử lý
 2. Bỏ trống nội dung.
 3. Tick "Đã trả lời".
 4. Click [Gửi].</t>
  </si>
  <si>
    <t>- Lỗi **ERR-PH-01**: "Nội dung phản hồi là bắt buộc".
 - KHÔNG chuyển trạng thái.</t>
  </si>
  <si>
    <r>
      <rPr>
        <rFont val="Times New Roman"/>
        <color rgb="FF1155CC"/>
        <sz val="12.0"/>
        <u/>
      </rPr>
      <t>PHCHVM_04.jpg</t>
    </r>
  </si>
  <si>
    <t>Phản hồi khi trạng thái không hợp lệ (DA_DUYET) → lỗi</t>
  </si>
  <si>
    <t>- User CB_NV đã đăng nhập.
- Tồn tại bản ghi tcó trạng thái Đã duyệt</t>
  </si>
  <si>
    <t>1. Chọn "Hỏi đáp pháp lý" -&gt; Chọn bản ghi có trạng thái Đã duyệt
 2. Thử soạn phản hồi.</t>
  </si>
  <si>
    <t xml:space="preserve">- Khu vực soạn phản hồi bị disabled/ẩn.
 </t>
  </si>
  <si>
    <r>
      <rPr>
        <rFont val="Times New Roman"/>
        <color rgb="FF1155CC"/>
        <sz val="12.0"/>
        <u/>
      </rPr>
      <t>PHCHVM_05.jpg</t>
    </r>
  </si>
  <si>
    <t>Phản hồi nội dung vượt 5000 ký tự → lỗi</t>
  </si>
  <si>
    <t>1. Soạn phản hồi 5001 ký tự.
 2. Click [Gửi].</t>
  </si>
  <si>
    <t>- Lỗi: Nội dung phản hồi tối đa 5000 ký tự (tương tự ERR-HD-02).</t>
  </si>
  <si>
    <t>Hệ thống cho phép nhập tối đa 20000 ký tự</t>
  </si>
  <si>
    <r>
      <rPr>
        <rFont val="Times New Roman"/>
        <color rgb="FF1155CC"/>
        <sz val="12.0"/>
        <u/>
      </rPr>
      <t>PHCHVM_06.jpg</t>
    </r>
  </si>
  <si>
    <t>Reject</t>
  </si>
  <si>
    <t>Người soạn KHÔNG phải người được phân công → cảnh báo</t>
  </si>
  <si>
    <t xml:space="preserve">- User CB_NV đã đăng nhập.
- Tồn tại bản ghi tài khoản đăng nhập không được phân công xử lý </t>
  </si>
  <si>
    <t>1. Chọn "Hỏi đáp pháp lý" -&gt; Chọn bản ghi không được phân công xử lý
 2. Soạn phản hồi và nhấn Gửi</t>
  </si>
  <si>
    <t>- **WRN-PH-01**: "Bạn không phải người được phân công. Vẫn muốn phản hồi?".
 - Cho phép tiếp tục nếu xác nhận (WARNING, không block).</t>
  </si>
  <si>
    <r>
      <rPr>
        <rFont val="Times New Roman"/>
        <color rgb="FF1155CC"/>
        <sz val="12.0"/>
        <u/>
      </rPr>
      <t>PHCHVM_07.jpg</t>
    </r>
  </si>
  <si>
    <t>Gửi phản hồi → thông báo gửi đúng CB PD cùng cấp</t>
  </si>
  <si>
    <t>- User CB_NV_BN đã đăng nhập (cấp BN).
 - HD-049 ở DANG_XU_LY.</t>
  </si>
  <si>
    <t>1. Soạn phản hồi hoàn chỉnh.
 2. Nhấn Gửi.
 3. Kiểm tra CB PD nhận thông báo.</t>
  </si>
  <si>
    <t xml:space="preserve">- Lưu phản hồi hiện tại.
- Tự động chuyển trạng thái hỏi đáp: "Đang xử lý" → "Chờ phê duyệt".
- Gửi thông báo trong phần mềm đến Cán bộ phê duyệt cùng cấp đơn vị.
- Lưu vết thao tác theo quy định.
</t>
  </si>
  <si>
    <r>
      <rPr>
        <rFont val="Times New Roman"/>
        <color rgb="FF1155CC"/>
        <sz val="12.0"/>
        <u/>
      </rPr>
      <t>PHCHVM_08.jpg</t>
    </r>
  </si>
  <si>
    <t>Phản hồi chính xác 5000 ký tự → boundary accept</t>
  </si>
  <si>
    <t>- User CB_NV đã đăng nhập.
 - HD-050 ở DANG_XU_LY.</t>
  </si>
  <si>
    <t>1. Soạn phản hồi đúng 5000 ký tự.
 2. Click [Gửi].</t>
  </si>
  <si>
    <t>Xác nhận thành công, hệ thống hiển thị "Đã gửi phản hồi đi phê duyệt".</t>
  </si>
  <si>
    <t>Hệ thống hiển thị đồng thời 2 thông báo "Đã lưu nháp phản hồi" và "Đã gửi phản hồi đi phê duyệt". khi nhấn Gửi</t>
  </si>
  <si>
    <r>
      <rPr>
        <rFont val="Times New Roman"/>
        <color rgb="FF1155CC"/>
        <sz val="12.0"/>
        <u/>
      </rPr>
      <t>PHCHVM_09.jpg</t>
    </r>
  </si>
  <si>
    <t>Chọn mẫu → pre-fill → chọn mẫu khác → confirm ghi đè</t>
  </si>
  <si>
    <t>- User CB_NV đã đăng nhập.
 - HD-112 ở DANG_XU_LY.
 - Đang soạn nội dung (có text).</t>
  </si>
  <si>
    <t>1. Chọn mẫu M1 → nội dung pre-fill.
 2. Sửa một phần nội dung.
 3. Chọn mẫu M2 (khác M1).</t>
  </si>
  <si>
    <t>- Confirm dialog: "Nội dung hiện tại sẽ bị thay thế. Xác nhận?".
 - Nếu confirm → ghi đè bằng M2.
 - Nếu hủy → giữ nguyên nội dung đang soạn.</t>
  </si>
  <si>
    <t>Hệ thống không cập nhật lại Nội dung phản hồi khi người dùng thay đổi mẫu</t>
  </si>
  <si>
    <r>
      <rPr>
        <rFont val="Times New Roman"/>
        <color rgb="FF1155CC"/>
        <sz val="12.0"/>
        <u/>
      </rPr>
      <t>PHCHVM_10.webm</t>
    </r>
  </si>
  <si>
    <t>Lĩnh vực không có MAU_PHAN_HOI → dropdown mẫu trống</t>
  </si>
  <si>
    <t>- User CB_NV đã đăng nhập.
 - HD-113 ở DANG_XU_LY, lĩnh vực "Thuế" (chưa có mẫu).</t>
  </si>
  <si>
    <t>1. Mở soạn phản hồi HD-113.
 2. Kiểm tra dropdown mẫu phản hồi.</t>
  </si>
  <si>
    <t>- Dropdown trống hoặc disabled: "Chưa có mẫu cho lĩnh vực này".
 - CB NV vẫn có thể soạn thủ công.</t>
  </si>
  <si>
    <r>
      <rPr>
        <rFont val="Times New Roman"/>
        <color rgb="FF1155CC"/>
        <sz val="12.0"/>
        <u/>
      </rPr>
      <t>PHCHVM_11.jpg</t>
    </r>
  </si>
  <si>
    <t>Phản hồi khi CB PD đang duyệt — form phải bị KHÓA ở CHO_PHE_DUYET</t>
  </si>
  <si>
    <t>- CB_NV_A đã đăng nhập.
 - HD-114 ở CHO_PHE_DUYET (A đã gửi).</t>
  </si>
  <si>
    <t>1. A quay lại chi tiết HD-114 (CHO_PHE_DUYET).
 2. Kiểm tra form soạn phản hồi.</t>
  </si>
  <si>
    <t>- Form soạn phản hồi BỊ KHÓA khi trạng thái = CHO_PHE_DUYET.
 - CB NV chỉ thao tác được ở DA_PHAN_CONG / DANG_XU_LY.
 - Nếu KHÔNG khóa → lỗ hổng: phản hồi mới ghi đè bản đang chờ duyệt.</t>
  </si>
  <si>
    <r>
      <rPr>
        <rFont val="Times New Roman"/>
        <color rgb="FF1155CC"/>
        <sz val="12.0"/>
        <u/>
      </rPr>
      <t>PHCHVM_12.jpg</t>
    </r>
  </si>
  <si>
    <t>Quản lý công khai phản hồi câu hỏi, vướng mắc</t>
  </si>
  <si>
    <t>Quản lý quy trình kiểm duyệt và xuất bản công khai các câu trả lời.</t>
  </si>
  <si>
    <t>Phê duyệt phản hồi thành công — CB PD cùng cấp</t>
  </si>
  <si>
    <t>- User **CB_PD_TW** đã đăng nhập.
 - HD-050 ở CHO_PHE_DUYET, do CB_NV_TW tạo/xử lý.</t>
  </si>
  <si>
    <t>1. Mở tab "Chờ duyệt".
 2. Click HD-050.
 3. Xem nội dung phản hồi.
 4. Nhấn [Phê duyệt].</t>
  </si>
  <si>
    <t>- Trạng thái: CHO_PHE_DUYET → **DA_DUYET**.
 - AUDIT_LOG ghi APPROVE.
 - Thông báo gửi cho CB_NV_TW (người soạn).
 - BR-AUTH-05: CB PD TW duyệt cho bản ghi TW → hợp lệ.</t>
  </si>
  <si>
    <t>Thông báo không được gửi cho cbnv_tw</t>
  </si>
  <si>
    <r>
      <rPr>
        <rFont val="Times New Roman"/>
        <color rgb="FF1155CC"/>
        <sz val="12.0"/>
        <u/>
      </rPr>
      <t>QLCKPHCHVM_01.webm</t>
    </r>
  </si>
  <si>
    <t>Đã xóa cache và verify lại trên dữ liệu mới nhất -&gt; pass</t>
  </si>
  <si>
    <t>Phê duyệt hàng loạt (Batch Approve) thành công</t>
  </si>
  <si>
    <t>- User CB_PD đã đăng nhập.
 - 5 bản ghi ở CHO_PHE_DUYET cùng cấp.</t>
  </si>
  <si>
    <t>1. Mở tab "Chờ duyệt".
 2. Tick chọn 5 bản ghi.
 3. Click [Phê duyệt hàng loạt].</t>
  </si>
  <si>
    <t>- Xử lý per-record.
 - Tất cả 5 chuyển CHO_PHE_DUYET → DA_DUYET.
 - Kết quả: "5 duyệt thành công, 0 lỗi".
 - AUDIT_LOG ghi 5 entries.</t>
  </si>
  <si>
    <t>Hệ thống không ghi lại lịch sử phê duyệt của các bản ghi</t>
  </si>
  <si>
    <r>
      <rPr>
        <rFont val="Times New Roman"/>
        <color rgb="FF000000"/>
        <sz val="12.0"/>
        <u/>
      </rPr>
      <t>QLCKPHCHVM_02.webm</t>
    </r>
  </si>
  <si>
    <t>Từ chối phê duyệt kèm lý do hợp lệ (≥10 ký tự)</t>
  </si>
  <si>
    <t>- User CB_PD đã đăng nhập.
 - HD-051 ở CHO_PHE_DUYET.</t>
  </si>
  <si>
    <t>1. Mở chi tiết HD-051.
 2. Nhấn [Từ chối].
 3. Nhập lý do từ chối.
 4. Click [Xác nhận].</t>
  </si>
  <si>
    <t>- Trạng thái: CHO_PHE_DUYET → DANG_XU_LY (trả lại CB NV sửa).
 - Lý do từ chối hiển thị cho CB NV.
 - Gửi thông báo in-app + email cho CB NV.
 - AUDIT_LOG ghi REJECT + lý do.</t>
  </si>
  <si>
    <r>
      <rPr>
        <rFont val="Times New Roman"/>
        <color rgb="FF1155CC"/>
        <sz val="12.0"/>
        <u/>
      </rPr>
      <t>QLCKPHCHVM_03.jpg</t>
    </r>
  </si>
  <si>
    <t>Từ chối — lý do trống → lỗi</t>
  </si>
  <si>
    <t>- User CB_PD đã đăng nhập.
 - HD-052 ở CHO_PHE_DUYET.</t>
  </si>
  <si>
    <t>1. Nhấn [Từ chối].
 2. Bỏ trống lý do.
 3. Click [Xác nhận].</t>
  </si>
  <si>
    <t>- Lỗi **ERR-PD-02**: "Vui lòng nhập lý do từ chối".
 - KHÔNG chuyển trạng thái.</t>
  </si>
  <si>
    <r>
      <rPr>
        <rFont val="Times New Roman"/>
        <color rgb="FF1155CC"/>
        <sz val="12.0"/>
        <u/>
      </rPr>
      <t>QLCKPHCHVM_04.jpg</t>
    </r>
  </si>
  <si>
    <t>Từ chối — lý do &lt; 10 ký tự → lỗi</t>
  </si>
  <si>
    <t>- User CB_PD đã đăng nhập.
 - HD-053 ở CHO_PHE_DUYET.</t>
  </si>
  <si>
    <t>1. Nhấn [Từ chối].
 2. Nhập "Thiếu" (5 ký tự).
 3. Click [Xác nhận].</t>
  </si>
  <si>
    <t>- Lỗi **ERR-PD-02** (min 10 ký tự theo BR-FLOW-04).
 - KHÔNG chuyển trạng thái.</t>
  </si>
  <si>
    <r>
      <rPr>
        <rFont val="Times New Roman"/>
        <color rgb="FF1155CC"/>
        <sz val="12.0"/>
        <u/>
      </rPr>
      <t>QLCKPHCHVM_05.jpg</t>
    </r>
  </si>
  <si>
    <t>Từ chối — CB PD phê duyệt xuyên cấp → lỗi</t>
  </si>
  <si>
    <t>- User **CB_PD_BN** đã đăng nhập.
 - HD-054 ở CHO_PHE_DUYET, thuộc đơn vị TW (hoặc ĐP khác cấp).</t>
  </si>
  <si>
    <t>1. Thử [Từ chối] hoặc [Phê duyệt] HD-054.</t>
  </si>
  <si>
    <t xml:space="preserve">- Bản ghi KHÔNG hiển thị trong danh sách CB_PD_BN.
</t>
  </si>
  <si>
    <r>
      <rPr>
        <rFont val="Times New Roman"/>
        <color rgb="FF1155CC"/>
        <sz val="12.0"/>
        <u/>
      </rPr>
      <t>QLCKPHCHVM_06.jpg</t>
    </r>
  </si>
  <si>
    <t>Phê duyệt bản ghi KHÔNG ở CHO_PHE_DUYET → lỗi</t>
  </si>
  <si>
    <t>- User CB_PD đã đăng nhập.
 - HD-055 ở DA_DUYET (đã duyệt rồi).</t>
  </si>
  <si>
    <t>1. Thử nhấn [Phê duyệt] HD-055.</t>
  </si>
  <si>
    <t xml:space="preserve">- Nút [Phê duyệt] bị ẩn cho DA_DUYET.
</t>
  </si>
  <si>
    <r>
      <rPr>
        <rFont val="Times New Roman"/>
        <color rgb="FF1155CC"/>
        <sz val="12.0"/>
        <u/>
      </rPr>
      <t>QLCKPHCHVM_07.jpg</t>
    </r>
  </si>
  <si>
    <t>Đóng hồ sơ thủ công OK — DA_DUYET → HOAN_THANH</t>
  </si>
  <si>
    <t>- User CB NV cùng đơn vị HOẶC CB PD cùng cấp đã đăng nhập.
 - HD-059 ở DA_DUYET.</t>
  </si>
  <si>
    <t>1. Mở chi tiết HD-059.
 2. Nhấn [Đóng hồ sơ].
 3. Confirm dialog: "Đóng hồ sơ? Hồ sơ sẽ không thể chỉnh sửa."
 4. Click [Xác nhận].</t>
  </si>
  <si>
    <t xml:space="preserve">- Trạng thái: DA_DUYET → **HOAN_THANH** 
 - Bản ghi bị khóa vĩnh viễn 
 - AUDIT_LOG ghi CLOSE.
 </t>
  </si>
  <si>
    <r>
      <rPr>
        <rFont val="Times New Roman"/>
        <color rgb="FF1155CC"/>
        <sz val="12.0"/>
        <u/>
      </rPr>
      <t>QLCKPHCHVM_08.jpg</t>
    </r>
  </si>
  <si>
    <t>Đóng hồ sơ từ CONG_KHAI → HOAN_THANH (skip DA_DUYET)</t>
  </si>
  <si>
    <t>- User CB NV / CB PD cùng cấp đã đăng nhập.
 - HD-062 ở CONG_KHAI.</t>
  </si>
  <si>
    <t>1. Mở chi tiết HD-062.
 2. Nhấn [Đóng hồ sơ].
 3. Xác nhận.</t>
  </si>
  <si>
    <t>- Trạng thái: CONG_KHAI → **HOAN_THANH** (luồng kết thúc từ CONG_KHAI).
 - Bản ghi bị khóa (BR-FLOW-03).
 - AUDIT_LOG ghi CLOSE.</t>
  </si>
  <si>
    <r>
      <rPr>
        <rFont val="Times New Roman"/>
        <color rgb="FF1155CC"/>
        <sz val="12.0"/>
        <u/>
      </rPr>
      <t>QLCKPHCHVM_09.jpg</t>
    </r>
  </si>
  <si>
    <t>CB PD xem nội dung phản hồi — Read-only (KHÔNG có nút sửa trên UI)</t>
  </si>
  <si>
    <t>- User CB_PD đã đăng nhập.
 - HD-121 ở CHO_PHE_DUYET.</t>
  </si>
  <si>
    <t>1. Mở chi tiết HD-121.
 2. Kiểm tra section phản hồi.</t>
  </si>
  <si>
    <t xml:space="preserve">- Nội dung phản hồi hiển thị read-only (KHÔNG có Rich-text editor).
 - CB_PD KHÔNG có form sửa trực tiếp PHAN_HOI </t>
  </si>
  <si>
    <r>
      <rPr>
        <rFont val="Times New Roman"/>
        <color rgb="FF1155CC"/>
        <sz val="12.0"/>
        <u/>
      </rPr>
      <t>QLCKPHCHVM_10.jpg</t>
    </r>
  </si>
  <si>
    <t>Confirm dialog: Phê duyệt đơn lẻ phải hiện confirm</t>
  </si>
  <si>
    <t>- User CB_PD đã đăng nhập.
 - HD-122 ở CHO_PHE_DUYET.</t>
  </si>
  <si>
    <t>1. Nhấn [Phê duyệt].
 2. Kiểm tra confirm dialog.</t>
  </si>
  <si>
    <t>- Confirm dialog BẮT BUỘC hiện trước khi phê duyệt (SCR-II-02 C12).
 - Nội dung: "Xác nhận phê duyệt?".
 - [Xác nhận] → thực hiện. [Hủy] → quay lại.</t>
  </si>
  <si>
    <r>
      <rPr>
        <rFont val="Times New Roman"/>
        <color rgb="FF1155CC"/>
        <sz val="12.0"/>
        <u/>
      </rPr>
      <t>QLCKPHCHVM_11.jpg</t>
    </r>
  </si>
  <si>
    <t>II.3</t>
  </si>
  <si>
    <t>Quản lý danh sách câu hỏi, vướng mắc đã xử lý</t>
  </si>
  <si>
    <t>Quản lý câu hỏi, vướng mắc đã xử lý</t>
  </si>
  <si>
    <t>Quản lý các trường dữ liệu chi tiết của từng yêu cầu đã hoàn thành xử lý.</t>
  </si>
  <si>
    <t>1. Chọn "Hỏi đáp pháp lý" -&gt; Mở tab "Đang xử lý".
 2. Kiểm tra danh sách.</t>
  </si>
  <si>
    <t>- Chỉ hiển thị `trang_thai IN (TIEP_NHAN, DA_PHAN_CONG, DANG_XU_LY)`.
 - KHÔNG hiển thị MOI, DA_DUYET, CONG_KHAI, HOAN_THANH.
 - Không có nút [Thêm mới] / [Xóa].</t>
  </si>
  <si>
    <t>Hệ thống hiển thị nút "Xóa"</t>
  </si>
  <si>
    <r>
      <rPr>
        <rFont val="Times New Roman"/>
        <color rgb="FF1155CC"/>
        <sz val="12.0"/>
        <u/>
      </rPr>
      <t>QLCHVMDXL_01.jpg</t>
    </r>
  </si>
  <si>
    <t>đúng srs</t>
  </si>
  <si>
    <t>1. Mở chi tiết
 2. Nhập thời hạn mới 
 3. Nhập lý do thay đổi.
 4. Click [Lưu].</t>
  </si>
  <si>
    <t>- Cập nhật thành công, thời hạn mới 
 - AUDIT_LOG ghi UPDATE (thời hạn cũ → mới + lý do).
 - Thông báo gửi cho người được phân công.</t>
  </si>
  <si>
    <r>
      <rPr>
        <rFont val="Times New Roman"/>
        <color rgb="FF1155CC"/>
        <sz val="12.0"/>
        <u/>
      </rPr>
      <t>QLCHVMDXL_02.jpg</t>
    </r>
  </si>
  <si>
    <t>1. Mở chi tiết bản ghi
 2. Mở Lịch sử xử lý.</t>
  </si>
  <si>
    <t>- Hiển thị đầy đủ dòng thời gian các thao tác đã thực hiện trên hỏi đáp.</t>
  </si>
  <si>
    <r>
      <rPr>
        <rFont val="Times New Roman"/>
        <color rgb="FF1155CC"/>
        <sz val="12.0"/>
        <u/>
      </rPr>
      <t>QLCHVMDXL_03.jpg</t>
    </r>
  </si>
  <si>
    <t>- Hệ thống yêu cầu nhập lý do thay đổi.
 - Không cho phép lưu khi lý do trống.</t>
  </si>
  <si>
    <r>
      <rPr>
        <rFont val="Times New Roman"/>
        <color rgb="FF1155CC"/>
        <sz val="12.0"/>
        <u/>
      </rPr>
      <t>QLCHVMDXL_04.jpg</t>
    </r>
  </si>
  <si>
    <t>- User CB_NV_DP (Sở TP HN) đã đăng nhập.
 - HD-023 thuộc đơn vị TW ở DANG_XU_LY.</t>
  </si>
  <si>
    <t>1. Thử truy cập chi tiết HD-023 (đơn vị TW).</t>
  </si>
  <si>
    <t>- HD-023 KHÔNG xuất hiện trong danh sách tab "Đang xử lý" của CB_NV_DP.
 - Row-Level Security (BR-AUTH-08) chặn ở tầng data.</t>
  </si>
  <si>
    <r>
      <rPr>
        <rFont val="Times New Roman"/>
        <color rgb="FF1155CC"/>
        <sz val="12.0"/>
        <u/>
      </rPr>
      <t>QLCHVMDXL_05.jpg</t>
    </r>
  </si>
  <si>
    <t>- Không có cột bổ sung Người duyệt, Ngày duyệt</t>
  </si>
  <si>
    <r>
      <rPr>
        <rFont val="Times New Roman"/>
        <color rgb="FF1155CC"/>
        <sz val="12.0"/>
        <u/>
      </rPr>
      <t>QLCHVMDXL_06.jpg</t>
    </r>
  </si>
  <si>
    <t>chờ cf lại tách trạng thái hay gộp</t>
  </si>
  <si>
    <t>- User CB_NV đã đăng nhập.
 - HD-024 ở HOAN_THANH.</t>
  </si>
  <si>
    <t>1. Click vào HD-024.
 2. Xem SCR-II-02 (Chi tiết).</t>
  </si>
  <si>
    <r>
      <rPr>
        <rFont val="Times New Roman"/>
        <color rgb="FF1155CC"/>
        <sz val="12.0"/>
        <u/>
      </rPr>
      <t>QLCHVMDXL_07.jpg</t>
    </r>
  </si>
  <si>
    <t>Thử sửa bản ghi HOAN_THANH → bị khóa</t>
  </si>
  <si>
    <t>- User CB_NV đã đăng nhập.
 - HD-025 ở HOAN_THANH.</t>
  </si>
  <si>
    <t>1. Mở chi tiết HD-025.
 2. Thử sửa nội dung.</t>
  </si>
  <si>
    <t>- Nút [Sửa] bị ẩn/disabled.
 - BR-FLOW-03: bản ghi ở HOAN_THANH bị khóa hoàn toàn.</t>
  </si>
  <si>
    <r>
      <rPr>
        <rFont val="Times New Roman"/>
        <color rgb="FF1155CC"/>
        <sz val="12.0"/>
        <u/>
      </rPr>
      <t>QLCHVMDXL_08.jpg</t>
    </r>
  </si>
  <si>
    <r>
      <rPr>
        <rFont val="Times New Roman"/>
        <color rgb="FF1155CC"/>
        <sz val="12.0"/>
        <u/>
      </rPr>
      <t>QLCHVMDXL_09.jpg</t>
    </r>
  </si>
  <si>
    <t>1. Mở chi tiết bản ghi và cập nhật thời hạn
 3. Click [Lưu].</t>
  </si>
  <si>
    <t>- Hệ thống không cho phép chọn hạn mới &lt; ngày hiện tại hoặc chặn: "Thời hạn phải lớn hơn ngày hiện tại".
- Nếu chấp nhận: bản ghi lập tức chuyển badge ĐỎ/ĐEN.</t>
  </si>
  <si>
    <r>
      <rPr>
        <rFont val="Times New Roman"/>
        <color rgb="FF1155CC"/>
        <sz val="12.0"/>
        <u/>
      </rPr>
      <t>QLCHVMDXL_10.jpg</t>
    </r>
  </si>
  <si>
    <t>Tìm kiếm thông tin câu hỏi, vướng mắc đã xử lý</t>
  </si>
  <si>
    <t>Tìm kiếm trong kho dữ liệu các câu hỏi và câu trả lời đã được xử lý xong.</t>
  </si>
  <si>
    <r>
      <rPr>
        <rFont val="Times New Roman"/>
        <color rgb="FF1155CC"/>
        <sz val="12.0"/>
        <u/>
      </rPr>
      <t>TKCHVMDXL_01.jpg</t>
    </r>
  </si>
  <si>
    <r>
      <rPr>
        <rFont val="Times New Roman"/>
        <color rgb="FF1155CC"/>
        <sz val="12.0"/>
        <u/>
      </rPr>
      <t>TKCHVMDXL_02.jpg</t>
    </r>
  </si>
  <si>
    <r>
      <rPr>
        <rFont val="Times New Roman"/>
        <color rgb="FF1155CC"/>
        <sz val="12.0"/>
        <u/>
      </rPr>
      <t>TKCHVMDXL_03.jpg</t>
    </r>
  </si>
  <si>
    <r>
      <rPr>
        <rFont val="Times New Roman"/>
        <color rgb="FF1155CC"/>
        <sz val="12.0"/>
        <u/>
      </rPr>
      <t>TKCHVMDXL_04.jpg</t>
    </r>
  </si>
  <si>
    <r>
      <rPr>
        <rFont val="Times New Roman"/>
        <color rgb="FF1155CC"/>
        <sz val="12.0"/>
        <u/>
      </rPr>
      <t>TKCHVMDXL_05.jpg</t>
    </r>
  </si>
  <si>
    <t>Hệ thống hiển thị toàn bộ bản ghi</t>
  </si>
  <si>
    <r>
      <rPr>
        <rFont val="Times New Roman"/>
        <color rgb="FF1155CC"/>
        <sz val="12.0"/>
        <u/>
      </rPr>
      <t>TKCHVMDXL_06.webm</t>
    </r>
  </si>
  <si>
    <r>
      <rPr>
        <rFont val="Times New Roman"/>
        <color rgb="FF1155CC"/>
        <sz val="12.0"/>
        <u/>
      </rPr>
      <t>TKCHVMDXL_07.jpg</t>
    </r>
  </si>
  <si>
    <r>
      <rPr>
        <rFont val="Times New Roman"/>
        <color rgb="FF1155CC"/>
        <sz val="12.0"/>
        <u/>
      </rPr>
      <t>TKCHVMDXL_08.jpg</t>
    </r>
  </si>
  <si>
    <r>
      <rPr>
        <rFont val="Times New Roman"/>
        <color rgb="FF1155CC"/>
        <sz val="12.0"/>
        <u/>
      </rPr>
      <t>TKCHVMDXL_09.jpg</t>
    </r>
  </si>
  <si>
    <r>
      <rPr>
        <rFont val="Times New Roman"/>
        <color rgb="FF1155CC"/>
        <sz val="12.0"/>
        <u/>
      </rPr>
      <t>TKCHVMDXL_10.jpg</t>
    </r>
  </si>
  <si>
    <t>Tab "Tất cả" hiển thị số lượng bản ghi phù hợp với tiêu chí tìm kiếm nhưng bảng danh sách không hiển thị bản ghi nào</t>
  </si>
  <si>
    <r>
      <rPr>
        <rFont val="Times New Roman"/>
        <color rgb="FF1155CC"/>
        <sz val="12.0"/>
        <u/>
      </rPr>
      <t>TKCHVMDXL_11.webm</t>
    </r>
  </si>
  <si>
    <r>
      <rPr>
        <rFont val="Times New Roman"/>
        <color rgb="FF1155CC"/>
        <sz val="12.0"/>
        <u/>
      </rPr>
      <t>TKCHVMDXL_12.jpg</t>
    </r>
  </si>
  <si>
    <t>III</t>
  </si>
  <si>
    <t>Quản lý thông tin chương trình đào tạo, tập huấn</t>
  </si>
  <si>
    <t>Quản lý chương trình đào tạo, tập huấn</t>
  </si>
  <si>
    <t>Cán  bộ  nghiệp  vụ 
 TW,BN,ĐP</t>
  </si>
  <si>
    <t>Tổng hợp và quản lý danh sách các chương trình đào tạo/tập huấn đã, đang và sẽ diễn ra.</t>
  </si>
  <si>
    <t>Mở màn danh sách</t>
  </si>
  <si>
    <t>Đăng nhập</t>
  </si>
  <si>
    <t>-</t>
  </si>
  <si>
    <t>1.Mở menu Đào tạo&gt;Chương trình đào tạo</t>
  </si>
  <si>
    <t>Hiển thị đầy đủ danh sách, cột: Mã,Tên,Lĩnh vực,Ngân sách,Số khóa,Trạng thái,Hành động</t>
  </si>
  <si>
    <r>
      <rPr>
        <rFont val="Times New Roman"/>
        <color rgb="FF1155CC"/>
        <sz val="12.0"/>
        <u/>
      </rPr>
      <t>TTCTDTTH_02.jpg</t>
    </r>
  </si>
  <si>
    <t>Kiểm tra phân trang</t>
  </si>
  <si>
    <t>Có &gt;20 bản ghi</t>
  </si>
  <si>
    <t>Chuyển trang</t>
  </si>
  <si>
    <t>Hiển thị đúng dữ liệu trang tiếp theo</t>
  </si>
  <si>
    <r>
      <rPr>
        <rFont val="Times New Roman"/>
        <color rgb="FF1155CC"/>
        <sz val="12.0"/>
        <u/>
      </rPr>
      <t>TTCTDTTH_01.jpg</t>
    </r>
  </si>
  <si>
    <t>Theo tên CT</t>
  </si>
  <si>
    <t>Tên hợp lệ</t>
  </si>
  <si>
    <t>Nhập tên và bấm Tìm kiếm</t>
  </si>
  <si>
    <t>Chỉ hiển thị bản ghi phù hợp</t>
  </si>
  <si>
    <r>
      <rPr>
        <rFont val="Times New Roman"/>
        <color rgb="FF1155CC"/>
        <sz val="12.0"/>
        <u/>
      </rPr>
      <t>TTCTDTTH_03.jpg</t>
    </r>
  </si>
  <si>
    <t>Theo mã CT</t>
  </si>
  <si>
    <t>Mã hợp lệ</t>
  </si>
  <si>
    <t>Nhập mã và tìm</t>
  </si>
  <si>
    <t>Trả đúng bản ghi</t>
  </si>
  <si>
    <r>
      <rPr>
        <rFont val="Times New Roman"/>
        <color rgb="FF1155CC"/>
        <sz val="12.0"/>
        <u/>
      </rPr>
      <t>TTCTDTTH_04.jpg</t>
    </r>
  </si>
  <si>
    <t>Không có kết quả</t>
  </si>
  <si>
    <t>abcxyz</t>
  </si>
  <si>
    <t>Nhập từ khóa không tồn tại</t>
  </si>
  <si>
    <t>Hiển thị không có dữ liệu</t>
  </si>
  <si>
    <r>
      <rPr>
        <rFont val="Times New Roman"/>
        <color rgb="FF1155CC"/>
        <sz val="12.0"/>
        <u/>
      </rPr>
      <t>TTCTDTTH_05.jpg</t>
    </r>
  </si>
  <si>
    <t>Theo lĩnh vực</t>
  </si>
  <si>
    <t>Lao động</t>
  </si>
  <si>
    <t>Chọn lĩnh vực&gt;Tìm kiếm</t>
  </si>
  <si>
    <t>Chỉ hiển thị lĩnh vực đã chọn</t>
  </si>
  <si>
    <r>
      <rPr>
        <rFont val="Times New Roman"/>
        <color rgb="FF1155CC"/>
        <sz val="12.0"/>
        <u/>
      </rPr>
      <t>TTCTDTTH_06.jpg</t>
    </r>
  </si>
  <si>
    <t>Theo khoảng ngày</t>
  </si>
  <si>
    <t>Hợp lệ</t>
  </si>
  <si>
    <t>Chọn từ ngày-đến ngày</t>
  </si>
  <si>
    <t>Hiển thị đúng kết quả</t>
  </si>
  <si>
    <r>
      <rPr>
        <rFont val="Times New Roman"/>
        <color rgb="FF1155CC"/>
        <sz val="12.0"/>
        <u/>
      </rPr>
      <t>TTCTDTTH_07.jpg</t>
    </r>
  </si>
  <si>
    <t>Từ ngày &gt; Đến ngày</t>
  </si>
  <si>
    <t>Chọn sai khoảng ngày</t>
  </si>
  <si>
    <t>Hiển thị cảnh báo hoặc không cho tìm</t>
  </si>
  <si>
    <r>
      <rPr>
        <rFont val="Times New Roman"/>
        <color rgb="FF1155CC"/>
        <sz val="12.0"/>
        <u/>
      </rPr>
      <t>TTCTDTTH_08.jpg</t>
    </r>
  </si>
  <si>
    <t>Reset điều kiện</t>
  </si>
  <si>
    <t>Đã nhập điều kiện</t>
  </si>
  <si>
    <t>Toàn bộ điều kiện được xóa, danh sách mặc định</t>
  </si>
  <si>
    <r>
      <rPr>
        <rFont val="Times New Roman"/>
        <color rgb="FF1155CC"/>
        <sz val="12.0"/>
        <u/>
      </rPr>
      <t>TTCTDTTH_09.jpg</t>
    </r>
  </si>
  <si>
    <t>Refresh</t>
  </si>
  <si>
    <t>Danh sách tải lại</t>
  </si>
  <si>
    <r>
      <rPr>
        <rFont val="Times New Roman"/>
        <color rgb="FF1155CC"/>
        <sz val="12.0"/>
        <u/>
      </rPr>
      <t>TTCTDTTH_10.jpg</t>
    </r>
  </si>
  <si>
    <t>Tất cả</t>
  </si>
  <si>
    <t>Chọn tab Tất cả</t>
  </si>
  <si>
    <t>Hiển thị toàn bộ</t>
  </si>
  <si>
    <r>
      <rPr>
        <rFont val="Times New Roman"/>
        <color rgb="FF1155CC"/>
        <sz val="12.0"/>
        <u/>
      </rPr>
      <t>TTCTDTTH_11.jpg</t>
    </r>
  </si>
  <si>
    <t>Dự thảo</t>
  </si>
  <si>
    <t>Chọn tab Dự thảo</t>
  </si>
  <si>
    <t>Chỉ hiển thị Dự thảo</t>
  </si>
  <si>
    <r>
      <rPr>
        <rFont val="Times New Roman"/>
        <color rgb="FF1155CC"/>
        <sz val="12.0"/>
        <u/>
      </rPr>
      <t>TTCTDTTH_12.jpg</t>
    </r>
  </si>
  <si>
    <t>Chờ duyệt</t>
  </si>
  <si>
    <t>Chọn tab Chờ duyệt</t>
  </si>
  <si>
    <t>Chỉ hiển thị Chờ duyệt</t>
  </si>
  <si>
    <r>
      <rPr>
        <rFont val="Times New Roman"/>
        <color rgb="FF1155CC"/>
        <sz val="12.0"/>
        <u/>
      </rPr>
      <t>TTCTDTTH_13.jpg</t>
    </r>
  </si>
  <si>
    <t>Đã duyệt</t>
  </si>
  <si>
    <t>Chọn tab Đã duyệt</t>
  </si>
  <si>
    <t>Chỉ hiển thị Đã duyệt</t>
  </si>
  <si>
    <r>
      <rPr>
        <rFont val="Times New Roman"/>
        <color rgb="FF1155CC"/>
        <sz val="12.0"/>
        <u/>
      </rPr>
      <t>TTCTDTTH_14.jpg</t>
    </r>
  </si>
  <si>
    <t>Đã hủy</t>
  </si>
  <si>
    <t>Chọn tab Đã hủy</t>
  </si>
  <si>
    <t>Chỉ hiển thị Đã hủy</t>
  </si>
  <si>
    <r>
      <rPr>
        <rFont val="Times New Roman"/>
        <color rgb="FF1155CC"/>
        <sz val="12.0"/>
        <u/>
      </rPr>
      <t>TTCTDTTH_15.jpg</t>
    </r>
  </si>
  <si>
    <t>Đang thực hiện</t>
  </si>
  <si>
    <t>Chọn tab Đang thực hiện</t>
  </si>
  <si>
    <t>Chỉ hiển thị Đang thực hiện</t>
  </si>
  <si>
    <t>Hoàn thành</t>
  </si>
  <si>
    <t>Chọn tab Hoàn thành</t>
  </si>
  <si>
    <t>Chỉ hiển thị Hoàn thành</t>
  </si>
  <si>
    <t>Icon mắt</t>
  </si>
  <si>
    <t>Bấm icon mắt</t>
  </si>
  <si>
    <t>Mở màn chi tiết đúng CT</t>
  </si>
  <si>
    <r>
      <rPr>
        <rFont val="Times New Roman"/>
        <color rgb="FF1155CC"/>
        <sz val="12.0"/>
        <u/>
      </rPr>
      <t>TTCTDTTH_18.jpg</t>
    </r>
  </si>
  <si>
    <t>Icon bút</t>
  </si>
  <si>
    <t>Có quyền sửa</t>
  </si>
  <si>
    <t>Bấm icon sửa</t>
  </si>
  <si>
    <t>Mở màn chỉnh sửa</t>
  </si>
  <si>
    <r>
      <rPr>
        <rFont val="Times New Roman"/>
        <color rgb="FF1155CC"/>
        <sz val="12.0"/>
        <u/>
      </rPr>
      <t>TTCTDTTH_19.jpg</t>
    </r>
  </si>
  <si>
    <t>Nút Thêm mới</t>
  </si>
  <si>
    <t>Có quyền</t>
  </si>
  <si>
    <t>Bấm Thêm mới</t>
  </si>
  <si>
    <t>Đi tới màn tạo mới</t>
  </si>
  <si>
    <r>
      <rPr>
        <rFont val="Times New Roman"/>
        <color rgb="FF1155CC"/>
        <sz val="12.0"/>
        <u/>
      </rPr>
      <t>TTCTDTTH_20.jpg</t>
    </r>
  </si>
  <si>
    <t>Export</t>
  </si>
  <si>
    <t>Bấm Xuất Excel</t>
  </si>
  <si>
    <t>Tải file thành công, dữ liệu đúng</t>
  </si>
  <si>
    <r>
      <rPr>
        <rFont val="Times New Roman"/>
        <color rgb="FF1155CC"/>
        <sz val="12.0"/>
        <u/>
      </rPr>
      <t>TTCTDTTH_21.jpg</t>
    </r>
  </si>
  <si>
    <t>Kiểm tra footer</t>
  </si>
  <si>
    <t>Quan sát footer</t>
  </si>
  <si>
    <t>Hiển thị đúng x-y/tổng kết quả</t>
  </si>
  <si>
    <r>
      <rPr>
        <rFont val="Times New Roman"/>
        <color rgb="FF1155CC"/>
        <sz val="12.0"/>
        <u/>
      </rPr>
      <t>TTCTDTTH_22.jpg</t>
    </r>
  </si>
  <si>
    <t>20/trang</t>
  </si>
  <si>
    <t>Đổi 20-&gt;50</t>
  </si>
  <si>
    <t>Hiển thị đúng số dòng</t>
  </si>
  <si>
    <r>
      <rPr>
        <rFont val="Times New Roman"/>
        <color rgb="FF1155CC"/>
        <sz val="12.0"/>
        <u/>
      </rPr>
      <t>TTCTDTTH_23.jpg</t>
    </r>
  </si>
  <si>
    <t>Tìm kiếm chương trình đào tạo, tập huấn</t>
  </si>
  <si>
    <t>Cán bộ nghiệp vụ TW,BN,ĐP/Cán bộ phê duyệt TW,BN,ĐP/Doanh nghiệp/Người hỗ trợ</t>
  </si>
  <si>
    <t>Cung cấp công cụ tìm kiếm khóa học theo tên, thời gian, lĩnh vực.</t>
  </si>
  <si>
    <t>Kiểm tra placeholder ô tìm kiếm</t>
  </si>
  <si>
    <t>User đã đăng nhập và ở màn danh sách CTĐT</t>
  </si>
  <si>
    <t>Không nhập dữ liệu</t>
  </si>
  <si>
    <t>Quan sát ô tìm kiếm bên trái bộ lọc</t>
  </si>
  <si>
    <t>Hiển thị placeholder 'Tìm theo tên/mã CTĐT' đúng UI, không che khuất nội dung</t>
  </si>
  <si>
    <r>
      <rPr>
        <rFont val="Times New Roman"/>
        <color rgb="FF1155CC"/>
        <sz val="12.0"/>
        <u/>
      </rPr>
      <t>TKCTDTTH_01.jpg</t>
    </r>
  </si>
  <si>
    <t>Tìm kiếm theo tên chương trình</t>
  </si>
  <si>
    <t>Có dữ liệu chương trình trong danh sách</t>
  </si>
  <si>
    <t>Chương trình đào tạo luật lao động năm 2026</t>
  </si>
  <si>
    <t>1. Nhập tên chương trình
 2. Bấm Tìm kiếm</t>
  </si>
  <si>
    <t>Danh sách chỉ hiển thị các chương trình có tên khớp điều kiện tìm kiếm</t>
  </si>
  <si>
    <r>
      <rPr>
        <rFont val="Times New Roman"/>
        <color rgb="FF1155CC"/>
        <sz val="12.0"/>
        <u/>
      </rPr>
      <t>TKCTDTTH_02.jpg</t>
    </r>
  </si>
  <si>
    <t xml:space="preserve">Tìm kiếm theo mã CTĐT </t>
  </si>
  <si>
    <t>Có dữ liệu phù hợp</t>
  </si>
  <si>
    <t>CTDT-BTP-TW-2026-0008</t>
  </si>
  <si>
    <t>1. Nhập mã CTĐT
 2. Bấm Tìm kiếm</t>
  </si>
  <si>
    <t>Hiển thị đúng chương trình có mã tương ứng</t>
  </si>
  <si>
    <r>
      <rPr>
        <rFont val="Times New Roman"/>
        <color rgb="FF1155CC"/>
        <sz val="12.0"/>
        <u/>
      </rPr>
      <t>TKCTDTTH_03.jpg</t>
    </r>
  </si>
  <si>
    <t>Tìm kiếm không phân biệt hoa thường</t>
  </si>
  <si>
    <t>LUẬT LAO ĐỘNG</t>
  </si>
  <si>
    <t>1. Nhập từ khóa khác kiểu chữ
 2. Bấm Tìm kiếm</t>
  </si>
  <si>
    <t>Kết quả vẫn trả về đúng như khi nhập chữ thường</t>
  </si>
  <si>
    <r>
      <rPr>
        <rFont val="Times New Roman"/>
        <color rgb="FF1155CC"/>
        <sz val="12.0"/>
        <u/>
      </rPr>
      <t>TKCTDTTH_04.jpg</t>
    </r>
  </si>
  <si>
    <t>Tìm kiếm có khoảng trắng đầu/cuối</t>
  </si>
  <si>
    <t>luật lao động</t>
  </si>
  <si>
    <t>1. Nhập từ khóa có khoảng trắng
 2. Bấm Tìm kiếm</t>
  </si>
  <si>
    <t>Hệ thống tự trim khoảng trắng và trả về kết quả đúng</t>
  </si>
  <si>
    <r>
      <rPr>
        <rFont val="Times New Roman"/>
        <color rgb="FF1155CC"/>
        <sz val="12.0"/>
        <u/>
      </rPr>
      <t>TKCTDTTH_05.jpg</t>
    </r>
  </si>
  <si>
    <t>Tìm kiếm ký tự không tồn tại</t>
  </si>
  <si>
    <t>Không có dữ liệu khớp</t>
  </si>
  <si>
    <t>abcxyz123</t>
  </si>
  <si>
    <t>Hiển thị trạng thái không có dữ liệu/kết quả; không lỗi giao diện</t>
  </si>
  <si>
    <r>
      <rPr>
        <rFont val="Times New Roman"/>
        <color rgb="FF1155CC"/>
        <sz val="12.0"/>
        <u/>
      </rPr>
      <t>TKCTDTTH_06.jpg</t>
    </r>
  </si>
  <si>
    <t>Tìm kiếm ký tự đặc biệt</t>
  </si>
  <si>
    <t>@#$%^&amp;*</t>
  </si>
  <si>
    <t>1. Nhập ký tự đặc biệt
 2. Bấm Tìm kiếm</t>
  </si>
  <si>
    <t>Không phát sinh lỗi; hệ thống xử lý an toàn và trả kết quả rỗng nếu không khớp</t>
  </si>
  <si>
    <r>
      <rPr>
        <rFont val="Times New Roman"/>
        <color rgb="FF1155CC"/>
        <sz val="12.0"/>
        <u/>
      </rPr>
      <t>TKCTDTTH_07.jpg</t>
    </r>
  </si>
  <si>
    <t>Mở dropdown lĩnh vực</t>
  </si>
  <si>
    <t>Có dữ liệu danh mục lĩnh vực</t>
  </si>
  <si>
    <t>1. Click ô Lĩnh vực</t>
  </si>
  <si>
    <t>Dropdown hiển thị danh sách lĩnh vực: Thuế, Lao động, Đất đai, Dân sự, Thương mại, Hình sự, Hành chính, Sở hữu trí tuệ...</t>
  </si>
  <si>
    <r>
      <rPr>
        <rFont val="Times New Roman"/>
        <color rgb="FF1155CC"/>
        <sz val="12.0"/>
        <u/>
      </rPr>
      <t>TKCTDTTH_08.jpg</t>
    </r>
  </si>
  <si>
    <t>Chọn một lĩnh vực và tìm kiếm</t>
  </si>
  <si>
    <t>Có bản ghi thuộc lĩnh vực được chọn</t>
  </si>
  <si>
    <t>1. Chọn Lĩnh vực = Lao động
 2. Bấm Tìm kiếm</t>
  </si>
  <si>
    <t>Danh sách chỉ hiển thị các chương trình có lĩnh vực Lao động</t>
  </si>
  <si>
    <r>
      <rPr>
        <rFont val="Times New Roman"/>
        <color rgb="FF1155CC"/>
        <sz val="12.0"/>
        <u/>
      </rPr>
      <t>TKCTDTTH_09.jpg</t>
    </r>
  </si>
  <si>
    <t>Chọn Từ ngày bằng date picker</t>
  </si>
  <si>
    <t>1. Click ô Từ ngày
 2. Chọn ngày</t>
  </si>
  <si>
    <t>Ngày được điền đúng định dạng trong ô Từ ngày</t>
  </si>
  <si>
    <r>
      <rPr>
        <rFont val="Times New Roman"/>
        <color rgb="FF1155CC"/>
        <sz val="12.0"/>
        <u/>
      </rPr>
      <t>TKCTDTTH_10.jpg</t>
    </r>
  </si>
  <si>
    <t>Chọn Đến ngày bằng date picker</t>
  </si>
  <si>
    <t>1. Click ô Đến ngày
 2. Chọn ngày</t>
  </si>
  <si>
    <t>Ngày được điền đúng định dạng trong ô Đến ngày</t>
  </si>
  <si>
    <r>
      <rPr>
        <rFont val="Times New Roman"/>
        <color rgb="FF1155CC"/>
        <sz val="12.0"/>
        <u/>
      </rPr>
      <t>TKCTDTTH_11.jpg</t>
    </r>
  </si>
  <si>
    <t>Lọc theo khoảng thời gian hợp lệ</t>
  </si>
  <si>
    <t>01/01/2026 - 31/12/2026</t>
  </si>
  <si>
    <t>1. Chọn Từ ngày
 2. Chọn Đến ngày
 3. Bấm Tìm kiếm</t>
  </si>
  <si>
    <t>Danh sách chỉ hiển thị chương trình có thời gian thuộc khoảng đã chọn</t>
  </si>
  <si>
    <r>
      <rPr>
        <rFont val="Times New Roman"/>
        <color rgb="FF1155CC"/>
        <sz val="12.0"/>
        <u/>
      </rPr>
      <t>TKCTDTTH_12.jpg</t>
    </r>
  </si>
  <si>
    <t>Chỉ nhập Từ ngày</t>
  </si>
  <si>
    <t>Có dữ liệu từ ngày trở đi</t>
  </si>
  <si>
    <t>1. Chọn Từ ngày
 2. Để trống Đến ngày
 3. Bấm Tìm kiếm</t>
  </si>
  <si>
    <t>Hiển thị chương trình có thời gian từ ngày đã chọn trở đi</t>
  </si>
  <si>
    <r>
      <rPr>
        <rFont val="Times New Roman"/>
        <color rgb="FF1155CC"/>
        <sz val="12.0"/>
        <u/>
      </rPr>
      <t>TKCTDTTH_13.jpg</t>
    </r>
  </si>
  <si>
    <t>Chỉ nhập Đến ngày</t>
  </si>
  <si>
    <t>Có dữ liệu trước ngày</t>
  </si>
  <si>
    <t>1. Để trống Từ ngày
 2. Chọn Đến ngày
 3. Bấm Tìm kiếm</t>
  </si>
  <si>
    <t>Hiển thị chương trình có thời gian đến ngày đã chọn</t>
  </si>
  <si>
    <r>
      <rPr>
        <rFont val="Times New Roman"/>
        <color rgb="FF1155CC"/>
        <sz val="12.0"/>
        <u/>
      </rPr>
      <t>TKCTDTTH_14.jpg</t>
    </r>
  </si>
  <si>
    <t>Từ ngày lớn hơn Đến ngày</t>
  </si>
  <si>
    <t>31/12/2026 - 01/01/2026</t>
  </si>
  <si>
    <t>1. Chọn Từ ngày sau Đến ngày
 2. Bấm Tìm kiếm</t>
  </si>
  <si>
    <t>Hiển thị cảnh báo hợp lệ, ví dụ 'Từ ngày không được lớn hơn Đến ngày'; không thực hiện tìm kiếm sai</t>
  </si>
  <si>
    <r>
      <rPr>
        <rFont val="Times New Roman"/>
        <color rgb="FF1155CC"/>
        <sz val="12.0"/>
        <u/>
      </rPr>
      <t>TKCTDTTH_15.jpg</t>
    </r>
  </si>
  <si>
    <t>Lọc khoảng ngày không có dữ liệu</t>
  </si>
  <si>
    <t>Không có bản ghi trong khoảng</t>
  </si>
  <si>
    <t>01/01/2030 - 31/12/2030</t>
  </si>
  <si>
    <t>1. Chọn khoảng ngày không có dữ liệu
 2. Bấm Tìm kiếm</t>
  </si>
  <si>
    <t>Hiển thị không có dữ liệu/kết quả phù hợp</t>
  </si>
  <si>
    <r>
      <rPr>
        <rFont val="Times New Roman"/>
        <color rgb="FF1155CC"/>
        <sz val="12.0"/>
        <u/>
      </rPr>
      <t>TKCTDTTH_16.jpg</t>
    </r>
  </si>
  <si>
    <t xml:space="preserve">Kết hợp điều kiện </t>
  </si>
  <si>
    <t>1. Nhập từ khóa
 2. Chọn lĩnh vực
 3. Chọn khoảng ngày
 4. Bấm Tìm kiếm</t>
  </si>
  <si>
    <t>Hiển thị các bản ghi phù hợp với tiêu chí tìm kiếm</t>
  </si>
  <si>
    <r>
      <rPr>
        <rFont val="Times New Roman"/>
        <color rgb="FF1155CC"/>
        <sz val="12.0"/>
        <u/>
      </rPr>
      <t>TKCTDTTH_17.jpg</t>
    </r>
  </si>
  <si>
    <t>Bấm Tìm kiếm khi không nhập bộ lọc</t>
  </si>
  <si>
    <t>Trống</t>
  </si>
  <si>
    <t>1. Để trống tất cả điều kiện
 2. Bấm Tìm kiếm</t>
  </si>
  <si>
    <t>Hiển thị danh sách mặc định/toàn bộ dữ liệu theo tab hiện tại</t>
  </si>
  <si>
    <r>
      <rPr>
        <rFont val="Times New Roman"/>
        <color rgb="FF1155CC"/>
        <sz val="12.0"/>
        <u/>
      </rPr>
      <t>TKCTDTTH_18.jpg</t>
    </r>
  </si>
  <si>
    <t>Xóa toàn bộ điều kiện tìm kiếm</t>
  </si>
  <si>
    <t>Đã nhập từ khóa, lĩnh vực, ngày</t>
  </si>
  <si>
    <t>1. Bấm Xóa bộ lọc</t>
  </si>
  <si>
    <t>Các ô tìm kiếm, lĩnh vực, từ ngày, đến ngày được làm trống; danh sách về trạng thái mặc định</t>
  </si>
  <si>
    <r>
      <rPr>
        <rFont val="Times New Roman"/>
        <color rgb="FF1155CC"/>
        <sz val="12.0"/>
        <u/>
      </rPr>
      <t>TKCTDTTH_19.jpg</t>
    </r>
  </si>
  <si>
    <t>Tìm kiếm trong tab trạng thái đang chọn</t>
  </si>
  <si>
    <t>1. Chọn tab Đã duyệt
 2. Nhập điều kiện tìm kiếm
 3. Bấm Tìm kiếm</t>
  </si>
  <si>
    <t>Kết quả chỉ nằm trong tab Đã duyệt và thỏa điều kiện tìm kiếm</t>
  </si>
  <si>
    <r>
      <rPr>
        <rFont val="Times New Roman"/>
        <color rgb="FF1155CC"/>
        <sz val="12.0"/>
        <u/>
      </rPr>
      <t>TKCTDTTH_20.jpg</t>
    </r>
  </si>
  <si>
    <t>Đổi tab sau khi đã lọc</t>
  </si>
  <si>
    <t>Đã áp dụng bộ lọc</t>
  </si>
  <si>
    <t>1. Lọc dữ liệu
 2. Chuyển sang tab khác</t>
  </si>
  <si>
    <t>Hệ thống xử lý đúng theo thiết kế: giữ bộ lọc hoặc reset bộ lọc; dữ liệu không sai trạng thái</t>
  </si>
  <si>
    <r>
      <rPr>
        <rFont val="Times New Roman"/>
        <color rgb="FF1155CC"/>
        <sz val="12.0"/>
        <u/>
      </rPr>
      <t>TKCTDTTH_21.jpg</t>
    </r>
  </si>
  <si>
    <t>Quản lý đăng ký đào tạo, tập huấn</t>
  </si>
  <si>
    <t>Quản lý danh sách người đăng ký tham gia các khóa đào tạo và trạng thái phê duyệt đăng ký.</t>
  </si>
  <si>
    <t>Truy cập màn hình</t>
  </si>
  <si>
    <t>1. Đăng nhập tài khoản thuộc phân quyền thực hiện chức năng</t>
  </si>
  <si>
    <t>1. Chọn menu "Đào tạo, tập huấn" -&gt; "Khóa học"</t>
  </si>
  <si>
    <t>Hệ thống truy cập màn hình thành công</t>
  </si>
  <si>
    <r>
      <rPr>
        <rFont val="Times New Roman"/>
        <color rgb="FF1155CC"/>
        <sz val="12.0"/>
        <u/>
      </rPr>
      <t>QLDKDTTH_01.jpg</t>
    </r>
  </si>
  <si>
    <t>Tiêu đề màn hình</t>
  </si>
  <si>
    <t>1. Chọn menu "Đào tạo, tập huấn" -&gt; "Khóa học"
2. Kiểm tra hiển thị tiêu đề</t>
  </si>
  <si>
    <t>Tiêu đề hiển thị đúng với màn hình chức năng</t>
  </si>
  <si>
    <r>
      <rPr>
        <rFont val="Times New Roman"/>
        <color rgb="FF1155CC"/>
        <sz val="12.0"/>
        <u/>
      </rPr>
      <t>QLDKDTTH_02.jpg</t>
    </r>
  </si>
  <si>
    <t>Kiểm tra hiển thị bảng danh sách Khóa học</t>
  </si>
  <si>
    <t>1. Chọn menu "Đào tạo, tập huấn" -&gt; "Khóa học"
2. Kiểm tra hiển thị bảng danh sách</t>
  </si>
  <si>
    <t>- Bảng danh sách hiển thị dữ liệu ứng với các cột thông tin
- Dữ liệu hiển thị không bị tràn/đè lên nhau
- Mỗi trạng thái có màu phân biệt.
- Chỉ các khóa học có trạng thái Dự thảo mới được sửa/xóa</t>
  </si>
  <si>
    <r>
      <rPr>
        <rFont val="Times New Roman"/>
        <color rgb="FF1155CC"/>
        <sz val="12.0"/>
        <u/>
      </rPr>
      <t>QLDKDTTH_03.jpg</t>
    </r>
  </si>
  <si>
    <t>Kiểm tra hiển thị bảng danh sách Học viên</t>
  </si>
  <si>
    <t>1. Chọn menu "Đào tạo, tập huấn" -&gt; "Khóa học"
2. Nhấn xem chi tiết khóa học
3. Chọn tab "Học viên"</t>
  </si>
  <si>
    <t>- Tại bước 2: Hệ thống hiển thị màn hình xem chi tiết thành công
- Tại bước 3: Hệ thống hiển thị danh sách học viên thành công</t>
  </si>
  <si>
    <t>Tại bước 3: Hệ thống không hiển thị thông tin danh sách học viên mặc dù tồn tại dữ liệu</t>
  </si>
  <si>
    <r>
      <rPr>
        <rFont val="Times New Roman"/>
        <color rgb="FF1155CC"/>
        <sz val="12.0"/>
        <u/>
      </rPr>
      <t>QLDKDTTH_04.jpg</t>
    </r>
  </si>
  <si>
    <t>Duyệt học viên khi khoá học còn mở đăng ký</t>
  </si>
  <si>
    <t>1. Đăng nhập tài khoản thuộc phân quyền thực hiện chức năng
2. Hồ sơ đăng ký ở trạng thái "Chờ duyệt" và khóa học còn mở đăng ký.</t>
  </si>
  <si>
    <t>1. Chọn menu "Đào tạo, tập huấn" -&gt; "Khóa học"
2. Nhấn xem chi tiết khóa học
3. Chọn tab "Học viên"
4. Nhấn "Duyệt"</t>
  </si>
  <si>
    <t xml:space="preserve">- Hệ thống hiển thị thông báo "Đã duyệt đăng ký".
- Cập nhật trạng thái hồ sơ đăng ký: "Chờ duyệt" → "Đã duyệt".
- Gửi thông báo cho học viên về kết quả duyệt.
- Lưu vết thao tác theo quy định.
</t>
  </si>
  <si>
    <t>uc QLDKDTTH_04 lỗi</t>
  </si>
  <si>
    <t>Duyệt học viên khi khoá học đã đóng đăng ký</t>
  </si>
  <si>
    <t>1. Đăng nhập tài khoản thuộc phân quyền thực hiện chức năng
2. Hồ sơ đăng ký ở trạng thái "Chờ duyệt" và khóa học đã đóng đăng ký</t>
  </si>
  <si>
    <t>Hệ thống từ chối thao tác và hiển thị thông báo "Khóa học đã đóng đăng ký".</t>
  </si>
  <si>
    <t>Kiểm tra form từ chối học viên</t>
  </si>
  <si>
    <t xml:space="preserve">1. Đăng nhập tài khoản thuộc phân quyền thực hiện chức năng
2. Hồ sơ đăng ký ở trạng thái "Chờ Duyệt" </t>
  </si>
  <si>
    <t>1. Chọn menu "Đào tạo, tập huấn" -&gt; "Khóa học"
2. Nhấn xem chi tiết khóa học
3. Chọn tab "Học viên"
4. Nhấn "Từ chối"</t>
  </si>
  <si>
    <t>- Hệ thống hiển thị form từ chối gồm textbox nhập Lý do từ chối, 2 button Xác nhận và Hủy
- Form hiển thị đồng nhất về phông chữ, cỡ chữ, ngôn ngữ
- Thông tin và dữ liệu hiển thị không bị tràn/đè lên nhau</t>
  </si>
  <si>
    <t>- Form chưa đồng nhất về ngôn ngữ
- Thông tin hiển thị bị đè lên nhau</t>
  </si>
  <si>
    <t>QLDKDTTH_07.png</t>
  </si>
  <si>
    <t>Từ chối học viên khi nhập lý do hợp lệ</t>
  </si>
  <si>
    <t>1. Chọn menu "Đào tạo, tập huấn" -&gt; "Khóa học"
2. Nhấn xem chi tiết khóa học
3. Chọn tab "Học viên"
4. Nhập lý do và Nhấn "Từ chối"</t>
  </si>
  <si>
    <t xml:space="preserve">- Hệ thống hiển thị thông báo "Đã Từ chối đăng ký".
- Cập nhật trạng thái hồ sơ đăng ký: "Chờ duyệt" → "Từ chối" kèm lý do.
- Gửi thông báo cho học viên kèm lý do từ chối.
- Lưu vết thao tác theo quy định.
</t>
  </si>
  <si>
    <t>Từ chối học viên khi không nhập lý do</t>
  </si>
  <si>
    <t>Hệ thống hiển thị thông báo "Lý do từ chối là bắt buộc" và yêu cầu NSD nhập hoặc disable nút xác nhận khi lý do để trống.</t>
  </si>
  <si>
    <t>QLDKDTTH_09.jpg</t>
  </si>
  <si>
    <t>Tuần 2</t>
  </si>
  <si>
    <t>DKTGKH_07</t>
  </si>
  <si>
    <t>Nhập đăng ký thủ công</t>
  </si>
  <si>
    <t>1. Đăng nhập tài khoản Cán bộ nghiệp vụ
2. Khóa học còn mở đăng ký</t>
  </si>
  <si>
    <t>1. Chọn menu "Đào tạo, tập huấn" -&gt; "Khóa học"
2. Nhấn xem chi tiết khóa học
3. Chọn tab "Học viên"
4. Thêm mới thủ công</t>
  </si>
  <si>
    <t>Dữ liệu hợp lệ, hệ thống tạo hồ sơ đăng ký ở trạng thái "Chờ duyệt" với nguồn đăng ký là "Nhập thủ công" và hiển thị thông báo "Đã tạo đăng ký thành công".</t>
  </si>
  <si>
    <t>Hệ thống hiển thị thông báo thêm mới thành công nhưng lỗi hiển thị dữ liệu của bản ghi được thêm mới lên màn hình danh sách</t>
  </si>
  <si>
    <t xml:space="preserve"> DKTGKH_07.webm</t>
  </si>
  <si>
    <t>DKTGKH_12</t>
  </si>
  <si>
    <t>Tải lên tệp Excel</t>
  </si>
  <si>
    <t>1. Chọn menu "Đào tạo, tập huấn" -&gt; "Khóa học"
2. Nhấn xem chi tiết khóa học
3. Chọn tab "Học viên"
4. Tải lên tệp Excel</t>
  </si>
  <si>
    <t>- Hệ thống hiển thị hộp thoại yêu cầu chọn tệp Excel (XLS, XLSX) theo mẫu chuẩn của hệ thống
- Hiển thị bản xem trước kết quả (số dòng hợp lệ, số dòng lỗi và lý do từng dòng lỗi).
- Khi xác nhận nạp dữ liệu, hệ thống tạo các hồ sơ đăng ký hợp lệ ở trạng thái "Chờ duyệt" với nguồn đăng ký là "Tải lên Excel".
- Nạp thành công, hệ thống hiển thị báo cáo kết quả "Đã nạp {số thành công} đăng ký thành công, {số lỗi} đăng ký không hợp lệ".</t>
  </si>
  <si>
    <t>Hệ thống không hiển thị bản xem trước kết quả (số dòng hợp lệ, số dòng lỗi và lý do từng dòng lỗi) theo thiết kế.</t>
  </si>
  <si>
    <r>
      <rPr>
        <rFont val="Times New Roman"/>
        <sz val="13.0"/>
        <u/>
      </rPr>
      <t>DKTGKH_12.webm</t>
    </r>
  </si>
  <si>
    <t>KTDGKQHT_01</t>
  </si>
  <si>
    <t>Quản lý kiểm tra, đánh giá kết quả học tập</t>
  </si>
  <si>
    <t>Quản lý điểm danh, điểm kiểm tra/đánh giá cuối khóa của học viên.</t>
  </si>
  <si>
    <t>1. Đăng nhập tài khoản</t>
  </si>
  <si>
    <t>1. Chọn menu "Đào tạo, tập huấn" -&gt; "Khóa học"
2. Nhấn xem chi tiết khóa học
3. Chọn tab "Điểm danh", "Kết quả kiểm tra"</t>
  </si>
  <si>
    <t>Hệ thống hiển thị màn hình mỗi tab giống với thiết kế</t>
  </si>
  <si>
    <t>Hệ thống hiển thị màn hình các tab không giống với thiết kế</t>
  </si>
  <si>
    <t xml:space="preserve"> KTDGKQHT_01.webm</t>
  </si>
  <si>
    <t>KTDGKQHT_03</t>
  </si>
  <si>
    <t>Nhập điểm danh thủ công</t>
  </si>
  <si>
    <t>1. Đăng nhập tài khoản
2. Khóa học ở trạng thái "Đang diễn ra" hoặc "Đã kết thúc" và đã có lịch học.</t>
  </si>
  <si>
    <t>1. Chọn menu "Đào tạo, tập huấn" -&gt; "Khóa học"
2. Nhấn xem chi tiết khóa học
3. Chọn tab "Điểm danh" 
4. Chọn buổi học từ danh sách và chọn trạng thái điểm danh cho từng học viên
5. Nhấn Lưu</t>
  </si>
  <si>
    <t>Hệ thống ghi nhận và hiển thị thông báo "Đã lưu điểm danh".</t>
  </si>
  <si>
    <t>Hệ thống không hiển thị bảng danh sách học viên mặc dù tồn tại dữ liệu học viên</t>
  </si>
  <si>
    <t xml:space="preserve"> KTDGKQHT_03.webm</t>
  </si>
  <si>
    <t>KTDGKQHT_08</t>
  </si>
  <si>
    <t>Nhập điểm kiểm tra thủ công không hợp lệ</t>
  </si>
  <si>
    <t>1. Đăng nhập tài khoản
2. Khóa học ở trạng thái "Đang diễn ra" hoặc "Đã kết thúc".</t>
  </si>
  <si>
    <t>1. Chọn menu "Đào tạo, tập huấn" -&gt; "Khóa học"
2. Nhấn xem chi tiết khóa học
3. Chọn tab "Kết quả kiểm tra" 
4. Nhập điểm không hợp lệ
5. Nhấn Lưu</t>
  </si>
  <si>
    <t>Hệ thống từ chối và hiển thị thông báo "Điểm kiểm tra phải từ 0 đến 10".</t>
  </si>
  <si>
    <t>Hệ thống không hiển thị danh sách học viên mặc dù tồn tại dữ liệu</t>
  </si>
  <si>
    <t xml:space="preserve"> KTDGKQHT_08.webm</t>
  </si>
  <si>
    <t>TTKTDGKQHT_01</t>
  </si>
  <si>
    <t>Tìm kiếm thông tin kiểm tra, đánh giá kết quả học tập</t>
  </si>
  <si>
    <t>Tìm kiếm kết quả học tập theo tên học viên, mã khóa học.</t>
  </si>
  <si>
    <t xml:space="preserve">1. Đăng nhập tài khoản
</t>
  </si>
  <si>
    <t>1. Chọn menu "Đào tạo, tập huấn" -&gt; "Khóa học"
2. Nhấn xem chi tiết khóa học
3. Chọn tab "Kết quả kiểm tra" 
4. Kiểm tra các tiêu chí và thực hiện tìm kiếm</t>
  </si>
  <si>
    <t>Hệ thống không hiển thị các trường thông tin tìm kiếm</t>
  </si>
  <si>
    <t>TTKTDGKQHT_01.jpg</t>
  </si>
  <si>
    <t>QLKTLBG_02</t>
  </si>
  <si>
    <t>Kiểm tra hiển thị bảng danh sách</t>
  </si>
  <si>
    <t>1. Chọn menu "Đào tạo, tập huấn" -&gt; "Kho tài liệu / Bài giảng"</t>
  </si>
  <si>
    <t>- Hệ thống hiển thị bảng danh sách giống với thiết kế thành công
- Dữ liệu hiển thị đúng định dạng và trường thông tin
- Dữ liệu hiển thị không bị tràn/đè lên nhau, đồng nhất ngôn ngữ hiển thị
- Mặc định: 20 bản ghi/trang.</t>
  </si>
  <si>
    <t>Hệ thống hiển thị thông báo lỗi "Lỗi hệ thống, vui lòng thử lại sau."</t>
  </si>
  <si>
    <r>
      <rPr>
        <rFont val="Times New Roman"/>
        <sz val="13.0"/>
        <u/>
      </rPr>
      <t>QLKTLBG_02.jpg</t>
    </r>
  </si>
  <si>
    <t>QLKTLBG_03</t>
  </si>
  <si>
    <t>Kiểm tra nút chức năng Thêm mới</t>
  </si>
  <si>
    <t>1. Chọn menu "Đào tạo, tập huấn" -&gt; "Kho tài liệu / Bài giảng"
2. Nhấn Thêm mới</t>
  </si>
  <si>
    <t>Hệ thống mở biểu mẫu "Thêm mới bài giảng" với các trường giống với thiết kế</t>
  </si>
  <si>
    <t>Thiếu trường thông tin "Ảnh đại diện"</t>
  </si>
  <si>
    <r>
      <rPr>
        <rFont val="Times New Roman"/>
        <sz val="13.0"/>
        <u/>
      </rPr>
      <t>QLKTLBG_03.jpg</t>
    </r>
  </si>
  <si>
    <t>QLKTLBG_08</t>
  </si>
  <si>
    <t>Thêm mới hợp lệ</t>
  </si>
  <si>
    <t>1. Chọn menu "Đào tạo, tập huấn" -&gt; "Kho tài liệu / Bài giảng"
2. Nhấn Thêm mới
3. Nhập thông tin hợp lệ và nhấn Lưu</t>
  </si>
  <si>
    <t>Hệ thống lưu bản ghi và hiển thị thông báo "Đã thêm bài giảng".</t>
  </si>
  <si>
    <t>Hệ thống hiển thị thông báo "Lỗi hệ thống, vui lòng thử lại sau.</t>
  </si>
  <si>
    <r>
      <rPr>
        <rFont val="Times New Roman"/>
        <sz val="13.0"/>
        <u/>
      </rPr>
      <t>QLKTLBG_08.jpg</t>
    </r>
  </si>
  <si>
    <t>TTKTLBG_01</t>
  </si>
  <si>
    <t>Tìm kiếm thông tin kho tài liệu, bài giảng</t>
  </si>
  <si>
    <t>Tìm kiếm tài liệu, bài giảng theo từ khóa, tên khóa học.</t>
  </si>
  <si>
    <t>1. Đăng nhập tài khoản
2. Tồn tại bản ghi phù hợp với tiêu chí tìm kiếm</t>
  </si>
  <si>
    <t>1. Chọn menu "Đào tạo, tập huấn" -&gt; "Kho tài liệu / Bài giảng"
2. Tìm kiếm tài liệu, bài giảng theo từ khóa, tên khóa học.</t>
  </si>
  <si>
    <t>Hệ thống hiển thị danh sách bài giảng phù hợp, phân trang 20 bản ghi mỗi trang.</t>
  </si>
  <si>
    <t>TTKTLBG_01.jpg</t>
  </si>
  <si>
    <t>TTKTLBG_02</t>
  </si>
  <si>
    <t>Kiểm tra hiển thị các tiêu chí tìm kiếm</t>
  </si>
  <si>
    <t>1. Chọn menu "Đào tạo, tập huấn" -&gt; "Kho tài liệu / Bài giảng"
2. Kiểm tra hiển thị các tiêu chí tìm kiếm</t>
  </si>
  <si>
    <t>Hệ thống hiển thị các tiêu chí tìm kiếm giống với thiết kế</t>
  </si>
  <si>
    <t>Thiếu trường tìm kiếm theo tiêu chí "Lĩnh vực pháp lý"</t>
  </si>
  <si>
    <t xml:space="preserve"> TTKTLBG_02.webm</t>
  </si>
  <si>
    <t>QLNHCH_02</t>
  </si>
  <si>
    <t>Kiểm tra hiển thị Thẻ thống kê tổng quan</t>
  </si>
  <si>
    <t>1. Chọn menu "Đào tạo, tập huấn" -&gt; "Ngân hàng câu hỏi &amp; Đề kiểm tra"</t>
  </si>
  <si>
    <t>- Hệ thống hiển thị Thẻ thống kê tổng quan giống với thiết kế 
- Dữ liệu hiển thị đúng định dạng và trường thông tin
- Dữ liệu hiển thị không bị tràn/đè lên nhau, đồng nhất ngôn ngữ hiển thị</t>
  </si>
  <si>
    <t>Hệ thống không hiển thị Thẻ thống kê tổng quan theo thiết kế</t>
  </si>
  <si>
    <r>
      <rPr>
        <rFont val="Times New Roman"/>
        <sz val="13.0"/>
        <u/>
      </rPr>
      <t>QLNHCH_02.jpg</t>
    </r>
  </si>
  <si>
    <t>QLNHCH_04</t>
  </si>
  <si>
    <t>1. Chọn menu "Đào tạo, tập huấn" -&gt; "Ngân hàng câu hỏi &amp; Đề kiểm tra"
2. Nhấn Thêm mới</t>
  </si>
  <si>
    <t>Hệ thống mở biểu mẫu với các trường giống với thiết kế</t>
  </si>
  <si>
    <t>Trường thông tin Trạng thái hiển thị danh sách chọn không đúng với thiết kế</t>
  </si>
  <si>
    <r>
      <rPr>
        <rFont val="Times New Roman"/>
        <sz val="13.0"/>
        <u/>
      </rPr>
      <t>QLNHCH_04.webm</t>
    </r>
  </si>
  <si>
    <t>QLNHCH_08</t>
  </si>
  <si>
    <t>Xem chi tiết</t>
  </si>
  <si>
    <t>1. Chọn menu "Đào tạo, tập huấn" -&gt; "Ngân hàng câu hỏi &amp; Đề kiểm tra"
2. Xem chi tiết</t>
  </si>
  <si>
    <t>Hệ thống mở cửa sổ hiển thị đầy đủ nội dung câu hỏi, các lựa chọn và đáp án đúng.</t>
  </si>
  <si>
    <t>Màn hình không có nút chức năng Xem</t>
  </si>
  <si>
    <r>
      <rPr>
        <rFont val="Times New Roman"/>
        <sz val="13.0"/>
        <u/>
      </rPr>
      <t>QLNHCH_08.jpg</t>
    </r>
  </si>
  <si>
    <t>QLNHCH_15</t>
  </si>
  <si>
    <t>Nhập excel</t>
  </si>
  <si>
    <t>1. Chọn menu "Đào tạo, tập huấn" -&gt; "Ngân hàng câu hỏi &amp; Đề kiểm tra"
2. Bấm nút "Nhập Excel"</t>
  </si>
  <si>
    <t xml:space="preserve">- Hệ thống yêu cầu chọn tệp Excel theo mẫu chuẩn.
- Sau khi nạp, hệ thống hiển thị báo cáo số câu hỏi nhập thành công và số dòng lỗi.
</t>
  </si>
  <si>
    <t>- Hệ thống hiển thị thông báo "Tất cả các câu hỏi đều lỗi" mặc dù tồn tại câu hỏi có dữ liệu hợp lệ</t>
  </si>
  <si>
    <r>
      <rPr>
        <rFont val="Times New Roman"/>
        <sz val="13.0"/>
        <u/>
      </rPr>
      <t>QLNHCH_15.webm</t>
    </r>
  </si>
  <si>
    <t>TKNHCH_05</t>
  </si>
  <si>
    <t>Tìm kiếm không có kết quả</t>
  </si>
  <si>
    <t>1. Đăng nhập tài khoản
2. Không tồn tại bản ghi phù hợp với tiêu chí tìm kiếm</t>
  </si>
  <si>
    <t>1. Chọn menu "Đào tạo, tập huấn" -&gt; "Ngân hàng câu hỏi &amp; Đề kiểm tra"
2. Tìm kiếm không có kết quả</t>
  </si>
  <si>
    <t>Không có kết quả, hiển thị thông báo "Không tìm thấy bài giảng phù hợp".</t>
  </si>
  <si>
    <t>Hệ thống hiển thị toàn bộ bản ghi trong danh sách</t>
  </si>
  <si>
    <r>
      <rPr>
        <rFont val="Times New Roman"/>
        <sz val="13.0"/>
        <u/>
      </rPr>
      <t>TKNHCH_05.webm</t>
    </r>
  </si>
  <si>
    <t>QLGVTG_02</t>
  </si>
  <si>
    <t>1. Chọn menu "Đào tạo, tập huấn" -&gt; "Giảng viên / Trợ giảng"</t>
  </si>
  <si>
    <t>- Hệ thống hiển thị bảng danh sách giống với thiết kế thành công
- Dữ liệu hiển thị đúng định dạng và trường thông tin
- Dữ liệu hiển thị không bị tràn/đè lên nhau, đồng nhất ngôn ngữ hiển thị</t>
  </si>
  <si>
    <t>Bảng danh sách hiển thị thiếu cột thông tin Vai trò, Lĩnh vực pháp lý</t>
  </si>
  <si>
    <r>
      <rPr>
        <rFont val="Times New Roman"/>
        <color rgb="FF4285F4"/>
        <sz val="13.0"/>
        <u/>
      </rPr>
      <t>QLGVTG_02.webm</t>
    </r>
  </si>
  <si>
    <t>QLGVTG_03</t>
  </si>
  <si>
    <t>1. Chọn menu "Đào tạo, tập huấn" -&gt; "Giảng viên / Trợ giảng"
2. Nhấn Thêm mới</t>
  </si>
  <si>
    <t>Biểu mẫu thêm mới thiếu trường thông tin "Tệp đính kèm"</t>
  </si>
  <si>
    <r>
      <rPr>
        <rFont val="Times New Roman"/>
        <color rgb="FF4285F4"/>
        <sz val="13.0"/>
        <u/>
      </rPr>
      <t>QLGVTG_03.jpg</t>
    </r>
  </si>
  <si>
    <t>QLGVTG_05</t>
  </si>
  <si>
    <t>Thêm mới dữ liệu không hợp lệ</t>
  </si>
  <si>
    <t>1. Chọn menu "Đào tạo, tập huấn" -&gt; "Giảng viên / Trợ giảng"
2. Nhấn Thêm mới
3. Nhập dữ liệu không hợp lệ</t>
  </si>
  <si>
    <t>Hệ thống đánh dấu trường lỗi và hiển thị thông báo tương ứng.</t>
  </si>
  <si>
    <t>Không hiển thị thông báo lỗi khi nhập số điện thoại không hợp lệ</t>
  </si>
  <si>
    <r>
      <rPr>
        <rFont val="Times New Roman"/>
        <color rgb="FF4285F4"/>
        <sz val="13.0"/>
        <u/>
      </rPr>
      <t>QLGVTG_05.jpg</t>
    </r>
  </si>
  <si>
    <t>QLGVTG_06</t>
  </si>
  <si>
    <t>1. Chọn menu "Đào tạo, tập huấn" -&gt; "Giảng viên / Trợ giảng"
2. Nhấn Thêm mới
3. Nhập thông tin hợp lệ và nhấn Lưu</t>
  </si>
  <si>
    <t>- Hệ thống lưu bản ghi và hiển thị thông báo "Đã thêm giảng viên".
- Bản ghi hiển thị ở đầu danh sách</t>
  </si>
  <si>
    <t>Bản ghi được thêm mới không hiển thị ở đầu danh sách</t>
  </si>
  <si>
    <r>
      <rPr>
        <rFont val="Times New Roman"/>
        <color rgb="FF4285F4"/>
        <sz val="13.0"/>
        <u/>
      </rPr>
      <t>QLGVTG_06.webm</t>
    </r>
  </si>
  <si>
    <t>QLGVTG_07</t>
  </si>
  <si>
    <t>1. Chọn menu "Đào tạo, tập huấn" -&gt; "Giảng viên / Trợ giảng"
2. Bấm nút "⊙ Xem" trên thẻ giảng viên</t>
  </si>
  <si>
    <t>Hệ thống mở màn hình Chi tiết giảng viên hiển thị 2 tab: "Thông tin" (đầy đủ thông tin cá nhân và năng lực) và "Lịch sử giảng dạy" (danh sách các khóa đã tham gia tại STT 20–23).</t>
  </si>
  <si>
    <t>- Màn hình không có nút chức năng Xem chi tiết</t>
  </si>
  <si>
    <r>
      <rPr>
        <rFont val="Times New Roman"/>
        <color rgb="FF4285F4"/>
        <sz val="13.0"/>
        <u/>
      </rPr>
      <t>QLGVTG_07.jpg</t>
    </r>
  </si>
  <si>
    <t>QLGVTG_08</t>
  </si>
  <si>
    <t>Kiểm tra chức năng nút Sửa</t>
  </si>
  <si>
    <t>1. Chọn menu "Đào tạo, tập huấn" -&gt; "Giảng viên / Trợ giảng"
2. Bấm nút "Sửa" trên thẻ giảng viên</t>
  </si>
  <si>
    <t>- Breadcrumb hiển thị đường dẫn điều hướng đúng với màn hình chức năng
- Hệ thống mở biểu mẫu hiển thị dữ liệu hiện tại</t>
  </si>
  <si>
    <t>Breadcrumb hiển thị đường dẫn điều hướng không đúng(Chức năng "Chỉnh sửa" nhưng lại hiển thị "Chi tiết"</t>
  </si>
  <si>
    <r>
      <rPr>
        <rFont val="Times New Roman"/>
        <color rgb="FF4285F4"/>
        <sz val="13.0"/>
        <u/>
      </rPr>
      <t>QLGVTG_08.png</t>
    </r>
  </si>
  <si>
    <t>QLGVTG_09</t>
  </si>
  <si>
    <t>Sửa thiếu hoặc sai dữ liệu</t>
  </si>
  <si>
    <t>1. Chọn menu "Đào tạo, tập huấn" -&gt; "Giảng viên / Trợ giảng"
2. Bấm nút "Sửa" trên thẻ giảng viên
3. Sửa thiếu hoặc sai dữ liệu</t>
  </si>
  <si>
    <t>- Không hiển thị thông báo lỗi khi nhập số điện thoại không hợp lệ
- Thông báo lỗi của trường Lĩnh vực bị duplicate</t>
  </si>
  <si>
    <r>
      <rPr>
        <rFont val="Times New Roman"/>
        <color rgb="FF4285F4"/>
        <sz val="13.0"/>
        <u/>
      </rPr>
      <t>QLGVTG_09.jpg</t>
    </r>
  </si>
  <si>
    <t>QLGVTG_12</t>
  </si>
  <si>
    <t>Xóa Giảng viên đang được phân công dạy một số khóa học</t>
  </si>
  <si>
    <t>1. Đăng nhập tài khoản
2. Giảng viên đang được phân công dạy một số khóa học</t>
  </si>
  <si>
    <t>1. Chọn menu "Đào tạo, tập huấn" -&gt; "Giảng viên / Trợ giảng"
2. Bấm nút "Xóa" trên thẻ giảng viên
3. Xác nhận</t>
  </si>
  <si>
    <t>Hệ thống hiển thị cảnh báo "Giảng viên đang được phân công dạy {số lượng} khóa" và yêu cầu xác nhận trước khi xóa.</t>
  </si>
  <si>
    <t>Hệ thống hiển thị thông báo lỗi "Đơn vị của bạn khác đơn vị của giảng viên"</t>
  </si>
  <si>
    <r>
      <rPr>
        <rFont val="Times New Roman"/>
        <color rgb="FF4285F4"/>
        <sz val="13.0"/>
        <u/>
      </rPr>
      <t>QLGVTG_12.webm</t>
    </r>
  </si>
  <si>
    <t>TKGVTG_02</t>
  </si>
  <si>
    <t>1. Chọn menu "Đào tạo, tập huấn" -&gt; "Giảng viên / Trợ giảng"
2. Kiểm tra hiển thị các tiêu chí tìm kiếm</t>
  </si>
  <si>
    <t>Hệ thống hiển thị thiếu tiêu chí tìm kiếm theo Vai trò</t>
  </si>
  <si>
    <r>
      <rPr>
        <rFont val="Times New Roman"/>
        <color rgb="FF1155CC"/>
        <sz val="13.0"/>
        <u/>
      </rPr>
      <t>TKGVTG_02.webm</t>
    </r>
  </si>
  <si>
    <t>TKGVTG_07</t>
  </si>
  <si>
    <t>Sắp xếp theo tiêu chí</t>
  </si>
  <si>
    <t xml:space="preserve">1. Chọn menu "Đào tạo, tập huấn" -&gt; "Giảng viên / Trợ giảng"
2. Chọn tiêu chí sắp xếp </t>
  </si>
  <si>
    <t>Hệ thống sắp xếp danh sách theo tiêu chí đó, luân phiên tăng dần / giảm dần qua mỗi lần chọn.</t>
  </si>
  <si>
    <t>Hệ thống không cho phép thực hiện sắp xếp theo tiêu chí</t>
  </si>
  <si>
    <r>
      <rPr>
        <rFont val="Times New Roman"/>
        <color rgb="FF1155CC"/>
        <sz val="13.0"/>
        <u/>
      </rPr>
      <t>TKGVTG_07.webm</t>
    </r>
  </si>
  <si>
    <t>QLDXDTTH_03</t>
  </si>
  <si>
    <t>Xem chi tiết đề xuất</t>
  </si>
  <si>
    <t>1. Chọn menu "Đào tạo, tập huấn" -&gt; "Chương trình đào tạo"
2. Mở tab "Đề xuất đào tạo"
3. Bấm nút "Xem" trên dòng đề xuất</t>
  </si>
  <si>
    <t>Hệ thống mở màn hình chi tiết hiển thị đầy đủ thông tin đề xuất.</t>
  </si>
  <si>
    <t>Màn hình không có chức năng Xem chi tiết</t>
  </si>
  <si>
    <r>
      <rPr>
        <rFont val="Times New Roman"/>
        <color rgb="FF1155CC"/>
        <sz val="13.0"/>
        <u/>
      </rPr>
      <t>QLDXDTTH_03.webm</t>
    </r>
  </si>
  <si>
    <t>QLDXDTTH_06</t>
  </si>
  <si>
    <t>Xóa đề xuất ở trạng thái "Mới" và do chính Doanh nghiệp hoặc Người hỗ trợ đang đăng nhập đã tạo</t>
  </si>
  <si>
    <t>1. Đăng nhập tài khoản
2. Tồn tại đề xuất ở trạng thái Mới</t>
  </si>
  <si>
    <t>1. Chọn menu "Diễn đàn, hỗ trợ pháp lý" -&gt; Chương trình hỗ trợ pháp lý DN
2. Tại mục "Danh mục", chọn Đào tạo -&gt; Kế hoạch đào tạo của tôi
3. Bấm nút "Xóa" tại đề xuất có trạng thái Mới</t>
  </si>
  <si>
    <t>- Hệ thống hiển thị hộp xác nhận.
- Hệ thống xóa mềm đề xuất và hiển thị thông báo "Đã xóa đề xuất".</t>
  </si>
  <si>
    <t>Hệ thống không hiển thị thông báo xóa thành công</t>
  </si>
  <si>
    <r>
      <rPr>
        <rFont val="Times New Roman"/>
        <color rgb="FF1155CC"/>
        <sz val="13.0"/>
        <u/>
      </rPr>
      <t>QLDXDTTH_06.webm</t>
    </r>
  </si>
  <si>
    <t>QLDXDTTH_09</t>
  </si>
  <si>
    <t>Kiểm tra Doanh nghiệp/Người hỗ trợ nhận thông báo</t>
  </si>
  <si>
    <t>1. Cán bộ nghiệp vụ cập nhật trạng thái đề xuất
2. Đăng nhập tài khoản Doanh nghiệp/Người hỗ trợ trực tiếp tạo đề xuất được phê duyệt</t>
  </si>
  <si>
    <t>1. Chọn menu "Diễn đàn, hỗ trợ pháp lý" -&gt; Chương trình hỗ trợ pháp lý DN
2. Tại mục "Danh mục", chọn Đào tạo -&gt; Kế hoạch đào tạo của tôi
3. Kiểm tra thông báo và đề xuất được phê duyệt</t>
  </si>
  <si>
    <t>- Doanh nghiệp/Người hỗ trợ nhận thông báo thành công
- Đề xuất được cập nhật trạng thái thành công</t>
  </si>
  <si>
    <t xml:space="preserve">- Doanh nghiệp/Người hỗ trợ không nhận được thông báo
- Đề xuất không được cập nhật trạng thái </t>
  </si>
  <si>
    <r>
      <rPr>
        <rFont val="Times New Roman"/>
        <color rgb="FF1155CC"/>
        <sz val="13.0"/>
        <u/>
      </rPr>
      <t>QLDXDTTH_09.webm</t>
    </r>
  </si>
  <si>
    <t>QLLKHDTBD_02</t>
  </si>
  <si>
    <t xml:space="preserve">1. Chọn menu "Đào tạo, tập huấn" -&gt; "Kế hoạch đào tạo"
</t>
  </si>
  <si>
    <r>
      <rPr>
        <rFont val="Times New Roman"/>
        <color rgb="FF1155CC"/>
        <sz val="13.0"/>
        <u/>
      </rPr>
      <t>QLLKHDTBD_02.jpg</t>
    </r>
  </si>
  <si>
    <t>QLLKHDTBD_06</t>
  </si>
  <si>
    <t>1. Chọn menu "Đào tạo, tập huấn" -&gt; "Kế hoạch đào tạo"
2. Nhấn Thêm mới
3. Nhập thông tin hợp lệ và nhấn Lưu</t>
  </si>
  <si>
    <t>Hợp lệ, hệ thống lưu bản ghi ở trạng thái "Nháp" và hiển thị thông báo "Đã tạo kế hoạch đào tạo".</t>
  </si>
  <si>
    <t>Hệ thống hiển thị thông báo lỗi: Lỗi hệ thống, vui lòng thử lại sau.</t>
  </si>
  <si>
    <r>
      <rPr>
        <rFont val="Times New Roman"/>
        <color rgb="FF1155CC"/>
        <sz val="13.0"/>
        <u/>
      </rPr>
      <t>QLLKHDTBD_06.webm</t>
    </r>
  </si>
  <si>
    <t>PDKQDTTH_01</t>
  </si>
  <si>
    <t>Phê duyệt kết quả đào tạo bồi dưỡng</t>
  </si>
  <si>
    <t>CB Phê duyệt xem xét và phê duyệt kết quả đào tạo bồi dưỡng.</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</si>
  <si>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</si>
  <si>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"Phê duyệt"</t>
  </si>
  <si>
    <t xml:space="preserve">- Hệ thống hiển thị thông báo "Đã phê duyệt kết quả đào tạo".
+ Kiểm tra đã có đầy đủ dữ liệu kết quả đào tạo.
+ Cập nhật trạng thái khóa học: "Chờ duyệt kết quả" → "Hoàn thành".
+ Ghi thời điểm phê duyệt và người phê duyệt.
+ Gửi thông báo cho Cán bộ nghiệp vụ.
+ Lưu vết thao tác theo quy định.
</t>
  </si>
  <si>
    <t>Cán bộ nghiệp vụ không nhận được thông báo</t>
  </si>
  <si>
    <t xml:space="preserve"> PDKQDTBD_01.webm</t>
  </si>
  <si>
    <t>PDKQDTTH_05</t>
  </si>
  <si>
    <t>Từ chối kết quả</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</si>
  <si>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</si>
  <si>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"Từ chối"
4. Nhập lý do hợp lệ và xác nhận</t>
  </si>
  <si>
    <t xml:space="preserve">- Tại bước 3: Hệ thống mở hộp thoại yêu cầu nhập lý do từ chối
- Tại bước 4:
+ Cập nhật trạng thái khóa học: "Chờ duyệt kết quả" → "Đã kết thúc" kèm lý do từ chối.
+ Gửi thông báo cho Cán bộ nghiệp vụ kèm lý do để rà soát, bổ sung.
+ Lưu vết thao tác theo quy định.
- Hệ thống hiển thị thông báo "Đã từ chối kết quả đào tạo".
</t>
  </si>
  <si>
    <t xml:space="preserve"> PDKQDTBD_05.webm</t>
  </si>
  <si>
    <t>CBKQDTBD_01</t>
  </si>
  <si>
    <t>Công bố kết quả đào tạo bồi dưỡng</t>
  </si>
  <si>
    <t>Cung cấp chức năng công bố kết quả, cập nhật kết quả vào tài khoản của học viên.</t>
  </si>
  <si>
    <t>1. Đăng nhập tài khoản 
2. Khóa học ở trạng thái "Hoàn thành".</t>
  </si>
  <si>
    <t>1. Chọn menu "Đào tạo, tập huấn" -&gt; "Khóa học"
2. Nhấn xem chi tiết khóa học
3. Chọn danh sách học viên và bấm nút "Công bố và sinh chứng nhận"</t>
  </si>
  <si>
    <t xml:space="preserve">- Hệ thống hiển thị thông báo "Đã phát hành chứng nhận cho {số lượng} học viên".
+ Kiểm tra các học viên được chọn có kết quả "Đạt".
+ Tự sinh số chứng nhận cho từng học viên theo định dạng chuẩn.
+ Sinh tệp chứng nhận điện tử (PDF có ký số) cho từng học viên theo hình thức tạo hàng loạt.
+ Lưu tệp vào hệ thống và liên kết với bản ghi học viên.
+ Lưu vết thao tác theo quy định.
</t>
  </si>
  <si>
    <t>Màn hình không có chức năng</t>
  </si>
  <si>
    <t xml:space="preserve"> CBKQDTBD_01.webm</t>
  </si>
  <si>
    <t>QLTVV_02</t>
  </si>
  <si>
    <t>1. Chọn menu "Mạng lướt tư vấn viên" -&gt; "Tư vấn viên/Chuyên gia"</t>
  </si>
  <si>
    <t>- Hệ thống hiển thị bảng danh sách giống với thiết kế
- Dữ liệu hiển thị đúng định dạng và trường thông tin
- Mặc định: hệ thống sắp xếp theo ngày công nhận mới nhất trước, 20 bản ghi mỗi trang
- Dữ liệu hiển thị không bị tràn/đè lên nhau, đồng nhất ngôn ngữ hiển thị</t>
  </si>
  <si>
    <t>- Trường thông tin Điểm đánh giá hiển thị không giống với thiết kế
- Trường thông tin Loại viết tắt
- Hệ thống không mặc định sắp xếp theo ngày công nhận mới nhất</t>
  </si>
  <si>
    <r>
      <rPr>
        <rFont val="Times New Roman"/>
        <color rgb="FF1155CC"/>
        <sz val="13.0"/>
        <u/>
      </rPr>
      <t>QLTVV_03.jpg</t>
    </r>
  </si>
  <si>
    <t>QLTVV_04</t>
  </si>
  <si>
    <t>1. Chọn menu "Mạng lướt tư vấn viên" -&gt; "Tư vấn viên/Chuyên gia"
2. Bấm nút "Xem" trên dòng tư vấn viên</t>
  </si>
  <si>
    <t>Hệ thống mở màn hình Hồ sơ chi tiết tư vấn viên hiển thị đầy đủ thông tin trong 5 thẻ: Hồ sơ, Thẩm định, Năng lực, Lịch sử hỗ trợ, Đánh giá</t>
  </si>
  <si>
    <t>- Khu vực thông tin đầu trang (thẻ giới thiệu tư vấn viên): hiển thị thiếu thông tin Loại, Tổ chức tư vấn, Lĩnh vực pháp luật và Điểm đánh giá trung bình không đúng với thiết kế
- Nhóm 2  Thông tin nghề nghiệp: hiển thị thiếu thông tin Mô tả kinh nghiệm, Chứng chỉ hành nghề
- Thiếu Nhóm 4  Lĩnh vực pháp luật</t>
  </si>
  <si>
    <r>
      <rPr>
        <rFont val="Times New Roman"/>
        <color rgb="FF1155CC"/>
        <sz val="13.0"/>
        <u/>
      </rPr>
      <t>QLTVV_04.webm</t>
    </r>
  </si>
  <si>
    <t>QLTVV_07</t>
  </si>
  <si>
    <t>Sắp xếp theo cột</t>
  </si>
  <si>
    <t>1. Chọn menu "Mạng lướt tư vấn viên" -&gt; "Tư vấn viên/Chuyên gia"
2. Bấm vào tiêu đề cột cần sắp xếp</t>
  </si>
  <si>
    <t xml:space="preserve">- Hệ thống sắp xếp danh sách theo cột đó, luân phiên tăng dần / giảm dần qua mỗi lần bấm.
</t>
  </si>
  <si>
    <t>Không thực hiện sắp xếp khi bấm vào tiêu đề cột</t>
  </si>
  <si>
    <r>
      <rPr>
        <rFont val="Times New Roman"/>
        <color rgb="FF1155CC"/>
        <sz val="13.0"/>
        <u/>
      </rPr>
      <t>QLTVV_07.webm</t>
    </r>
  </si>
  <si>
    <t>QLTVV_10</t>
  </si>
  <si>
    <t>Xuất Excel theo Phụ lục 1  Quyết định 1322/QĐ-BTP khi không áp dụng điều kiện lọc</t>
  </si>
  <si>
    <t>1. Đăng nhập tài khoản
2. Danh sách có số lượng bản ghi nhỏ hơn 10.000</t>
  </si>
  <si>
    <t>1. Chọn menu "Mạng lướt tư vấn viên" -&gt; "Tư vấn viên/Chuyên gia"
2. Bấm nút "Xuất Excel theo Phụ lục 1  Quyết định 1322/QĐ-Bộ Tư pháp"</t>
  </si>
  <si>
    <t>Hệ thống xuất toàn bộ danh sách tư vấn viên hiện tại ra tệp Excel (.xlsx) với 10 cột cố định theo Phụ lục 1 Quyết định 1322/QĐ-BTP ngày 01/6/2020 (Số thứ tự; Họ tên; Năm sinh; Thông tin liên hệ gồm số điện thoại, địa chỉ, thư điện tử; Chức danh / vị trí công tác; Trình độ chuyên môn và số văn bằng; Chứng chỉ kèm ngày cấp; Lĩnh vực chuyên ngành; Kinh nghiệm gồm số năm và mô tả; Ghi chú). Định dạng tệp và thứ tự cột thực hiện đúng theo mẫu "Danh sách tư vấn viên" kèm theo Quyết định 1322/QĐ-BTP do Bộ Tư pháp ban hành.</t>
  </si>
  <si>
    <t>File excel được xuất không hiển thị thông tin Ngày cấp đi kèm chứng chỉ mặc dù tồn tại dữ liệu</t>
  </si>
  <si>
    <r>
      <rPr>
        <rFont val="Times New Roman"/>
        <color rgb="FF1155CC"/>
        <sz val="13.0"/>
        <u/>
      </rPr>
      <t>QLTVV_10.webm</t>
    </r>
  </si>
  <si>
    <t>QLTVV_12</t>
  </si>
  <si>
    <t>Xuất Excel theo Phụ lục 1  Quyết định 1322/QĐ-BTP khi áp dụng điều kiện lọc</t>
  </si>
  <si>
    <t>1. Chọn menu "Mạng lướt tư vấn viên" -&gt; "Tư vấn viên/Chuyên gia"
2. Chọn tiêu chí lọc có kết quả
3. Bấm nút "Xuất Excel theo Phụ lục 1  Quyết định 1322/QĐ-Bộ Tư pháp"</t>
  </si>
  <si>
    <t>Hệ thống xuất danh sách tư vấn viên theo tiêu chí lọc hiện tại ra tệp Excel (.xlsx) với 10 cột cố định theo Phụ lục 1 Quyết định 1322/QĐ-BTP ngày 01/6/2020 (Số thứ tự; Họ tên; Năm sinh; Thông tin liên hệ gồm số điện thoại, địa chỉ, thư điện tử; Chức danh / vị trí công tác; Trình độ chuyên môn và số văn bằng; Chứng chỉ kèm ngày cấp; Lĩnh vực chuyên ngành; Kinh nghiệm gồm số năm và mô tả; Ghi chú). Định dạng tệp và thứ tự cột thực hiện đúng theo mẫu "Danh sách tư vấn viên" kèm theo Quyết định 1322/QĐ-BTP do Bộ Tư pháp ban hành.</t>
  </si>
  <si>
    <r>
      <rPr>
        <rFont val="Times New Roman"/>
        <color rgb="FF1155CC"/>
        <sz val="13.0"/>
        <u/>
      </rPr>
      <t>QLTVV_12.jpg</t>
    </r>
  </si>
  <si>
    <t>QLTVV_13</t>
  </si>
  <si>
    <t>Kiểm tra nút chức năng Thêm tư vấn viên</t>
  </si>
  <si>
    <t>1. Chọn menu "Mạng lướt tư vấn viên" -&gt; "Tư vấn viên/Chuyên gia"
2. Bấm nút "+ Thêm tư vấn viên"</t>
  </si>
  <si>
    <t>Hệ thống chuyển sang màn hình "Thêm mới tư vấn viên" với các trường thông tin giống với thiết kế</t>
  </si>
  <si>
    <t xml:space="preserve">Hệ thống hiển thị form thêm mới thiếu trường thông tin Mô tả kinh nghiệm, Chứng chỉ hành nghề </t>
  </si>
  <si>
    <t>QLTVV_18</t>
  </si>
  <si>
    <t>Tệp đính kèm vượt quá số lượng</t>
  </si>
  <si>
    <t>1. Chọn menu "Mạng lướt tư vấn viên" -&gt; "Tư vấn viên/Chuyên gia"
2. Bấm nút "+ Thêm tư vấn viên"
3. Tệp đính kèm vượt quá số lượng và nhấn Lưu</t>
  </si>
  <si>
    <t>Hệ thống hiển thị thông báo "Tệp vượt quá dung lượng/số lượng cho phép hoặc sai định dạng".</t>
  </si>
  <si>
    <t>Hệ thống không hiển thị thông báo lỗi</t>
  </si>
  <si>
    <r>
      <rPr>
        <rFont val="Times New Roman"/>
        <color rgb="FF1155CC"/>
        <sz val="13.0"/>
        <u/>
      </rPr>
      <t>QLTVV_18.webm</t>
    </r>
  </si>
  <si>
    <t>QLTVV_20</t>
  </si>
  <si>
    <t>Kiểm tra hiển thị và các nút tương tác khi tải tệp lên hệ thống thành công</t>
  </si>
  <si>
    <t>1. Chọn menu "Mạng lướt tư vấn viên" -&gt; "Tư vấn viên/Chuyên gia"
2. Bấm nút "+ Thêm tư vấn viên"
3. Kiểm tra các nút tương tác khi tải tệp lên hệ thống thành công</t>
  </si>
  <si>
    <t>Danh sách tệp đã tải hiển thị tên, dung lượng và các nút xem / tải lại / xóa.</t>
  </si>
  <si>
    <t>Danh sách tệp đã tải không hiển thị dung lượng và các nút xem / tải lại.</t>
  </si>
  <si>
    <r>
      <rPr>
        <rFont val="Times New Roman"/>
        <color rgb="FF1155CC"/>
        <sz val="13.0"/>
        <u/>
      </rPr>
      <t>QLTVV_20.webm</t>
    </r>
  </si>
  <si>
    <t>QLTVV_21</t>
  </si>
  <si>
    <t>Thêm mới Dữ liệu hợp lệ</t>
  </si>
  <si>
    <t>1. Chọn menu "Mạng lướt tư vấn viên" -&gt; "Tư vấn viên/Chuyên gia"
2. Bấm nút "+ Thêm tư vấn viên"
3. Nhập Dữ liệu hợp lệ và nhấn Lưu</t>
  </si>
  <si>
    <t>Hệ thống tự sinh mã tư vấn viên, lưu bản ghi ở trạng thái "Mới đăng ký", tạo liên kết đến tổ chức và lĩnh vực pháp luật, gửi thông báo đến Cán bộ nghiệp vụ cùng đơn vị, lưu vết thao tác, hiển thị thông báo "Đã thêm tư vấn viên thành công" và quay về màn hình danh sách.</t>
  </si>
  <si>
    <t>- Hệ thống hiển thị thông báo "Tạo hồ sơ TVV thành công nhưng không tải lên được:{tên file ảnh}"
- Không hiển thị thông tin Số quyết định và file đính kèm mặc dù tồn tại dữ liệu khi thêm mới</t>
  </si>
  <si>
    <r>
      <rPr>
        <rFont val="Times New Roman"/>
        <color rgb="FF1155CC"/>
        <sz val="13.0"/>
        <u/>
      </rPr>
      <t>QLTVV_21.webm</t>
    </r>
  </si>
  <si>
    <t>QLTVV_22</t>
  </si>
  <si>
    <t>Hủy có thay đổi chưa lưu</t>
  </si>
  <si>
    <t>1. Chọn menu "Mạng lướt tư vấn viên" -&gt; "Tư vấn viên/Chuyên gia"
2. Bấm nút "+ Thêm tư vấn viên"
3. Nhập thông tin hợp lệ và Nhấn Hủy</t>
  </si>
  <si>
    <t>- Hệ thống hiển thị hộp xác nhận "Bạn có chắc chắn rời khỏi mà không lưu?"
- Xác nhận rời khỏi → hệ thống bỏ các thay đổi và quay lại danh sách 
- Chọn "Ở lại" → đóng hộp xác nhận, giữ nguyên biểu mẫu.</t>
  </si>
  <si>
    <t>- Chọn "Ở lại" → hệ thống xóa các thông tin đã nhập trước đó</t>
  </si>
  <si>
    <r>
      <rPr>
        <rFont val="Times New Roman"/>
        <color rgb="FF1155CC"/>
        <sz val="13.0"/>
        <u/>
      </rPr>
      <t>QLTVV_22.webm</t>
    </r>
  </si>
  <si>
    <t>QLTVV_23</t>
  </si>
  <si>
    <t>Kiểm tra nút chức năng Sửa tư vấn viên khi tư vấn viên không ở trạng thái "Vô hiệu hóa"</t>
  </si>
  <si>
    <t>1. Đăng nhập tài khoản
2. Tư vấn viên không ở trạng thái "Vô hiệu hóa".</t>
  </si>
  <si>
    <t>1. Chọn menu "Mạng lướt tư vấn viên" -&gt; "Tư vấn viên/Chuyên gia"
2. Bấm nút "Sửa" trên dòng tương ứng</t>
  </si>
  <si>
    <t>Hệ thống mở biểu mẫu "Chỉnh sửa tư vấn viên" với các trường thông tin giống với thiết kế và hiển thị dữ liệu hiện tại.</t>
  </si>
  <si>
    <t xml:space="preserve">Hệ thống hiển thị form chỉnh sửa thiếu trường thông tin Mô tả kinh nghiệm, Chứng chỉ hành nghề </t>
  </si>
  <si>
    <r>
      <rPr>
        <rFont val="Times New Roman"/>
        <color rgb="FF1155CC"/>
        <sz val="13.0"/>
        <u/>
      </rPr>
      <t>QLTVV_23.webm</t>
    </r>
  </si>
  <si>
    <t>QLTVV_24</t>
  </si>
  <si>
    <t>Sửa Dữ liệu hợp lệ</t>
  </si>
  <si>
    <t>1. Chọn menu "Mạng lướt tư vấn viên" -&gt; "Tư vấn viên/Chuyên gia"
2. Bấm nút "Sửa" trên dòng tương ứng
3. Nhập dữ liệu hợp lệ và nhấn Lưu</t>
  </si>
  <si>
    <t>Hệ thống cập nhật bản ghi, lưu vết thao tác (giá trị cũ → giá trị mới), hiển thị thông báo "Đã cập nhật tư vấn viên thành công".</t>
  </si>
  <si>
    <t>Hệ thống hiển thị thông báo "Chỉ chấp nhận file pdf" mặc dù file tải lên đúng định dạng quy định</t>
  </si>
  <si>
    <r>
      <rPr>
        <rFont val="Times New Roman"/>
        <color rgb="FF1155CC"/>
        <sz val="13.0"/>
        <u/>
      </rPr>
      <t>QLTVV_24.webm</t>
    </r>
  </si>
  <si>
    <t>QLTVV_28</t>
  </si>
  <si>
    <t>Xóa tư vấn viên đang có vụ việc chưa hoàn thành</t>
  </si>
  <si>
    <t>1. Đăng nhập tài khoản
2. Tư vấn viên đang có vụ việc chưa hoàn thành</t>
  </si>
  <si>
    <t>1. Chọn menu "Mạng lướt tư vấn viên" -&gt; "Tư vấn viên/Chuyên gia"
2. Bấm nút "Xóa" trên dòng tương ứng</t>
  </si>
  <si>
    <t>Hệ thống từ chối thao tác và hiển thị thông báo "Tư vấn viên đang có vụ việc chưa hoàn thành".</t>
  </si>
  <si>
    <t>Hệ thống hiển thị thông báo "Không thể xóa tư vấn viên. Vui lòng thử lại."</t>
  </si>
  <si>
    <r>
      <rPr>
        <rFont val="Times New Roman"/>
        <color rgb="FF1155CC"/>
        <sz val="13.0"/>
        <u/>
      </rPr>
      <t>QLTVV_28.webm</t>
    </r>
  </si>
  <si>
    <t>TKTVV_02</t>
  </si>
  <si>
    <t>Kiểm tra các trường thông tin tìm kiếm</t>
  </si>
  <si>
    <t>1. Chọn menu "Mạng lướt tư vấn viên" -&gt; "Tư vấn viên/Chuyên gia"
2. Kiểm tra các trường thông tin tìm kiếm</t>
  </si>
  <si>
    <t>- Hiển thị các trường thông tin tìm kiếm đúng với thiết kế
- Giá trị mặc định của Lĩnh vực pháp luật là "Tất cả", giá trị mặc định của textbox là rỗng
- Dữ liệu của các danh sách chọn đúng với trường thông tin tương ứng</t>
  </si>
  <si>
    <t>- Giá trị mặc định của Lĩnh vực pháp luật là rỗng
- Tổ chức kiểu dữ liệu không phải là danh sách chọn
- Trạng thái không tự dộng ẩn khi đang ở một thẻ trạng thái cụ thể hoặc hiển thị giá trị mặc định theo thẻ đang chọn</t>
  </si>
  <si>
    <r>
      <rPr>
        <rFont val="Times New Roman"/>
        <color rgb="FF1155CC"/>
        <sz val="13.0"/>
        <u/>
      </rPr>
      <t>TKTVV_02.webm</t>
    </r>
  </si>
  <si>
    <t>TKTVV_04</t>
  </si>
  <si>
    <t>Tìm kiếm theo bộ lọc có kết quả</t>
  </si>
  <si>
    <t>1. Chọn menu "Mạng lướt tư vấn viên" -&gt; "Tư vấn viên/Chuyên gia"
2. Tìm kiếm theo bộ lọc có kết quả</t>
  </si>
  <si>
    <t>Có kết quả, hệ thống hiển thị danh sách các thẻ giảng viên phù hợp.</t>
  </si>
  <si>
    <t>- Hệ thống hiển thị các bản ghi không phù hợp với tiêu chí tìm kiếm theo Tổ chức
- Hệ thống không tự động chuyển tab phù hợp với tiêu chí Trạng thái</t>
  </si>
  <si>
    <r>
      <rPr>
        <rFont val="Times New Roman"/>
        <color rgb="FF1155CC"/>
        <sz val="13.0"/>
        <u/>
      </rPr>
      <t>TKTVV_05.jpg</t>
    </r>
  </si>
  <si>
    <t>TKTVV_08</t>
  </si>
  <si>
    <t xml:space="preserve">1. Chọn menu "Mạng lướt tư vấn viên" -&gt; "Tư vấn viên/Chuyên gia"
2. Tìm kiếm theo từ khóa có kết quả
3. Chọn tiêu chí sắp xếp </t>
  </si>
  <si>
    <t>Hệ thống không thực hiện sắp xếp khi nhấn vào tên cột</t>
  </si>
  <si>
    <r>
      <rPr>
        <rFont val="Times New Roman"/>
        <color rgb="FF1155CC"/>
        <sz val="13.0"/>
        <u/>
      </rPr>
      <t>TKTVV_08.webm</t>
    </r>
  </si>
  <si>
    <t>DKTGMLTVV_02</t>
  </si>
  <si>
    <t>Kiểm tra hiển thị Nhóm 1 Thông tin cá nhân</t>
  </si>
  <si>
    <t>1. Chọn menu "Mạng lướt tư vấn viên" -&gt; "Tư vấn viên/Chuyên gia"
2. Chọn tab "Mới đăng ký"
3. Nhấn Thêm mới</t>
  </si>
  <si>
    <t>- Hệ thống hiển thị các trường thông tin giống với thiết kế
- Dữ liệu hiển thị đúng định dạng và trường thông tin
- Dữ liệu hiển thị không bị tràn/đè lên nhau, đồng nhất ngôn ngữ hiển thị</t>
  </si>
  <si>
    <t>- Dữ liệu trường thông tin Loại, Giới tính không giống với thiết kế
- Khi upload ảnh hệ thống không hiển thị bản xem trước</t>
  </si>
  <si>
    <r>
      <rPr>
        <rFont val="Times New Roman"/>
        <color rgb="FF1155CC"/>
        <sz val="13.0"/>
        <u/>
      </rPr>
      <t>DKTGMLTVV_02.webm</t>
    </r>
  </si>
  <si>
    <t>DKTGMLTVV_03</t>
  </si>
  <si>
    <t>Kiểm tra hiển thị Nhóm 2 Thông tin nghề nghiệp</t>
  </si>
  <si>
    <t>Màn hình hiển thị thiếu trường thông tin Chứng chỉ hành nghề,  Mô tả kinh nghiệm</t>
  </si>
  <si>
    <r>
      <rPr>
        <rFont val="Times New Roman"/>
        <color rgb="FF1155CC"/>
        <sz val="13.0"/>
        <u/>
      </rPr>
      <t>DKTGMLTVV_03.webm</t>
    </r>
  </si>
  <si>
    <t>DKTGMLTVV_11</t>
  </si>
  <si>
    <t xml:space="preserve">Gửi đăng ký khi Tệp đính kèm vượt dung lượng, số lượng hoặc sai định dạng </t>
  </si>
  <si>
    <t xml:space="preserve">1. Chọn menu "Mạng lướt tư vấn viên" -&gt; "Tư vấn viên/Chuyên gia"
2. Chọn tab "Mới đăng ký"
3. Nhấn Thêm mới
4. Tệp đính kèm vượt dung lượng, số lượng hoặc sai định dạng </t>
  </si>
  <si>
    <t>Hệ thống giới hạn chỉ upload 10 file nhưng không hiển thị thông báo cho người dùng dễ dàng nhận biết</t>
  </si>
  <si>
    <r>
      <rPr>
        <rFont val="Times New Roman"/>
        <color rgb="FF1155CC"/>
        <sz val="13.0"/>
        <u/>
      </rPr>
      <t>DKTGMLTVV_11.webm</t>
    </r>
  </si>
  <si>
    <t>DKTGMLTVV_14</t>
  </si>
  <si>
    <t>Hủy khi có thay đổi</t>
  </si>
  <si>
    <t>1. Chọn menu "Mạng lướt tư vấn viên" -&gt; "Tư vấn viên/Chuyên gia"
2. Dữ liệu hợp lệ và nhấn Hủy</t>
  </si>
  <si>
    <t>Hệ thống hiển thị hộp xác nhận "Bạn có chắc chắn rời khỏi mà không gửi đăng ký?". Xác nhận rời khỏi → hệ thống bỏ các thay đổi và quay về trang chủ; chọn "Ở lại" → đóng hộp xác nhận, giữ nguyên biểu mẫu.</t>
  </si>
  <si>
    <t>Khi xác nhận Ở lại hệ thống xóa các thông tin đã nhập trước đó</t>
  </si>
  <si>
    <r>
      <rPr>
        <rFont val="Times New Roman"/>
        <color rgb="FF1155CC"/>
        <sz val="13.0"/>
        <u/>
      </rPr>
      <t>DKTGMLTVV_14.webm</t>
    </r>
  </si>
  <si>
    <t>CNHSNLTVV_02</t>
  </si>
  <si>
    <t>Kiểm tra hiển thị các trường thông tin</t>
  </si>
  <si>
    <t xml:space="preserve">1. Chọn menu "Mạng lướt tư vấn viên" -&gt; "Tư vấn viên/Chuyên gia"
</t>
  </si>
  <si>
    <t>- Hệ thống hiển thị các trường thông tin giống với thiết kế
- Dữ liệu hiển thị Giá trị hiện tại và đúng định dạng 
- Dữ liệu hiển thị không bị tràn/đè lên nhau, đồng nhất ngôn ngữ hiển thị</t>
  </si>
  <si>
    <t>Màn hình hiển thị các trường thông tin không giống với thiết kế</t>
  </si>
  <si>
    <r>
      <rPr>
        <rFont val="Times New Roman"/>
        <color rgb="FF1155CC"/>
        <sz val="13.0"/>
        <u/>
      </rPr>
      <t>CNHSNLTVV_02.webm</t>
    </r>
  </si>
  <si>
    <t>QLHSTVV_02</t>
  </si>
  <si>
    <t>Kiểm tra hiển thị Khu vực thông tin đầu trang (thẻ giới thiệu tư vấn viên)</t>
  </si>
  <si>
    <t>1. Chọn menu "Mạng lướt tư vấn viên" -&gt; "Tư vấn viên/Chuyên gia"
2. Tìm kiếm và Nhấn xem chi tiết ứng viên</t>
  </si>
  <si>
    <t>- Hệ thống hiển thị các trường thông tin giống với thiết kế, không được chỉnh sửa
- Dữ liệu hiển thị Giá trị hiện tại và đúng định dạng 
- Dữ liệu hiển thị không bị tràn/đè lên nhau, đồng nhất ngôn ngữ hiển thị</t>
  </si>
  <si>
    <t>Không hiển thị các trường thông tin "Loại", "Tổ chức tư vấn",  "Lĩnh vực pháp luật"</t>
  </si>
  <si>
    <r>
      <rPr>
        <rFont val="Times New Roman"/>
        <color rgb="FF1155CC"/>
        <sz val="13.0"/>
        <u/>
      </rPr>
      <t>QLHSTVV_02.jpg</t>
    </r>
  </si>
  <si>
    <t>QLHSTVV_03</t>
  </si>
  <si>
    <t>Kiểm tra hiển thị Thẻ "Hồ sơ" nội dung chỉ xem, tổ chức thành 5 nhóm thu gọn</t>
  </si>
  <si>
    <t>- Hệ thống hiển thị 5 nhóm giống với thiết kế
- Các trường thông tin giống với thiết kế, không được chỉnh sửa
- Dữ liệu hiển thị Giá trị hiện tại và đúng định dạng 
- Dữ liệu hiển thị không bị tràn/đè lên nhau, đồng nhất ngôn ngữ hiển thị</t>
  </si>
  <si>
    <t>- 5 nhóm thông tin không giống với thiết kế</t>
  </si>
  <si>
    <r>
      <rPr>
        <rFont val="Times New Roman"/>
        <color rgb="FF1155CC"/>
        <sz val="13.0"/>
        <u/>
      </rPr>
      <t>QLHSTVV_03.webm</t>
    </r>
  </si>
  <si>
    <t>QLHSTVV_04</t>
  </si>
  <si>
    <t>← Quay lại danh sách</t>
  </si>
  <si>
    <t>1. Chọn menu "Mạng lướt tư vấn viên" -&gt; "Tư vấn viên/Chuyên gia"
2. Tìm kiếm và Nhấn xem chi tiết ứng viên
3. Bấm nút "← Quay lại danh sách"</t>
  </si>
  <si>
    <t>Hệ thống chuyển về màn hình Danh sách tư vấn viên, giữ nguyên các bộ lọc đang áp dụng trước đó.</t>
  </si>
  <si>
    <t>Hệ thống chuyển về màn hình Danh sách tư vấn viên nhưng không giữ nguyên các bộ lọc đang áp dụng trước đó.</t>
  </si>
  <si>
    <r>
      <rPr>
        <rFont val="Times New Roman"/>
        <color rgb="FF1155CC"/>
        <sz val="13.0"/>
        <u/>
      </rPr>
      <t>QLHSTVV_04.webm</t>
    </r>
  </si>
  <si>
    <t>QLHSTVV_05</t>
  </si>
  <si>
    <t>Kiểm tra hiển thị thẻ "Thẩm định" khi người dùng là Người hỗ trợ hoặc Doanh nghiệp.</t>
  </si>
  <si>
    <t>1. Đăng nhập tài khoản Người hỗ trợ 
2. Tồn tại bản ghi phù hợp với tiêu chí tìm kiếm</t>
  </si>
  <si>
    <t xml:space="preserve">1. Chọn menu "Mạng lướt tư vấn viên" -&gt; "Tư vấn viên/Chuyên gia"
2. Tìm kiếm và Nhấn xem chi tiết ứng viên
</t>
  </si>
  <si>
    <t>Thẻ "Thẩm định" bị ẩn hoàn toàn</t>
  </si>
  <si>
    <t>Hệ thống hiển thị thẻ "Thẩm định"</t>
  </si>
  <si>
    <t>QLHSTVV_05.jpg</t>
  </si>
  <si>
    <t>QLHSTVV_06</t>
  </si>
  <si>
    <t>Chuyển thẻ nội dung</t>
  </si>
  <si>
    <t>1. Chọn menu "Mạng lướt tư vấn viên" -&gt; "Tư vấn viên/Chuyên gia"
2. Tìm kiếm và Nhấn xem chi tiết ứng viên
3. Chọn 1 trong 5 thẻ: "Hồ sơ" / "Thẩm định" / "Năng lực" / "Lịch sử hỗ trợ" / "Đánh giá".</t>
  </si>
  <si>
    <t xml:space="preserve">- Hệ thống hiển thị nội dung tương ứng với thẻ đã chọn. Thẻ "Lịch sử hỗ trợ" và "Đánh giá" có hiển thị số đếm bản ghi ngay cạnh tên thẻ.
</t>
  </si>
  <si>
    <t>- Lỗi hiển thị trường thông tin "Bằng cấp" trong thẻ Năng lực
- Không hiển thị số đếm bản ghi ngay bên cạnh tên thẻ</t>
  </si>
  <si>
    <r>
      <rPr>
        <rFont val="Times New Roman"/>
        <color rgb="FF1155CC"/>
        <sz val="13.0"/>
        <u/>
      </rPr>
      <t>QLHSTVV_06.webm</t>
    </r>
  </si>
  <si>
    <t>TDHSTVV_02</t>
  </si>
  <si>
    <t>Kiểm tra hiển thị Nhóm tiêu chí 1  Pháp lý (bắt buộc)</t>
  </si>
  <si>
    <t>1. Chọn menu "Mạng lướt tư vấn viên" -&gt; "Tư vấn viên/Chuyên gia"
2. Tìm kiếm và Nhấn xem chi tiết ứng viên
3. Chọn tab "Thẩm định"</t>
  </si>
  <si>
    <t>Tên trường thông tin "Không vi phạm" không đúng với thiết kế</t>
  </si>
  <si>
    <r>
      <rPr>
        <rFont val="Times New Roman"/>
        <color rgb="FF1155CC"/>
        <sz val="13.0"/>
        <u/>
      </rPr>
      <t>TDHSTVV_02.webm</t>
    </r>
  </si>
  <si>
    <t>TDHSTVV_04</t>
  </si>
  <si>
    <t>Kiểm tra hiển thị Nhóm tiêu chí 3  Hiệu quả và uy tín</t>
  </si>
  <si>
    <t>Tên trường thông tin "Không áp dụng (tư vấn viên mới)" không đúng với thiết kế</t>
  </si>
  <si>
    <r>
      <rPr>
        <rFont val="Times New Roman"/>
        <color rgb="FF1155CC"/>
        <sz val="13.0"/>
        <u/>
      </rPr>
      <t>TDHSTVV_04.webm</t>
    </r>
  </si>
  <si>
    <t>TDHSTVV_08</t>
  </si>
  <si>
    <t>Lưu nháp</t>
  </si>
  <si>
    <t>1. Đăng nhập tài khoản
2. Hồ sơ đang ở trạng thái "Chờ thẩm định" hoặc "Đang thẩm định"; người dùng là Cán bộ nghiệp vụ cùng đơn vị.</t>
  </si>
  <si>
    <t>1. Chọn menu "Mạng lướt tư vấn viên" -&gt; "Tư vấn viên/Chuyên gia"
2. Tìm kiếm và Nhấn xem chi tiết ứng viên
3. Chọn tab "Thẩm định"
4. Nhập thông tin hợp lệ và nhấn Lưu nháp</t>
  </si>
  <si>
    <t xml:space="preserve">-  Lưu các giá trị đã nhập vào hồ sơ thẩm định mà chưa thay đổi kết luận cuối cùng.
- Cho phép cán bộ thẩm định quay lại hoàn thiện sau.
- Lưu vết thao tác.
- Hiển thị thông báo "Đã lưu nháp kết quả thẩm định".
</t>
  </si>
  <si>
    <t>Hệ thống không hiển thị thông báo và không lưu giá trị đã nhập</t>
  </si>
  <si>
    <r>
      <rPr>
        <rFont val="Times New Roman"/>
        <color rgb="FF1155CC"/>
        <sz val="13.0"/>
        <u/>
      </rPr>
      <t>TDHSTVV_08.webm</t>
    </r>
  </si>
  <si>
    <t>TDHSTVV_09</t>
  </si>
  <si>
    <t>Lưu nháp khi mất kết nối</t>
  </si>
  <si>
    <t>1. Đăng nhập tài khoản
2. Hồ sơ đang ở trạng thái "Chờ thẩm định" hoặc "Đang thẩm định"; người dùng là Cán bộ nghiệp vụ cùng đơn vị.
3. Mất kết nối</t>
  </si>
  <si>
    <t>-  Hệ thống hiển thị thông báo "Không thể lưu, vui lòng thử lại".</t>
  </si>
  <si>
    <r>
      <rPr>
        <rFont val="Times New Roman"/>
        <color rgb="FF1155CC"/>
        <sz val="13.0"/>
        <u/>
      </rPr>
      <t>TDHSTVV_09.webm</t>
    </r>
  </si>
  <si>
    <t>TDHSTVV_12</t>
  </si>
  <si>
    <t>Kiểm tra nút chức năng Gửi kết quả thẩm định</t>
  </si>
  <si>
    <t xml:space="preserve">1. Đăng nhập tài khoản Cán bộ nghiệp vụ cùng đơn vị.
</t>
  </si>
  <si>
    <t xml:space="preserve">1. Chọn menu "Mạng lướt tư vấn viên" -&gt; "Tư vấn viên/Chuyên gia"
2. Tìm kiếm và Nhấn xem chi tiết ứng viên
3. Chọn tab "Thẩm định"
</t>
  </si>
  <si>
    <t>- Kết luận thẩm định đã được chọn hệ thống enable nút, chưa được chọn disable</t>
  </si>
  <si>
    <t>Hệ thống enable nút mặc dù chưa chọn Kết luận thẩm định</t>
  </si>
  <si>
    <r>
      <rPr>
        <rFont val="Times New Roman"/>
        <color rgb="FF1155CC"/>
        <sz val="13.0"/>
        <u/>
      </rPr>
      <t>TDHSTVV_12.jpg</t>
    </r>
  </si>
  <si>
    <t>TDHSTVV_13</t>
  </si>
  <si>
    <t>Gửi kết quả thẩm định Kết luận "Yêu cầu bổ sung"</t>
  </si>
  <si>
    <t>1. Chọn menu "Mạng lướt tư vấn viên" -&gt; "Tư vấn viên/Chuyên gia"
2. Tìm kiếm và Nhấn xem chi tiết ứng viên
3. Chọn tab "Thẩm định"
4. Kết luận "Yêu cầu bổ sung" và nhấn Gửi thẩm định</t>
  </si>
  <si>
    <t>Hệ thống chuyển hồ sơ sang trạng thái "Yêu cầu bổ sung", gửi thông báo kèm lý do đến Người hỗ trợ, lưu vết thao tác, hiển thị thông báo "Đã gửi yêu cầu bổ sung đến Người hỗ trợ".</t>
  </si>
  <si>
    <t>- Hệ thống không hiển thị thông báo</t>
  </si>
  <si>
    <r>
      <rPr>
        <rFont val="Times New Roman"/>
        <color rgb="FF1155CC"/>
        <sz val="13.0"/>
        <u/>
      </rPr>
      <t>TDHSTVV_13.webm</t>
    </r>
  </si>
  <si>
    <t>TDHSTVV_14</t>
  </si>
  <si>
    <t>Gửi kết quả thẩm định Kết luận "Không đạt"</t>
  </si>
  <si>
    <t>1. Chọn menu "Mạng lướt tư vấn viên" -&gt; "Tư vấn viên/Chuyên gia"
2. Tìm kiếm và Nhấn xem chi tiết ứng viên
3. Chọn tab "Thẩm định"
4. Kết luận "Không đạt" và nhấn Gửi thẩm định</t>
  </si>
  <si>
    <t>Hệ thống chuyển hồ sơ sang trạng thái "Từ chối", ghi nhận thời điểm và người từ chối, gửi thông báo kèm lý do đến Người hỗ trợ, lưu vết thao tác, hiển thị thông báo "Đã từ chối hồ sơ".</t>
  </si>
  <si>
    <t>- Hệ thống hiển thị thông báo "Dữ liệu đã bị thay đổi, vui lòng tải lại" nhưng khi tải lại dữ liệu vẫn là dữ liệu cũ</t>
  </si>
  <si>
    <r>
      <rPr>
        <rFont val="Times New Roman"/>
        <color rgb="FF1155CC"/>
        <sz val="13.0"/>
        <u/>
      </rPr>
      <t>TDHSTVV_14.webm</t>
    </r>
  </si>
  <si>
    <t>TDHSTVV_17</t>
  </si>
  <si>
    <t>Trình phê duyệt khi Cán bộ nghiệp vụ thuộc cấp Trung ương hoặc Bộ/Ngành</t>
  </si>
  <si>
    <t>1. Đăng nhập tài khoản Cán bộ nghiệp vụ cùng đơn vị.
2. Hồ sơ đang ở trạng thái "Đang thẩm định"</t>
  </si>
  <si>
    <t>1. Chọn menu "Mạng lướt tư vấn viên" -&gt; "Tư vấn viên/Chuyên gia"
2. Tìm kiếm và Nhấn xem chi tiết ứng viên
3. Chọn tab "Thẩm định"
4. Kết luận thẩm định là "Đạt"
5. Nhấn nút "Trình phê duyệt"</t>
  </si>
  <si>
    <t xml:space="preserve">- Hồ sơ trình cấp phê duyệt cùng cấp
+ Chuyển hồ sơ sang trạng thái "Chờ phê duyệt".
+ Ghi nhận kết quả thẩm định vào hồ sơ.
+ Gửi thông báo đến Cán bộ phê duyệt của đơn vị được xác định.
+ Lưu vết thao tác.
+ Hiển thị thông báo "Đã trình hồ sơ lên cấp phê duyệt".
</t>
  </si>
  <si>
    <t>- Hệ thống không hiển thị thông báo
- Sau khi nhấn Trình duyệt và reload trang, hệ thống không hiển thị thông tin Nhân xét đã được nhập
- Cán bộ phê duyệt không nhận được thông báo</t>
  </si>
  <si>
    <r>
      <rPr>
        <rFont val="Times New Roman"/>
        <color rgb="FF1155CC"/>
        <sz val="13.0"/>
        <u/>
      </rPr>
      <t>TDHSTVV_17.webm</t>
    </r>
  </si>
  <si>
    <t>TDHSTVV_18</t>
  </si>
  <si>
    <t>Trình phê duyệt khi Cán bộ nghiệp vụ thuộc cấp Địa phương</t>
  </si>
  <si>
    <t xml:space="preserve">- Hệ thống tự động chuyển hồ sơ lên cấp Bộ/Ngành tương ứng với lĩnh vực chuyên môn của tư vấn viên 
+ Chuyển hồ sơ sang trạng thái "Chờ phê duyệt".
+ Ghi nhận kết quả thẩm định vào hồ sơ.
+ Gửi thông báo đến Cán bộ phê duyệt của đơn vị được xác định.
+ Lưu vết thao tác.
+ Hiển thị thông báo "Đã trình hồ sơ lên cấp phê duyệt".
</t>
  </si>
  <si>
    <t>- Hệ thống không hiển thị thông báo
- Cán bộ phê duyệt không nhận được thông báo</t>
  </si>
  <si>
    <r>
      <rPr>
        <rFont val="Times New Roman"/>
        <color rgb="FF1155CC"/>
        <sz val="13.0"/>
        <u/>
      </rPr>
      <t>TDHSTVV_18.webm</t>
    </r>
  </si>
  <si>
    <t>PDHSTVV_02</t>
  </si>
  <si>
    <t>1. Đăng nhập tài khoản 
2. Hồ sơ đang ở trạng thái "Chờ phê duyệt"</t>
  </si>
  <si>
    <t>- Không hiển thị tệp đính kèm mặc dù tồn tại dữ liệu
- Lỗi hiển thị thông tin "Bằng cấp" trong tab Năng lực
- Tab Đánh giá hiển thị điểm đánh giá trung bình theo thang điểm 10(thiết kế yêu cầu hiển thị thang điểm 1-5)</t>
  </si>
  <si>
    <r>
      <rPr>
        <rFont val="Times New Roman"/>
        <color rgb="FF1155CC"/>
        <sz val="13.0"/>
        <u/>
      </rPr>
      <t>PDHSTVV_02.webm</t>
    </r>
  </si>
  <si>
    <t>PDHSTVV_03</t>
  </si>
  <si>
    <t>Kiểm tra nút chức năng Phê duyệt</t>
  </si>
  <si>
    <t>1. Chọn menu "Mạng lướt tư vấn viên" -&gt; "Tư vấn viên/Chuyên gia"
2. Tìm kiếm và Nhấn xem chi tiết ứng viên
3. Nhấn Phê duyệt</t>
  </si>
  <si>
    <t xml:space="preserve">- Hệ thống mở cửa sổ xác nhận yêu cầu nhập:
+ Số quyết định công nhận (bắt buộc, tối đa 100 ký tự, định dạng theo mẫu QĐ-{số}/QĐ-{mã đơn vị}).
+ Ý kiến phê duyệt (không bắt buộc, tối đa 2.000 ký tự).
</t>
  </si>
  <si>
    <t>- Số quyết định cho phép tối đa 200 ký tự</t>
  </si>
  <si>
    <r>
      <rPr>
        <rFont val="Times New Roman"/>
        <color rgb="FF1155CC"/>
        <sz val="13.0"/>
        <u/>
      </rPr>
      <t>PDHSTVV_03.jpg</t>
    </r>
  </si>
  <si>
    <t>PDHSTVV_05</t>
  </si>
  <si>
    <t xml:space="preserve">Phê duyệt khi nhập số quyết định công nhận không hợp lệ </t>
  </si>
  <si>
    <t>1. Chọn menu "Mạng lướt tư vấn viên" -&gt; "Tư vấn viên/Chuyên gia"
2. Tìm kiếm và Nhấn xem chi tiết ứng viên
3. Nhập số quyết định không hợp lệ và Nhấn Phê duyệt</t>
  </si>
  <si>
    <t>Hệ thống hiển thị thông báo lỗi</t>
  </si>
  <si>
    <t>Hệ thống hiển thị thông báo "Phê duyệt TVV thành công" và cập nhật trạng thái của hồ sơ</t>
  </si>
  <si>
    <r>
      <rPr>
        <rFont val="Times New Roman"/>
        <color rgb="FF1155CC"/>
        <sz val="13.0"/>
        <u/>
      </rPr>
      <t>PDHSTVV_05.webm</t>
    </r>
  </si>
  <si>
    <t>PDHSTVV_06</t>
  </si>
  <si>
    <t>Phê duyệt thành công</t>
  </si>
  <si>
    <t>1. Chọn menu "Mạng lướt tư vấn viên" -&gt; "Tư vấn viên/Chuyên gia"
2. Tìm kiếm và Nhấn xem chi tiết ứng viên
3. Nhập thông tin hợp lệ và Nhấn Phê duyệt</t>
  </si>
  <si>
    <t xml:space="preserve">- Chuyển hồ sơ sang trạng thái "Đang hoạt động".
- Ghi nhận ngày công nhận, thời điểm phê duyệt, người phê duyệt và số quyết định vào hồ sơ.
- Gửi thông báo đến Người hỗ trợ là chủ hồ sơ với nội dung "Hồ sơ của bạn đã được công nhận, mã số tư vấn viên: {mã}".
- Lưu vết thao tác.
- Hiển thị thông báo "Đã công nhận tư vấn viên" và làm mới màn hình.
</t>
  </si>
  <si>
    <t>- Hệ thống chuyển hồ sơ sang trạng thái "Chờ kích hoạt tài khoản"
- Không gửi thông báo đến chủ hồ sơ
- Thông báo hiển thị không giống với thiết kế</t>
  </si>
  <si>
    <r>
      <rPr>
        <rFont val="Times New Roman"/>
        <color rgb="FF1155CC"/>
        <sz val="13.0"/>
        <u/>
      </rPr>
      <t>PDHSTVV_06.webm</t>
    </r>
  </si>
  <si>
    <t>PDHSTVV_08</t>
  </si>
  <si>
    <t>Từ chối khi nhập lý do hợp lệ</t>
  </si>
  <si>
    <t>1. Chọn menu "Mạng lướt tư vấn viên" -&gt; "Tư vấn viên/Chuyên gia"
2. Tìm kiếm và Nhấn xem chi tiết ứng viên
3. Nhấn Từ chối</t>
  </si>
  <si>
    <t>- Chuyển hồ sơ sang trạng thái "Từ chối".
- Ghi nhận thời điểm, người từ chối và lý do vào hồ sơ.
- Gửi thông báo đến Cán bộ nghiệp vụ đã thẩm định và Người hỗ trợ là chủ hồ sơ kèm lý do.
- Lưu vết thao tác.
- Hiển thị thông báo "Đã từ chối hồ sơ".
.</t>
  </si>
  <si>
    <t>Hệ thống không gửi thông báo đến Cán bộ nghiệp vụ đã thẩm định</t>
  </si>
  <si>
    <r>
      <rPr>
        <rFont val="Times New Roman"/>
        <color rgb="FF1155CC"/>
        <sz val="13.0"/>
        <u/>
      </rPr>
      <t>PDHSTVV_08.webm</t>
    </r>
  </si>
  <si>
    <t>PDHSTVV_09</t>
  </si>
  <si>
    <t>Kiểm tra thông báo lỗi khi nhập trùng số quyết định công nhận</t>
  </si>
  <si>
    <t>1. Đăng nhập tài khoản 
2. Hồ sơ đang ở trạng thái "Chờ phê duyệt"
3. Số quyết định công nhận đã tồn tại</t>
  </si>
  <si>
    <t>1. Chọn menu "Mạng lướt tư vấn viên" -&gt; "Tư vấn viên/Chuyên gia"
2. Tìm kiếm và Nhấn xem chi tiết ứng viên
3. Nhập trùng số quyết định công nhận</t>
  </si>
  <si>
    <t>Hệ thống hiển thị thông báo thành công</t>
  </si>
  <si>
    <r>
      <rPr>
        <rFont val="Times New Roman"/>
        <color rgb="FF1155CC"/>
        <sz val="13.0"/>
        <u/>
      </rPr>
      <t>PDHSTVV_09.webm</t>
    </r>
  </si>
  <si>
    <t>CNDSMLTVV_05</t>
  </si>
  <si>
    <t xml:space="preserve">Xác nhận "Công khai lên Cổng pháp luật quốc gia" </t>
  </si>
  <si>
    <t>1. Đăng nhập tài khoản 
2. Hồ sơ đang ở trạng thái "Đang hoạt động" và chưa được công khai</t>
  </si>
  <si>
    <t>1. Chọn menu "Mạng lướt tư vấn viên" -&gt; "Tư vấn viên/Chuyên gia"
2. Tìm kiếm và Nhấn xem chi tiết ứng viên
3. Bấm "Công khai lên Cổng pháp luật quốc gia" và nhấn Xác nhận</t>
  </si>
  <si>
    <t xml:space="preserve">- Hệ thống:
+ Đặt cờ công khai cho tư vấn viên.
+ Ghi nhận thời điểm công khai.
+ Gọi giao diện tích hợp đẩy dữ liệu lên Cổng pháp luật quốc gia.
+ Lưu vết thao tác.
+ Hiển thị thông báo "Đã đẩy tư vấn viên lên Cổng pháp luật quốc gia".
- Dữ liệu được tiếp nhận bởi Cổng pháp luật quốc gia trong lần gọi đầu tiên.
</t>
  </si>
  <si>
    <t>Hệ thống hiển thị thông báo "Không thể công khai. Vui lòng thử lại."</t>
  </si>
  <si>
    <r>
      <rPr>
        <rFont val="Times New Roman"/>
        <color rgb="FF1155CC"/>
        <sz val="13.0"/>
        <u/>
      </rPr>
      <t>CNDSMLTVV_05.webm</t>
    </r>
  </si>
  <si>
    <t>DGTVV_02</t>
  </si>
  <si>
    <t>Kiểm tra hiển thị Khu vực tổng hợp điểm đánh giá (đầu thẻ)</t>
  </si>
  <si>
    <t xml:space="preserve">1. Đăng nhập tài khoản </t>
  </si>
  <si>
    <t>1. Chọn menu "Mạng lướt tư vấn viên" -&gt; "Tư vấn viên/Chuyên gia"
2. Tìm kiếm và Nhấn xem chi tiết ứng viên
3. Kiểm tra hiển thị Khu vực tổng hợp điểm đánh giá (đầu thẻ)</t>
  </si>
  <si>
    <t>Tài liệu yêu cầu điểm đánh giá thang 1-5 nhưng hệ thống hiện tại đang hiển thị điểm đánh giá thang 1-10</t>
  </si>
  <si>
    <r>
      <rPr>
        <rFont val="Times New Roman"/>
        <color rgb="FF1155CC"/>
        <sz val="13.0"/>
        <u/>
      </rPr>
      <t>DGTVV_02.jpg</t>
    </r>
  </si>
  <si>
    <t>DGTVV_03</t>
  </si>
  <si>
    <t>Kiểm tra hiển thị Danh sách đánh giá</t>
  </si>
  <si>
    <t>1. Chọn menu "Mạng lướt tư vấn viên" -&gt; "Tư vấn viên/Chuyên gia"
2. Tìm kiếm và Nhấn xem chi tiết ứng viên
3. Kiểm tra hiển thị Danh sách đánh giá</t>
  </si>
  <si>
    <t>- Lỗi hiển thị trường thông tin "Vụ việc"
- Thiếu trường thông tin "Điểm tổng"
- Tài liệu yêu cầu điểm đánh giá thang 1-5 nhưng hệ thống hiện tại đang hiển thị điểm đánh giá thang 1-10</t>
  </si>
  <si>
    <r>
      <rPr>
        <rFont val="Times New Roman"/>
        <color rgb="FF1155CC"/>
        <sz val="13.0"/>
        <u/>
      </rPr>
      <t>DGTVV_03.jpg</t>
    </r>
  </si>
  <si>
    <t>DGTVV_05</t>
  </si>
  <si>
    <t>Kiểm tra hiển thị thông báo lỗi khi bỏ trống trường bắt buộc</t>
  </si>
  <si>
    <t xml:space="preserve">1. Chọn menu "Mạng lướt tư vấn viên" -&gt; "Tư vấn viên/Chuyên gia"
2. Tìm kiếm và Nhấn xem chi tiết ứng viên
3. Nhấn vào nút "Đánh giá" </t>
  </si>
  <si>
    <t>Không hiển thị thông báo lỗi khi bỏ trống Vụ việc liên kết</t>
  </si>
  <si>
    <r>
      <rPr>
        <rFont val="Times New Roman"/>
        <color rgb="FF1155CC"/>
        <sz val="13.0"/>
        <u/>
      </rPr>
      <t>DGTVV_05.jpg</t>
    </r>
  </si>
  <si>
    <t>QLLSHTCTVV_01</t>
  </si>
  <si>
    <t>Quản lý lịch sử hỗ trợ của tư vấn viên</t>
  </si>
  <si>
    <t>Ghi nhận và theo dõi lịch sử tham gia hỗ trợ vụ việc của từng Tư vấn viên.</t>
  </si>
  <si>
    <t>1. Chọn menu "Mạng lướt tư vấn viên" -&gt; "Tư vấn viên/Chuyên gia"
2. Tìm kiếm và Nhấn xem chi tiết ứng viên
3. Chọn tab "Lịch sử hỗ trợ"</t>
  </si>
  <si>
    <t>Hệ thống không hiển thị lịch sử mặc dù tồn tại dữ liệu</t>
  </si>
  <si>
    <t xml:space="preserve"> QLLSHTCTVV_01.webm</t>
  </si>
  <si>
    <t>CNTTTVV_06</t>
  </si>
  <si>
    <t xml:space="preserve">Kiểm tra hiển thị thông báo lỗi khi sửa hồ sơ Không phải chủ hồ sơ </t>
  </si>
  <si>
    <t xml:space="preserve">1. Đăng nhập tài khoản 
2. Hồ sơ Không phải chủ hồ sơ </t>
  </si>
  <si>
    <t xml:space="preserve">1. Chọn menu "Mạng lướt tư vấn viên" -&gt; "Tư vấn viên/Chuyên gia"
2. Tìm kiếm và Nhấn sửa thông tin ứng viên
</t>
  </si>
  <si>
    <t>Báo "Bạn không có quyền cập nhật hồ sơ này".</t>
  </si>
  <si>
    <t>- Thông báo hiển thị bị duplicate và không giống với thiết kế</t>
  </si>
  <si>
    <r>
      <rPr>
        <rFont val="Times New Roman"/>
        <color rgb="FF1155CC"/>
        <sz val="13.0"/>
        <u/>
      </rPr>
      <t>CNTTTVV_06.jpg</t>
    </r>
  </si>
  <si>
    <t>CNTTTVV_07</t>
  </si>
  <si>
    <t>Hủy khi Có thay đổi chưa lưu</t>
  </si>
  <si>
    <t>1. Chọn menu "Mạng lướt tư vấn viên" -&gt; "Tư vấn viên/Chuyên gia"
2. Tìm kiếm và Nhấn sửa thông tin ứng viên
3. Nhập dữ liệu hợp lệ và nhấn Hủy</t>
  </si>
  <si>
    <t>Hệ thống hiển thị hộp xác nhận "Bạn có chắc chắn hủy các thay đổi?". Xác nhận → bỏ thay đổi, quay về chế độ chỉ xem; chọn "Ở lại" → giữ nguyên chế độ nhập liệu.</t>
  </si>
  <si>
    <t>Khi chọn "Ở lại" hệ thống không giữ nguyên thông tin đã nhập trước đó</t>
  </si>
  <si>
    <r>
      <rPr>
        <rFont val="Times New Roman"/>
        <color rgb="FF1155CC"/>
        <sz val="13.0"/>
        <u/>
      </rPr>
      <t>CNTTTVV_07.webm</t>
    </r>
  </si>
  <si>
    <t>CNTTHDCTVV_02</t>
  </si>
  <si>
    <t xml:space="preserve">Vô hiệu hóa nhưng tư vấn viên đang có {N} vụ việc và {M} hỏi đáp chưa hoàn thành </t>
  </si>
  <si>
    <t>1. Đăng nhập tài khoản 
2. Tư vấn viên đang có vụ việc/hỏi đáp</t>
  </si>
  <si>
    <t>1. Chọn menu "Mạng lướt tư vấn viên" -&gt; "Tư vấn viên/Chuyên gia"
2. Tìm kiếm và Nhấn xem thông tin ứng viên
3. Bấm nút "Cập nhật trạng thái"
4. Nhập lý do hợp lệ và nhấn xác nhận</t>
  </si>
  <si>
    <t>Hệ thống từ chối và hiển thị thông báo "Tư vấn viên đang có {N} vụ việc và {M} hỏi đáp chưa hoàn thành, không thể vô hiệu hóa".</t>
  </si>
  <si>
    <t>Hệ thống hiển thị thông báo "Có lỗi xảy ra"</t>
  </si>
  <si>
    <r>
      <rPr>
        <rFont val="Times New Roman"/>
        <color rgb="FF1155CC"/>
        <sz val="13.0"/>
        <u/>
      </rPr>
      <t>CNTTHDCTVV_02.webm</t>
    </r>
  </si>
  <si>
    <t>QLTNVV_02</t>
  </si>
  <si>
    <t xml:space="preserve">1. Đăng nhập tài khoản 
</t>
  </si>
  <si>
    <t>1. Chọn menu "Vụ việc HTPL"
2. Kiểm tra hiển thị bảng danh sách</t>
  </si>
  <si>
    <t>- Hệ thống hiển thị các trường thông tin giống với thiết kế
- Dữ liệu hiển thị đúng định dạng và trường thông tin
- Dữ liệu hiển thị không bị tràn/đè lên nhau, đồng nhất ngôn ngữ hiển thị
- Mặc định: hệ thống sắp xếp theo ngày cập nhật mới nhất trước, 20 bản ghi mỗi trang.</t>
  </si>
  <si>
    <t xml:space="preserve">- Tên cột "Thời hạn xử lý" không đúng với thiết kế
</t>
  </si>
  <si>
    <r>
      <rPr>
        <rFont val="Times New Roman"/>
        <color rgb="FF1155CC"/>
        <sz val="12.0"/>
        <u/>
      </rPr>
      <t>QLTNVV_02.jpg</t>
    </r>
  </si>
  <si>
    <t>- Một số tên cột thông tin viết tắt(hạn chế viết tắt)
- Đề nghị chỉnh sửa hiển thị đối với các cảnh báo quá hạn(hiện tại cảnh báo quá hạn nhấp nháy và màu chữ gần như chìm vào nền, gây khó nhìn)</t>
  </si>
  <si>
    <t>QLTNVV_06</t>
  </si>
  <si>
    <t>Xuất Excel Có dữ liệu</t>
  </si>
  <si>
    <t>1. Đăng nhập tài khoản 
2. Tồn tại bản ghi phù hợp với tiêu chí tìm kiếm</t>
  </si>
  <si>
    <t>1. Chọn menu "Vụ việc HTPL"
2. Tìm kiếm từ khóa có kết quả
3. Bấm nút "Nhấn excel"</t>
  </si>
  <si>
    <t>- Hệ thống xuất danh sách hồ sơ theo điều kiện lọc hiện tại ra file Excel, bao gồm toàn bộ cột đang hiển thị.</t>
  </si>
  <si>
    <t xml:space="preserve">- Tên cột "Thời hạn xử lý" không đúng với thiết kế
- Thiếu cột thông tin Cảnh báo thời hạn
</t>
  </si>
  <si>
    <r>
      <rPr>
        <rFont val="Times New Roman"/>
        <color rgb="FF1155CC"/>
        <sz val="12.0"/>
        <u/>
      </rPr>
      <t>QLTNVV_06.webm</t>
    </r>
  </si>
  <si>
    <t>QLTNVV_08</t>
  </si>
  <si>
    <t>1. Chọn menu "Vụ việc HTPL"
2. Tìm kiếm từ khóa có kết quả
3.  Bấm vào tiêu đề cột cần sắp xếp</t>
  </si>
  <si>
    <t>- Hệ thống sắp xếp danh sách theo cột đó, luân phiên tăng dần / giảm dần qua mỗi lần bấm.</t>
  </si>
  <si>
    <t>Không thực hiện sắp xếp khi nhấn vào tên cột</t>
  </si>
  <si>
    <r>
      <rPr>
        <rFont val="Times New Roman"/>
        <color rgb="FF1155CC"/>
        <sz val="12.0"/>
        <u/>
      </rPr>
      <t>QLTNVV_08.webm</t>
    </r>
  </si>
  <si>
    <t>NHSYC_02</t>
  </si>
  <si>
    <t>Kiểm tra hiển thị các trường thông tin trong form nhập thủ công</t>
  </si>
  <si>
    <t>1. Chọn menu "Vụ việc HTPL"
2. Bấm nút "Nhập thủ công"</t>
  </si>
  <si>
    <t xml:space="preserve">- Hệ thống hiển thị các trường thông tin và placeholder giống với thiết kế
- Dữ liệu hiển thị đúng định dạng và trường thông tin
- Dữ liệu hiển thị không bị tràn/đè lên nhau, đồng nhất ngôn ngữ hiển thị
</t>
  </si>
  <si>
    <t>- Nhóm 1 — Thông tin Doanh nghiệp hiển thị trường thông tin không giống với thiết kế
- Nhóm 2- Nội dung yêu cầu:
+"Loại hình hỗ trợ" theo thiết kế có 4 giá trị nhưng hệ thống hiển thị 6 giá trị
+"Lĩnh vực pháp lý"  theo thiết kế có 8 giá trị nhưng hệ thống hiển thị 7 giá trị, thiếu giá trị "Khác"
+Nội dung vụ việc/vướng mắc đang là 2 trường thông tin riêng, theo thiết kế là 1 trường thông tin
+Thiếu trường thông tin "Thời điểm phát sinh"
- Nhóm 3 — Tài liệu Đính kèm thiếu trường thông tin "Hướng dẫn hồ sơ cần nộp"
- Nhóm 4 — Thông tin Tiếp nhận: thiếu trường thông tin "Ngày tiếp nhận", "Ghi chú tiếp nhận" và "Kênh tiếp nhận" giá trị không đúng với thiết kế</t>
  </si>
  <si>
    <r>
      <rPr>
        <rFont val="Times New Roman"/>
        <color rgb="FF1155CC"/>
        <sz val="13.0"/>
        <u/>
      </rPr>
      <t>NHSYC_02.webm</t>
    </r>
  </si>
  <si>
    <t>NHSYC_05</t>
  </si>
  <si>
    <t>Kiểm tra giới hạn ký tự nhập các trường thông tin</t>
  </si>
  <si>
    <t>1. Chọn menu "Vụ việc HTPL"
2. Bấm nút "Nhập thủ công"
3. Kiểm tra giới hạn ký tự nhập</t>
  </si>
  <si>
    <t>Hệ thống giới hạn số lượng ký tự nhập các trường thông tin theo thiết kế hoặc hiển thị cảnh báo:
- Nội dung vụ việc tối đa 10.000 ký tự</t>
  </si>
  <si>
    <t>Nội dung vụ việc hệ thống cho phép tối đa 50.000 ký tự</t>
  </si>
  <si>
    <r>
      <rPr>
        <rFont val="Times New Roman"/>
        <color rgb="FF1155CC"/>
        <sz val="13.0"/>
        <u/>
      </rPr>
      <t>NHSYC_05.jpg</t>
    </r>
  </si>
  <si>
    <t>NHSYC_06</t>
  </si>
  <si>
    <t>Tệp đính kèm vi phạm quy định</t>
  </si>
  <si>
    <t>1. Chọn menu "Vụ việc HTPL"
2. Bấm nút "Nhập thủ công"
3. Tệp đính kèm vi phạm quy định
4. Nhấn Lưu &amp;Gửi duyệt</t>
  </si>
  <si>
    <t>Hệ thống dừng gửi và hiển thị thông báo "Tệp vượt quá dung lượng/số lượng cho phép hoặc sai định dạng".</t>
  </si>
  <si>
    <t xml:space="preserve">Chú thích hiển thị trên prototype: "PDF, DOC, DOCX, XLS, XLSX — Tối đa 20MB/file". </t>
  </si>
  <si>
    <r>
      <rPr>
        <rFont val="Times New Roman"/>
        <color rgb="FF1155CC"/>
        <sz val="13.0"/>
        <u/>
      </rPr>
      <t>NHSYC_06.jpg</t>
    </r>
  </si>
  <si>
    <t>Theo SRS quy định bổ sung: tổng dung lượng tối đa 100 MB, tối đa 10 tệp</t>
  </si>
  <si>
    <t>NHSYC_07</t>
  </si>
  <si>
    <t>Kiểm tra chức năng Lưu nháp</t>
  </si>
  <si>
    <t>1. Chọn menu "Vụ việc HTPL"
2. Bấm nút "Nhập thủ công"
3. Nhập thông tin và nhấn Lưu nháp</t>
  </si>
  <si>
    <t>- Sinh mã hồ sơ theo quy tắc VV-{mã tỉnh}-{YYYYMMDD}-{số thứ tự}.
- Lưu hồ sơ ở trạng thái "Mới tạo" để doanh nghiệp tiếp tục chỉnh sửa sau.
- Hệ thống hiển thị thông báo "Đã lưu nháp hồ sơ" và giữ nguyên màn hình để người dùng tiếp tục nhập.</t>
  </si>
  <si>
    <t>- Hệ thống hiển thị kiểm tra bắt buộc nhập khi nhấn Lưu nháp
- Hệ thống không giữ nguyên màn hình để người dùng tiếp tục nhập sau khi Lưu nháp thành công.</t>
  </si>
  <si>
    <r>
      <rPr>
        <rFont val="Times New Roman"/>
        <color rgb="FF1155CC"/>
        <sz val="13.0"/>
        <u/>
      </rPr>
      <t>NHSYC_07.webm</t>
    </r>
  </si>
  <si>
    <t>NHSYC_08</t>
  </si>
  <si>
    <t>Hủy khi đã nhập dữ liệu</t>
  </si>
  <si>
    <t>1. Chọn menu "Vụ việc HTPL"
2. Bấm nút "Nhập thủ công"
3. Nhập thông tin và nhấn Hủy</t>
  </si>
  <si>
    <t>Hệ thống hiển thị xác nhận "Bạn có chắc chắn muốn hủy? Dữ liệu đã nhập sẽ không được lưu". Nếu người dùng đồng ý, hệ thống chuyển trang; nếu không, giữ nguyên màn hình.</t>
  </si>
  <si>
    <t>Hệ thống không hiển thị xác nhận</t>
  </si>
  <si>
    <r>
      <rPr>
        <rFont val="Times New Roman"/>
        <color rgb="FF1155CC"/>
        <sz val="13.0"/>
        <u/>
      </rPr>
      <t>NHSYC_08.webm</t>
    </r>
  </si>
  <si>
    <t>KTHSYCHTPL_02</t>
  </si>
  <si>
    <t>Kiểm tra hiển thị vùng tiêu đề và thanh tiến trình</t>
  </si>
  <si>
    <t>1. Đăng nhập tài khoản 
2. Hồ sơ vụ việc đang ở trạng thái "Đã tiếp nhận" hoặc "Đang kiểm tra".</t>
  </si>
  <si>
    <t xml:space="preserve">1. Chọn menu "Vụ việc HTPL"
2. Tìm kiếm và nhấn Xem chi tiết
</t>
  </si>
  <si>
    <t xml:space="preserve">- Hệ thống hiển thị các trường thông tin giống với thiết kế
- Dữ liệu hiển thị đúng định dạng và trường thông tin, dữ liệu là giá trị hiện tại
- Dữ liệu hiển thị không bị tràn/đè lên nhau, đồng nhất ngôn ngữ hiển thị
</t>
  </si>
  <si>
    <t>- Các bước đã hoàn thành không có dấu tích
- Mức cảnh báo quá hạn không giống với thiết kế</t>
  </si>
  <si>
    <r>
      <rPr>
        <rFont val="Times New Roman"/>
        <color rgb="FF1155CC"/>
        <sz val="13.0"/>
        <u/>
      </rPr>
      <t>KTHSYCHTPL_02.webm</t>
    </r>
  </si>
  <si>
    <t>- Đề nghị chỉnh sửa hiển thị đối với các cảnh báo quá hạn(hiện tại cảnh báo quá hạn nhấp nháy và màu chữ gần như chìm vào nền, rất khó nhìn)</t>
  </si>
  <si>
    <t>KTHSYCHTPL_03</t>
  </si>
  <si>
    <t xml:space="preserve">Kiểm tra hiển thị Nhóm 1 — Thông tin Doanh nghiệp </t>
  </si>
  <si>
    <t xml:space="preserve">- Hệ thống hiển thị các trường thông tin giống với thiết kế, chỉ đọc
- Dữ liệu hiển thị đúng định dạng và trường thông tin, dữ liệu là giá trị hiện tại
- Dữ liệu hiển thị không bị tràn/đè lên nhau, đồng nhất ngôn ngữ hiển thị
</t>
  </si>
  <si>
    <t>- Hệ thống không hiển thị thông tin Doanh nghiệp mặc dù tồn tại dữ liệu phù hợp
- Hiển thị thiếu các trường thông tin: Tỉnh/Thành, Loại doanh nghiệp, Quy mô doanh nghiệp, Người đại diện, Số điện thoại</t>
  </si>
  <si>
    <r>
      <rPr>
        <rFont val="Times New Roman"/>
        <color rgb="FF1155CC"/>
        <sz val="13.0"/>
        <u/>
      </rPr>
      <t>KTHSYCHTPL_03.webm</t>
    </r>
  </si>
  <si>
    <t>KTHSYCHTPL_04</t>
  </si>
  <si>
    <t>Kiểm tra hiển thị Nhóm 2 — Nội dung Yêu cầu</t>
  </si>
  <si>
    <t>Tên trường thông tin "Thời hạn xử lý" đang là ngôn ngữ tiếng Anh</t>
  </si>
  <si>
    <r>
      <rPr>
        <rFont val="Times New Roman"/>
        <color rgb="FF1155CC"/>
        <sz val="13.0"/>
        <u/>
      </rPr>
      <t>KTHSYCHTPL_04.jpg</t>
    </r>
  </si>
  <si>
    <t>KTHSYCHTPL_11</t>
  </si>
  <si>
    <t>Kiểm tra nút chức năng Hoàn tất kiểm tra khi chọn kết luận Đạt</t>
  </si>
  <si>
    <t>1. Đăng nhập tài khoản 
2. Hồ sơ vụ việc đang ở trạng thái "Đang kiểm tra", đã đánh dấu đủ 6 hạng mục trong danh sách kiểm tra.</t>
  </si>
  <si>
    <t>1. Chọn menu "Vụ việc HTPL"
2. Tìm kiếm và nhấn Xem chi tiết
3. Bấm nút "Hoàn tất kiểm tra", chọn kết luận Đạt</t>
  </si>
  <si>
    <t>- Hệ thống chuyển trạng thái hồ sơ: "Đang kiểm tra" → "Đã phân công" 
- Ghi người kiểm tra và thời điểm kiểm tra</t>
  </si>
  <si>
    <t>Màn hình không hiển thị nút chức năng "Hoàn tất kiểm tra" mà hiển thị nút chức năng Kiểm tra lại</t>
  </si>
  <si>
    <r>
      <rPr>
        <rFont val="Times New Roman"/>
        <color rgb="FF1155CC"/>
        <sz val="13.0"/>
        <u/>
      </rPr>
      <t>KTHSYCHTPL_11.jpg</t>
    </r>
  </si>
  <si>
    <t>KTHSYCHTPL_15</t>
  </si>
  <si>
    <t>Cán bộ nghiệp vụ không thuộc cùng đơn vị với hồ sơ</t>
  </si>
  <si>
    <t>1. Đăng nhập tài khoản 
2. Hồ sơ vụ việc đang ở trạng thái "Đang kiểm tra"</t>
  </si>
  <si>
    <t>1. Chọn menu "Vụ việc HTPL"
2. Tìm kiếm và nhấn Xem chi tiết
3. Bấm nút "Hoàn tất kiểm tra", chọn kết luận Không đạt</t>
  </si>
  <si>
    <t>Hệ thống hiển thị thông báo "Bạn không có quyền kiểm tra vụ việc của đơn vị khác".</t>
  </si>
  <si>
    <t>Hệ thống hiển thị thông báo "Đơn vị của người phê duyệt khác đơn vị của bản ghi"</t>
  </si>
  <si>
    <r>
      <rPr>
        <rFont val="Times New Roman"/>
        <color rgb="FF1155CC"/>
        <sz val="13.0"/>
        <u/>
      </rPr>
      <t>KTHSYCHTPL_15.jpg</t>
    </r>
  </si>
  <si>
    <t>KTHSYCHTPL_16</t>
  </si>
  <si>
    <t xml:space="preserve">Kiểm tra hiển thị Nhóm 5 — Phân công Người hỗ trợ </t>
  </si>
  <si>
    <t xml:space="preserve">1. Chọn menu "Vụ việc HTPL"
2. Tìm kiếm và nhấn Xem chi tiết
</t>
  </si>
  <si>
    <t xml:space="preserve">Chỉ hiển thị khi hồ sơ đã qua trạng thái "Đã phân công" </t>
  </si>
  <si>
    <t>Hệ thống hiển thị Nhóm 5 ở các bản ghi không phải trạng thái "Đã phân công"</t>
  </si>
  <si>
    <r>
      <rPr>
        <rFont val="Times New Roman"/>
        <color rgb="FF1155CC"/>
        <sz val="13.0"/>
        <u/>
      </rPr>
      <t>KTHSYCHTPL_16.jpg</t>
    </r>
  </si>
  <si>
    <t>KTHSYCHTPL_17</t>
  </si>
  <si>
    <t xml:space="preserve">Kiểm tra hiển thị Nhóm 6 — Kết quả Hỗ trợ </t>
  </si>
  <si>
    <t xml:space="preserve">Chỉ hiển thị khi hồ sơ đã qua trạng thái "Đang xử lý" </t>
  </si>
  <si>
    <t>Hệ thống hiển thị Nhóm 6 ở các bản ghi không phải trạng thái "Đang xử lý"</t>
  </si>
  <si>
    <r>
      <rPr>
        <rFont val="Times New Roman"/>
        <color rgb="FF1155CC"/>
        <sz val="13.0"/>
        <u/>
      </rPr>
      <t>KTHSYCHTPL_17.jpg</t>
    </r>
  </si>
  <si>
    <t>KTHSYCHTPL_18</t>
  </si>
  <si>
    <t xml:space="preserve">Kiểm tra hiển thị Nhóm 7 — Phê duyệt </t>
  </si>
  <si>
    <t xml:space="preserve">Chỉ hiển thị khi hồ sơ đã qua trạng thái "Chờ phê duyệt" </t>
  </si>
  <si>
    <t>Hệ thống hiển thị Nhóm 7 ở các bản ghi không phải trạng thái "Chờ phê duyệt"</t>
  </si>
  <si>
    <r>
      <rPr>
        <rFont val="Times New Roman"/>
        <color rgb="FF1155CC"/>
        <sz val="13.0"/>
        <u/>
      </rPr>
      <t>KTHSYCHTPL_18.jpg</t>
    </r>
  </si>
  <si>
    <t>KTHSYCHTPL_19</t>
  </si>
  <si>
    <t xml:space="preserve">Kiểm tra hiển thị Nhóm 8 — Đánh giá </t>
  </si>
  <si>
    <t xml:space="preserve">Chỉ hiển thị khi hồ sơ đã qua trạng thái "Hoàn thành" hoặc "Đã đánh giá" </t>
  </si>
  <si>
    <t>Hệ thống hiển thị Nhóm 8 ở các bản ghi không phải trạng thái "Hoàn thành" hoặc đã đánh giá</t>
  </si>
  <si>
    <r>
      <rPr>
        <rFont val="Times New Roman"/>
        <color rgb="FF1155CC"/>
        <sz val="13.0"/>
        <u/>
      </rPr>
      <t>KTHSYCHTPL_19.jpg</t>
    </r>
  </si>
  <si>
    <t>QLHSVV_02</t>
  </si>
  <si>
    <t>Kiểm tra hiển thị nút chức năng chỉnh sửa</t>
  </si>
  <si>
    <t xml:space="preserve">1. Chọn menu "Vụ việc HTPL"
2. Kiểm tra hiển thị nút chức năng chỉnh sửa
</t>
  </si>
  <si>
    <t>- Các trạng thái cho phép chỉnh sửa nội dung: Mới tạo, Chờ tiếp nhận, Đã tiếp nhận, Đang kiểm tra, Yêu cầu bổ sung, Đang xử lý. 
- Các trạng thái Đã phân công, Chờ phê duyệt, Đã duyệt, Hoàn thành, Đã đánh giá, Từ chối — không cho phép chỉnh sửa nội dung (chỉ xem).</t>
  </si>
  <si>
    <t>- Các trạng thái: Đang xử lý, Đang kiểm tra không hiển thị nút chức năng cho phép sửa</t>
  </si>
  <si>
    <r>
      <rPr>
        <rFont val="Times New Roman"/>
        <color rgb="FF1155CC"/>
        <sz val="13.0"/>
        <u/>
      </rPr>
      <t>QLHSVV_01.jpg</t>
    </r>
  </si>
  <si>
    <t>QLHSVV_03</t>
  </si>
  <si>
    <t>Kiểm tra form chỉnh sửa</t>
  </si>
  <si>
    <t>1. Đăng nhập tài khoản 
2. Tồn tại bản ghi được phép chỉnh sửa</t>
  </si>
  <si>
    <t xml:space="preserve">1. Chọn menu "Vụ việc HTPL"
2. Tìm kiếm và nhấn nút Chỉnh sửa tại dòng bản ghi
</t>
  </si>
  <si>
    <t>Mở Nhóm 2 "Nội dung yêu cầu" và chỉnh sửa trực tiếp các trường: Tiêu đề, Nội dung vụ việc / Vướng mắc, Lĩnh vực pháp lý, Loại hình hỗ trợ, Ghi chú.</t>
  </si>
  <si>
    <t>Hệ thống không cho phép chỉnh sửa Lĩnh vực, Loại hình và Ghi chú</t>
  </si>
  <si>
    <r>
      <rPr>
        <rFont val="Times New Roman"/>
        <color rgb="FF1155CC"/>
        <sz val="13.0"/>
        <u/>
      </rPr>
      <t>QLHSVV_03.jpg</t>
    </r>
  </si>
  <si>
    <t>QLHSVV_05</t>
  </si>
  <si>
    <t>Thêm tài liệu</t>
  </si>
  <si>
    <t>1. Chọn menu "Vụ việc HTPL"
2. Tìm kiếm và nhấn nút Chỉnh sửa tại dòng bản ghi
3. Tệp hợp lệ</t>
  </si>
  <si>
    <t>Hệ thống thêm tệp vào danh sách và hiển thị thông báo "Đã tải lên {số tệp} tệp".</t>
  </si>
  <si>
    <t>Không có nút chức năng thêm tệp</t>
  </si>
  <si>
    <t>QLHSVV_05.jpg</t>
  </si>
  <si>
    <t>TKHSYCHTPL_02</t>
  </si>
  <si>
    <t>1. Chọn menu "Vụ việc HTPL"
2. Kiểm tra các trường thông tin tìm kiếm</t>
  </si>
  <si>
    <t>- Hệ thống hiển thị các trường thông tin giống với thiết kế
- Trạng thái mặc định cho phép chọn/nhập
- Textbox rỗng, Danh sách chọn mặc định là Tất cả</t>
  </si>
  <si>
    <t>Không hiển thị trường thông tin tìm kiếm theo "Đơn vị" đối với người dùng cấp Trung ương</t>
  </si>
  <si>
    <r>
      <rPr>
        <rFont val="Times New Roman"/>
        <color rgb="FF1155CC"/>
        <sz val="13.0"/>
        <u/>
      </rPr>
      <t>TKHSYCHTPL_02.jpg</t>
    </r>
  </si>
  <si>
    <t>TKHSYCHTPL_04</t>
  </si>
  <si>
    <t>Tìm kiếm khoảng thời gian hợp lệ</t>
  </si>
  <si>
    <t>1. Chọn menu "Vụ việc HTPL"
2. Tìm kiếm khoảng thời gian hợp lệ</t>
  </si>
  <si>
    <t>Có kết quả, hệ thống hiển thị danh sách kết quả tìm kiếm, phân trang 20 bản ghi mỗi trang.</t>
  </si>
  <si>
    <t>Hệ thống hiển thị các bản ghi không đúng với tiêu chí tìm kiếm</t>
  </si>
  <si>
    <r>
      <rPr>
        <rFont val="Times New Roman"/>
        <color rgb="FF1155CC"/>
        <sz val="13.0"/>
        <u/>
      </rPr>
      <t>TKHSYCHTPL_04.jpg</t>
    </r>
  </si>
  <si>
    <t>TKHSYCHTPL_06</t>
  </si>
  <si>
    <t>1. Đăng nhập tài khoản 
2. Không tồn tại bản ghi phù hợp với tiêu chí tìm kiếm</t>
  </si>
  <si>
    <t>1. Chọn menu "Vụ việc HTPL"
2. Tìm kiếm không có kết quả</t>
  </si>
  <si>
    <t>Không có kết quả, các trường dữ liệu để trống và hiển thị thông báo "Không tìm thấy hồ sơ phù hợp".</t>
  </si>
  <si>
    <t>Hệ thống hiển thị thông báo "Trống".</t>
  </si>
  <si>
    <r>
      <rPr>
        <rFont val="Times New Roman"/>
        <color rgb="FF1155CC"/>
        <sz val="13.0"/>
        <u/>
      </rPr>
      <t>TKHSYCHTPL_06.jpg</t>
    </r>
  </si>
  <si>
    <t>LCNHTCVV_02</t>
  </si>
  <si>
    <t xml:space="preserve">Kiểm tra hiển thị Cửa sổ "Phân công xử lý vụ việc" </t>
  </si>
  <si>
    <t>1. Đăng nhập tài khoản 
2. Hồ sơ vụ việc đang ở trạng thái "Đang kiểm tra" (sau khi kết luận kiểm tra đạt)</t>
  </si>
  <si>
    <t>1. Chọn menu "Vụ việc HTPL"
2. Tìm kiếm và nhấn Xem chi tiết
3. Bấm nút "Phân công"</t>
  </si>
  <si>
    <t>- Cửa sổ gồm 2 thẻ tương ứng 2 đối tượng phân công và các trường thông tin phân công.
- Hệ thống hiển thị các trường thông tin giống với thiết kế
- Dữ liệu hiển thị đúng định dạng và trường thông tin, dữ liệu là giá trị hiện tại
- Dữ liệu hiển thị không bị tràn/đè lên nhau, đồng nhất ngôn ngữ hiển thị</t>
  </si>
  <si>
    <t>Bảng gợi ý (thẻ "Cá nhân") không giống với thiết kế</t>
  </si>
  <si>
    <r>
      <rPr>
        <rFont val="Times New Roman"/>
        <color rgb="FF1155CC"/>
        <sz val="13.0"/>
        <u/>
      </rPr>
      <t>LCNHTCVV_02.jpg</t>
    </r>
  </si>
  <si>
    <t>LCNHTCVV_05</t>
  </si>
  <si>
    <t>Kiểm tra giới hạn số ký tự tối đa của các trường thông tin</t>
  </si>
  <si>
    <t xml:space="preserve">1. Chọn menu "Vụ việc HTPL"
2. Tìm kiếm và nhấn Xem chi tiết
3. Bấm nút "Phân công"
</t>
  </si>
  <si>
    <t>Ghi chú phân công Tối đa 1.000 ký tự</t>
  </si>
  <si>
    <t>Hệ thống giới hạn 500 ký tự</t>
  </si>
  <si>
    <r>
      <rPr>
        <rFont val="Times New Roman"/>
        <color rgb="FF1155CC"/>
        <sz val="13.0"/>
        <u/>
      </rPr>
      <t>LCNHTCVV_05.jpg</t>
    </r>
  </si>
  <si>
    <t>LCNHTCVV_07</t>
  </si>
  <si>
    <t>Hồ sơ không thuộc đơn vị người dùng</t>
  </si>
  <si>
    <t>1. Đăng nhập tài khoản 
2. Hồ sơ không thuộc đơn vị người dùng</t>
  </si>
  <si>
    <t>Hệ thống hiển thị thông báo "Bạn không có quyền phân công vụ việc của đơn vị khác".</t>
  </si>
  <si>
    <t>- Hệ thống hiển thị thông báo không đúng với thiết kế
- Thông báo bị duplicate</t>
  </si>
  <si>
    <r>
      <rPr>
        <rFont val="Times New Roman"/>
        <color rgb="FF1155CC"/>
        <sz val="13.0"/>
        <u/>
      </rPr>
      <t>LCNHTCVV_07.jpg</t>
    </r>
  </si>
  <si>
    <t>LCNHTCVV_08</t>
  </si>
  <si>
    <t>Phân công thành công</t>
  </si>
  <si>
    <t>- Hệ thống hiển thị thông báo "Đã phân công cho {họ tên}" và đóng cửa sổ phân công.
- Tạo bản ghi phân công với trạng thái "Chờ xác nhận", lưu loại đối tượng (cá nhân / tổ chức) và ghi chú phân công.
+ Chuyển trạng thái hồ sơ: "Đang kiểm tra" hoặc "Đã tiếp nhận" → "Đã phân công".
+ Ghi người được phân công và thời điểm phân công.</t>
  </si>
  <si>
    <t>Hệ thống hiển thị đồng thời 2 thông báo
- Đã phân công
- Lỗi ERR-STATE-VI-10-01</t>
  </si>
  <si>
    <r>
      <rPr>
        <rFont val="Times New Roman"/>
        <color rgb="FF1155CC"/>
        <sz val="13.0"/>
        <u/>
      </rPr>
      <t>LCNHTCVV_08.webm</t>
    </r>
  </si>
  <si>
    <t>Tên PM</t>
  </si>
  <si>
    <t>Tổng</t>
  </si>
  <si>
    <t>TGPL DN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</si>
</sst>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25">
    <font>
      <sz val="10.0"/>
      <color rgb="FF000000"/>
      <name val="Arial"/>
      <scheme val="minor"/>
    </font>
    <font>
      <b/>
      <sz val="12.0"/>
      <color theme="0"/>
      <name val="Times New Roman"/>
    </font>
    <font>
      <b/>
      <sz val="12.0"/>
      <color rgb="FFFFFFFF"/>
      <name val="Times New Roman"/>
    </font>
    <font>
      <sz val="12.0"/>
      <color theme="0"/>
      <name val="Times New Roman"/>
    </font>
    <font>
      <b/>
      <sz val="12.0"/>
      <color theme="1"/>
      <name val="Times New Roman"/>
    </font>
    <font>
      <sz val="12.0"/>
      <color theme="1"/>
      <name val="Times New Roman"/>
    </font>
    <font>
      <u/>
      <sz val="12.0"/>
      <color rgb="FF0000FF"/>
      <name val="Times New Roman"/>
    </font>
    <font>
      <sz val="12.0"/>
      <color rgb="FF000000"/>
      <name val="Times New Roman"/>
    </font>
    <font>
      <u/>
      <sz val="12.0"/>
      <color theme="1"/>
      <name val="Times New Roman"/>
    </font>
    <font>
      <u/>
      <sz val="12.0"/>
      <color theme="1"/>
      <name val="Times New Roman"/>
    </font>
    <font>
      <u/>
      <sz val="12.0"/>
      <color rgb="FF0000FF"/>
      <name val="Times New Roman"/>
    </font>
    <font>
      <sz val="11.0"/>
      <color rgb="FF000000"/>
      <name val="Calibri"/>
    </font>
    <font>
      <color theme="1"/>
      <name val="Arial"/>
    </font>
    <font>
      <sz val="12.0"/>
      <color rgb="FFD4EDBC"/>
      <name val="Times New Roman"/>
    </font>
    <font>
      <u/>
      <sz val="12.0"/>
      <color rgb="FF000000"/>
      <name val="Times New Roman"/>
    </font>
    <font>
      <u/>
      <sz val="12.0"/>
      <color rgb="FF000000"/>
      <name val="Times New Roman"/>
    </font>
    <font>
      <color theme="1"/>
      <name val="Arial"/>
      <scheme val="minor"/>
    </font>
    <font>
      <u/>
      <sz val="13.0"/>
      <color theme="1"/>
      <name val="Times New Roman"/>
    </font>
    <font>
      <u/>
      <sz val="13.0"/>
      <color rgb="FF0000FF"/>
      <name val="Times New Roman"/>
    </font>
    <font>
      <u/>
      <sz val="13.0"/>
      <color rgb="FF4285F4"/>
      <name val="Times New Roman"/>
    </font>
    <font>
      <u/>
      <sz val="13.0"/>
      <color rgb="FF1155CC"/>
      <name val="Times New Roman"/>
    </font>
    <font>
      <u/>
      <sz val="12.0"/>
      <color rgb="FF1155CC"/>
      <name val="Times New Roman"/>
    </font>
    <font/>
    <font>
      <b/>
      <sz val="14.0"/>
      <color theme="1"/>
      <name val="Times New Roman"/>
    </font>
    <font>
      <sz val="14.0"/>
      <color theme="1"/>
      <name val="Times New Roman"/>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B6D7A8"/>
        <bgColor rgb="FFB6D7A8"/>
      </patternFill>
    </fill>
    <fill>
      <patternFill patternType="solid">
        <fgColor rgb="FF9FC5E8"/>
        <bgColor rgb="FF9FC5E8"/>
      </patternFill>
    </fill>
    <fill>
      <patternFill patternType="solid">
        <fgColor rgb="FFF9CB9C"/>
        <bgColor rgb="FFF9CB9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vertical="center" wrapText="1"/>
    </xf>
    <xf borderId="1" fillId="0" fontId="3" numFmtId="0" xfId="0" applyAlignment="1" applyBorder="1" applyFont="1">
      <alignment shrinkToFit="0" vertical="center" wrapText="1"/>
    </xf>
    <xf borderId="0" fillId="3" fontId="4" numFmtId="0" xfId="0" applyAlignment="1" applyFill="1" applyFont="1">
      <alignment horizontal="center"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1" fillId="3" fontId="5" numFmtId="0" xfId="0" applyAlignment="1" applyBorder="1" applyFont="1">
      <alignment shrinkToFit="0" vertical="center" wrapText="0"/>
    </xf>
    <xf borderId="1" fillId="3" fontId="6" numFmtId="0" xfId="0" applyAlignment="1" applyBorder="1" applyFont="1">
      <alignment shrinkToFit="0" vertical="center" wrapText="1"/>
    </xf>
    <xf borderId="1" fillId="3" fontId="5" numFmtId="0" xfId="0" applyAlignment="1" applyBorder="1" applyFont="1">
      <alignment shrinkToFit="0" vertical="center" wrapText="1"/>
    </xf>
    <xf borderId="1" fillId="3"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0" fillId="4" fontId="5" numFmtId="164" xfId="0" applyAlignment="1" applyFill="1" applyFont="1" applyNumberFormat="1">
      <alignment horizontal="center" shrinkToFit="0" vertical="center" wrapText="1"/>
    </xf>
    <xf borderId="1" fillId="4" fontId="5" numFmtId="164"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shrinkToFit="0" vertical="center" wrapText="1"/>
    </xf>
    <xf borderId="1" fillId="4" fontId="7" numFmtId="0" xfId="0" applyAlignment="1" applyBorder="1" applyFont="1">
      <alignment horizontal="left" shrinkToFit="0" vertical="center" wrapText="1"/>
    </xf>
    <xf borderId="1" fillId="4" fontId="8" numFmtId="0" xfId="0" applyAlignment="1" applyBorder="1" applyFont="1">
      <alignment shrinkToFit="0" vertical="center" wrapText="1"/>
    </xf>
    <xf borderId="0" fillId="3" fontId="5" numFmtId="164" xfId="0" applyAlignment="1" applyFont="1" applyNumberFormat="1">
      <alignment horizontal="center" shrinkToFit="0" vertical="center" wrapText="1"/>
    </xf>
    <xf borderId="1" fillId="3" fontId="5" numFmtId="164" xfId="0" applyAlignment="1" applyBorder="1" applyFont="1" applyNumberFormat="1">
      <alignment horizontal="center" shrinkToFit="0" vertical="center" wrapText="1"/>
    </xf>
    <xf borderId="1" fillId="3" fontId="7" numFmtId="0" xfId="0" applyAlignment="1" applyBorder="1" applyFont="1">
      <alignment horizontal="left" shrinkToFit="0" vertical="center" wrapText="1"/>
    </xf>
    <xf borderId="1" fillId="3" fontId="9" numFmtId="0" xfId="0" applyAlignment="1" applyBorder="1" applyFont="1">
      <alignment shrinkToFit="0" vertical="center" wrapText="1"/>
    </xf>
    <xf borderId="1" fillId="3" fontId="5" numFmtId="0" xfId="0" applyAlignment="1" applyBorder="1" applyFont="1">
      <alignment readingOrder="0" shrinkToFit="0" vertical="center" wrapText="1"/>
    </xf>
    <xf borderId="1" fillId="3" fontId="5" numFmtId="0" xfId="0" applyAlignment="1" applyBorder="1" applyFont="1">
      <alignment horizontal="center" readingOrder="0" shrinkToFit="0" vertical="center" wrapText="1"/>
    </xf>
    <xf borderId="1" fillId="4" fontId="5" numFmtId="0" xfId="0" applyAlignment="1" applyBorder="1" applyFont="1">
      <alignment readingOrder="0" shrinkToFit="0" vertical="center" wrapText="1"/>
    </xf>
    <xf borderId="1" fillId="4" fontId="5" numFmtId="0" xfId="0" applyAlignment="1" applyBorder="1" applyFont="1">
      <alignment horizontal="center" readingOrder="0" shrinkToFit="0" vertical="center" wrapText="1"/>
    </xf>
    <xf borderId="0" fillId="3" fontId="5" numFmtId="0" xfId="0" applyAlignment="1" applyFont="1">
      <alignment horizontal="center" shrinkToFit="0" vertical="center" wrapText="1"/>
    </xf>
    <xf borderId="0" fillId="4" fontId="5" numFmtId="0" xfId="0" applyAlignment="1" applyFont="1">
      <alignment horizontal="center" shrinkToFit="0" vertical="center" wrapText="1"/>
    </xf>
    <xf borderId="1" fillId="3" fontId="5" numFmtId="0" xfId="0" applyAlignment="1" applyBorder="1" applyFont="1">
      <alignment horizontal="left" shrinkToFit="0" vertical="center" wrapText="1"/>
    </xf>
    <xf borderId="1" fillId="4" fontId="5" numFmtId="0" xfId="0" applyAlignment="1" applyBorder="1" applyFont="1">
      <alignment horizontal="left" shrinkToFit="0" vertical="center" wrapText="1"/>
    </xf>
    <xf borderId="1" fillId="4" fontId="10" numFmtId="0" xfId="0" applyAlignment="1" applyBorder="1" applyFont="1">
      <alignment shrinkToFit="0" vertical="center" wrapText="1"/>
    </xf>
    <xf borderId="0" fillId="4" fontId="4" numFmtId="0" xfId="0" applyAlignment="1" applyFont="1">
      <alignment horizontal="center" shrinkToFit="0" vertical="center" wrapText="1"/>
    </xf>
    <xf borderId="1" fillId="4" fontId="4"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4" fontId="11" numFmtId="0" xfId="0" applyAlignment="1" applyBorder="1" applyFont="1">
      <alignment horizontal="left" shrinkToFit="0" vertical="center" wrapText="0"/>
    </xf>
    <xf borderId="1" fillId="3" fontId="11" numFmtId="0" xfId="0" applyAlignment="1" applyBorder="1" applyFont="1">
      <alignment horizontal="left" shrinkToFit="0" vertical="center" wrapText="0"/>
    </xf>
    <xf borderId="1" fillId="4" fontId="5" numFmtId="165" xfId="0" applyAlignment="1" applyBorder="1" applyFont="1" applyNumberFormat="1">
      <alignment horizontal="center" shrinkToFit="0" vertical="center" wrapText="1"/>
    </xf>
    <xf borderId="1" fillId="3" fontId="5" numFmtId="165" xfId="0" applyAlignment="1" applyBorder="1" applyFont="1" applyNumberFormat="1">
      <alignment horizontal="center" shrinkToFit="0" vertical="center" wrapText="1"/>
    </xf>
    <xf borderId="1" fillId="3" fontId="12" numFmtId="0" xfId="0" applyAlignment="1" applyBorder="1" applyFont="1">
      <alignment vertical="center"/>
    </xf>
    <xf borderId="1" fillId="3" fontId="13" numFmtId="0" xfId="0" applyAlignment="1" applyBorder="1" applyFont="1">
      <alignment shrinkToFit="0" vertical="center" wrapText="1"/>
    </xf>
    <xf borderId="1" fillId="3" fontId="5" numFmtId="0" xfId="0" applyAlignment="1" applyBorder="1" applyFont="1">
      <alignment horizontal="right" shrinkToFit="0" vertical="center" wrapText="1"/>
    </xf>
    <xf borderId="1" fillId="4" fontId="14" numFmtId="0" xfId="0" applyAlignment="1" applyBorder="1" applyFont="1">
      <alignment readingOrder="0" shrinkToFit="0" vertical="center" wrapText="1"/>
    </xf>
    <xf borderId="1" fillId="4" fontId="5" numFmtId="0" xfId="0" applyAlignment="1" applyBorder="1" applyFont="1">
      <alignment horizontal="right" shrinkToFit="0" vertical="center" wrapText="1"/>
    </xf>
    <xf borderId="1" fillId="3" fontId="15" numFmtId="0" xfId="0" applyAlignment="1" applyBorder="1" applyFont="1">
      <alignment readingOrder="0" shrinkToFit="0" vertical="center" wrapText="1"/>
    </xf>
    <xf borderId="0" fillId="4" fontId="16" numFmtId="0" xfId="0" applyFont="1"/>
    <xf borderId="0" fillId="3" fontId="16" numFmtId="0" xfId="0" applyFont="1"/>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3" fontId="12" numFmtId="0" xfId="0" applyAlignment="1" applyFont="1">
      <alignment vertical="center"/>
    </xf>
    <xf borderId="1" fillId="0" fontId="5" numFmtId="0" xfId="0" applyAlignment="1" applyBorder="1" applyFont="1">
      <alignment horizontal="center" shrinkToFit="0" vertical="center" wrapText="1"/>
    </xf>
    <xf borderId="1" fillId="3" fontId="12" numFmtId="0" xfId="0" applyAlignment="1" applyBorder="1" applyFont="1">
      <alignment vertical="center"/>
    </xf>
    <xf borderId="1" fillId="3" fontId="5" numFmtId="0" xfId="0" applyAlignment="1" applyBorder="1" applyFont="1">
      <alignment shrinkToFit="0" vertical="center" wrapText="1"/>
    </xf>
    <xf borderId="1" fillId="0" fontId="5" numFmtId="0" xfId="0" applyAlignment="1" applyBorder="1" applyFont="1">
      <alignment shrinkToFit="0" vertical="center" wrapText="1"/>
    </xf>
    <xf borderId="1" fillId="0" fontId="12" numFmtId="0" xfId="0" applyAlignment="1" applyBorder="1" applyFont="1">
      <alignment vertical="center"/>
    </xf>
    <xf borderId="1" fillId="0" fontId="17"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18" numFmtId="0" xfId="0" applyAlignment="1" applyBorder="1" applyFont="1">
      <alignment shrinkToFit="0" vertical="center" wrapText="1"/>
    </xf>
    <xf borderId="0" fillId="5" fontId="12" numFmtId="0" xfId="0" applyAlignment="1" applyFill="1" applyFont="1">
      <alignment vertical="center"/>
    </xf>
    <xf borderId="1" fillId="5" fontId="5" numFmtId="0" xfId="0" applyAlignment="1" applyBorder="1" applyFont="1">
      <alignment horizontal="center" shrinkToFit="0" vertical="center" wrapText="1"/>
    </xf>
    <xf borderId="1" fillId="5" fontId="5" numFmtId="0" xfId="0" applyAlignment="1" applyBorder="1" applyFont="1">
      <alignment readingOrder="0" shrinkToFit="0" vertical="center" wrapText="1"/>
    </xf>
    <xf borderId="1" fillId="5" fontId="5" numFmtId="0" xfId="0" applyAlignment="1" applyBorder="1" applyFont="1">
      <alignment shrinkToFit="0" vertical="center" wrapText="1"/>
    </xf>
    <xf borderId="1" fillId="6" fontId="5" numFmtId="0" xfId="0" applyAlignment="1" applyBorder="1" applyFill="1" applyFont="1">
      <alignment shrinkToFit="0" vertical="center" wrapText="1"/>
    </xf>
    <xf borderId="1" fillId="5" fontId="5" numFmtId="0" xfId="0" applyAlignment="1" applyBorder="1" applyFont="1">
      <alignment horizontal="center" readingOrder="0" shrinkToFit="0" vertical="center" wrapText="1"/>
    </xf>
    <xf borderId="1" fillId="0" fontId="19" numFmtId="0" xfId="0" applyAlignment="1" applyBorder="1" applyFont="1">
      <alignment shrinkToFit="0" vertical="center" wrapText="1"/>
    </xf>
    <xf borderId="1" fillId="0" fontId="20" numFmtId="0" xfId="0" applyAlignment="1" applyBorder="1" applyFont="1">
      <alignment shrinkToFit="0" vertical="center" wrapText="1"/>
    </xf>
    <xf borderId="0" fillId="0" fontId="12" numFmtId="0" xfId="0" applyAlignment="1" applyFont="1">
      <alignment vertical="center"/>
    </xf>
    <xf borderId="1" fillId="0" fontId="21" numFmtId="0" xfId="0" applyAlignment="1" applyBorder="1" applyFont="1">
      <alignment shrinkToFit="0" vertical="center" wrapText="1"/>
    </xf>
    <xf borderId="2" fillId="0" fontId="12" numFmtId="0" xfId="0" applyBorder="1" applyFont="1"/>
    <xf borderId="3" fillId="0" fontId="22" numFmtId="0" xfId="0" applyBorder="1" applyFont="1"/>
    <xf borderId="2" fillId="5" fontId="23" numFmtId="0" xfId="0" applyAlignment="1" applyBorder="1" applyFont="1">
      <alignment horizontal="center" shrinkToFit="0" wrapText="1"/>
    </xf>
    <xf borderId="4" fillId="0" fontId="22" numFmtId="0" xfId="0" applyBorder="1" applyFont="1"/>
    <xf borderId="1" fillId="0" fontId="23" numFmtId="0" xfId="0" applyAlignment="1" applyBorder="1" applyFont="1">
      <alignment horizontal="center" shrinkToFit="0" wrapText="1"/>
    </xf>
    <xf borderId="1" fillId="5" fontId="23" numFmtId="0" xfId="0" applyAlignment="1" applyBorder="1" applyFont="1">
      <alignment horizontal="center" shrinkToFit="0" wrapText="1"/>
    </xf>
    <xf borderId="1" fillId="7" fontId="23" numFmtId="164" xfId="0" applyAlignment="1" applyBorder="1" applyFill="1" applyFont="1" applyNumberFormat="1">
      <alignment horizontal="center" shrinkToFit="0" wrapText="1"/>
    </xf>
    <xf borderId="1" fillId="0" fontId="23" numFmtId="164" xfId="0" applyAlignment="1" applyBorder="1" applyFont="1" applyNumberFormat="1">
      <alignment horizontal="center" shrinkToFit="0" wrapText="1"/>
    </xf>
    <xf borderId="1" fillId="0" fontId="23" numFmtId="0" xfId="0" applyAlignment="1" applyBorder="1" applyFont="1">
      <alignment shrinkToFit="0" wrapText="1"/>
    </xf>
    <xf borderId="1" fillId="0" fontId="24" numFmtId="0" xfId="0" applyAlignment="1" applyBorder="1" applyFont="1">
      <alignment horizontal="center" shrinkToFit="0" wrapText="1"/>
    </xf>
    <xf borderId="1" fillId="0" fontId="12"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UAT_TGPL Doanh Nghiệp-tuần 2-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P2:Q2" displayName="Table_1" name="Table_1" id="1">
  <tableColumns count="2">
    <tableColumn name="Column1" id="1"/>
    <tableColumn name="Column2" id="2"/>
  </tableColumns>
  <tableStyleInfo name="UAT_TGPL Doanh Nghiệp-tuần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KuQFDQ4UV0KLnkeOcJHxuB1gm3_VsY8m&amp;usp=drive_copy" TargetMode="External"/><Relationship Id="rId190" Type="http://schemas.openxmlformats.org/officeDocument/2006/relationships/hyperlink" Target="https://drive.google.com/open?id=1y_Rp3xlPi5qDWaYW_b9sY1eJQvKL_429&amp;usp=drive_copy" TargetMode="External"/><Relationship Id="rId42" Type="http://schemas.openxmlformats.org/officeDocument/2006/relationships/hyperlink" Target="https://drive.google.com/open?id=1QSrHT9iLktF6lRXseQFjrTV9Mm2VutZj&amp;usp=drive_copy" TargetMode="External"/><Relationship Id="rId41" Type="http://schemas.openxmlformats.org/officeDocument/2006/relationships/hyperlink" Target="https://drive.google.com/open?id=15Us4XpwhnPUBgBvj_S6MM8fk6zegnG53&amp;usp=drive_copy" TargetMode="External"/><Relationship Id="rId44" Type="http://schemas.openxmlformats.org/officeDocument/2006/relationships/hyperlink" Target="https://drive.google.com/open?id=1jtTQkWU78fFcJ1whG1WetOiZvrbTrLzJ&amp;usp=drive_copy" TargetMode="External"/><Relationship Id="rId194" Type="http://schemas.openxmlformats.org/officeDocument/2006/relationships/hyperlink" Target="https://drive.google.com/open?id=1DqfEeNdtX-D4G5NY61c1gUiIsRLuWAgZ&amp;usp=drive_copy" TargetMode="External"/><Relationship Id="rId43" Type="http://schemas.openxmlformats.org/officeDocument/2006/relationships/hyperlink" Target="https://drive.google.com/open?id=1rxZUCRKEKHbE3fEzXwNgP9sQ3pASSSpQ&amp;usp=drive_copy" TargetMode="External"/><Relationship Id="rId193" Type="http://schemas.openxmlformats.org/officeDocument/2006/relationships/hyperlink" Target="https://drive.google.com/open?id=1JQeakWFPvubncc42zNA2OxzHUObqZtMc&amp;usp=drive_copy" TargetMode="External"/><Relationship Id="rId46" Type="http://schemas.openxmlformats.org/officeDocument/2006/relationships/hyperlink" Target="https://drive.google.com/open?id=1uXhWPWD9Wy-BwFBv67xX5ICXRdMBWwoI&amp;usp=drive_copy" TargetMode="External"/><Relationship Id="rId192" Type="http://schemas.openxmlformats.org/officeDocument/2006/relationships/hyperlink" Target="https://drive.google.com/open?id=1nzZLIxVuzrNGtHz6IjYyz2tizMbueDxt&amp;usp=drive_copy" TargetMode="External"/><Relationship Id="rId45" Type="http://schemas.openxmlformats.org/officeDocument/2006/relationships/hyperlink" Target="https://drive.google.com/open?id=1usOyiXKNNTCPx1ddeQzVMY28_3jCDtlp&amp;usp=drive_copy" TargetMode="External"/><Relationship Id="rId191" Type="http://schemas.openxmlformats.org/officeDocument/2006/relationships/hyperlink" Target="https://drive.google.com/open?id=1lD7J507WneErUPPYIR6hupMh6E1FNw4V&amp;usp=drive_copy" TargetMode="External"/><Relationship Id="rId48" Type="http://schemas.openxmlformats.org/officeDocument/2006/relationships/hyperlink" Target="https://drive.google.com/open?id=1-pjOZe9zJnH52a1ipb0iCv1cEmFZGrvq&amp;usp=drive_copy" TargetMode="External"/><Relationship Id="rId187" Type="http://schemas.openxmlformats.org/officeDocument/2006/relationships/hyperlink" Target="https://drive.google.com/open?id=19Yz1IokHAUXQnf7nNqiAeldHwBy_6Snd&amp;usp=drive_copy" TargetMode="External"/><Relationship Id="rId47" Type="http://schemas.openxmlformats.org/officeDocument/2006/relationships/hyperlink" Target="https://drive.google.com/open?id=1A3JpWCifojalKYJqkxyb3lMrr_I_tHG2&amp;usp=drive_copy" TargetMode="External"/><Relationship Id="rId186" Type="http://schemas.openxmlformats.org/officeDocument/2006/relationships/hyperlink" Target="https://drive.google.com/open?id=1xBpIPXWQiALOjT2j6iNdf5gXnB03TSte&amp;usp=drive_copy" TargetMode="External"/><Relationship Id="rId185" Type="http://schemas.openxmlformats.org/officeDocument/2006/relationships/hyperlink" Target="https://drive.google.com/open?id=1qfbwRv72Lh9fln2C6TSN7ALIQcQaXbXh&amp;usp=drive_copy" TargetMode="External"/><Relationship Id="rId49" Type="http://schemas.openxmlformats.org/officeDocument/2006/relationships/hyperlink" Target="https://drive.google.com/open?id=1-vh6BULEH9bb8aTXAHB4HUqjH7s7ntFT&amp;usp=drive_copy" TargetMode="External"/><Relationship Id="rId184" Type="http://schemas.openxmlformats.org/officeDocument/2006/relationships/hyperlink" Target="https://drive.google.com/open?id=1Ku33Z7YU6JZEU1fO3S6-kcjwmIAsWz_z&amp;usp=drive_copy" TargetMode="External"/><Relationship Id="rId189" Type="http://schemas.openxmlformats.org/officeDocument/2006/relationships/hyperlink" Target="https://drive.google.com/open?id=1jkeAXNIhR-M3R9yvaqc1BJ94C0INwOdD&amp;usp=drive_copy" TargetMode="External"/><Relationship Id="rId188" Type="http://schemas.openxmlformats.org/officeDocument/2006/relationships/hyperlink" Target="https://drive.google.com/open?id=1ofuk6ZqKLeWiF4y6tK0MYxVs2ixfWKqB&amp;usp=drive_copy" TargetMode="External"/><Relationship Id="rId31" Type="http://schemas.openxmlformats.org/officeDocument/2006/relationships/hyperlink" Target="https://drive.google.com/file/d/1UVh--zb2A4deiXc13SEJXH7cmFX_hfqu/view?usp=drive_link" TargetMode="External"/><Relationship Id="rId30" Type="http://schemas.openxmlformats.org/officeDocument/2006/relationships/hyperlink" Target="https://drive.google.com/file/d/1r1iloIumKnQ7oi4FhB8FQ4EtqLKJGGYL/view?usp=drive_link" TargetMode="External"/><Relationship Id="rId33" Type="http://schemas.openxmlformats.org/officeDocument/2006/relationships/hyperlink" Target="https://drive.google.com/file/d/1riNYan8JX9IHpKQHUDReymqEPROz3mVc/view?usp=drive_link" TargetMode="External"/><Relationship Id="rId183" Type="http://schemas.openxmlformats.org/officeDocument/2006/relationships/hyperlink" Target="https://drive.google.com/open?id=1Nk-ofxZqH94oeOK65rDWmVsTBmqfEEbY&amp;usp=drive_copy" TargetMode="External"/><Relationship Id="rId32" Type="http://schemas.openxmlformats.org/officeDocument/2006/relationships/hyperlink" Target="https://drive.google.com/file/d/1riNYan8JX9IHpKQHUDReymqEPROz3mVc/view?usp=drive_link" TargetMode="External"/><Relationship Id="rId182" Type="http://schemas.openxmlformats.org/officeDocument/2006/relationships/hyperlink" Target="https://drive.google.com/open?id=1ggepdB6tFjF2lva-4V8WMPv_E5Urq1S3&amp;usp=drive_copy" TargetMode="External"/><Relationship Id="rId35" Type="http://schemas.openxmlformats.org/officeDocument/2006/relationships/hyperlink" Target="https://drive.google.com/file/d/1WB04EJu1UkFRQnzcwBhLUOWwyLCHse7a/view?usp=drive_link" TargetMode="External"/><Relationship Id="rId181" Type="http://schemas.openxmlformats.org/officeDocument/2006/relationships/hyperlink" Target="https://drive.google.com/open?id=1xwIUjxtKYd7viM2BOZ-Z0LMTFjw5CNR3&amp;usp=drive_copy" TargetMode="External"/><Relationship Id="rId34" Type="http://schemas.openxmlformats.org/officeDocument/2006/relationships/hyperlink" Target="https://drive.google.com/file/d/1RdxBxEqiE2qioMF-ybmyztyzP1FQ8_jX/view?usp=drive_link" TargetMode="External"/><Relationship Id="rId180" Type="http://schemas.openxmlformats.org/officeDocument/2006/relationships/hyperlink" Target="https://drive.google.com/open?id=1bwtX9yK7HskIQ3fF7QowSS-QBcV2P_F6&amp;usp=drive_copy" TargetMode="External"/><Relationship Id="rId37" Type="http://schemas.openxmlformats.org/officeDocument/2006/relationships/hyperlink" Target="https://drive.google.com/open?id=1lbUUJZwgyhM-nceuAMFsw_AbAU9ANFcv&amp;usp=drive_copy" TargetMode="External"/><Relationship Id="rId176" Type="http://schemas.openxmlformats.org/officeDocument/2006/relationships/hyperlink" Target="https://drive.google.com/open?id=1PxFlr5JLgxl6ytiX_QT16JGDfmpmrsrN&amp;usp=drive_copy" TargetMode="External"/><Relationship Id="rId36" Type="http://schemas.openxmlformats.org/officeDocument/2006/relationships/hyperlink" Target="https://drive.google.com/file/d/1RVjaGnXJlJk3ktdXfy-HnWMQ3x3Gu9-z/view?usp=drive_link" TargetMode="External"/><Relationship Id="rId175" Type="http://schemas.openxmlformats.org/officeDocument/2006/relationships/hyperlink" Target="https://drive.google.com/open?id=1AmZDlgoKKgUNkUZhKZuAL6waENooLdH6&amp;usp=drive_copy" TargetMode="External"/><Relationship Id="rId39" Type="http://schemas.openxmlformats.org/officeDocument/2006/relationships/hyperlink" Target="https://drive.google.com/open?id=1VxNxJdqZ66ZCzGqj19MW3wAwG4wyw54j&amp;usp=drive_copy" TargetMode="External"/><Relationship Id="rId174" Type="http://schemas.openxmlformats.org/officeDocument/2006/relationships/hyperlink" Target="https://drive.google.com/open?id=1lKZnhPG1stNCPP0ir_YD07tiw93O8J4F&amp;usp=drive_copy" TargetMode="External"/><Relationship Id="rId38" Type="http://schemas.openxmlformats.org/officeDocument/2006/relationships/hyperlink" Target="https://drive.google.com/open?id=1r4ub3g7tTKEHY8B8d5_050UrzC2J5sD0&amp;usp=drive_copy" TargetMode="External"/><Relationship Id="rId173" Type="http://schemas.openxmlformats.org/officeDocument/2006/relationships/hyperlink" Target="https://drive.google.com/open?id=1n1l3YxjaPFIPUl5biVRybrQK9XuxnXPT&amp;usp=drive_copy" TargetMode="External"/><Relationship Id="rId179" Type="http://schemas.openxmlformats.org/officeDocument/2006/relationships/hyperlink" Target="https://drive.google.com/open?id=1MOUf7Qi_gZqctSOjnpmkMs6zgevhkiMB&amp;usp=drive_copy" TargetMode="External"/><Relationship Id="rId178" Type="http://schemas.openxmlformats.org/officeDocument/2006/relationships/hyperlink" Target="https://drive.google.com/open?id=1Mp3U4dKCTXSLl61sQ_QFEyHx9WjsxKXK&amp;usp=drive_copy" TargetMode="External"/><Relationship Id="rId177" Type="http://schemas.openxmlformats.org/officeDocument/2006/relationships/hyperlink" Target="https://drive.google.com/open?id=1Q7MQil5qlJPpMZmQoKJKa20puAeG4Fcx&amp;usp=drive_copy" TargetMode="External"/><Relationship Id="rId20" Type="http://schemas.openxmlformats.org/officeDocument/2006/relationships/hyperlink" Target="https://drive.google.com/file/d/1FTxsYqGAQ8s252TQVXr3ve4cAcjBuo2a/view?usp=drive_link" TargetMode="External"/><Relationship Id="rId22" Type="http://schemas.openxmlformats.org/officeDocument/2006/relationships/hyperlink" Target="https://drive.google.com/file/d/1iDTWBtpd8Vd9FMUIg194vPg3ituC-AAH/view?usp=drive_link" TargetMode="External"/><Relationship Id="rId21" Type="http://schemas.openxmlformats.org/officeDocument/2006/relationships/hyperlink" Target="https://drive.google.com/file/d/1A6Z010Mh0KCPaaD17VH5d1B19we0eiec/view?usp=drive_link" TargetMode="External"/><Relationship Id="rId24" Type="http://schemas.openxmlformats.org/officeDocument/2006/relationships/hyperlink" Target="https://drive.google.com/file/d/1GHWE7frRaeykl3pPYp0jOQ88ixjqgtXP/view?usp=drive_link" TargetMode="External"/><Relationship Id="rId23" Type="http://schemas.openxmlformats.org/officeDocument/2006/relationships/hyperlink" Target="https://drive.google.com/file/d/1DZV6EkR0rvFSY7OSj4rJxiApDCtwXH6u/view?usp=drive_link" TargetMode="External"/><Relationship Id="rId26" Type="http://schemas.openxmlformats.org/officeDocument/2006/relationships/hyperlink" Target="https://drive.google.com/file/d/1h36vyd3TBSBLEIeMU0JsTblzIZPCkOAM/view?usp=drive_link" TargetMode="External"/><Relationship Id="rId25" Type="http://schemas.openxmlformats.org/officeDocument/2006/relationships/hyperlink" Target="https://drive.google.com/file/d/1aBbx4_LhhBeZAd88F8C6JFNswVHLgMp_/view?usp=drive_link" TargetMode="External"/><Relationship Id="rId28" Type="http://schemas.openxmlformats.org/officeDocument/2006/relationships/hyperlink" Target="https://drive.google.com/file/d/1aHTfXEpDZSP9z76lqbjT6SdL01sM-IvO/view?usp=drive_link" TargetMode="External"/><Relationship Id="rId27" Type="http://schemas.openxmlformats.org/officeDocument/2006/relationships/hyperlink" Target="https://drive.google.com/file/d/1p696YEgRSBfY00ubqUOGItM6xhXfSt13/view?usp=drive_link" TargetMode="External"/><Relationship Id="rId29" Type="http://schemas.openxmlformats.org/officeDocument/2006/relationships/hyperlink" Target="https://drive.google.com/file/d/1UFrEMFd8z0B6zR0_2x91qBM_WNKeN8Hv/view?usp=drive_link" TargetMode="External"/><Relationship Id="rId11" Type="http://schemas.openxmlformats.org/officeDocument/2006/relationships/hyperlink" Target="https://drive.google.com/file/d/1XdRE6bLPr3QLRum0ylwks7h35xMlx5-d/view?usp=drive_link" TargetMode="External"/><Relationship Id="rId10" Type="http://schemas.openxmlformats.org/officeDocument/2006/relationships/hyperlink" Target="https://drive.google.com/file/d/1H_boEiIzGqvOTvUaNhUSjM9lx9ajfl6I/view?usp=drive_link" TargetMode="External"/><Relationship Id="rId13" Type="http://schemas.openxmlformats.org/officeDocument/2006/relationships/hyperlink" Target="https://drive.google.com/file/d/13HLbvRwEBnU1zGLcslmNWJaJbPS3LMBx/view?usp=drive_link" TargetMode="External"/><Relationship Id="rId12" Type="http://schemas.openxmlformats.org/officeDocument/2006/relationships/hyperlink" Target="https://drive.google.com/file/d/13HLbvRwEBnU1zGLcslmNWJaJbPS3LMBx/view?usp=drive_link" TargetMode="External"/><Relationship Id="rId15" Type="http://schemas.openxmlformats.org/officeDocument/2006/relationships/hyperlink" Target="https://drive.google.com/file/d/1z9eH-iZeU5R3p1Xf27Dpihrl2_Y_3HMy/view?usp=drive_link" TargetMode="External"/><Relationship Id="rId198" Type="http://schemas.openxmlformats.org/officeDocument/2006/relationships/hyperlink" Target="https://drive.google.com/open?id=19oDxprQ2SjAPesG991Bp01-TUywFMVe0&amp;usp=drive_copy" TargetMode="External"/><Relationship Id="rId14" Type="http://schemas.openxmlformats.org/officeDocument/2006/relationships/hyperlink" Target="https://drive.google.com/file/d/13HLbvRwEBnU1zGLcslmNWJaJbPS3LMBx/view?usp=drive_link" TargetMode="External"/><Relationship Id="rId197" Type="http://schemas.openxmlformats.org/officeDocument/2006/relationships/hyperlink" Target="https://drive.google.com/open?id=1W44LdBQygq_faqtHFVPlmHs96SKBMIEl&amp;usp=drive_copy" TargetMode="External"/><Relationship Id="rId17" Type="http://schemas.openxmlformats.org/officeDocument/2006/relationships/hyperlink" Target="https://drive.google.com/file/d/1fblKhfVqwhzsmSw0JazomIvB4dRtfbsq/view?usp=drive_link" TargetMode="External"/><Relationship Id="rId196" Type="http://schemas.openxmlformats.org/officeDocument/2006/relationships/hyperlink" Target="https://drive.google.com/open?id=1WNUi-p8dzUhh7Ot1SbMyifQ0mrY3rMXV&amp;usp=drive_copy" TargetMode="External"/><Relationship Id="rId16" Type="http://schemas.openxmlformats.org/officeDocument/2006/relationships/hyperlink" Target="https://drive.google.com/file/d/1z9eH-iZeU5R3p1Xf27Dpihrl2_Y_3HMy/view?usp=drive_link" TargetMode="External"/><Relationship Id="rId195" Type="http://schemas.openxmlformats.org/officeDocument/2006/relationships/hyperlink" Target="https://drive.google.com/open?id=1l1ZhmFg_6oF5qfC1K3e14GBflch5hvOM&amp;usp=drive_copy" TargetMode="External"/><Relationship Id="rId19" Type="http://schemas.openxmlformats.org/officeDocument/2006/relationships/hyperlink" Target="https://drive.google.com/file/d/13wgG-KkTvelc2Q4fXjMRxU-vosFB1hv0/view?usp=drive_link" TargetMode="External"/><Relationship Id="rId18" Type="http://schemas.openxmlformats.org/officeDocument/2006/relationships/hyperlink" Target="https://drive.google.com/file/d/1yYHKV9SNRP-3e3dcssfWw6L4DRnhYGjl/view?usp=drive_link" TargetMode="External"/><Relationship Id="rId199" Type="http://schemas.openxmlformats.org/officeDocument/2006/relationships/drawing" Target="../drawings/drawing1.xml"/><Relationship Id="rId84" Type="http://schemas.openxmlformats.org/officeDocument/2006/relationships/hyperlink" Target="https://drive.google.com/open?id=1Cvv3Dn91sRcEjqqvXPf4BhHOkJRsRiP8&amp;usp=drive_copy" TargetMode="External"/><Relationship Id="rId83" Type="http://schemas.openxmlformats.org/officeDocument/2006/relationships/hyperlink" Target="https://drive.google.com/open?id=1ICx5BuB-VpUB-WnGaHjHH3mvK_lqfJBw&amp;usp=drive_copy" TargetMode="External"/><Relationship Id="rId86" Type="http://schemas.openxmlformats.org/officeDocument/2006/relationships/hyperlink" Target="https://drive.google.com/open?id=16GrUCh35bOZ3MBC3QuYpwYZaPjO_-LrW&amp;usp=drive_copy" TargetMode="External"/><Relationship Id="rId85" Type="http://schemas.openxmlformats.org/officeDocument/2006/relationships/hyperlink" Target="https://drive.google.com/open?id=1q4YB0S0hIYpCswc8l05t-B9jJcxoP0En&amp;usp=drive_copy" TargetMode="External"/><Relationship Id="rId88" Type="http://schemas.openxmlformats.org/officeDocument/2006/relationships/hyperlink" Target="https://drive.google.com/open?id=12cyp3a4RG4mE4M8ON58WaffTIc9btfhl&amp;usp=drive_copy" TargetMode="External"/><Relationship Id="rId150" Type="http://schemas.openxmlformats.org/officeDocument/2006/relationships/hyperlink" Target="https://drive.google.com/open?id=1dEOqE1QgsXcK_oaUGqSCPXIIRDrBs5xl&amp;usp=drive_copy" TargetMode="External"/><Relationship Id="rId87" Type="http://schemas.openxmlformats.org/officeDocument/2006/relationships/hyperlink" Target="https://drive.google.com/open?id=12OL9FEQOEAnV-9LhMCuc4pbTfWpMLFXl&amp;usp=drive_copy" TargetMode="External"/><Relationship Id="rId89" Type="http://schemas.openxmlformats.org/officeDocument/2006/relationships/hyperlink" Target="https://drive.google.com/open?id=1SmOSQVoUpsH7gkI3YX36dckyTrB-Vv1o&amp;usp=drive_copy" TargetMode="External"/><Relationship Id="rId80" Type="http://schemas.openxmlformats.org/officeDocument/2006/relationships/hyperlink" Target="https://drive.google.com/open?id=1rlvcNd_eb-Es4Tp2t8zHoJnXEqWAtO3J&amp;usp=drive_copy" TargetMode="External"/><Relationship Id="rId82" Type="http://schemas.openxmlformats.org/officeDocument/2006/relationships/hyperlink" Target="https://drive.google.com/open?id=1sevu59zPE-DqAq0Da9Cp7lwlxdCUktXR&amp;usp=drive_copy" TargetMode="External"/><Relationship Id="rId81" Type="http://schemas.openxmlformats.org/officeDocument/2006/relationships/hyperlink" Target="https://drive.google.com/open?id=10pYRbs5GFTeHs_QxrDMpAmZSrvyLvsRl&amp;usp=drive_copy" TargetMode="External"/><Relationship Id="rId1" Type="http://schemas.openxmlformats.org/officeDocument/2006/relationships/hyperlink" Target="https://htpldn-uat.ospgroup.vn/login" TargetMode="External"/><Relationship Id="rId2" Type="http://schemas.openxmlformats.org/officeDocument/2006/relationships/hyperlink" Target="https://drive.google.com/file/d/1RRMEIhZVZWLZak8zB7uaJeDssnhNvTeD/view?usp=drive_link" TargetMode="External"/><Relationship Id="rId3" Type="http://schemas.openxmlformats.org/officeDocument/2006/relationships/hyperlink" Target="https://drive.google.com/file/d/1RRMEIhZVZWLZak8zB7uaJeDssnhNvTeD/view?usp=drive_link" TargetMode="External"/><Relationship Id="rId149" Type="http://schemas.openxmlformats.org/officeDocument/2006/relationships/hyperlink" Target="https://drive.google.com/open?id=1Y8W2W3wOy5UHQoZNQC55BrMEMkVr5Jy3&amp;usp=drive_copy" TargetMode="External"/><Relationship Id="rId4" Type="http://schemas.openxmlformats.org/officeDocument/2006/relationships/hyperlink" Target="https://drive.google.com/file/d/1RRMEIhZVZWLZak8zB7uaJeDssnhNvTeD/view?usp=drive_link" TargetMode="External"/><Relationship Id="rId148" Type="http://schemas.openxmlformats.org/officeDocument/2006/relationships/hyperlink" Target="https://drive.google.com/open?id=1vK73HrWbYPjoV6OeqJviAB1vE1koB_Pf&amp;usp=drive_copy" TargetMode="External"/><Relationship Id="rId9" Type="http://schemas.openxmlformats.org/officeDocument/2006/relationships/hyperlink" Target="https://drive.google.com/file/d/1_sEam8ErkVzhp4--JGccDhQL6dL7PwDJ/view?usp=drive_link" TargetMode="External"/><Relationship Id="rId143" Type="http://schemas.openxmlformats.org/officeDocument/2006/relationships/hyperlink" Target="https://drive.google.com/open?id=1StNiU4vs1CeWG-016U1F6zNxCFiN8yk9&amp;usp=drive_copy" TargetMode="External"/><Relationship Id="rId142" Type="http://schemas.openxmlformats.org/officeDocument/2006/relationships/hyperlink" Target="https://drive.google.com/open?id=13g-QJsP3ExJzWXiwQJjysGt7VVMKaE65&amp;usp=drive_copy" TargetMode="External"/><Relationship Id="rId141" Type="http://schemas.openxmlformats.org/officeDocument/2006/relationships/hyperlink" Target="https://drive.google.com/open?id=1wPW4uwsk7_9VaMxHtQzIgQqZoaOj3QLQ&amp;usp=drive_copy" TargetMode="External"/><Relationship Id="rId140" Type="http://schemas.openxmlformats.org/officeDocument/2006/relationships/hyperlink" Target="https://drive.google.com/open?id=1QBQEBu2R1rBm77a4S0QbbScVMcr6Ooeh&amp;usp=drive_copy" TargetMode="External"/><Relationship Id="rId5" Type="http://schemas.openxmlformats.org/officeDocument/2006/relationships/hyperlink" Target="https://drive.google.com/file/d/1bN0Bb30SAnMBpoTuMqzAw9meYWJvVeTj/view?usp=drive_link" TargetMode="External"/><Relationship Id="rId147" Type="http://schemas.openxmlformats.org/officeDocument/2006/relationships/hyperlink" Target="https://drive.google.com/open?id=1lcP_tIPMIb3BWSoGGdLXLSGqSqEpkpAU&amp;usp=drive_copy" TargetMode="External"/><Relationship Id="rId6" Type="http://schemas.openxmlformats.org/officeDocument/2006/relationships/hyperlink" Target="https://drive.google.com/file/d/1ThkVZoHd_7WE8LTA8TrFJ79iwtqzUEJy/view?usp=drive_link" TargetMode="External"/><Relationship Id="rId146" Type="http://schemas.openxmlformats.org/officeDocument/2006/relationships/hyperlink" Target="https://drive.google.com/open?id=1Kyln3iXV7bnGlpdAVs8Lg5NtlZbM350L&amp;usp=drive_copy" TargetMode="External"/><Relationship Id="rId7" Type="http://schemas.openxmlformats.org/officeDocument/2006/relationships/hyperlink" Target="https://drive.google.com/file/d/1ot9bmUP4sYZLfu2q5mEcgUODIgo4Tefj/view?usp=drive_link" TargetMode="External"/><Relationship Id="rId145" Type="http://schemas.openxmlformats.org/officeDocument/2006/relationships/hyperlink" Target="https://drive.google.com/open?id=1dBbDQg_IR24yYKiZJyC3ScLp8lwZeaq6&amp;usp=drive_copy" TargetMode="External"/><Relationship Id="rId8" Type="http://schemas.openxmlformats.org/officeDocument/2006/relationships/hyperlink" Target="https://drive.google.com/file/d/15bN_Cz0woJ8t_yTv3DiXAPdUoGDEumoL/view?usp=drive_link" TargetMode="External"/><Relationship Id="rId144" Type="http://schemas.openxmlformats.org/officeDocument/2006/relationships/hyperlink" Target="https://drive.google.com/open?id=1npJy9RYk2GTxVEodO4i7dBRp44heq1VI&amp;usp=drive_copy" TargetMode="External"/><Relationship Id="rId73" Type="http://schemas.openxmlformats.org/officeDocument/2006/relationships/hyperlink" Target="https://drive.google.com/open?id=1jnggzQYF0h4e0pYEJRXsgrd-9BTQ-C58&amp;usp=drive_copy" TargetMode="External"/><Relationship Id="rId72" Type="http://schemas.openxmlformats.org/officeDocument/2006/relationships/hyperlink" Target="https://drive.google.com/open?id=10Mdvj_JwgABxTB8FEDMWutHar0BgAIUM&amp;usp=drive_copy" TargetMode="External"/><Relationship Id="rId75" Type="http://schemas.openxmlformats.org/officeDocument/2006/relationships/hyperlink" Target="https://drive.google.com/open?id=16Y71UfCmRxnjcaT5enLW8RWGx8QjpX4w&amp;usp=drive_copy" TargetMode="External"/><Relationship Id="rId74" Type="http://schemas.openxmlformats.org/officeDocument/2006/relationships/hyperlink" Target="https://drive.google.com/open?id=10igs877Fr2o_BnBanL6H6221jloWHKh8&amp;usp=drive_copy" TargetMode="External"/><Relationship Id="rId77" Type="http://schemas.openxmlformats.org/officeDocument/2006/relationships/hyperlink" Target="https://drive.google.com/open?id=1pSBbWRBs7c3YfuanEEmlt0eMQEPQI0P_&amp;usp=drive_copy" TargetMode="External"/><Relationship Id="rId76" Type="http://schemas.openxmlformats.org/officeDocument/2006/relationships/hyperlink" Target="https://drive.google.com/open?id=1Wbu3vpYDawE6a8jCOmqmq432D5KncCpn&amp;usp=drive_copy" TargetMode="External"/><Relationship Id="rId79" Type="http://schemas.openxmlformats.org/officeDocument/2006/relationships/hyperlink" Target="https://drive.google.com/open?id=1sMDbXNlGz7CPXSwmwF59HmIi6nVQ7eVG&amp;usp=drive_copy" TargetMode="External"/><Relationship Id="rId78" Type="http://schemas.openxmlformats.org/officeDocument/2006/relationships/hyperlink" Target="https://drive.google.com/open?id=19djlS85Q2vbd7tyqRlxHHy7fd0GSNKhS&amp;usp=drive_copy" TargetMode="External"/><Relationship Id="rId71" Type="http://schemas.openxmlformats.org/officeDocument/2006/relationships/hyperlink" Target="https://drive.google.com/open?id=1yNTjNBnVqlZSvlq0yVWBmD4575Z8N8J1&amp;usp=drive_copy" TargetMode="External"/><Relationship Id="rId70" Type="http://schemas.openxmlformats.org/officeDocument/2006/relationships/hyperlink" Target="https://drive.google.com/open?id=1cFtq3-4miUbsnUmAKBMwERqjWzAf65fm&amp;usp=drive_copy" TargetMode="External"/><Relationship Id="rId139" Type="http://schemas.openxmlformats.org/officeDocument/2006/relationships/hyperlink" Target="https://drive.google.com/open?id=14P30np_44rmLUCot4Nj6DI1weEaap4JR&amp;usp=drive_copy" TargetMode="External"/><Relationship Id="rId138" Type="http://schemas.openxmlformats.org/officeDocument/2006/relationships/hyperlink" Target="https://drive.google.com/open?id=1JjaRWKHW9TpaPc_Fz3fAqxyvqT993Z86&amp;usp=drive_copy" TargetMode="External"/><Relationship Id="rId137" Type="http://schemas.openxmlformats.org/officeDocument/2006/relationships/hyperlink" Target="https://drive.google.com/open?id=1Nmcno-e5yTHtjfLOF6lYGu760mr3F1Ju&amp;usp=drive_copy" TargetMode="External"/><Relationship Id="rId132" Type="http://schemas.openxmlformats.org/officeDocument/2006/relationships/hyperlink" Target="https://drive.google.com/open?id=1pwZGGeAsHoBu00kzetCf66U2Y_5kl9qd&amp;usp=drive_copy" TargetMode="External"/><Relationship Id="rId131" Type="http://schemas.openxmlformats.org/officeDocument/2006/relationships/hyperlink" Target="https://drive.google.com/open?id=11oPBxRds6iux7nBiMJxIUMO9q4BXGi0m&amp;usp=drive_copy" TargetMode="External"/><Relationship Id="rId130" Type="http://schemas.openxmlformats.org/officeDocument/2006/relationships/hyperlink" Target="https://drive.google.com/open?id=1w-EfVWGAkxNIAJYkjxfKjoDSWAZoBmlY&amp;usp=drive_copy" TargetMode="External"/><Relationship Id="rId136" Type="http://schemas.openxmlformats.org/officeDocument/2006/relationships/hyperlink" Target="https://drive.google.com/open?id=1U_QcrjKKZXwg2dzYTpZFM1B5bhZAyh9e&amp;usp=drive_copy" TargetMode="External"/><Relationship Id="rId135" Type="http://schemas.openxmlformats.org/officeDocument/2006/relationships/hyperlink" Target="https://drive.google.com/open?id=1qTpPGarLc1B1VKXBCoAIwgdGIJE1aEtO&amp;usp=drive_copy" TargetMode="External"/><Relationship Id="rId134" Type="http://schemas.openxmlformats.org/officeDocument/2006/relationships/hyperlink" Target="https://drive.google.com/open?id=1Fir5KOk9oaT6XVhsnn_3xv7ncaFsrKGo&amp;usp=drive_copy" TargetMode="External"/><Relationship Id="rId133" Type="http://schemas.openxmlformats.org/officeDocument/2006/relationships/hyperlink" Target="https://drive.google.com/open?id=1xg5qHF-zhaEHTDkXQ7y9F2FVf5kKhSWB&amp;usp=drive_copy" TargetMode="External"/><Relationship Id="rId62" Type="http://schemas.openxmlformats.org/officeDocument/2006/relationships/hyperlink" Target="https://drive.google.com/open?id=1ZpP-HLHp5EXkzFbVjFt3wg7xyv_Dg60Q&amp;usp=drive_copy" TargetMode="External"/><Relationship Id="rId61" Type="http://schemas.openxmlformats.org/officeDocument/2006/relationships/hyperlink" Target="https://drive.google.com/open?id=1ih8OIqdKXzyu_uAnWzZgxcKQVs2k-rdw&amp;usp=drive_copy" TargetMode="External"/><Relationship Id="rId64" Type="http://schemas.openxmlformats.org/officeDocument/2006/relationships/hyperlink" Target="https://drive.google.com/open?id=1N2n_4-uYxQV6mqmZ34kIrvFix7atsC6C&amp;usp=drive_copy" TargetMode="External"/><Relationship Id="rId63" Type="http://schemas.openxmlformats.org/officeDocument/2006/relationships/hyperlink" Target="https://drive.google.com/open?id=1jf3EPM0ekvf_1ucyHuid0TrH5MKALmbN&amp;usp=drive_copy" TargetMode="External"/><Relationship Id="rId66" Type="http://schemas.openxmlformats.org/officeDocument/2006/relationships/hyperlink" Target="https://drive.google.com/open?id=12iX08fnniPRZAhpI9kWNPzjiMQhqMObA&amp;usp=drive_copy" TargetMode="External"/><Relationship Id="rId172" Type="http://schemas.openxmlformats.org/officeDocument/2006/relationships/hyperlink" Target="https://drive.google.com/open?id=1m6NZOIw14QJKv0eOG__X-Rf4lCZ-LMal&amp;usp=drive_copy" TargetMode="External"/><Relationship Id="rId65" Type="http://schemas.openxmlformats.org/officeDocument/2006/relationships/hyperlink" Target="https://drive.google.com/open?id=12Sk2bW5caJIqF9S0Ib9V7Hs0421_TKfC&amp;usp=drive_copy" TargetMode="External"/><Relationship Id="rId171" Type="http://schemas.openxmlformats.org/officeDocument/2006/relationships/hyperlink" Target="https://drive.google.com/open?id=19XVwPZpyFpRmaZrVdihGCxxCVclUo5c8&amp;usp=drive_copy" TargetMode="External"/><Relationship Id="rId68" Type="http://schemas.openxmlformats.org/officeDocument/2006/relationships/hyperlink" Target="https://drive.google.com/open?id=17eeHxhLPuoxn-t7qVsFPVkxWfDHC7rYH&amp;usp=drive_copy" TargetMode="External"/><Relationship Id="rId170" Type="http://schemas.openxmlformats.org/officeDocument/2006/relationships/hyperlink" Target="https://drive.google.com/open?id=1SJpTdLwTjx0XSTHQ4RXPa9zB9_sjOtkq&amp;usp=drive_copy" TargetMode="External"/><Relationship Id="rId67" Type="http://schemas.openxmlformats.org/officeDocument/2006/relationships/hyperlink" Target="https://drive.google.com/open?id=1ADyf14O9Bdws3sS3HECUg7fOfLCQZWLd&amp;usp=drive_copy" TargetMode="External"/><Relationship Id="rId60" Type="http://schemas.openxmlformats.org/officeDocument/2006/relationships/hyperlink" Target="https://drive.google.com/open?id=1CBOp4G8i91nTGGPCPge41xpvsfOh-hc4&amp;usp=drive_copy" TargetMode="External"/><Relationship Id="rId165" Type="http://schemas.openxmlformats.org/officeDocument/2006/relationships/hyperlink" Target="https://drive.google.com/open?id=1d9EMtnB1Ik0SI-ndsmc_O-ZwK_8LfYfY&amp;usp=drive_copy" TargetMode="External"/><Relationship Id="rId69" Type="http://schemas.openxmlformats.org/officeDocument/2006/relationships/hyperlink" Target="https://drive.google.com/open?id=1kZJy27vzy41pPGQ-2hIs3_82qtcXXlq6&amp;usp=drive_copy" TargetMode="External"/><Relationship Id="rId164" Type="http://schemas.openxmlformats.org/officeDocument/2006/relationships/hyperlink" Target="https://drive.google.com/open?id=1EedftX7vm_-2unXSG-hVoY4T0F-AQ_QA&amp;usp=drive_copy" TargetMode="External"/><Relationship Id="rId163" Type="http://schemas.openxmlformats.org/officeDocument/2006/relationships/hyperlink" Target="https://drive.google.com/open?id=1Lb6VJDs1S8noqe9m7cUsGK6GCteTQffq&amp;usp=drive_copy" TargetMode="External"/><Relationship Id="rId162" Type="http://schemas.openxmlformats.org/officeDocument/2006/relationships/hyperlink" Target="https://drive.google.com/open?id=1-djJ1OwgRiC9Wzo6VacFISz_A9FtI9qr&amp;usp=drive_copy" TargetMode="External"/><Relationship Id="rId169" Type="http://schemas.openxmlformats.org/officeDocument/2006/relationships/hyperlink" Target="https://drive.google.com/open?id=1N5tIKeVV5XT6xcmE_PD7I3sYcK9SAzLs&amp;usp=drive_copy" TargetMode="External"/><Relationship Id="rId168" Type="http://schemas.openxmlformats.org/officeDocument/2006/relationships/hyperlink" Target="https://drive.google.com/open?id=1xiSdQEFIdz3j4gQLZVcIBwz7XWYF9AYU&amp;usp=drive_copy" TargetMode="External"/><Relationship Id="rId167" Type="http://schemas.openxmlformats.org/officeDocument/2006/relationships/hyperlink" Target="https://drive.google.com/open?id=1cSBx4BSrZhAUenSWBRkzVov5vYzRocGY&amp;usp=drive_copy" TargetMode="External"/><Relationship Id="rId166" Type="http://schemas.openxmlformats.org/officeDocument/2006/relationships/hyperlink" Target="https://drive.google.com/open?id=1utuC-5S4iBNpQxLGNTWiMRg61mG2cSl_&amp;usp=drive_copy" TargetMode="External"/><Relationship Id="rId51" Type="http://schemas.openxmlformats.org/officeDocument/2006/relationships/hyperlink" Target="https://drive.google.com/open?id=1o5rEHtESyEF4Teb9aBBr_PCFC3G_UFk5&amp;usp=drive_copy" TargetMode="External"/><Relationship Id="rId50" Type="http://schemas.openxmlformats.org/officeDocument/2006/relationships/hyperlink" Target="https://drive.google.com/open?id=1GN2NB2vZTsJ770jYAbpqKcSf-ld-jeFk&amp;usp=drive_copy" TargetMode="External"/><Relationship Id="rId53" Type="http://schemas.openxmlformats.org/officeDocument/2006/relationships/hyperlink" Target="https://drive.google.com/open?id=1nAfX3qk3_t4ZLa2cWXbs0iq_bUyPlTNX&amp;usp=drive_copy" TargetMode="External"/><Relationship Id="rId52" Type="http://schemas.openxmlformats.org/officeDocument/2006/relationships/hyperlink" Target="https://drive.google.com/open?id=1B7IJo9P7Z_yO7mBcOYe8hC4MQDSeSD7S&amp;usp=drive_copy" TargetMode="External"/><Relationship Id="rId55" Type="http://schemas.openxmlformats.org/officeDocument/2006/relationships/hyperlink" Target="https://drive.google.com/open?id=1FQOHxfEb6aKvqOsnydT4AS--jdt0RJLe&amp;usp=drive_copy" TargetMode="External"/><Relationship Id="rId161" Type="http://schemas.openxmlformats.org/officeDocument/2006/relationships/hyperlink" Target="https://drive.google.com/open?id=14sPzH8OGjN8vWA665Sh0L55robDA59ns&amp;usp=drive_copy" TargetMode="External"/><Relationship Id="rId54" Type="http://schemas.openxmlformats.org/officeDocument/2006/relationships/hyperlink" Target="https://drive.google.com/open?id=1hrEatlIxyOGw7spL0RKsTZucWHPR3hCN&amp;usp=drive_copy" TargetMode="External"/><Relationship Id="rId160" Type="http://schemas.openxmlformats.org/officeDocument/2006/relationships/hyperlink" Target="https://drive.google.com/open?id=1_kbHeOHxd8jPKkyxRhudgmdxQxZ4_kVQ&amp;usp=drive_copy" TargetMode="External"/><Relationship Id="rId57" Type="http://schemas.openxmlformats.org/officeDocument/2006/relationships/hyperlink" Target="https://drive.google.com/open?id=1XGZjCXVZMBnQ8RCNYNNxemNjY1Rb6Hmr&amp;usp=drive_copy" TargetMode="External"/><Relationship Id="rId56" Type="http://schemas.openxmlformats.org/officeDocument/2006/relationships/hyperlink" Target="https://drive.google.com/open?id=1FDQK_GPQoLszgtuxaCwmbRG-l1ioB9lw&amp;usp=drive_copy" TargetMode="External"/><Relationship Id="rId159" Type="http://schemas.openxmlformats.org/officeDocument/2006/relationships/hyperlink" Target="https://drive.google.com/open?id=1c3U3mNCHHApCYu2MKf3kYBLS31htNlUY&amp;usp=drive_copy" TargetMode="External"/><Relationship Id="rId59" Type="http://schemas.openxmlformats.org/officeDocument/2006/relationships/hyperlink" Target="https://drive.google.com/open?id=1w1PQnPMbl9t96LRgNyFx0b62ud7df0yK&amp;usp=drive_copy" TargetMode="External"/><Relationship Id="rId154" Type="http://schemas.openxmlformats.org/officeDocument/2006/relationships/hyperlink" Target="https://drive.google.com/open?id=1WHBejaLr6cVeCxtNRqHnefDVEMYFRcIc&amp;usp=drive_copy" TargetMode="External"/><Relationship Id="rId58" Type="http://schemas.openxmlformats.org/officeDocument/2006/relationships/hyperlink" Target="https://drive.google.com/open?id=131qrfvfj45RjQUN6IFZXOw9oZ9J6sILc&amp;usp=drive_copy" TargetMode="External"/><Relationship Id="rId153" Type="http://schemas.openxmlformats.org/officeDocument/2006/relationships/hyperlink" Target="https://drive.google.com/open?id=1yro5fgZmPhdyvHgULxBLlCQZWvRC5nRM&amp;usp=drive_copy" TargetMode="External"/><Relationship Id="rId152" Type="http://schemas.openxmlformats.org/officeDocument/2006/relationships/hyperlink" Target="https://drive.google.com/open?id=1_DcSivCf9tXKgoRUvU4avs3UsZaBXLvp&amp;usp=drive_copy" TargetMode="External"/><Relationship Id="rId151" Type="http://schemas.openxmlformats.org/officeDocument/2006/relationships/hyperlink" Target="https://drive.google.com/open?id=1gZo2UHvOQfjLochGwSmSkebHqIzIU4lM&amp;usp=drive_copy" TargetMode="External"/><Relationship Id="rId158" Type="http://schemas.openxmlformats.org/officeDocument/2006/relationships/hyperlink" Target="https://drive.google.com/open?id=1i4hgERZ4ezMhFdGuvz7q_B756zwlr-Ah&amp;usp=drive_copy" TargetMode="External"/><Relationship Id="rId157" Type="http://schemas.openxmlformats.org/officeDocument/2006/relationships/hyperlink" Target="https://drive.google.com/open?id=1t4S7iENXYuczAZbpaqPbz7KWtiOyADF0&amp;usp=drive_copy" TargetMode="External"/><Relationship Id="rId156" Type="http://schemas.openxmlformats.org/officeDocument/2006/relationships/hyperlink" Target="https://drive.google.com/open?id=1HYBySgdDXx7o8xth0-D4TEquuzVy3V8R&amp;usp=drive_copy" TargetMode="External"/><Relationship Id="rId155" Type="http://schemas.openxmlformats.org/officeDocument/2006/relationships/hyperlink" Target="https://drive.google.com/open?id=1bUfAKcQoa7icMLk7GoHLhNgisP9_HF8S&amp;usp=drive_copy" TargetMode="External"/><Relationship Id="rId107" Type="http://schemas.openxmlformats.org/officeDocument/2006/relationships/hyperlink" Target="https://drive.google.com/open?id=1dFmWYd0CmdmFBG2gytaO-hoPo6gyt9Cg&amp;usp=drive_copy" TargetMode="External"/><Relationship Id="rId106" Type="http://schemas.openxmlformats.org/officeDocument/2006/relationships/hyperlink" Target="https://drive.google.com/open?id=1UArb3GcZebcYdIaq9viamJ2U6WbdFFBA&amp;usp=drive_copy" TargetMode="External"/><Relationship Id="rId105" Type="http://schemas.openxmlformats.org/officeDocument/2006/relationships/hyperlink" Target="https://drive.google.com/open?id=1jakAKiNK8984od2U4Yx2rzOFGpaagqiw&amp;usp=drive_copy" TargetMode="External"/><Relationship Id="rId104" Type="http://schemas.openxmlformats.org/officeDocument/2006/relationships/hyperlink" Target="https://drive.google.com/open?id=1Ps5ol5YjisGabvSjxUVcm8ij4q4wNKDY&amp;usp=drive_copy" TargetMode="External"/><Relationship Id="rId109" Type="http://schemas.openxmlformats.org/officeDocument/2006/relationships/hyperlink" Target="https://drive.google.com/open?id=1o2VbBgQb__6WS2-0hbH98h86CkbOVyaE&amp;usp=drive_copy" TargetMode="External"/><Relationship Id="rId108" Type="http://schemas.openxmlformats.org/officeDocument/2006/relationships/hyperlink" Target="https://drive.google.com/open?id=1aPU12U_6FmcXi0sYtwbahFXNvKAoy7Td&amp;usp=drive_copy" TargetMode="External"/><Relationship Id="rId103" Type="http://schemas.openxmlformats.org/officeDocument/2006/relationships/hyperlink" Target="https://drive.google.com/open?id=1baPhGSdUhkHOgZJBGQv0WBnd9vznSPpK&amp;usp=drive_copy" TargetMode="External"/><Relationship Id="rId102" Type="http://schemas.openxmlformats.org/officeDocument/2006/relationships/hyperlink" Target="https://drive.google.com/open?id=1vECVt1uetypx-RV7P04Mwr1BVyH9Aaea&amp;usp=drive_copy" TargetMode="External"/><Relationship Id="rId101" Type="http://schemas.openxmlformats.org/officeDocument/2006/relationships/hyperlink" Target="https://drive.google.com/open?id=1CyOmHP_4nV-KpMMDmG_40TzVW6VUGA17&amp;usp=drive_copy" TargetMode="External"/><Relationship Id="rId100" Type="http://schemas.openxmlformats.org/officeDocument/2006/relationships/hyperlink" Target="https://drive.google.com/open?id=1zwg6suGm5bHULmsep7OOcIzMd941btMx&amp;usp=drive_copy" TargetMode="External"/><Relationship Id="rId129" Type="http://schemas.openxmlformats.org/officeDocument/2006/relationships/hyperlink" Target="https://drive.google.com/open?id=1Me7IFHfvy4y4UcKogrnZKPb2Oy3ldU10&amp;usp=drive_copy" TargetMode="External"/><Relationship Id="rId128" Type="http://schemas.openxmlformats.org/officeDocument/2006/relationships/hyperlink" Target="https://drive.google.com/open?id=1vxI7jb8i2GX0wFNnWwx7OAKPxgmLMaq-&amp;usp=drive_copy" TargetMode="External"/><Relationship Id="rId127" Type="http://schemas.openxmlformats.org/officeDocument/2006/relationships/hyperlink" Target="https://drive.google.com/open?id=1jpI-4UD0die_C1t3H-q4iOT4uDTdrYFq&amp;usp=drive_copy" TargetMode="External"/><Relationship Id="rId126" Type="http://schemas.openxmlformats.org/officeDocument/2006/relationships/hyperlink" Target="https://drive.google.com/open?id=1jXRzsHg846F-YW5MayO2Oo_GI0X36_Kz&amp;usp=drive_copy" TargetMode="External"/><Relationship Id="rId121" Type="http://schemas.openxmlformats.org/officeDocument/2006/relationships/hyperlink" Target="https://drive.google.com/open?id=19d7-jxaW_1MrVdaHyadxJuy5i6z5lQSp&amp;usp=drive_copy" TargetMode="External"/><Relationship Id="rId120" Type="http://schemas.openxmlformats.org/officeDocument/2006/relationships/hyperlink" Target="https://drive.google.com/open?id=17CdqeGiTJKJH7_IwKZNOGLJxTZF22aeF&amp;usp=drive_copy" TargetMode="External"/><Relationship Id="rId125" Type="http://schemas.openxmlformats.org/officeDocument/2006/relationships/hyperlink" Target="https://drive.google.com/open?id=106I2J95m4BCsssnjIlMy7aodBgnysBXk&amp;usp=drive_copy" TargetMode="External"/><Relationship Id="rId124" Type="http://schemas.openxmlformats.org/officeDocument/2006/relationships/hyperlink" Target="https://drive.google.com/open?id=1FSqCCS6AlKnvrE6TAlaessJ0LHTgj7ge&amp;usp=drive_copy" TargetMode="External"/><Relationship Id="rId123" Type="http://schemas.openxmlformats.org/officeDocument/2006/relationships/hyperlink" Target="https://drive.google.com/open?id=1PF-GTl_XT9KHeTB0n4yrsz3fh2w59WBN&amp;usp=drive_copy" TargetMode="External"/><Relationship Id="rId122" Type="http://schemas.openxmlformats.org/officeDocument/2006/relationships/hyperlink" Target="https://drive.google.com/open?id=1D3M195VfYTE9Y6Z7rblWcePEi9isa424&amp;usp=drive_copy" TargetMode="External"/><Relationship Id="rId95" Type="http://schemas.openxmlformats.org/officeDocument/2006/relationships/hyperlink" Target="https://drive.google.com/open?id=1ubeeu-QlRR93gysAS3_uE_NPBcSajfzS&amp;usp=drive_copy" TargetMode="External"/><Relationship Id="rId94" Type="http://schemas.openxmlformats.org/officeDocument/2006/relationships/hyperlink" Target="https://drive.google.com/open?id=1BQLPm_FqNBdS35Vn4cXqV8YKphV0YIGu&amp;usp=drive_copy" TargetMode="External"/><Relationship Id="rId97" Type="http://schemas.openxmlformats.org/officeDocument/2006/relationships/hyperlink" Target="https://drive.google.com/open?id=1rQXRS2PP4ZcmGBT6qZpGZOEFD3orDllB&amp;usp=drive_copy" TargetMode="External"/><Relationship Id="rId96" Type="http://schemas.openxmlformats.org/officeDocument/2006/relationships/hyperlink" Target="https://drive.google.com/open?id=1s6HK0uWYADJlNPQ4pNLycwRb_2e0Ka7x&amp;usp=drive_copy" TargetMode="External"/><Relationship Id="rId99" Type="http://schemas.openxmlformats.org/officeDocument/2006/relationships/hyperlink" Target="https://drive.google.com/open?id=1skqixg6hq_zF2hBhTBNz5EjRIp0IKMkz&amp;usp=drive_copy" TargetMode="External"/><Relationship Id="rId98" Type="http://schemas.openxmlformats.org/officeDocument/2006/relationships/hyperlink" Target="https://drive.google.com/open?id=1skqixg6hq_zF2hBhTBNz5EjRIp0IKMkz&amp;usp=drive_copy" TargetMode="External"/><Relationship Id="rId91" Type="http://schemas.openxmlformats.org/officeDocument/2006/relationships/hyperlink" Target="https://drive.google.com/open?id=1bo4DFhq8LuszN1naUGCFnE55PaZWXE0q&amp;usp=drive_copy" TargetMode="External"/><Relationship Id="rId90" Type="http://schemas.openxmlformats.org/officeDocument/2006/relationships/hyperlink" Target="https://drive.google.com/open?id=104ZlxocZw9a3j6M0l3zJYSjBqaUS8xuK&amp;usp=drive_copy" TargetMode="External"/><Relationship Id="rId93" Type="http://schemas.openxmlformats.org/officeDocument/2006/relationships/hyperlink" Target="https://drive.google.com/open?id=1UjUeX-Z3hJjMEXMebAQF5FucBi8oCq-4&amp;usp=drive_copy" TargetMode="External"/><Relationship Id="rId92" Type="http://schemas.openxmlformats.org/officeDocument/2006/relationships/hyperlink" Target="https://drive.google.com/open?id=1v9ZukoBpX0KSfaQH7O2sji8c7iA2qyMg&amp;usp=drive_copy" TargetMode="External"/><Relationship Id="rId118" Type="http://schemas.openxmlformats.org/officeDocument/2006/relationships/hyperlink" Target="https://drive.google.com/open?id=1nh4CUKjzQfoj21CuwYEPUkEojivoI3x9&amp;usp=drive_copy" TargetMode="External"/><Relationship Id="rId117" Type="http://schemas.openxmlformats.org/officeDocument/2006/relationships/hyperlink" Target="https://drive.google.com/open?id=18jp0qfn9RvJyM9GoPf-ietIp-sxb8sQ8&amp;usp=drive_copy" TargetMode="External"/><Relationship Id="rId116" Type="http://schemas.openxmlformats.org/officeDocument/2006/relationships/hyperlink" Target="https://drive.google.com/open?id=1kXeRfKCIUqRssk0STKq1v0DtO2nq9qb0&amp;usp=drive_copy" TargetMode="External"/><Relationship Id="rId115" Type="http://schemas.openxmlformats.org/officeDocument/2006/relationships/hyperlink" Target="https://drive.google.com/open?id=1qIWOPcyPjYRo9UwFkjcLND-fXr96hZDY&amp;usp=drive_copy" TargetMode="External"/><Relationship Id="rId119" Type="http://schemas.openxmlformats.org/officeDocument/2006/relationships/hyperlink" Target="https://drive.google.com/open?id=1Xo0kwgkGgk5QOW5VA6lR4ENrWUAVss1I&amp;usp=drive_copy" TargetMode="External"/><Relationship Id="rId110" Type="http://schemas.openxmlformats.org/officeDocument/2006/relationships/hyperlink" Target="https://drive.google.com/open?id=1Xa6MOVFGaQrTeij271FVTLu5iEFXYhs_&amp;usp=drive_copy" TargetMode="External"/><Relationship Id="rId114" Type="http://schemas.openxmlformats.org/officeDocument/2006/relationships/hyperlink" Target="https://drive.google.com/open?id=1SBJCLKRpQg8cwqFoh16v7iX4N_9Ngj9c&amp;usp=drive_copy" TargetMode="External"/><Relationship Id="rId113" Type="http://schemas.openxmlformats.org/officeDocument/2006/relationships/hyperlink" Target="https://drive.google.com/open?id=1ZBy4hxk2RpPsB3onXQ_EdghF_d_4Wo5N&amp;usp=drive_copy" TargetMode="External"/><Relationship Id="rId112" Type="http://schemas.openxmlformats.org/officeDocument/2006/relationships/hyperlink" Target="https://drive.google.com/open?id=1RUDkoMz161mqmt81ShqTkaxBbvfFUUzL&amp;usp=drive_copy" TargetMode="External"/><Relationship Id="rId111" Type="http://schemas.openxmlformats.org/officeDocument/2006/relationships/hyperlink" Target="https://drive.google.com/open?id=1E0w12kOAVLh-fL-YjQqhJH5TSPf0V_a1&amp;usp=drive_copy"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8mMXx0U0d_uBEnJEf3kCy2ZiF328xht1&amp;usp=drive_copy" TargetMode="External"/><Relationship Id="rId42" Type="http://schemas.openxmlformats.org/officeDocument/2006/relationships/hyperlink" Target="https://drive.google.com/open?id=1ggEJfENr1dLJxT1qeuR0ya4Rcm0W_Czp&amp;usp=drive_copy" TargetMode="External"/><Relationship Id="rId41" Type="http://schemas.openxmlformats.org/officeDocument/2006/relationships/hyperlink" Target="https://drive.google.com/open?id=1S-u63g7HhMogqMhOBxUpyTSH0Pm2Kjga&amp;usp=drive_copy" TargetMode="External"/><Relationship Id="rId44" Type="http://schemas.openxmlformats.org/officeDocument/2006/relationships/hyperlink" Target="https://drive.google.com/open?id=1xugOyGIFRHD0ID3kgttqB82QUv34Jmkc&amp;usp=drive_copy" TargetMode="External"/><Relationship Id="rId43" Type="http://schemas.openxmlformats.org/officeDocument/2006/relationships/hyperlink" Target="https://drive.google.com/open?id=1c766g18ka_gdmRIsktYQsZofONaGVx00&amp;usp=drive_copy" TargetMode="External"/><Relationship Id="rId46" Type="http://schemas.openxmlformats.org/officeDocument/2006/relationships/hyperlink" Target="https://drive.google.com/open?id=1bBI_PTid1GCEq_6n0qfGj7C8R9drojgL&amp;usp=drive_copy" TargetMode="External"/><Relationship Id="rId45" Type="http://schemas.openxmlformats.org/officeDocument/2006/relationships/hyperlink" Target="https://drive.google.com/open?id=1Epq3U9HdjeZmsiyIxVlnJsy_bUMTyEyh&amp;usp=drive_copy" TargetMode="External"/><Relationship Id="rId48" Type="http://schemas.openxmlformats.org/officeDocument/2006/relationships/hyperlink" Target="https://drive.google.com/open?id=1hq1hjueOFWmBeWeRBFwsr10rtdzCO3xF&amp;usp=drive_copy" TargetMode="External"/><Relationship Id="rId47" Type="http://schemas.openxmlformats.org/officeDocument/2006/relationships/hyperlink" Target="https://drive.google.com/open?id=1lwNwwHJIrl5LAGDovR3F5fHSP4zJEPo0&amp;usp=drive_copy" TargetMode="External"/><Relationship Id="rId49" Type="http://schemas.openxmlformats.org/officeDocument/2006/relationships/hyperlink" Target="https://drive.google.com/open?id=177orGGLS74K1teD_YxkjSJyAT3jam76O&amp;usp=drive_copy" TargetMode="External"/><Relationship Id="rId31" Type="http://schemas.openxmlformats.org/officeDocument/2006/relationships/hyperlink" Target="https://drive.google.com/open?id=1GI6TdemvUUh2h_JEV3HMMF50xeesKNFC&amp;usp=drive_copy" TargetMode="External"/><Relationship Id="rId30" Type="http://schemas.openxmlformats.org/officeDocument/2006/relationships/hyperlink" Target="https://drive.google.com/open?id=1TQQ3eOjphaZCF9MR5OK_knvcL2AjpuA4&amp;usp=drive_copy" TargetMode="External"/><Relationship Id="rId33" Type="http://schemas.openxmlformats.org/officeDocument/2006/relationships/hyperlink" Target="https://drive.google.com/open?id=16nqGpCxOclj1AVT8ramTgPbjhoHYbpq0&amp;usp=drive_copy" TargetMode="External"/><Relationship Id="rId32" Type="http://schemas.openxmlformats.org/officeDocument/2006/relationships/hyperlink" Target="https://drive.google.com/open?id=11Xj4f9uNx194AMssV4_I6s1W-sQub9F9&amp;usp=drive_copy" TargetMode="External"/><Relationship Id="rId35" Type="http://schemas.openxmlformats.org/officeDocument/2006/relationships/hyperlink" Target="https://drive.google.com/open?id=1TxjJaeaQFl_QO4puyONp39YXb3CnOzSO&amp;usp=drive_copy" TargetMode="External"/><Relationship Id="rId34" Type="http://schemas.openxmlformats.org/officeDocument/2006/relationships/hyperlink" Target="https://drive.google.com/open?id=1lhX3VGs12QRE5ZObH4CQS0wni6VoWfeA&amp;usp=drive_copy" TargetMode="External"/><Relationship Id="rId37" Type="http://schemas.openxmlformats.org/officeDocument/2006/relationships/hyperlink" Target="https://drive.google.com/open?id=1qU9GJEFUNSmAtlAIXKdwdwENkFetJCEf&amp;usp=drive_copy" TargetMode="External"/><Relationship Id="rId36" Type="http://schemas.openxmlformats.org/officeDocument/2006/relationships/hyperlink" Target="https://drive.google.com/open?id=12d1Ob-aatHptHUuflS5jXRoIIvX1vh_t&amp;usp=drive_copy" TargetMode="External"/><Relationship Id="rId39" Type="http://schemas.openxmlformats.org/officeDocument/2006/relationships/hyperlink" Target="https://drive.google.com/open?id=1glw2ERkN80JNDzb8GhMGFhv3K6veyElu&amp;usp=drive_copy" TargetMode="External"/><Relationship Id="rId38" Type="http://schemas.openxmlformats.org/officeDocument/2006/relationships/hyperlink" Target="https://drive.google.com/open?id=1gmP7T2u_6ZsbZ50bT4M3RLqjeK2mhrwQ&amp;usp=drive_copy" TargetMode="External"/><Relationship Id="rId20" Type="http://schemas.openxmlformats.org/officeDocument/2006/relationships/hyperlink" Target="https://drive.google.com/open?id=1csuet8K29w8vlFoIdYHn-sQcqgFvIoWd&amp;usp=drive_copy" TargetMode="External"/><Relationship Id="rId22" Type="http://schemas.openxmlformats.org/officeDocument/2006/relationships/hyperlink" Target="https://drive.google.com/open?id=1TifxRbw6MsfUuHxYjgMukyRdrgDZ2zAe&amp;usp=drive_copy" TargetMode="External"/><Relationship Id="rId21" Type="http://schemas.openxmlformats.org/officeDocument/2006/relationships/hyperlink" Target="https://drive.google.com/open?id=1jItq9insS7RxQhhI1fNlVOPuhF-crSuo&amp;usp=drive_copy" TargetMode="External"/><Relationship Id="rId24" Type="http://schemas.openxmlformats.org/officeDocument/2006/relationships/hyperlink" Target="https://drive.google.com/open?id=14V1IfbWn3e90ZBPx8r3fjkqcGwPy0eKa&amp;usp=drive_copy" TargetMode="External"/><Relationship Id="rId23" Type="http://schemas.openxmlformats.org/officeDocument/2006/relationships/hyperlink" Target="https://drive.google.com/open?id=1u0UpBU-WzgLXTG2S0iXjYpu-ah84qtKJ&amp;usp=drive_copy" TargetMode="External"/><Relationship Id="rId26" Type="http://schemas.openxmlformats.org/officeDocument/2006/relationships/hyperlink" Target="https://drive.google.com/open?id=1F89j8XRFXPxG7b-AwbDisnXp9-UMj8fS&amp;usp=drive_copy" TargetMode="External"/><Relationship Id="rId25" Type="http://schemas.openxmlformats.org/officeDocument/2006/relationships/hyperlink" Target="https://drive.google.com/open?id=10-XD7sC3JZOAfQM05XhWdt_n6JyEYS3C&amp;usp=drive_copy" TargetMode="External"/><Relationship Id="rId28" Type="http://schemas.openxmlformats.org/officeDocument/2006/relationships/hyperlink" Target="https://drive.google.com/open?id=1N7gVAJue7PRrRdvx9kUJyMOA9pF6K8br&amp;usp=drive_copy" TargetMode="External"/><Relationship Id="rId27" Type="http://schemas.openxmlformats.org/officeDocument/2006/relationships/hyperlink" Target="https://drive.google.com/open?id=1LlE4R2vjVboVc1oaQdVA4sXiRjHjo7Oc&amp;usp=drive_copy" TargetMode="External"/><Relationship Id="rId29" Type="http://schemas.openxmlformats.org/officeDocument/2006/relationships/hyperlink" Target="https://drive.google.com/open?id=12XPFTZcFhpRItZhwzWS7jr2kp1VKEaEZ&amp;usp=drive_copy" TargetMode="External"/><Relationship Id="rId11" Type="http://schemas.openxmlformats.org/officeDocument/2006/relationships/hyperlink" Target="https://drive.google.com/open?id=1QzNdBfw3yCUdzbndc-3-3GXL1XHzjTVy&amp;usp=drive_copy" TargetMode="External"/><Relationship Id="rId10" Type="http://schemas.openxmlformats.org/officeDocument/2006/relationships/hyperlink" Target="https://drive.google.com/open?id=1VIJEhBnq9ysl8-k-IxsMAinn6dGQ1Dyf&amp;usp=drive_copy" TargetMode="External"/><Relationship Id="rId13" Type="http://schemas.openxmlformats.org/officeDocument/2006/relationships/hyperlink" Target="https://drive.google.com/open?id=1ywGZacqeSjO1vM25VB6TmYYxIM3k65FW&amp;usp=drive_copy" TargetMode="External"/><Relationship Id="rId12" Type="http://schemas.openxmlformats.org/officeDocument/2006/relationships/hyperlink" Target="https://drive.google.com/open?id=1Gef-F9dHLL2wwUjxXoIi_kcXl01b7EoR&amp;usp=drive_copy" TargetMode="External"/><Relationship Id="rId15" Type="http://schemas.openxmlformats.org/officeDocument/2006/relationships/hyperlink" Target="https://drive.google.com/open?id=1qr_CXemnA1jZCSKV2-pqGLnqojcV-3i7&amp;usp=drive_copy" TargetMode="External"/><Relationship Id="rId14" Type="http://schemas.openxmlformats.org/officeDocument/2006/relationships/hyperlink" Target="https://drive.google.com/open?id=17uUprgCfNuqr4lJwjDHs-cdAHxf18PTI&amp;usp=drive_copy" TargetMode="External"/><Relationship Id="rId17" Type="http://schemas.openxmlformats.org/officeDocument/2006/relationships/hyperlink" Target="https://drive.google.com/open?id=1I_yQL9fUn-qdy63iRn_CKzW4gTCXAbIB&amp;usp=drive_copy" TargetMode="External"/><Relationship Id="rId16" Type="http://schemas.openxmlformats.org/officeDocument/2006/relationships/hyperlink" Target="https://drive.google.com/open?id=1kJ_Gsi6LHG2FmbZGNeghQIbbZ_wosh16&amp;usp=drive_copy" TargetMode="External"/><Relationship Id="rId19" Type="http://schemas.openxmlformats.org/officeDocument/2006/relationships/hyperlink" Target="https://drive.google.com/open?id=1BvSZXN9pmV4mki3LDLvxM5kSFAzVy8Vt&amp;usp=drive_copy" TargetMode="External"/><Relationship Id="rId18" Type="http://schemas.openxmlformats.org/officeDocument/2006/relationships/hyperlink" Target="https://drive.google.com/open?id=1kNooy4yV-NDdIGS2ybFPKD0JdIrXPgik&amp;usp=drive_copy" TargetMode="External"/><Relationship Id="rId84" Type="http://schemas.openxmlformats.org/officeDocument/2006/relationships/hyperlink" Target="https://drive.google.com/open?id=1RMCnJgFZyVDfFfGK6DknjILsUEWMB2qQ&amp;usp=drive_copy" TargetMode="External"/><Relationship Id="rId83" Type="http://schemas.openxmlformats.org/officeDocument/2006/relationships/hyperlink" Target="https://drive.google.com/open?id=1rvHq8g8lNzJNV-RINH3laGGE533IUBS6&amp;usp=drive_copy" TargetMode="External"/><Relationship Id="rId86" Type="http://schemas.openxmlformats.org/officeDocument/2006/relationships/hyperlink" Target="https://drive.google.com/open?id=1S2AoKqNTaxHHIqXIwmU6VCB7uO4eh53y&amp;usp=drive_copy" TargetMode="External"/><Relationship Id="rId85" Type="http://schemas.openxmlformats.org/officeDocument/2006/relationships/hyperlink" Target="https://drive.google.com/open?id=1ZkuOw3wo8XZkXgWioJa0d9OdwrtZgDTL&amp;usp=drive_copy" TargetMode="External"/><Relationship Id="rId88" Type="http://schemas.openxmlformats.org/officeDocument/2006/relationships/hyperlink" Target="https://drive.google.com/open?id=1lNIkkkv34WlkHa8OqUF32a5tp42gicbx&amp;usp=drive_copy" TargetMode="External"/><Relationship Id="rId87" Type="http://schemas.openxmlformats.org/officeDocument/2006/relationships/hyperlink" Target="https://drive.google.com/open?id=18AKmublFEX0bk5CIZLDce6OUNYG7wFlx&amp;usp=drive_copy" TargetMode="External"/><Relationship Id="rId89" Type="http://schemas.openxmlformats.org/officeDocument/2006/relationships/hyperlink" Target="https://drive.google.com/open?id=1WgVCIiBzVE32pWIstpLXnUSk5Qh3ouH1&amp;usp=drive_copy" TargetMode="External"/><Relationship Id="rId80" Type="http://schemas.openxmlformats.org/officeDocument/2006/relationships/hyperlink" Target="https://drive.google.com/open?id=1nIq9nt7xa6_Dzb8OImCwCyy9eGZlHARg&amp;usp=drive_copy" TargetMode="External"/><Relationship Id="rId82" Type="http://schemas.openxmlformats.org/officeDocument/2006/relationships/hyperlink" Target="https://drive.google.com/open?id=13MnzEl7ivtVErgrt4bRcOr9TJ2EdtteM&amp;usp=drive_copy" TargetMode="External"/><Relationship Id="rId81" Type="http://schemas.openxmlformats.org/officeDocument/2006/relationships/hyperlink" Target="https://drive.google.com/open?id=13ogj-0emvEGmVewP_knd2KRxP9fIlOOq&amp;usp=drive_copy" TargetMode="External"/><Relationship Id="rId1" Type="http://schemas.openxmlformats.org/officeDocument/2006/relationships/hyperlink" Target="https://drive.google.com/open?id=1zP6TEZtpJ3g8lRwdEbyw4gq6en_eoflq&amp;usp=drive_copy" TargetMode="External"/><Relationship Id="rId2" Type="http://schemas.openxmlformats.org/officeDocument/2006/relationships/hyperlink" Target="https://drive.google.com/open?id=1CNndz0WE_TBWuRfso-OjXktqnuWqU-r5&amp;usp=drive_copy" TargetMode="External"/><Relationship Id="rId3" Type="http://schemas.openxmlformats.org/officeDocument/2006/relationships/hyperlink" Target="https://drive.google.com/open?id=1nr3lbjgheYthnohpdZMEzEP8mvzqQFEl&amp;usp=drive_copy" TargetMode="External"/><Relationship Id="rId4" Type="http://schemas.openxmlformats.org/officeDocument/2006/relationships/hyperlink" Target="https://drive.google.com/open?id=1X2p6wtBrHG_c-MvqAerSjACGUN2szt7F&amp;usp=drive_copy" TargetMode="External"/><Relationship Id="rId9" Type="http://schemas.openxmlformats.org/officeDocument/2006/relationships/hyperlink" Target="https://drive.google.com/open?id=1CbC5wJhnE6IKQMZXzzmQ2Por1WAYZyIZ&amp;usp=drive_copy" TargetMode="External"/><Relationship Id="rId5" Type="http://schemas.openxmlformats.org/officeDocument/2006/relationships/hyperlink" Target="https://drive.google.com/open?id=1LoDkwS19sqxSeyb3DlTeHSDoQtMoso2u&amp;usp=drive_copy" TargetMode="External"/><Relationship Id="rId6" Type="http://schemas.openxmlformats.org/officeDocument/2006/relationships/hyperlink" Target="https://drive.google.com/open?id=1PNqlAags9eCjhAikcjSkaI8GpRDG08FL&amp;usp=drive_copy" TargetMode="External"/><Relationship Id="rId7" Type="http://schemas.openxmlformats.org/officeDocument/2006/relationships/hyperlink" Target="https://drive.google.com/open?id=1RmkEqO0K2VA7a2OWvqvEuxb7Z3x-Yxvu&amp;usp=drive_copy" TargetMode="External"/><Relationship Id="rId8" Type="http://schemas.openxmlformats.org/officeDocument/2006/relationships/hyperlink" Target="https://drive.google.com/open?id=1IkhJErHPFUy7Zy7h23ctuNeFdvwkWO8v&amp;usp=drive_copy" TargetMode="External"/><Relationship Id="rId73" Type="http://schemas.openxmlformats.org/officeDocument/2006/relationships/hyperlink" Target="https://drive.google.com/open?id=1kNa1klKO7kZ0Pr7Jz_Vk3guHHQvp4sDm&amp;usp=drive_copy" TargetMode="External"/><Relationship Id="rId72" Type="http://schemas.openxmlformats.org/officeDocument/2006/relationships/hyperlink" Target="https://drive.google.com/open?id=1HZwS3VJGE0fGn_aqsrukhukyV-gfRFUu&amp;usp=drive_copy" TargetMode="External"/><Relationship Id="rId75" Type="http://schemas.openxmlformats.org/officeDocument/2006/relationships/hyperlink" Target="https://drive.google.com/open?id=1c4X_rgHw7j2tmd855d4ZmZRQ_8GK5NE3&amp;usp=drive_copy" TargetMode="External"/><Relationship Id="rId74" Type="http://schemas.openxmlformats.org/officeDocument/2006/relationships/hyperlink" Target="https://drive.google.com/open?id=1aSHR9lg1ynJBRAUOPdb0co8MFusZRnZ-&amp;usp=drive_copy" TargetMode="External"/><Relationship Id="rId77" Type="http://schemas.openxmlformats.org/officeDocument/2006/relationships/hyperlink" Target="https://drive.google.com/open?id=1MCYZBEs4CIHK395Ic9QUwMAA7Hb2qK5V&amp;usp=drive_copy" TargetMode="External"/><Relationship Id="rId76" Type="http://schemas.openxmlformats.org/officeDocument/2006/relationships/hyperlink" Target="https://drive.google.com/open?id=1Hs_zhD3I_XFfPbgFAFJceJZ3k3nuK3on&amp;usp=drive_copy" TargetMode="External"/><Relationship Id="rId79" Type="http://schemas.openxmlformats.org/officeDocument/2006/relationships/hyperlink" Target="https://drive.google.com/open?id=18VncwCBYijXVnd94Jb5tlhYjVAM35Cjh&amp;usp=drive_copy" TargetMode="External"/><Relationship Id="rId78" Type="http://schemas.openxmlformats.org/officeDocument/2006/relationships/hyperlink" Target="https://drive.google.com/open?id=1Rk5kqgjhrha3sQ1zG4dGnNFSm7UVFHym&amp;usp=drive_copy" TargetMode="External"/><Relationship Id="rId71" Type="http://schemas.openxmlformats.org/officeDocument/2006/relationships/hyperlink" Target="https://drive.google.com/open?id=1qIdH84Ojv6QNyw9bJ3OZgPsLPKT3vaUs&amp;usp=drive_copy" TargetMode="External"/><Relationship Id="rId70" Type="http://schemas.openxmlformats.org/officeDocument/2006/relationships/hyperlink" Target="https://drive.google.com/open?id=1wfdBIVnbZcUtoCS-E9AFmgdI138BaW2C&amp;usp=drive_copy" TargetMode="External"/><Relationship Id="rId62" Type="http://schemas.openxmlformats.org/officeDocument/2006/relationships/hyperlink" Target="https://drive.google.com/open?id=1ts6soRh-HdgdUHZuUMa5k6w6tAp8Qndx&amp;usp=drive_copy" TargetMode="External"/><Relationship Id="rId61" Type="http://schemas.openxmlformats.org/officeDocument/2006/relationships/hyperlink" Target="https://drive.google.com/open?id=1Vp7Zg3fLjdFIHVMpCzEVjeXbCMg2d9WV&amp;usp=drive_copy" TargetMode="External"/><Relationship Id="rId64" Type="http://schemas.openxmlformats.org/officeDocument/2006/relationships/hyperlink" Target="https://drive.google.com/open?id=1LjdyWGxViwDwavm-Mui3ieeogQ8l7Qam&amp;usp=drive_copy" TargetMode="External"/><Relationship Id="rId63" Type="http://schemas.openxmlformats.org/officeDocument/2006/relationships/hyperlink" Target="https://drive.google.com/open?id=1xv7zKSdEp2dUzedPuRoETAjnPBu5VuTo&amp;usp=drive_copy" TargetMode="External"/><Relationship Id="rId66" Type="http://schemas.openxmlformats.org/officeDocument/2006/relationships/hyperlink" Target="https://drive.google.com/open?id=1b7-6_GTkvE82lPfyYwGrYMGEHK1_onoi&amp;usp=drive_copy" TargetMode="External"/><Relationship Id="rId65" Type="http://schemas.openxmlformats.org/officeDocument/2006/relationships/hyperlink" Target="https://drive.google.com/open?id=1R3QpzoFx9RWBRp7Y9cyCCLJVoMCa74uq&amp;usp=drive_copy" TargetMode="External"/><Relationship Id="rId68" Type="http://schemas.openxmlformats.org/officeDocument/2006/relationships/hyperlink" Target="https://drive.google.com/open?id=1q5D8IYLeZ0ZVSMR1POhIVmSFtTvLQdsJ&amp;usp=drive_copy" TargetMode="External"/><Relationship Id="rId67" Type="http://schemas.openxmlformats.org/officeDocument/2006/relationships/hyperlink" Target="https://drive.google.com/open?id=1drEx-O00II6rJi0tVL6ab4BALQ3ZzKbH&amp;usp=drive_copy" TargetMode="External"/><Relationship Id="rId60" Type="http://schemas.openxmlformats.org/officeDocument/2006/relationships/hyperlink" Target="https://drive.google.com/open?id=14QHXagyOhtwebcmgfu61tTIS3yN9I-2F&amp;usp=drive_copy" TargetMode="External"/><Relationship Id="rId69" Type="http://schemas.openxmlformats.org/officeDocument/2006/relationships/hyperlink" Target="https://drive.google.com/open?id=13t4jIl12Fi7n1NHDrgSh_mYgMffH3R4N&amp;usp=drive_copy" TargetMode="External"/><Relationship Id="rId51" Type="http://schemas.openxmlformats.org/officeDocument/2006/relationships/hyperlink" Target="https://drive.google.com/open?id=1AFrbT_GOhuI-Q67uvdVbHeS7hXuK6Hxn&amp;usp=drive_copy" TargetMode="External"/><Relationship Id="rId50" Type="http://schemas.openxmlformats.org/officeDocument/2006/relationships/hyperlink" Target="https://drive.google.com/open?id=1JNDaixYwbVuHZR1J2aJYoOegl7CTyN1N&amp;usp=drive_copy" TargetMode="External"/><Relationship Id="rId53" Type="http://schemas.openxmlformats.org/officeDocument/2006/relationships/hyperlink" Target="https://drive.google.com/open?id=1d7wrBYd6Y8IUxfqYpI-LRlyRXHyLYiLJ&amp;usp=drive_copy" TargetMode="External"/><Relationship Id="rId52" Type="http://schemas.openxmlformats.org/officeDocument/2006/relationships/hyperlink" Target="https://drive.google.com/open?id=1kPEB_lAhzW__1uSyjJ6qO5tXtLlRNyDM&amp;usp=drive_copy" TargetMode="External"/><Relationship Id="rId55" Type="http://schemas.openxmlformats.org/officeDocument/2006/relationships/hyperlink" Target="https://drive.google.com/open?id=1by8gf1nUnRXcMPqU8zTj7Z1O51aBxG_4&amp;usp=drive_copy" TargetMode="External"/><Relationship Id="rId54" Type="http://schemas.openxmlformats.org/officeDocument/2006/relationships/hyperlink" Target="https://drive.google.com/open?id=1PRGWxTw0TjSIIjV09ZmT_M_0TQh-zrV3&amp;usp=drive_copy" TargetMode="External"/><Relationship Id="rId57" Type="http://schemas.openxmlformats.org/officeDocument/2006/relationships/hyperlink" Target="https://drive.google.com/open?id=1gbYa-cakaVbXjAe_PseXXAuDu9qnpLxQ&amp;usp=drive_copy" TargetMode="External"/><Relationship Id="rId56" Type="http://schemas.openxmlformats.org/officeDocument/2006/relationships/hyperlink" Target="https://drive.google.com/open?id=1RitvCkLEIe4a9ku3cbfXJdNWkj6ng-_t&amp;usp=drive_copy" TargetMode="External"/><Relationship Id="rId59" Type="http://schemas.openxmlformats.org/officeDocument/2006/relationships/hyperlink" Target="https://drive.google.com/open?id=15l1mps0yHMQfUmsXxSrV7nMRsAVIkG6V&amp;usp=drive_copy" TargetMode="External"/><Relationship Id="rId58" Type="http://schemas.openxmlformats.org/officeDocument/2006/relationships/hyperlink" Target="https://drive.google.com/open?id=1UkVnSHqKylUTUGBUb5eMtmh--tWE3TZ7&amp;usp=drive_copy" TargetMode="External"/><Relationship Id="rId107" Type="http://schemas.openxmlformats.org/officeDocument/2006/relationships/hyperlink" Target="https://drive.google.com/open?id=1qOn_ko2J40WnOZ8WrQrcGDHj2j7Ciqlx&amp;usp=drive_copy" TargetMode="External"/><Relationship Id="rId106" Type="http://schemas.openxmlformats.org/officeDocument/2006/relationships/hyperlink" Target="https://drive.google.com/open?id=1ZoJk1iS5rID81qMKHMv_-czdBfw2ISWC&amp;usp=drive_copy" TargetMode="External"/><Relationship Id="rId105" Type="http://schemas.openxmlformats.org/officeDocument/2006/relationships/hyperlink" Target="https://drive.google.com/open?id=1XfvBtW-vWR4Ke7himjfWFAbIrPmeP-TQ&amp;usp=drive_copy" TargetMode="External"/><Relationship Id="rId104" Type="http://schemas.openxmlformats.org/officeDocument/2006/relationships/hyperlink" Target="https://drive.google.com/open?id=1xfsPtQUAKek4Wo-ytTMXGATEQd26mLdK&amp;usp=drive_copy" TargetMode="External"/><Relationship Id="rId109" Type="http://schemas.openxmlformats.org/officeDocument/2006/relationships/hyperlink" Target="https://drive.google.com/open?id=1BXP5qVJxTHEy1FRgOExsjtYgQOst6a3W&amp;usp=drive_copy" TargetMode="External"/><Relationship Id="rId108" Type="http://schemas.openxmlformats.org/officeDocument/2006/relationships/hyperlink" Target="https://drive.google.com/open?id=1ugiY8cmzs2SX6B4XINW4kLvBubycgMh5&amp;usp=drive_copy" TargetMode="External"/><Relationship Id="rId103" Type="http://schemas.openxmlformats.org/officeDocument/2006/relationships/hyperlink" Target="https://drive.google.com/open?id=1WWLP_Rx0t2JIj90XY9Vv40BmLwhmpPr1&amp;usp=drive_copy" TargetMode="External"/><Relationship Id="rId102" Type="http://schemas.openxmlformats.org/officeDocument/2006/relationships/hyperlink" Target="https://drive.google.com/open?id=16lJzP0RtIayb5NshEUnHYUQ6LBQ_D7Dp&amp;usp=drive_copy" TargetMode="External"/><Relationship Id="rId101" Type="http://schemas.openxmlformats.org/officeDocument/2006/relationships/hyperlink" Target="https://drive.google.com/open?id=1Pzb6Facv2eprLF3zef78_ZLTidNf4dBV&amp;usp=drive_copy" TargetMode="External"/><Relationship Id="rId100" Type="http://schemas.openxmlformats.org/officeDocument/2006/relationships/hyperlink" Target="https://drive.google.com/open?id=1759GGGi5M2v5lADycSJTt8Ns_XbupXiJ&amp;usp=drive_copy" TargetMode="External"/><Relationship Id="rId95" Type="http://schemas.openxmlformats.org/officeDocument/2006/relationships/hyperlink" Target="https://drive.google.com/open?id=1Xd94DEBSiGTYNB-gas5nJzro3zjUiSyo&amp;usp=drive_copy" TargetMode="External"/><Relationship Id="rId94" Type="http://schemas.openxmlformats.org/officeDocument/2006/relationships/hyperlink" Target="https://drive.google.com/open?id=1cabAQO11a884Kw9pX_XjMcbiBrxngTZL&amp;usp=drive_copy" TargetMode="External"/><Relationship Id="rId97" Type="http://schemas.openxmlformats.org/officeDocument/2006/relationships/hyperlink" Target="https://drive.google.com/open?id=172VL_JfPKbQesB9V1pW3io8T-pccYBEl&amp;usp=drive_copy" TargetMode="External"/><Relationship Id="rId96" Type="http://schemas.openxmlformats.org/officeDocument/2006/relationships/hyperlink" Target="https://drive.google.com/open?id=1ntpRQisvPO1O734bNAwn0qbM9ZI60fLc&amp;usp=drive_copy" TargetMode="External"/><Relationship Id="rId99" Type="http://schemas.openxmlformats.org/officeDocument/2006/relationships/hyperlink" Target="https://drive.google.com/open?id=197xu-HTGlWofQVHr6nOLlqFSxkB6KIas&amp;usp=drive_copy" TargetMode="External"/><Relationship Id="rId98" Type="http://schemas.openxmlformats.org/officeDocument/2006/relationships/hyperlink" Target="https://drive.google.com/open?id=1j4VoFVbr-qPNRrcmxG691hgH8v7icbJa&amp;usp=drive_copy" TargetMode="External"/><Relationship Id="rId91" Type="http://schemas.openxmlformats.org/officeDocument/2006/relationships/hyperlink" Target="https://drive.google.com/open?id=1gEw83j1gdt7EoqSi5on0lZLQnh081z4a&amp;usp=drive_copy" TargetMode="External"/><Relationship Id="rId90" Type="http://schemas.openxmlformats.org/officeDocument/2006/relationships/hyperlink" Target="https://drive.google.com/open?id=1Q6JzXQSwVCgmcmzi40aRl30CM1yZK_m-&amp;usp=drive_copy" TargetMode="External"/><Relationship Id="rId93" Type="http://schemas.openxmlformats.org/officeDocument/2006/relationships/hyperlink" Target="https://drive.google.com/open?id=1yFBVX8pbpCi66IZRMcRFEch7U1pE0ZZB&amp;usp=drive_copy" TargetMode="External"/><Relationship Id="rId92" Type="http://schemas.openxmlformats.org/officeDocument/2006/relationships/hyperlink" Target="https://drive.google.com/open?id=1tORZZ_tXy0u2sqcmVvvxhdWKu3gDRlAo&amp;usp=drive_copy" TargetMode="External"/><Relationship Id="rId110" Type="http://schemas.openxmlformats.org/officeDocument/2006/relationships/drawing" Target="../drawings/drawing2.xml"/><Relationship Id="rId11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4.38"/>
    <col customWidth="1" min="2" max="2" width="10.75"/>
    <col customWidth="1" min="3" max="3" width="13.13"/>
    <col customWidth="1" min="4" max="4" width="21.88"/>
    <col customWidth="1" min="5" max="5" width="20.25"/>
    <col customWidth="1" min="6" max="6" width="32.0"/>
    <col customWidth="1" min="7" max="7" width="37.5"/>
    <col customWidth="1" min="8" max="9" width="17.25"/>
    <col customWidth="1" min="10" max="10" width="24.88"/>
    <col customWidth="1" min="11" max="12" width="27.75"/>
    <col customWidth="1" min="13" max="13" width="23.38"/>
    <col customWidth="1" min="15" max="15" width="14.13"/>
    <col customWidth="1" min="16" max="17" width="17.38"/>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3"/>
      <c r="Z1" s="3"/>
      <c r="AA1" s="3"/>
      <c r="AB1" s="3"/>
      <c r="AC1" s="3"/>
      <c r="AD1" s="3"/>
    </row>
    <row r="2" hidden="1">
      <c r="A2" s="4"/>
      <c r="B2" s="5" t="s">
        <v>24</v>
      </c>
      <c r="C2" s="5"/>
      <c r="D2" s="6"/>
      <c r="E2" s="6" t="s">
        <v>25</v>
      </c>
      <c r="F2" s="7" t="s">
        <v>26</v>
      </c>
      <c r="G2" s="8" t="s">
        <v>27</v>
      </c>
      <c r="H2" s="9"/>
      <c r="I2" s="9"/>
      <c r="J2" s="9"/>
      <c r="K2" s="9"/>
      <c r="L2" s="9"/>
      <c r="M2" s="9"/>
      <c r="N2" s="10"/>
      <c r="O2" s="9"/>
      <c r="P2" s="9"/>
      <c r="Q2" s="9"/>
      <c r="R2" s="9"/>
      <c r="S2" s="9"/>
      <c r="T2" s="9"/>
      <c r="U2" s="9"/>
      <c r="V2" s="9"/>
      <c r="W2" s="9"/>
      <c r="X2" s="9"/>
      <c r="Y2" s="11"/>
      <c r="Z2" s="11"/>
      <c r="AA2" s="11"/>
      <c r="AB2" s="11"/>
      <c r="AC2" s="11"/>
      <c r="AD2" s="11"/>
    </row>
    <row r="3" hidden="1">
      <c r="A3" s="12"/>
      <c r="B3" s="13">
        <v>46203.0</v>
      </c>
      <c r="C3" s="14" t="s">
        <v>28</v>
      </c>
      <c r="D3" s="15" t="s">
        <v>29</v>
      </c>
      <c r="E3" s="15"/>
      <c r="F3" s="16" t="s">
        <v>30</v>
      </c>
      <c r="G3" s="16" t="s">
        <v>31</v>
      </c>
      <c r="H3" s="16" t="s">
        <v>32</v>
      </c>
      <c r="I3" s="15" t="s">
        <v>33</v>
      </c>
      <c r="J3" s="16" t="s">
        <v>34</v>
      </c>
      <c r="K3" s="16" t="s">
        <v>35</v>
      </c>
      <c r="L3" s="16" t="s">
        <v>35</v>
      </c>
      <c r="M3" s="17" t="s">
        <v>36</v>
      </c>
      <c r="N3" s="14" t="s">
        <v>37</v>
      </c>
      <c r="O3" s="15"/>
      <c r="P3" s="15"/>
      <c r="Q3" s="15"/>
      <c r="R3" s="15"/>
      <c r="S3" s="15"/>
      <c r="T3" s="15"/>
      <c r="U3" s="15"/>
      <c r="V3" s="15"/>
      <c r="W3" s="15"/>
      <c r="X3" s="15"/>
      <c r="Y3" s="11"/>
      <c r="Z3" s="11"/>
      <c r="AA3" s="11"/>
      <c r="AB3" s="11"/>
      <c r="AC3" s="11"/>
      <c r="AD3" s="11"/>
    </row>
    <row r="4" hidden="1">
      <c r="A4" s="18"/>
      <c r="B4" s="19">
        <v>46203.0</v>
      </c>
      <c r="C4" s="10" t="s">
        <v>28</v>
      </c>
      <c r="D4" s="9" t="s">
        <v>38</v>
      </c>
      <c r="E4" s="9"/>
      <c r="F4" s="20" t="s">
        <v>30</v>
      </c>
      <c r="G4" s="20" t="s">
        <v>39</v>
      </c>
      <c r="H4" s="20" t="s">
        <v>40</v>
      </c>
      <c r="I4" s="9" t="s">
        <v>33</v>
      </c>
      <c r="J4" s="20" t="s">
        <v>41</v>
      </c>
      <c r="K4" s="20" t="s">
        <v>42</v>
      </c>
      <c r="L4" s="20" t="s">
        <v>42</v>
      </c>
      <c r="M4" s="21" t="s">
        <v>36</v>
      </c>
      <c r="N4" s="10" t="s">
        <v>37</v>
      </c>
      <c r="O4" s="9"/>
      <c r="P4" s="9"/>
      <c r="Q4" s="9"/>
      <c r="R4" s="9"/>
      <c r="S4" s="9"/>
      <c r="T4" s="9"/>
      <c r="U4" s="9"/>
      <c r="V4" s="9"/>
      <c r="W4" s="9"/>
      <c r="X4" s="9"/>
      <c r="Y4" s="11"/>
      <c r="Z4" s="11"/>
      <c r="AA4" s="11"/>
      <c r="AB4" s="11"/>
      <c r="AC4" s="11"/>
      <c r="AD4" s="11"/>
    </row>
    <row r="5" hidden="1">
      <c r="A5" s="12"/>
      <c r="B5" s="13">
        <v>46203.0</v>
      </c>
      <c r="C5" s="14" t="s">
        <v>28</v>
      </c>
      <c r="D5" s="15" t="s">
        <v>43</v>
      </c>
      <c r="E5" s="15"/>
      <c r="F5" s="16" t="s">
        <v>30</v>
      </c>
      <c r="G5" s="16" t="s">
        <v>44</v>
      </c>
      <c r="H5" s="16" t="s">
        <v>45</v>
      </c>
      <c r="I5" s="15" t="s">
        <v>33</v>
      </c>
      <c r="J5" s="16" t="s">
        <v>41</v>
      </c>
      <c r="K5" s="16" t="s">
        <v>46</v>
      </c>
      <c r="L5" s="16" t="s">
        <v>46</v>
      </c>
      <c r="M5" s="17" t="s">
        <v>36</v>
      </c>
      <c r="N5" s="14" t="s">
        <v>37</v>
      </c>
      <c r="O5" s="15"/>
      <c r="P5" s="15"/>
      <c r="Q5" s="15"/>
      <c r="R5" s="15"/>
      <c r="S5" s="15"/>
      <c r="T5" s="15"/>
      <c r="U5" s="15"/>
      <c r="V5" s="15"/>
      <c r="W5" s="15"/>
      <c r="X5" s="15"/>
      <c r="Y5" s="11"/>
      <c r="Z5" s="11"/>
      <c r="AA5" s="11"/>
      <c r="AB5" s="11"/>
      <c r="AC5" s="11"/>
      <c r="AD5" s="11"/>
    </row>
    <row r="6" hidden="1">
      <c r="A6" s="18"/>
      <c r="B6" s="19">
        <v>46203.0</v>
      </c>
      <c r="C6" s="10" t="s">
        <v>28</v>
      </c>
      <c r="D6" s="9" t="s">
        <v>47</v>
      </c>
      <c r="E6" s="9"/>
      <c r="F6" s="20" t="s">
        <v>30</v>
      </c>
      <c r="G6" s="20" t="s">
        <v>48</v>
      </c>
      <c r="H6" s="20" t="s">
        <v>49</v>
      </c>
      <c r="I6" s="9" t="s">
        <v>33</v>
      </c>
      <c r="J6" s="20" t="s">
        <v>41</v>
      </c>
      <c r="K6" s="20" t="s">
        <v>50</v>
      </c>
      <c r="L6" s="20" t="s">
        <v>50</v>
      </c>
      <c r="M6" s="21" t="s">
        <v>51</v>
      </c>
      <c r="N6" s="10" t="s">
        <v>37</v>
      </c>
      <c r="O6" s="9"/>
      <c r="P6" s="9"/>
      <c r="Q6" s="9"/>
      <c r="R6" s="9"/>
      <c r="S6" s="9"/>
      <c r="T6" s="9"/>
      <c r="U6" s="9"/>
      <c r="V6" s="9"/>
      <c r="W6" s="9"/>
      <c r="X6" s="9"/>
      <c r="Y6" s="11"/>
      <c r="Z6" s="11"/>
      <c r="AA6" s="11"/>
      <c r="AB6" s="11"/>
      <c r="AC6" s="11"/>
      <c r="AD6" s="11"/>
    </row>
    <row r="7" hidden="1">
      <c r="A7" s="12"/>
      <c r="B7" s="13">
        <v>46203.0</v>
      </c>
      <c r="C7" s="14" t="s">
        <v>28</v>
      </c>
      <c r="D7" s="15" t="s">
        <v>52</v>
      </c>
      <c r="E7" s="15"/>
      <c r="F7" s="16" t="s">
        <v>30</v>
      </c>
      <c r="G7" s="16" t="s">
        <v>53</v>
      </c>
      <c r="H7" s="16" t="s">
        <v>54</v>
      </c>
      <c r="I7" s="15" t="s">
        <v>33</v>
      </c>
      <c r="J7" s="16" t="s">
        <v>41</v>
      </c>
      <c r="K7" s="16" t="s">
        <v>55</v>
      </c>
      <c r="L7" s="16" t="s">
        <v>55</v>
      </c>
      <c r="M7" s="17" t="s">
        <v>56</v>
      </c>
      <c r="N7" s="14" t="s">
        <v>37</v>
      </c>
      <c r="O7" s="15"/>
      <c r="P7" s="15"/>
      <c r="Q7" s="15"/>
      <c r="R7" s="15"/>
      <c r="S7" s="15"/>
      <c r="T7" s="15"/>
      <c r="U7" s="15"/>
      <c r="V7" s="15"/>
      <c r="W7" s="15"/>
      <c r="X7" s="15"/>
      <c r="Y7" s="11"/>
      <c r="Z7" s="11"/>
      <c r="AA7" s="11"/>
      <c r="AB7" s="11"/>
      <c r="AC7" s="11"/>
      <c r="AD7" s="11"/>
    </row>
    <row r="8">
      <c r="A8" s="18"/>
      <c r="B8" s="19">
        <v>46203.0</v>
      </c>
      <c r="C8" s="10" t="s">
        <v>28</v>
      </c>
      <c r="D8" s="9" t="s">
        <v>57</v>
      </c>
      <c r="E8" s="9"/>
      <c r="F8" s="20" t="s">
        <v>30</v>
      </c>
      <c r="G8" s="20" t="s">
        <v>58</v>
      </c>
      <c r="H8" s="20" t="s">
        <v>59</v>
      </c>
      <c r="I8" s="9" t="s">
        <v>33</v>
      </c>
      <c r="J8" s="20" t="s">
        <v>60</v>
      </c>
      <c r="K8" s="20" t="s">
        <v>61</v>
      </c>
      <c r="L8" s="20" t="s">
        <v>62</v>
      </c>
      <c r="M8" s="21" t="s">
        <v>63</v>
      </c>
      <c r="N8" s="10" t="s">
        <v>64</v>
      </c>
      <c r="O8" s="9"/>
      <c r="P8" s="22" t="s">
        <v>65</v>
      </c>
      <c r="Q8" s="23" t="s">
        <v>37</v>
      </c>
      <c r="R8" s="9"/>
      <c r="S8" s="9"/>
      <c r="T8" s="9"/>
      <c r="U8" s="9"/>
      <c r="V8" s="9"/>
      <c r="W8" s="9"/>
      <c r="X8" s="9"/>
      <c r="Y8" s="11"/>
      <c r="Z8" s="11"/>
      <c r="AA8" s="11"/>
      <c r="AB8" s="11"/>
      <c r="AC8" s="11"/>
      <c r="AD8" s="11"/>
    </row>
    <row r="9">
      <c r="A9" s="12"/>
      <c r="B9" s="13">
        <v>46203.0</v>
      </c>
      <c r="C9" s="14" t="s">
        <v>28</v>
      </c>
      <c r="D9" s="15" t="s">
        <v>66</v>
      </c>
      <c r="E9" s="15"/>
      <c r="F9" s="16" t="s">
        <v>30</v>
      </c>
      <c r="G9" s="16" t="s">
        <v>67</v>
      </c>
      <c r="H9" s="16" t="s">
        <v>59</v>
      </c>
      <c r="I9" s="15" t="s">
        <v>33</v>
      </c>
      <c r="J9" s="16" t="s">
        <v>68</v>
      </c>
      <c r="K9" s="16" t="s">
        <v>69</v>
      </c>
      <c r="L9" s="15" t="s">
        <v>70</v>
      </c>
      <c r="M9" s="17" t="s">
        <v>71</v>
      </c>
      <c r="N9" s="14" t="s">
        <v>64</v>
      </c>
      <c r="O9" s="15"/>
      <c r="P9" s="24" t="s">
        <v>65</v>
      </c>
      <c r="Q9" s="25" t="s">
        <v>37</v>
      </c>
      <c r="R9" s="15"/>
      <c r="S9" s="15"/>
      <c r="T9" s="15"/>
      <c r="U9" s="15"/>
      <c r="V9" s="15"/>
      <c r="W9" s="15"/>
      <c r="X9" s="15"/>
      <c r="Y9" s="11"/>
      <c r="Z9" s="11"/>
      <c r="AA9" s="11"/>
      <c r="AB9" s="11"/>
      <c r="AC9" s="11"/>
      <c r="AD9" s="11"/>
    </row>
    <row r="10">
      <c r="A10" s="18"/>
      <c r="B10" s="19">
        <v>46203.0</v>
      </c>
      <c r="C10" s="10" t="s">
        <v>28</v>
      </c>
      <c r="D10" s="9" t="s">
        <v>72</v>
      </c>
      <c r="E10" s="9"/>
      <c r="F10" s="20" t="s">
        <v>30</v>
      </c>
      <c r="G10" s="20" t="s">
        <v>73</v>
      </c>
      <c r="H10" s="20" t="s">
        <v>74</v>
      </c>
      <c r="I10" s="9" t="s">
        <v>33</v>
      </c>
      <c r="J10" s="20" t="s">
        <v>75</v>
      </c>
      <c r="K10" s="20" t="s">
        <v>76</v>
      </c>
      <c r="L10" s="9" t="s">
        <v>77</v>
      </c>
      <c r="M10" s="21" t="s">
        <v>78</v>
      </c>
      <c r="N10" s="10" t="s">
        <v>64</v>
      </c>
      <c r="O10" s="9"/>
      <c r="P10" s="22" t="s">
        <v>65</v>
      </c>
      <c r="Q10" s="23" t="s">
        <v>37</v>
      </c>
      <c r="R10" s="9"/>
      <c r="S10" s="9"/>
      <c r="T10" s="9"/>
      <c r="U10" s="9"/>
      <c r="V10" s="9"/>
      <c r="W10" s="9"/>
      <c r="X10" s="9"/>
      <c r="Y10" s="11"/>
      <c r="Z10" s="11"/>
      <c r="AA10" s="11"/>
      <c r="AB10" s="11"/>
      <c r="AC10" s="11"/>
      <c r="AD10" s="11"/>
    </row>
    <row r="11" hidden="1">
      <c r="A11" s="12"/>
      <c r="B11" s="13">
        <v>46203.0</v>
      </c>
      <c r="C11" s="14" t="s">
        <v>28</v>
      </c>
      <c r="D11" s="15" t="s">
        <v>79</v>
      </c>
      <c r="E11" s="15"/>
      <c r="F11" s="16" t="s">
        <v>30</v>
      </c>
      <c r="G11" s="16" t="s">
        <v>80</v>
      </c>
      <c r="H11" s="16" t="s">
        <v>81</v>
      </c>
      <c r="I11" s="15" t="s">
        <v>33</v>
      </c>
      <c r="J11" s="16" t="s">
        <v>82</v>
      </c>
      <c r="K11" s="16" t="s">
        <v>83</v>
      </c>
      <c r="L11" s="16" t="s">
        <v>83</v>
      </c>
      <c r="M11" s="17" t="s">
        <v>84</v>
      </c>
      <c r="N11" s="14" t="s">
        <v>37</v>
      </c>
      <c r="O11" s="15"/>
      <c r="P11" s="15"/>
      <c r="Q11" s="15"/>
      <c r="R11" s="15"/>
      <c r="S11" s="15"/>
      <c r="T11" s="15"/>
      <c r="U11" s="15"/>
      <c r="V11" s="15"/>
      <c r="W11" s="15"/>
      <c r="X11" s="15"/>
      <c r="Y11" s="11"/>
      <c r="Z11" s="11"/>
      <c r="AA11" s="11"/>
      <c r="AB11" s="11"/>
      <c r="AC11" s="11"/>
      <c r="AD11" s="11"/>
    </row>
    <row r="12" hidden="1">
      <c r="A12" s="18"/>
      <c r="B12" s="19">
        <v>46203.0</v>
      </c>
      <c r="C12" s="10" t="s">
        <v>28</v>
      </c>
      <c r="D12" s="9" t="s">
        <v>85</v>
      </c>
      <c r="E12" s="9"/>
      <c r="F12" s="20" t="s">
        <v>30</v>
      </c>
      <c r="G12" s="20" t="s">
        <v>86</v>
      </c>
      <c r="H12" s="20"/>
      <c r="I12" s="9" t="s">
        <v>33</v>
      </c>
      <c r="J12" s="20" t="s">
        <v>87</v>
      </c>
      <c r="K12" s="20" t="s">
        <v>88</v>
      </c>
      <c r="L12" s="20" t="s">
        <v>88</v>
      </c>
      <c r="M12" s="21" t="s">
        <v>89</v>
      </c>
      <c r="N12" s="10" t="s">
        <v>37</v>
      </c>
      <c r="O12" s="9"/>
      <c r="P12" s="9"/>
      <c r="Q12" s="9"/>
      <c r="R12" s="9"/>
      <c r="S12" s="9"/>
      <c r="T12" s="9"/>
      <c r="U12" s="9"/>
      <c r="V12" s="9"/>
      <c r="W12" s="9"/>
      <c r="X12" s="9"/>
      <c r="Y12" s="11"/>
      <c r="Z12" s="11"/>
      <c r="AA12" s="11"/>
      <c r="AB12" s="11"/>
      <c r="AC12" s="11"/>
      <c r="AD12" s="11"/>
    </row>
    <row r="13" hidden="1">
      <c r="A13" s="12"/>
      <c r="B13" s="13">
        <v>46203.0</v>
      </c>
      <c r="C13" s="14" t="s">
        <v>28</v>
      </c>
      <c r="D13" s="15" t="s">
        <v>90</v>
      </c>
      <c r="E13" s="15"/>
      <c r="F13" s="16" t="s">
        <v>30</v>
      </c>
      <c r="G13" s="16" t="s">
        <v>91</v>
      </c>
      <c r="H13" s="16" t="s">
        <v>59</v>
      </c>
      <c r="I13" s="15" t="s">
        <v>33</v>
      </c>
      <c r="J13" s="16" t="s">
        <v>41</v>
      </c>
      <c r="K13" s="16" t="s">
        <v>92</v>
      </c>
      <c r="L13" s="16" t="s">
        <v>92</v>
      </c>
      <c r="M13" s="17" t="s">
        <v>93</v>
      </c>
      <c r="N13" s="14" t="s">
        <v>37</v>
      </c>
      <c r="O13" s="15"/>
      <c r="P13" s="15"/>
      <c r="Q13" s="15"/>
      <c r="R13" s="15"/>
      <c r="S13" s="15"/>
      <c r="T13" s="15"/>
      <c r="U13" s="15"/>
      <c r="V13" s="15"/>
      <c r="W13" s="15"/>
      <c r="X13" s="15"/>
      <c r="Y13" s="11"/>
      <c r="Z13" s="11"/>
      <c r="AA13" s="11"/>
      <c r="AB13" s="11"/>
      <c r="AC13" s="11"/>
      <c r="AD13" s="11"/>
    </row>
    <row r="14" hidden="1">
      <c r="A14" s="18"/>
      <c r="B14" s="19">
        <v>46203.0</v>
      </c>
      <c r="C14" s="10" t="s">
        <v>28</v>
      </c>
      <c r="D14" s="9" t="s">
        <v>94</v>
      </c>
      <c r="E14" s="9"/>
      <c r="F14" s="20" t="s">
        <v>30</v>
      </c>
      <c r="G14" s="20" t="s">
        <v>95</v>
      </c>
      <c r="H14" s="20" t="s">
        <v>59</v>
      </c>
      <c r="I14" s="9" t="s">
        <v>33</v>
      </c>
      <c r="J14" s="20" t="s">
        <v>41</v>
      </c>
      <c r="K14" s="20" t="s">
        <v>96</v>
      </c>
      <c r="L14" s="20" t="s">
        <v>96</v>
      </c>
      <c r="M14" s="21" t="s">
        <v>93</v>
      </c>
      <c r="N14" s="10" t="s">
        <v>37</v>
      </c>
      <c r="O14" s="9"/>
      <c r="P14" s="9"/>
      <c r="Q14" s="9"/>
      <c r="R14" s="9"/>
      <c r="S14" s="9"/>
      <c r="T14" s="9"/>
      <c r="U14" s="9"/>
      <c r="V14" s="9"/>
      <c r="W14" s="9"/>
      <c r="X14" s="9"/>
      <c r="Y14" s="11"/>
      <c r="Z14" s="11"/>
      <c r="AA14" s="11"/>
      <c r="AB14" s="11"/>
      <c r="AC14" s="11"/>
      <c r="AD14" s="11"/>
    </row>
    <row r="15" hidden="1">
      <c r="A15" s="12"/>
      <c r="B15" s="13">
        <v>46203.0</v>
      </c>
      <c r="C15" s="14" t="s">
        <v>28</v>
      </c>
      <c r="D15" s="15" t="s">
        <v>97</v>
      </c>
      <c r="E15" s="15"/>
      <c r="F15" s="16" t="s">
        <v>30</v>
      </c>
      <c r="G15" s="16" t="s">
        <v>98</v>
      </c>
      <c r="H15" s="16" t="s">
        <v>59</v>
      </c>
      <c r="I15" s="15" t="s">
        <v>33</v>
      </c>
      <c r="J15" s="16" t="s">
        <v>41</v>
      </c>
      <c r="K15" s="16" t="s">
        <v>99</v>
      </c>
      <c r="L15" s="16" t="s">
        <v>99</v>
      </c>
      <c r="M15" s="17" t="s">
        <v>93</v>
      </c>
      <c r="N15" s="14" t="s">
        <v>37</v>
      </c>
      <c r="O15" s="15"/>
      <c r="P15" s="15"/>
      <c r="Q15" s="15"/>
      <c r="R15" s="15"/>
      <c r="S15" s="15"/>
      <c r="T15" s="15"/>
      <c r="U15" s="15"/>
      <c r="V15" s="15"/>
      <c r="W15" s="15"/>
      <c r="X15" s="15"/>
      <c r="Y15" s="11"/>
      <c r="Z15" s="11"/>
      <c r="AA15" s="11"/>
      <c r="AB15" s="11"/>
      <c r="AC15" s="11"/>
      <c r="AD15" s="11"/>
    </row>
    <row r="16" hidden="1">
      <c r="A16" s="26"/>
      <c r="B16" s="10">
        <v>1.0</v>
      </c>
      <c r="C16" s="10" t="s">
        <v>28</v>
      </c>
      <c r="D16" s="9" t="s">
        <v>100</v>
      </c>
      <c r="E16" s="9" t="s">
        <v>101</v>
      </c>
      <c r="F16" s="9" t="s">
        <v>30</v>
      </c>
      <c r="G16" s="9" t="s">
        <v>102</v>
      </c>
      <c r="H16" s="20" t="s">
        <v>59</v>
      </c>
      <c r="I16" s="20"/>
      <c r="J16" s="20" t="s">
        <v>41</v>
      </c>
      <c r="K16" s="20" t="s">
        <v>103</v>
      </c>
      <c r="L16" s="20" t="s">
        <v>103</v>
      </c>
      <c r="M16" s="21" t="s">
        <v>104</v>
      </c>
      <c r="N16" s="10" t="s">
        <v>37</v>
      </c>
      <c r="O16" s="9"/>
      <c r="P16" s="9"/>
      <c r="Q16" s="9"/>
      <c r="R16" s="9"/>
      <c r="S16" s="9"/>
      <c r="T16" s="9"/>
      <c r="U16" s="9"/>
      <c r="V16" s="9"/>
      <c r="W16" s="9"/>
      <c r="X16" s="9"/>
      <c r="Y16" s="11"/>
      <c r="Z16" s="11"/>
      <c r="AA16" s="11"/>
      <c r="AB16" s="11"/>
      <c r="AC16" s="11"/>
      <c r="AD16" s="11"/>
    </row>
    <row r="17" hidden="1">
      <c r="A17" s="27"/>
      <c r="B17" s="14"/>
      <c r="C17" s="14" t="s">
        <v>28</v>
      </c>
      <c r="D17" s="15" t="s">
        <v>105</v>
      </c>
      <c r="E17" s="15"/>
      <c r="F17" s="15"/>
      <c r="G17" s="16" t="s">
        <v>106</v>
      </c>
      <c r="H17" s="16" t="s">
        <v>59</v>
      </c>
      <c r="I17" s="16"/>
      <c r="J17" s="16" t="s">
        <v>41</v>
      </c>
      <c r="K17" s="16" t="s">
        <v>103</v>
      </c>
      <c r="L17" s="16" t="s">
        <v>103</v>
      </c>
      <c r="M17" s="17" t="s">
        <v>104</v>
      </c>
      <c r="N17" s="14" t="s">
        <v>37</v>
      </c>
      <c r="O17" s="15"/>
      <c r="P17" s="15"/>
      <c r="Q17" s="15"/>
      <c r="R17" s="15"/>
      <c r="S17" s="15"/>
      <c r="T17" s="15"/>
      <c r="U17" s="15"/>
      <c r="V17" s="15"/>
      <c r="W17" s="15"/>
      <c r="X17" s="15"/>
      <c r="Y17" s="11"/>
      <c r="Z17" s="11"/>
      <c r="AA17" s="11"/>
      <c r="AB17" s="11"/>
      <c r="AC17" s="11"/>
      <c r="AD17" s="11"/>
    </row>
    <row r="18" hidden="1">
      <c r="A18" s="26"/>
      <c r="B18" s="10"/>
      <c r="C18" s="10" t="s">
        <v>28</v>
      </c>
      <c r="D18" s="9" t="s">
        <v>107</v>
      </c>
      <c r="E18" s="9"/>
      <c r="F18" s="9"/>
      <c r="G18" s="20" t="s">
        <v>108</v>
      </c>
      <c r="H18" s="20" t="s">
        <v>59</v>
      </c>
      <c r="I18" s="20"/>
      <c r="J18" s="20" t="s">
        <v>109</v>
      </c>
      <c r="K18" s="20" t="s">
        <v>110</v>
      </c>
      <c r="L18" s="20" t="s">
        <v>110</v>
      </c>
      <c r="M18" s="21" t="s">
        <v>111</v>
      </c>
      <c r="N18" s="10" t="s">
        <v>37</v>
      </c>
      <c r="O18" s="9"/>
      <c r="P18" s="9"/>
      <c r="Q18" s="9"/>
      <c r="R18" s="9"/>
      <c r="S18" s="9"/>
      <c r="T18" s="9"/>
      <c r="U18" s="9"/>
      <c r="V18" s="9"/>
      <c r="W18" s="9"/>
      <c r="X18" s="9"/>
      <c r="Y18" s="11"/>
      <c r="Z18" s="11"/>
      <c r="AA18" s="11"/>
      <c r="AB18" s="11"/>
      <c r="AC18" s="11"/>
      <c r="AD18" s="11"/>
    </row>
    <row r="19" hidden="1">
      <c r="A19" s="27"/>
      <c r="B19" s="14"/>
      <c r="C19" s="14" t="s">
        <v>28</v>
      </c>
      <c r="D19" s="15" t="s">
        <v>112</v>
      </c>
      <c r="E19" s="15"/>
      <c r="F19" s="15"/>
      <c r="G19" s="16" t="s">
        <v>113</v>
      </c>
      <c r="H19" s="16"/>
      <c r="I19" s="16"/>
      <c r="J19" s="16" t="s">
        <v>114</v>
      </c>
      <c r="K19" s="16" t="s">
        <v>115</v>
      </c>
      <c r="L19" s="16" t="s">
        <v>115</v>
      </c>
      <c r="M19" s="17" t="s">
        <v>116</v>
      </c>
      <c r="N19" s="14" t="s">
        <v>37</v>
      </c>
      <c r="O19" s="15"/>
      <c r="P19" s="15"/>
      <c r="Q19" s="15"/>
      <c r="R19" s="15"/>
      <c r="S19" s="15"/>
      <c r="T19" s="15"/>
      <c r="U19" s="15"/>
      <c r="V19" s="15"/>
      <c r="W19" s="15"/>
      <c r="X19" s="15"/>
      <c r="Y19" s="11"/>
      <c r="Z19" s="11"/>
      <c r="AA19" s="11"/>
      <c r="AB19" s="11"/>
      <c r="AC19" s="11"/>
      <c r="AD19" s="11"/>
    </row>
    <row r="20" hidden="1">
      <c r="A20" s="26"/>
      <c r="B20" s="10">
        <v>2.0</v>
      </c>
      <c r="C20" s="10" t="s">
        <v>28</v>
      </c>
      <c r="D20" s="28" t="s">
        <v>117</v>
      </c>
      <c r="E20" s="28" t="s">
        <v>118</v>
      </c>
      <c r="F20" s="9" t="s">
        <v>30</v>
      </c>
      <c r="G20" s="9" t="s">
        <v>119</v>
      </c>
      <c r="H20" s="20" t="s">
        <v>59</v>
      </c>
      <c r="I20" s="20"/>
      <c r="J20" s="20" t="s">
        <v>41</v>
      </c>
      <c r="K20" s="20" t="s">
        <v>103</v>
      </c>
      <c r="L20" s="20" t="s">
        <v>103</v>
      </c>
      <c r="M20" s="21" t="s">
        <v>120</v>
      </c>
      <c r="N20" s="10" t="s">
        <v>37</v>
      </c>
      <c r="O20" s="9"/>
      <c r="P20" s="9"/>
      <c r="Q20" s="9"/>
      <c r="R20" s="9"/>
      <c r="S20" s="9"/>
      <c r="T20" s="9"/>
      <c r="U20" s="9"/>
      <c r="V20" s="9"/>
      <c r="W20" s="9"/>
      <c r="X20" s="9"/>
      <c r="Y20" s="11"/>
      <c r="Z20" s="11"/>
      <c r="AA20" s="11"/>
      <c r="AB20" s="11"/>
      <c r="AC20" s="11"/>
      <c r="AD20" s="11"/>
    </row>
    <row r="21" hidden="1">
      <c r="A21" s="27"/>
      <c r="B21" s="14"/>
      <c r="C21" s="14" t="s">
        <v>28</v>
      </c>
      <c r="D21" s="29" t="s">
        <v>121</v>
      </c>
      <c r="E21" s="29"/>
      <c r="F21" s="15"/>
      <c r="G21" s="16" t="s">
        <v>122</v>
      </c>
      <c r="H21" s="16" t="s">
        <v>59</v>
      </c>
      <c r="I21" s="16"/>
      <c r="J21" s="16" t="s">
        <v>123</v>
      </c>
      <c r="K21" s="16" t="s">
        <v>124</v>
      </c>
      <c r="L21" s="16" t="s">
        <v>124</v>
      </c>
      <c r="M21" s="17" t="s">
        <v>125</v>
      </c>
      <c r="N21" s="14" t="s">
        <v>37</v>
      </c>
      <c r="O21" s="15"/>
      <c r="P21" s="15"/>
      <c r="Q21" s="15"/>
      <c r="R21" s="15"/>
      <c r="S21" s="15"/>
      <c r="T21" s="15"/>
      <c r="U21" s="15"/>
      <c r="V21" s="15"/>
      <c r="W21" s="15"/>
      <c r="X21" s="15"/>
      <c r="Y21" s="11"/>
      <c r="Z21" s="11"/>
      <c r="AA21" s="11"/>
      <c r="AB21" s="11"/>
      <c r="AC21" s="11"/>
      <c r="AD21" s="11"/>
    </row>
    <row r="22" hidden="1">
      <c r="A22" s="26"/>
      <c r="B22" s="10"/>
      <c r="C22" s="10" t="s">
        <v>28</v>
      </c>
      <c r="D22" s="28" t="s">
        <v>126</v>
      </c>
      <c r="E22" s="28"/>
      <c r="F22" s="9"/>
      <c r="G22" s="20" t="s">
        <v>113</v>
      </c>
      <c r="H22" s="20"/>
      <c r="I22" s="20"/>
      <c r="J22" s="20" t="s">
        <v>114</v>
      </c>
      <c r="K22" s="20" t="s">
        <v>115</v>
      </c>
      <c r="L22" s="20" t="s">
        <v>115</v>
      </c>
      <c r="M22" s="21" t="s">
        <v>127</v>
      </c>
      <c r="N22" s="10" t="s">
        <v>37</v>
      </c>
      <c r="O22" s="9"/>
      <c r="P22" s="9"/>
      <c r="Q22" s="9"/>
      <c r="R22" s="9"/>
      <c r="S22" s="9"/>
      <c r="T22" s="9"/>
      <c r="U22" s="9"/>
      <c r="V22" s="9"/>
      <c r="W22" s="9"/>
      <c r="X22" s="9"/>
      <c r="Y22" s="11"/>
      <c r="Z22" s="11"/>
      <c r="AA22" s="11"/>
      <c r="AB22" s="11"/>
      <c r="AC22" s="11"/>
      <c r="AD22" s="11"/>
    </row>
    <row r="23" hidden="1">
      <c r="A23" s="27"/>
      <c r="B23" s="14">
        <v>3.0</v>
      </c>
      <c r="C23" s="14" t="s">
        <v>28</v>
      </c>
      <c r="D23" s="29" t="s">
        <v>128</v>
      </c>
      <c r="E23" s="29" t="s">
        <v>129</v>
      </c>
      <c r="F23" s="15" t="s">
        <v>30</v>
      </c>
      <c r="G23" s="15" t="s">
        <v>130</v>
      </c>
      <c r="H23" s="16" t="s">
        <v>59</v>
      </c>
      <c r="I23" s="16"/>
      <c r="J23" s="16" t="s">
        <v>41</v>
      </c>
      <c r="K23" s="16" t="s">
        <v>103</v>
      </c>
      <c r="L23" s="16" t="s">
        <v>103</v>
      </c>
      <c r="M23" s="17" t="s">
        <v>131</v>
      </c>
      <c r="N23" s="14" t="s">
        <v>37</v>
      </c>
      <c r="O23" s="15"/>
      <c r="P23" s="15"/>
      <c r="Q23" s="15"/>
      <c r="R23" s="15"/>
      <c r="S23" s="15"/>
      <c r="T23" s="15"/>
      <c r="U23" s="15"/>
      <c r="V23" s="15"/>
      <c r="W23" s="15"/>
      <c r="X23" s="15"/>
      <c r="Y23" s="11"/>
      <c r="Z23" s="11"/>
      <c r="AA23" s="11"/>
      <c r="AB23" s="11"/>
      <c r="AC23" s="11"/>
      <c r="AD23" s="11"/>
    </row>
    <row r="24" hidden="1">
      <c r="A24" s="26"/>
      <c r="B24" s="10"/>
      <c r="C24" s="10" t="s">
        <v>28</v>
      </c>
      <c r="D24" s="28" t="s">
        <v>132</v>
      </c>
      <c r="E24" s="9"/>
      <c r="F24" s="9"/>
      <c r="G24" s="20" t="s">
        <v>133</v>
      </c>
      <c r="H24" s="20" t="s">
        <v>59</v>
      </c>
      <c r="I24" s="20"/>
      <c r="J24" s="20" t="s">
        <v>134</v>
      </c>
      <c r="K24" s="20" t="s">
        <v>135</v>
      </c>
      <c r="L24" s="20" t="s">
        <v>135</v>
      </c>
      <c r="M24" s="21" t="s">
        <v>136</v>
      </c>
      <c r="N24" s="10" t="s">
        <v>37</v>
      </c>
      <c r="O24" s="9"/>
      <c r="P24" s="9"/>
      <c r="Q24" s="9"/>
      <c r="R24" s="9"/>
      <c r="S24" s="9"/>
      <c r="T24" s="9"/>
      <c r="U24" s="9"/>
      <c r="V24" s="9"/>
      <c r="W24" s="9"/>
      <c r="X24" s="9"/>
      <c r="Y24" s="11"/>
      <c r="Z24" s="11"/>
      <c r="AA24" s="11"/>
      <c r="AB24" s="11"/>
      <c r="AC24" s="11"/>
      <c r="AD24" s="11"/>
    </row>
    <row r="25" hidden="1">
      <c r="A25" s="27"/>
      <c r="B25" s="14"/>
      <c r="C25" s="14" t="s">
        <v>28</v>
      </c>
      <c r="D25" s="29" t="s">
        <v>137</v>
      </c>
      <c r="E25" s="15"/>
      <c r="F25" s="15"/>
      <c r="G25" s="16" t="s">
        <v>113</v>
      </c>
      <c r="H25" s="16"/>
      <c r="I25" s="16"/>
      <c r="J25" s="16" t="s">
        <v>114</v>
      </c>
      <c r="K25" s="16" t="s">
        <v>115</v>
      </c>
      <c r="L25" s="16" t="s">
        <v>115</v>
      </c>
      <c r="M25" s="17" t="s">
        <v>138</v>
      </c>
      <c r="N25" s="14" t="s">
        <v>37</v>
      </c>
      <c r="O25" s="15"/>
      <c r="P25" s="15"/>
      <c r="Q25" s="15"/>
      <c r="R25" s="15"/>
      <c r="S25" s="15"/>
      <c r="T25" s="15"/>
      <c r="U25" s="15"/>
      <c r="V25" s="15"/>
      <c r="W25" s="15"/>
      <c r="X25" s="15"/>
      <c r="Y25" s="11"/>
      <c r="Z25" s="11"/>
      <c r="AA25" s="11"/>
      <c r="AB25" s="11"/>
      <c r="AC25" s="11"/>
      <c r="AD25" s="11"/>
    </row>
    <row r="26" hidden="1">
      <c r="A26" s="26"/>
      <c r="B26" s="10">
        <v>4.0</v>
      </c>
      <c r="C26" s="10" t="s">
        <v>28</v>
      </c>
      <c r="D26" s="9" t="s">
        <v>139</v>
      </c>
      <c r="E26" s="9" t="s">
        <v>140</v>
      </c>
      <c r="F26" s="9" t="s">
        <v>30</v>
      </c>
      <c r="G26" s="9" t="s">
        <v>141</v>
      </c>
      <c r="H26" s="20" t="s">
        <v>59</v>
      </c>
      <c r="I26" s="20"/>
      <c r="J26" s="20" t="s">
        <v>41</v>
      </c>
      <c r="K26" s="20" t="s">
        <v>103</v>
      </c>
      <c r="L26" s="20" t="s">
        <v>103</v>
      </c>
      <c r="M26" s="21" t="s">
        <v>142</v>
      </c>
      <c r="N26" s="10" t="s">
        <v>37</v>
      </c>
      <c r="O26" s="9"/>
      <c r="P26" s="9"/>
      <c r="Q26" s="9"/>
      <c r="R26" s="9"/>
      <c r="S26" s="9"/>
      <c r="T26" s="9"/>
      <c r="U26" s="9"/>
      <c r="V26" s="9"/>
      <c r="W26" s="9"/>
      <c r="X26" s="9"/>
      <c r="Y26" s="11"/>
      <c r="Z26" s="11"/>
      <c r="AA26" s="11"/>
      <c r="AB26" s="11"/>
      <c r="AC26" s="11"/>
      <c r="AD26" s="11"/>
    </row>
    <row r="27" hidden="1">
      <c r="A27" s="27"/>
      <c r="B27" s="14"/>
      <c r="C27" s="14" t="s">
        <v>28</v>
      </c>
      <c r="D27" s="15" t="s">
        <v>143</v>
      </c>
      <c r="E27" s="29"/>
      <c r="F27" s="29"/>
      <c r="G27" s="16" t="s">
        <v>144</v>
      </c>
      <c r="H27" s="16" t="s">
        <v>59</v>
      </c>
      <c r="I27" s="16"/>
      <c r="J27" s="16" t="s">
        <v>145</v>
      </c>
      <c r="K27" s="16" t="s">
        <v>146</v>
      </c>
      <c r="L27" s="16" t="s">
        <v>146</v>
      </c>
      <c r="M27" s="17" t="s">
        <v>147</v>
      </c>
      <c r="N27" s="14" t="s">
        <v>37</v>
      </c>
      <c r="O27" s="15"/>
      <c r="P27" s="15"/>
      <c r="Q27" s="15"/>
      <c r="R27" s="15"/>
      <c r="S27" s="15"/>
      <c r="T27" s="15"/>
      <c r="U27" s="15"/>
      <c r="V27" s="15"/>
      <c r="W27" s="15"/>
      <c r="X27" s="15"/>
      <c r="Y27" s="11"/>
      <c r="Z27" s="11"/>
      <c r="AA27" s="11"/>
      <c r="AB27" s="11"/>
      <c r="AC27" s="11"/>
      <c r="AD27" s="11"/>
    </row>
    <row r="28" hidden="1">
      <c r="A28" s="26"/>
      <c r="B28" s="10"/>
      <c r="C28" s="10" t="s">
        <v>28</v>
      </c>
      <c r="D28" s="9" t="s">
        <v>148</v>
      </c>
      <c r="E28" s="28"/>
      <c r="F28" s="28"/>
      <c r="G28" s="20" t="s">
        <v>113</v>
      </c>
      <c r="H28" s="20"/>
      <c r="I28" s="20"/>
      <c r="J28" s="20" t="s">
        <v>114</v>
      </c>
      <c r="K28" s="20" t="s">
        <v>115</v>
      </c>
      <c r="L28" s="20" t="s">
        <v>115</v>
      </c>
      <c r="M28" s="21" t="s">
        <v>149</v>
      </c>
      <c r="N28" s="10" t="s">
        <v>37</v>
      </c>
      <c r="O28" s="9"/>
      <c r="P28" s="9"/>
      <c r="Q28" s="9"/>
      <c r="R28" s="9"/>
      <c r="S28" s="9"/>
      <c r="T28" s="9"/>
      <c r="U28" s="9"/>
      <c r="V28" s="9"/>
      <c r="W28" s="9"/>
      <c r="X28" s="9"/>
      <c r="Y28" s="11"/>
      <c r="Z28" s="11"/>
      <c r="AA28" s="11"/>
      <c r="AB28" s="11"/>
      <c r="AC28" s="11"/>
      <c r="AD28" s="11"/>
    </row>
    <row r="29" hidden="1">
      <c r="A29" s="27"/>
      <c r="B29" s="14">
        <v>5.0</v>
      </c>
      <c r="C29" s="14" t="s">
        <v>28</v>
      </c>
      <c r="D29" s="29" t="s">
        <v>150</v>
      </c>
      <c r="E29" s="29" t="s">
        <v>151</v>
      </c>
      <c r="F29" s="29" t="s">
        <v>30</v>
      </c>
      <c r="G29" s="29" t="s">
        <v>152</v>
      </c>
      <c r="H29" s="16" t="s">
        <v>59</v>
      </c>
      <c r="I29" s="16"/>
      <c r="J29" s="16" t="s">
        <v>41</v>
      </c>
      <c r="K29" s="16" t="s">
        <v>103</v>
      </c>
      <c r="L29" s="16" t="s">
        <v>103</v>
      </c>
      <c r="M29" s="17" t="s">
        <v>153</v>
      </c>
      <c r="N29" s="14" t="s">
        <v>37</v>
      </c>
      <c r="O29" s="15"/>
      <c r="P29" s="15"/>
      <c r="Q29" s="15"/>
      <c r="R29" s="15"/>
      <c r="S29" s="15"/>
      <c r="T29" s="15"/>
      <c r="U29" s="15"/>
      <c r="V29" s="15"/>
      <c r="W29" s="15"/>
      <c r="X29" s="15"/>
      <c r="Y29" s="11"/>
      <c r="Z29" s="11"/>
      <c r="AA29" s="11"/>
      <c r="AB29" s="11"/>
      <c r="AC29" s="11"/>
      <c r="AD29" s="11"/>
    </row>
    <row r="30" hidden="1">
      <c r="A30" s="26"/>
      <c r="B30" s="10"/>
      <c r="C30" s="10" t="s">
        <v>28</v>
      </c>
      <c r="D30" s="28" t="s">
        <v>154</v>
      </c>
      <c r="E30" s="28"/>
      <c r="F30" s="28"/>
      <c r="G30" s="20" t="s">
        <v>155</v>
      </c>
      <c r="H30" s="20" t="s">
        <v>59</v>
      </c>
      <c r="I30" s="20"/>
      <c r="J30" s="20" t="s">
        <v>156</v>
      </c>
      <c r="K30" s="20" t="s">
        <v>157</v>
      </c>
      <c r="L30" s="20" t="s">
        <v>157</v>
      </c>
      <c r="M30" s="21" t="s">
        <v>158</v>
      </c>
      <c r="N30" s="10" t="s">
        <v>37</v>
      </c>
      <c r="O30" s="9"/>
      <c r="P30" s="9"/>
      <c r="Q30" s="9"/>
      <c r="R30" s="9"/>
      <c r="S30" s="9"/>
      <c r="T30" s="9"/>
      <c r="U30" s="9"/>
      <c r="V30" s="9"/>
      <c r="W30" s="9"/>
      <c r="X30" s="9"/>
      <c r="Y30" s="11"/>
      <c r="Z30" s="11"/>
      <c r="AA30" s="11"/>
      <c r="AB30" s="11"/>
      <c r="AC30" s="11"/>
      <c r="AD30" s="11"/>
    </row>
    <row r="31" hidden="1">
      <c r="A31" s="27"/>
      <c r="B31" s="14"/>
      <c r="C31" s="14" t="s">
        <v>28</v>
      </c>
      <c r="D31" s="29" t="s">
        <v>159</v>
      </c>
      <c r="E31" s="29"/>
      <c r="F31" s="29"/>
      <c r="G31" s="16" t="s">
        <v>113</v>
      </c>
      <c r="H31" s="16"/>
      <c r="I31" s="16"/>
      <c r="J31" s="16" t="s">
        <v>114</v>
      </c>
      <c r="K31" s="16" t="s">
        <v>115</v>
      </c>
      <c r="L31" s="16" t="s">
        <v>115</v>
      </c>
      <c r="M31" s="17" t="s">
        <v>160</v>
      </c>
      <c r="N31" s="14" t="s">
        <v>37</v>
      </c>
      <c r="O31" s="15"/>
      <c r="P31" s="15"/>
      <c r="Q31" s="15"/>
      <c r="R31" s="15"/>
      <c r="S31" s="15"/>
      <c r="T31" s="15"/>
      <c r="U31" s="15"/>
      <c r="V31" s="15"/>
      <c r="W31" s="15"/>
      <c r="X31" s="15"/>
      <c r="Y31" s="11"/>
      <c r="Z31" s="11"/>
      <c r="AA31" s="11"/>
      <c r="AB31" s="11"/>
      <c r="AC31" s="11"/>
      <c r="AD31" s="11"/>
    </row>
    <row r="32" hidden="1">
      <c r="A32" s="26"/>
      <c r="B32" s="10">
        <v>6.0</v>
      </c>
      <c r="C32" s="10" t="s">
        <v>28</v>
      </c>
      <c r="D32" s="28" t="s">
        <v>161</v>
      </c>
      <c r="E32" s="28" t="s">
        <v>162</v>
      </c>
      <c r="F32" s="28" t="s">
        <v>30</v>
      </c>
      <c r="G32" s="28" t="s">
        <v>163</v>
      </c>
      <c r="H32" s="20" t="s">
        <v>59</v>
      </c>
      <c r="I32" s="20"/>
      <c r="J32" s="20" t="s">
        <v>41</v>
      </c>
      <c r="K32" s="20" t="s">
        <v>103</v>
      </c>
      <c r="L32" s="20" t="s">
        <v>103</v>
      </c>
      <c r="M32" s="21" t="s">
        <v>164</v>
      </c>
      <c r="N32" s="10" t="s">
        <v>37</v>
      </c>
      <c r="O32" s="9"/>
      <c r="P32" s="9"/>
      <c r="Q32" s="9"/>
      <c r="R32" s="9"/>
      <c r="S32" s="9"/>
      <c r="T32" s="9"/>
      <c r="U32" s="9"/>
      <c r="V32" s="9"/>
      <c r="W32" s="9"/>
      <c r="X32" s="9"/>
      <c r="Y32" s="11"/>
      <c r="Z32" s="11"/>
      <c r="AA32" s="11"/>
      <c r="AB32" s="11"/>
      <c r="AC32" s="11"/>
      <c r="AD32" s="11"/>
    </row>
    <row r="33" hidden="1">
      <c r="A33" s="27"/>
      <c r="B33" s="14"/>
      <c r="C33" s="14" t="s">
        <v>28</v>
      </c>
      <c r="D33" s="29" t="s">
        <v>165</v>
      </c>
      <c r="E33" s="29"/>
      <c r="F33" s="29"/>
      <c r="G33" s="16" t="s">
        <v>166</v>
      </c>
      <c r="H33" s="16" t="s">
        <v>59</v>
      </c>
      <c r="I33" s="16"/>
      <c r="J33" s="16" t="s">
        <v>167</v>
      </c>
      <c r="K33" s="16" t="s">
        <v>168</v>
      </c>
      <c r="L33" s="16" t="s">
        <v>168</v>
      </c>
      <c r="M33" s="17" t="s">
        <v>169</v>
      </c>
      <c r="N33" s="14" t="s">
        <v>37</v>
      </c>
      <c r="O33" s="15"/>
      <c r="P33" s="15"/>
      <c r="Q33" s="15"/>
      <c r="R33" s="15"/>
      <c r="S33" s="15"/>
      <c r="T33" s="15"/>
      <c r="U33" s="15"/>
      <c r="V33" s="15"/>
      <c r="W33" s="15"/>
      <c r="X33" s="15"/>
      <c r="Y33" s="11"/>
      <c r="Z33" s="11"/>
      <c r="AA33" s="11"/>
      <c r="AB33" s="11"/>
      <c r="AC33" s="11"/>
      <c r="AD33" s="11"/>
    </row>
    <row r="34" hidden="1">
      <c r="A34" s="26"/>
      <c r="B34" s="10"/>
      <c r="C34" s="10" t="s">
        <v>28</v>
      </c>
      <c r="D34" s="28" t="s">
        <v>170</v>
      </c>
      <c r="E34" s="28"/>
      <c r="F34" s="28"/>
      <c r="G34" s="20" t="s">
        <v>113</v>
      </c>
      <c r="H34" s="20"/>
      <c r="I34" s="20"/>
      <c r="J34" s="20" t="s">
        <v>114</v>
      </c>
      <c r="K34" s="20" t="s">
        <v>115</v>
      </c>
      <c r="L34" s="20" t="s">
        <v>115</v>
      </c>
      <c r="M34" s="21" t="s">
        <v>169</v>
      </c>
      <c r="N34" s="10" t="s">
        <v>37</v>
      </c>
      <c r="O34" s="9"/>
      <c r="P34" s="9"/>
      <c r="Q34" s="9"/>
      <c r="R34" s="9"/>
      <c r="S34" s="9"/>
      <c r="T34" s="9"/>
      <c r="U34" s="9"/>
      <c r="V34" s="9"/>
      <c r="W34" s="9"/>
      <c r="X34" s="9"/>
      <c r="Y34" s="11"/>
      <c r="Z34" s="11"/>
      <c r="AA34" s="11"/>
      <c r="AB34" s="11"/>
      <c r="AC34" s="11"/>
      <c r="AD34" s="11"/>
    </row>
    <row r="35" hidden="1">
      <c r="A35" s="27"/>
      <c r="B35" s="14">
        <v>7.0</v>
      </c>
      <c r="C35" s="14" t="s">
        <v>28</v>
      </c>
      <c r="D35" s="29" t="s">
        <v>171</v>
      </c>
      <c r="E35" s="29" t="s">
        <v>172</v>
      </c>
      <c r="F35" s="29" t="s">
        <v>30</v>
      </c>
      <c r="G35" s="29" t="s">
        <v>173</v>
      </c>
      <c r="H35" s="16" t="s">
        <v>59</v>
      </c>
      <c r="I35" s="16"/>
      <c r="J35" s="16" t="s">
        <v>41</v>
      </c>
      <c r="K35" s="16" t="s">
        <v>103</v>
      </c>
      <c r="L35" s="16" t="s">
        <v>103</v>
      </c>
      <c r="M35" s="17" t="s">
        <v>174</v>
      </c>
      <c r="N35" s="14" t="s">
        <v>37</v>
      </c>
      <c r="O35" s="15"/>
      <c r="P35" s="15"/>
      <c r="Q35" s="15"/>
      <c r="R35" s="15"/>
      <c r="S35" s="15"/>
      <c r="T35" s="15"/>
      <c r="U35" s="15"/>
      <c r="V35" s="15"/>
      <c r="W35" s="15"/>
      <c r="X35" s="15"/>
      <c r="Y35" s="11"/>
      <c r="Z35" s="11"/>
      <c r="AA35" s="11"/>
      <c r="AB35" s="11"/>
      <c r="AC35" s="11"/>
      <c r="AD35" s="11"/>
    </row>
    <row r="36" hidden="1">
      <c r="A36" s="26"/>
      <c r="B36" s="10"/>
      <c r="C36" s="10" t="s">
        <v>28</v>
      </c>
      <c r="D36" s="28" t="s">
        <v>175</v>
      </c>
      <c r="E36" s="28"/>
      <c r="F36" s="28"/>
      <c r="G36" s="20" t="s">
        <v>176</v>
      </c>
      <c r="H36" s="20" t="s">
        <v>59</v>
      </c>
      <c r="I36" s="20"/>
      <c r="J36" s="20" t="s">
        <v>177</v>
      </c>
      <c r="K36" s="20" t="s">
        <v>178</v>
      </c>
      <c r="L36" s="20" t="s">
        <v>178</v>
      </c>
      <c r="M36" s="21" t="s">
        <v>179</v>
      </c>
      <c r="N36" s="10" t="s">
        <v>37</v>
      </c>
      <c r="O36" s="9"/>
      <c r="P36" s="9"/>
      <c r="Q36" s="9"/>
      <c r="R36" s="9"/>
      <c r="S36" s="9"/>
      <c r="T36" s="9"/>
      <c r="U36" s="9"/>
      <c r="V36" s="9"/>
      <c r="W36" s="9"/>
      <c r="X36" s="9"/>
      <c r="Y36" s="11"/>
      <c r="Z36" s="11"/>
      <c r="AA36" s="11"/>
      <c r="AB36" s="11"/>
      <c r="AC36" s="11"/>
      <c r="AD36" s="11"/>
    </row>
    <row r="37" hidden="1">
      <c r="A37" s="27"/>
      <c r="B37" s="14"/>
      <c r="C37" s="14" t="s">
        <v>28</v>
      </c>
      <c r="D37" s="29" t="s">
        <v>180</v>
      </c>
      <c r="E37" s="29"/>
      <c r="F37" s="29"/>
      <c r="G37" s="16" t="s">
        <v>113</v>
      </c>
      <c r="H37" s="16"/>
      <c r="I37" s="16"/>
      <c r="J37" s="16" t="s">
        <v>114</v>
      </c>
      <c r="K37" s="16" t="s">
        <v>115</v>
      </c>
      <c r="L37" s="16" t="s">
        <v>115</v>
      </c>
      <c r="M37" s="17" t="s">
        <v>181</v>
      </c>
      <c r="N37" s="14" t="s">
        <v>37</v>
      </c>
      <c r="O37" s="15"/>
      <c r="P37" s="15"/>
      <c r="Q37" s="15"/>
      <c r="R37" s="15"/>
      <c r="S37" s="15"/>
      <c r="T37" s="15"/>
      <c r="U37" s="15"/>
      <c r="V37" s="15"/>
      <c r="W37" s="15"/>
      <c r="X37" s="15"/>
      <c r="Y37" s="11"/>
      <c r="Z37" s="11"/>
      <c r="AA37" s="11"/>
      <c r="AB37" s="11"/>
      <c r="AC37" s="11"/>
      <c r="AD37" s="11"/>
    </row>
    <row r="38" hidden="1">
      <c r="A38" s="26"/>
      <c r="B38" s="10" t="s">
        <v>182</v>
      </c>
      <c r="C38" s="10" t="s">
        <v>28</v>
      </c>
      <c r="D38" s="10"/>
      <c r="E38" s="10" t="s">
        <v>183</v>
      </c>
      <c r="F38" s="28" t="s">
        <v>30</v>
      </c>
      <c r="G38" s="28"/>
      <c r="H38" s="20"/>
      <c r="I38" s="20"/>
      <c r="J38" s="20"/>
      <c r="K38" s="20"/>
      <c r="L38" s="20"/>
      <c r="M38" s="9"/>
      <c r="N38" s="10"/>
      <c r="O38" s="9"/>
      <c r="P38" s="9"/>
      <c r="Q38" s="9"/>
      <c r="R38" s="9"/>
      <c r="S38" s="9"/>
      <c r="T38" s="9"/>
      <c r="U38" s="9"/>
      <c r="V38" s="9"/>
      <c r="W38" s="9"/>
      <c r="X38" s="9"/>
      <c r="Y38" s="11"/>
      <c r="Z38" s="11"/>
      <c r="AA38" s="11"/>
      <c r="AB38" s="11"/>
      <c r="AC38" s="11"/>
      <c r="AD38" s="11"/>
    </row>
    <row r="39" hidden="1">
      <c r="A39" s="27"/>
      <c r="B39" s="14"/>
      <c r="C39" s="14" t="s">
        <v>28</v>
      </c>
      <c r="D39" s="29"/>
      <c r="E39" s="29"/>
      <c r="F39" s="29"/>
      <c r="G39" s="16" t="s">
        <v>184</v>
      </c>
      <c r="H39" s="16" t="s">
        <v>59</v>
      </c>
      <c r="I39" s="16"/>
      <c r="J39" s="16" t="s">
        <v>41</v>
      </c>
      <c r="K39" s="16" t="s">
        <v>103</v>
      </c>
      <c r="L39" s="16"/>
      <c r="M39" s="15"/>
      <c r="N39" s="14"/>
      <c r="O39" s="15"/>
      <c r="P39" s="15"/>
      <c r="Q39" s="15"/>
      <c r="R39" s="15"/>
      <c r="S39" s="15"/>
      <c r="T39" s="15"/>
      <c r="U39" s="15"/>
      <c r="V39" s="15"/>
      <c r="W39" s="15"/>
      <c r="X39" s="15"/>
      <c r="Y39" s="11"/>
      <c r="Z39" s="11"/>
      <c r="AA39" s="11"/>
      <c r="AB39" s="11"/>
      <c r="AC39" s="11"/>
      <c r="AD39" s="11"/>
    </row>
    <row r="40" hidden="1">
      <c r="A40" s="26"/>
      <c r="B40" s="10"/>
      <c r="C40" s="10" t="s">
        <v>28</v>
      </c>
      <c r="D40" s="28"/>
      <c r="E40" s="28"/>
      <c r="F40" s="28"/>
      <c r="G40" s="20" t="s">
        <v>185</v>
      </c>
      <c r="H40" s="20" t="s">
        <v>59</v>
      </c>
      <c r="I40" s="20"/>
      <c r="J40" s="20" t="s">
        <v>186</v>
      </c>
      <c r="K40" s="20" t="s">
        <v>187</v>
      </c>
      <c r="L40" s="20"/>
      <c r="M40" s="9"/>
      <c r="N40" s="10"/>
      <c r="O40" s="9"/>
      <c r="P40" s="9"/>
      <c r="Q40" s="9"/>
      <c r="R40" s="9"/>
      <c r="S40" s="9"/>
      <c r="T40" s="9"/>
      <c r="U40" s="9"/>
      <c r="V40" s="9"/>
      <c r="W40" s="9"/>
      <c r="X40" s="9"/>
      <c r="Y40" s="11"/>
      <c r="Z40" s="11"/>
      <c r="AA40" s="11"/>
      <c r="AB40" s="11"/>
      <c r="AC40" s="11"/>
      <c r="AD40" s="11"/>
    </row>
    <row r="41" hidden="1">
      <c r="A41" s="27"/>
      <c r="B41" s="14"/>
      <c r="C41" s="14" t="s">
        <v>28</v>
      </c>
      <c r="D41" s="29"/>
      <c r="E41" s="29"/>
      <c r="F41" s="29"/>
      <c r="G41" s="16" t="s">
        <v>113</v>
      </c>
      <c r="H41" s="16"/>
      <c r="I41" s="16"/>
      <c r="J41" s="16" t="s">
        <v>114</v>
      </c>
      <c r="K41" s="16" t="s">
        <v>115</v>
      </c>
      <c r="L41" s="16"/>
      <c r="M41" s="15"/>
      <c r="N41" s="14"/>
      <c r="O41" s="15"/>
      <c r="P41" s="15"/>
      <c r="Q41" s="15"/>
      <c r="R41" s="15"/>
      <c r="S41" s="15"/>
      <c r="T41" s="15"/>
      <c r="U41" s="15"/>
      <c r="V41" s="15"/>
      <c r="W41" s="15"/>
      <c r="X41" s="15"/>
      <c r="Y41" s="11"/>
      <c r="Z41" s="11"/>
      <c r="AA41" s="11"/>
      <c r="AB41" s="11"/>
      <c r="AC41" s="11"/>
      <c r="AD41" s="11"/>
    </row>
    <row r="42" hidden="1">
      <c r="A42" s="26"/>
      <c r="B42" s="10" t="s">
        <v>182</v>
      </c>
      <c r="C42" s="10" t="s">
        <v>28</v>
      </c>
      <c r="D42" s="10"/>
      <c r="E42" s="10" t="s">
        <v>188</v>
      </c>
      <c r="F42" s="28" t="s">
        <v>30</v>
      </c>
      <c r="G42" s="28"/>
      <c r="H42" s="20"/>
      <c r="I42" s="20"/>
      <c r="J42" s="20"/>
      <c r="K42" s="20"/>
      <c r="L42" s="20"/>
      <c r="M42" s="9"/>
      <c r="N42" s="10"/>
      <c r="O42" s="9"/>
      <c r="P42" s="9"/>
      <c r="Q42" s="9"/>
      <c r="R42" s="9"/>
      <c r="S42" s="9"/>
      <c r="T42" s="9"/>
      <c r="U42" s="9"/>
      <c r="V42" s="9"/>
      <c r="W42" s="9"/>
      <c r="X42" s="9"/>
      <c r="Y42" s="11"/>
      <c r="Z42" s="11"/>
      <c r="AA42" s="11"/>
      <c r="AB42" s="11"/>
      <c r="AC42" s="11"/>
      <c r="AD42" s="11"/>
    </row>
    <row r="43" hidden="1">
      <c r="A43" s="27"/>
      <c r="B43" s="14"/>
      <c r="C43" s="14" t="s">
        <v>28</v>
      </c>
      <c r="D43" s="29"/>
      <c r="E43" s="29"/>
      <c r="F43" s="29"/>
      <c r="G43" s="16" t="s">
        <v>189</v>
      </c>
      <c r="H43" s="16" t="s">
        <v>59</v>
      </c>
      <c r="I43" s="16"/>
      <c r="J43" s="16" t="s">
        <v>41</v>
      </c>
      <c r="K43" s="16" t="s">
        <v>103</v>
      </c>
      <c r="L43" s="16"/>
      <c r="M43" s="15"/>
      <c r="N43" s="14"/>
      <c r="O43" s="15"/>
      <c r="P43" s="15"/>
      <c r="Q43" s="15"/>
      <c r="R43" s="15"/>
      <c r="S43" s="15"/>
      <c r="T43" s="15"/>
      <c r="U43" s="15"/>
      <c r="V43" s="15"/>
      <c r="W43" s="15"/>
      <c r="X43" s="15"/>
      <c r="Y43" s="11"/>
      <c r="Z43" s="11"/>
      <c r="AA43" s="11"/>
      <c r="AB43" s="11"/>
      <c r="AC43" s="11"/>
      <c r="AD43" s="11"/>
    </row>
    <row r="44" hidden="1">
      <c r="A44" s="26"/>
      <c r="B44" s="10"/>
      <c r="C44" s="10" t="s">
        <v>28</v>
      </c>
      <c r="D44" s="28"/>
      <c r="E44" s="28"/>
      <c r="F44" s="28"/>
      <c r="G44" s="20" t="s">
        <v>190</v>
      </c>
      <c r="H44" s="20" t="s">
        <v>59</v>
      </c>
      <c r="I44" s="20"/>
      <c r="J44" s="20" t="s">
        <v>191</v>
      </c>
      <c r="K44" s="20" t="s">
        <v>192</v>
      </c>
      <c r="L44" s="20"/>
      <c r="M44" s="9"/>
      <c r="N44" s="10"/>
      <c r="O44" s="9"/>
      <c r="P44" s="9"/>
      <c r="Q44" s="9"/>
      <c r="R44" s="9"/>
      <c r="S44" s="9"/>
      <c r="T44" s="9"/>
      <c r="U44" s="9"/>
      <c r="V44" s="9"/>
      <c r="W44" s="9"/>
      <c r="X44" s="9"/>
      <c r="Y44" s="11"/>
      <c r="Z44" s="11"/>
      <c r="AA44" s="11"/>
      <c r="AB44" s="11"/>
      <c r="AC44" s="11"/>
      <c r="AD44" s="11"/>
    </row>
    <row r="45" hidden="1">
      <c r="A45" s="27"/>
      <c r="B45" s="14"/>
      <c r="C45" s="14" t="s">
        <v>28</v>
      </c>
      <c r="D45" s="29"/>
      <c r="E45" s="29"/>
      <c r="F45" s="29"/>
      <c r="G45" s="16" t="s">
        <v>113</v>
      </c>
      <c r="H45" s="16"/>
      <c r="I45" s="16"/>
      <c r="J45" s="16" t="s">
        <v>114</v>
      </c>
      <c r="K45" s="16" t="s">
        <v>115</v>
      </c>
      <c r="L45" s="16"/>
      <c r="M45" s="15"/>
      <c r="N45" s="14"/>
      <c r="O45" s="15"/>
      <c r="P45" s="15"/>
      <c r="Q45" s="15"/>
      <c r="R45" s="15"/>
      <c r="S45" s="15"/>
      <c r="T45" s="15"/>
      <c r="U45" s="15"/>
      <c r="V45" s="15"/>
      <c r="W45" s="15"/>
      <c r="X45" s="15"/>
      <c r="Y45" s="11"/>
      <c r="Z45" s="11"/>
      <c r="AA45" s="11"/>
      <c r="AB45" s="11"/>
      <c r="AC45" s="11"/>
      <c r="AD45" s="11"/>
    </row>
    <row r="46" hidden="1">
      <c r="A46" s="26"/>
      <c r="B46" s="10">
        <v>8.0</v>
      </c>
      <c r="C46" s="10" t="s">
        <v>28</v>
      </c>
      <c r="D46" s="28" t="s">
        <v>193</v>
      </c>
      <c r="E46" s="28" t="s">
        <v>194</v>
      </c>
      <c r="F46" s="28" t="s">
        <v>30</v>
      </c>
      <c r="G46" s="28" t="s">
        <v>195</v>
      </c>
      <c r="H46" s="20" t="s">
        <v>59</v>
      </c>
      <c r="I46" s="20"/>
      <c r="J46" s="20" t="s">
        <v>41</v>
      </c>
      <c r="K46" s="20" t="s">
        <v>196</v>
      </c>
      <c r="L46" s="20" t="s">
        <v>196</v>
      </c>
      <c r="M46" s="8" t="s">
        <v>197</v>
      </c>
      <c r="N46" s="10" t="s">
        <v>37</v>
      </c>
      <c r="O46" s="9"/>
      <c r="P46" s="9"/>
      <c r="Q46" s="9"/>
      <c r="R46" s="9"/>
      <c r="S46" s="9"/>
      <c r="T46" s="9"/>
      <c r="U46" s="9"/>
      <c r="V46" s="9"/>
      <c r="W46" s="9"/>
      <c r="X46" s="9"/>
      <c r="Y46" s="11"/>
      <c r="Z46" s="11"/>
      <c r="AA46" s="11"/>
      <c r="AB46" s="11"/>
      <c r="AC46" s="11"/>
      <c r="AD46" s="11"/>
    </row>
    <row r="47">
      <c r="A47" s="27"/>
      <c r="B47" s="14"/>
      <c r="C47" s="14" t="s">
        <v>28</v>
      </c>
      <c r="D47" s="29" t="s">
        <v>198</v>
      </c>
      <c r="E47" s="29"/>
      <c r="F47" s="29"/>
      <c r="G47" s="16" t="s">
        <v>199</v>
      </c>
      <c r="H47" s="16" t="s">
        <v>59</v>
      </c>
      <c r="I47" s="16"/>
      <c r="J47" s="16" t="s">
        <v>41</v>
      </c>
      <c r="K47" s="16" t="s">
        <v>200</v>
      </c>
      <c r="L47" s="16" t="s">
        <v>201</v>
      </c>
      <c r="M47" s="30" t="s">
        <v>202</v>
      </c>
      <c r="N47" s="14" t="s">
        <v>64</v>
      </c>
      <c r="O47" s="15"/>
      <c r="P47" s="24" t="s">
        <v>65</v>
      </c>
      <c r="Q47" s="25" t="s">
        <v>203</v>
      </c>
      <c r="R47" s="15"/>
      <c r="S47" s="15"/>
      <c r="T47" s="15"/>
      <c r="U47" s="15"/>
      <c r="V47" s="15"/>
      <c r="W47" s="15"/>
      <c r="X47" s="15"/>
      <c r="Y47" s="11"/>
      <c r="Z47" s="11"/>
      <c r="AA47" s="11"/>
      <c r="AB47" s="11"/>
      <c r="AC47" s="11"/>
      <c r="AD47" s="11"/>
    </row>
    <row r="48" hidden="1">
      <c r="A48" s="26"/>
      <c r="B48" s="10">
        <v>9.0</v>
      </c>
      <c r="C48" s="10" t="s">
        <v>28</v>
      </c>
      <c r="D48" s="28" t="s">
        <v>204</v>
      </c>
      <c r="E48" s="28" t="s">
        <v>205</v>
      </c>
      <c r="F48" s="28" t="s">
        <v>30</v>
      </c>
      <c r="G48" s="28" t="s">
        <v>206</v>
      </c>
      <c r="H48" s="20" t="s">
        <v>59</v>
      </c>
      <c r="I48" s="20"/>
      <c r="J48" s="20" t="s">
        <v>41</v>
      </c>
      <c r="K48" s="20" t="s">
        <v>207</v>
      </c>
      <c r="L48" s="20"/>
      <c r="M48" s="9"/>
      <c r="N48" s="10" t="s">
        <v>208</v>
      </c>
      <c r="O48" s="9" t="s">
        <v>209</v>
      </c>
      <c r="P48" s="9"/>
      <c r="Q48" s="9"/>
      <c r="R48" s="9"/>
      <c r="S48" s="9"/>
      <c r="T48" s="9"/>
      <c r="U48" s="9"/>
      <c r="V48" s="9"/>
      <c r="W48" s="9"/>
      <c r="X48" s="9"/>
      <c r="Y48" s="11"/>
      <c r="Z48" s="11"/>
      <c r="AA48" s="11"/>
      <c r="AB48" s="11"/>
      <c r="AC48" s="11"/>
      <c r="AD48" s="11"/>
    </row>
    <row r="49" hidden="1">
      <c r="A49" s="27"/>
      <c r="B49" s="14"/>
      <c r="C49" s="14" t="s">
        <v>28</v>
      </c>
      <c r="D49" s="29" t="s">
        <v>210</v>
      </c>
      <c r="E49" s="29"/>
      <c r="F49" s="29"/>
      <c r="G49" s="16" t="s">
        <v>211</v>
      </c>
      <c r="H49" s="16" t="s">
        <v>59</v>
      </c>
      <c r="I49" s="16"/>
      <c r="J49" s="16" t="s">
        <v>41</v>
      </c>
      <c r="K49" s="16" t="s">
        <v>207</v>
      </c>
      <c r="L49" s="16"/>
      <c r="M49" s="15"/>
      <c r="N49" s="14" t="s">
        <v>208</v>
      </c>
      <c r="O49" s="15" t="s">
        <v>209</v>
      </c>
      <c r="P49" s="15"/>
      <c r="Q49" s="15"/>
      <c r="R49" s="15"/>
      <c r="S49" s="15"/>
      <c r="T49" s="15"/>
      <c r="U49" s="15"/>
      <c r="V49" s="15"/>
      <c r="W49" s="15"/>
      <c r="X49" s="15"/>
      <c r="Y49" s="11"/>
      <c r="Z49" s="11"/>
      <c r="AA49" s="11"/>
      <c r="AB49" s="11"/>
      <c r="AC49" s="11"/>
      <c r="AD49" s="11"/>
    </row>
    <row r="50" hidden="1">
      <c r="A50" s="4"/>
      <c r="B50" s="5" t="s">
        <v>212</v>
      </c>
      <c r="C50" s="10" t="s">
        <v>28</v>
      </c>
      <c r="D50" s="6"/>
      <c r="E50" s="6" t="s">
        <v>213</v>
      </c>
      <c r="F50" s="28"/>
      <c r="G50" s="28"/>
      <c r="H50" s="28"/>
      <c r="I50" s="9"/>
      <c r="J50" s="9"/>
      <c r="K50" s="9"/>
      <c r="L50" s="9"/>
      <c r="M50" s="9"/>
      <c r="N50" s="10"/>
      <c r="O50" s="9"/>
      <c r="P50" s="9"/>
      <c r="Q50" s="9"/>
      <c r="R50" s="9"/>
      <c r="S50" s="9"/>
      <c r="T50" s="9"/>
      <c r="U50" s="9"/>
      <c r="V50" s="9"/>
      <c r="W50" s="9"/>
      <c r="X50" s="9"/>
      <c r="Y50" s="11"/>
      <c r="Z50" s="11"/>
      <c r="AA50" s="11"/>
      <c r="AB50" s="11"/>
      <c r="AC50" s="11"/>
      <c r="AD50" s="11"/>
    </row>
    <row r="51" hidden="1">
      <c r="A51" s="31"/>
      <c r="B51" s="32" t="s">
        <v>214</v>
      </c>
      <c r="C51" s="14" t="s">
        <v>28</v>
      </c>
      <c r="D51" s="33"/>
      <c r="E51" s="33" t="s">
        <v>215</v>
      </c>
      <c r="F51" s="29"/>
      <c r="G51" s="29"/>
      <c r="H51" s="29"/>
      <c r="I51" s="29"/>
      <c r="J51" s="29"/>
      <c r="K51" s="15"/>
      <c r="L51" s="15"/>
      <c r="M51" s="15"/>
      <c r="N51" s="14"/>
      <c r="O51" s="15"/>
      <c r="P51" s="15"/>
      <c r="Q51" s="15"/>
      <c r="R51" s="15"/>
      <c r="S51" s="15"/>
      <c r="T51" s="15"/>
      <c r="U51" s="15"/>
      <c r="V51" s="15"/>
      <c r="W51" s="15"/>
      <c r="X51" s="15"/>
      <c r="Y51" s="11"/>
      <c r="Z51" s="11"/>
      <c r="AA51" s="11"/>
      <c r="AB51" s="11"/>
      <c r="AC51" s="11"/>
      <c r="AD51" s="11"/>
    </row>
    <row r="52" hidden="1">
      <c r="A52" s="26"/>
      <c r="B52" s="10" t="s">
        <v>182</v>
      </c>
      <c r="C52" s="10" t="s">
        <v>28</v>
      </c>
      <c r="D52" s="10"/>
      <c r="E52" s="10" t="s">
        <v>216</v>
      </c>
      <c r="F52" s="28"/>
      <c r="G52" s="28"/>
      <c r="H52" s="20"/>
      <c r="I52" s="10"/>
      <c r="J52" s="9"/>
      <c r="K52" s="9"/>
      <c r="L52" s="9"/>
      <c r="M52" s="9"/>
      <c r="N52" s="10"/>
      <c r="O52" s="9"/>
      <c r="P52" s="9"/>
      <c r="Q52" s="9"/>
      <c r="R52" s="9"/>
      <c r="S52" s="9"/>
      <c r="T52" s="9"/>
      <c r="U52" s="9"/>
      <c r="V52" s="9"/>
      <c r="W52" s="9"/>
      <c r="X52" s="9"/>
      <c r="Y52" s="11"/>
      <c r="Z52" s="11"/>
      <c r="AA52" s="11"/>
      <c r="AB52" s="11"/>
      <c r="AC52" s="11"/>
      <c r="AD52" s="11"/>
    </row>
    <row r="53" hidden="1">
      <c r="A53" s="27"/>
      <c r="B53" s="14"/>
      <c r="C53" s="14" t="s">
        <v>28</v>
      </c>
      <c r="D53" s="29"/>
      <c r="E53" s="29"/>
      <c r="F53" s="16"/>
      <c r="G53" s="16" t="s">
        <v>217</v>
      </c>
      <c r="H53" s="16" t="s">
        <v>218</v>
      </c>
      <c r="I53" s="14"/>
      <c r="J53" s="16" t="s">
        <v>219</v>
      </c>
      <c r="K53" s="16" t="s">
        <v>220</v>
      </c>
      <c r="L53" s="15"/>
      <c r="M53" s="15"/>
      <c r="N53" s="14"/>
      <c r="O53" s="15"/>
      <c r="P53" s="15"/>
      <c r="Q53" s="15"/>
      <c r="R53" s="15"/>
      <c r="S53" s="15"/>
      <c r="T53" s="15"/>
      <c r="U53" s="15"/>
      <c r="V53" s="15"/>
      <c r="W53" s="15"/>
      <c r="X53" s="15"/>
      <c r="Y53" s="11"/>
      <c r="Z53" s="11"/>
      <c r="AA53" s="11"/>
      <c r="AB53" s="11"/>
      <c r="AC53" s="11"/>
      <c r="AD53" s="11"/>
    </row>
    <row r="54" hidden="1">
      <c r="A54" s="26"/>
      <c r="B54" s="10"/>
      <c r="C54" s="10" t="s">
        <v>28</v>
      </c>
      <c r="D54" s="28"/>
      <c r="E54" s="28"/>
      <c r="F54" s="20"/>
      <c r="G54" s="20" t="s">
        <v>221</v>
      </c>
      <c r="H54" s="20" t="s">
        <v>218</v>
      </c>
      <c r="I54" s="10"/>
      <c r="J54" s="20" t="s">
        <v>219</v>
      </c>
      <c r="K54" s="20" t="s">
        <v>222</v>
      </c>
      <c r="L54" s="9"/>
      <c r="M54" s="9"/>
      <c r="N54" s="10"/>
      <c r="O54" s="9"/>
      <c r="P54" s="9"/>
      <c r="Q54" s="9"/>
      <c r="R54" s="9"/>
      <c r="S54" s="9"/>
      <c r="T54" s="9"/>
      <c r="U54" s="9"/>
      <c r="V54" s="9"/>
      <c r="W54" s="9"/>
      <c r="X54" s="9"/>
      <c r="Y54" s="11"/>
      <c r="Z54" s="11"/>
      <c r="AA54" s="11"/>
      <c r="AB54" s="11"/>
      <c r="AC54" s="11"/>
      <c r="AD54" s="11"/>
    </row>
    <row r="55" hidden="1">
      <c r="A55" s="27"/>
      <c r="B55" s="14"/>
      <c r="C55" s="14" t="s">
        <v>28</v>
      </c>
      <c r="D55" s="29"/>
      <c r="E55" s="29"/>
      <c r="F55" s="16"/>
      <c r="G55" s="16" t="s">
        <v>223</v>
      </c>
      <c r="H55" s="16" t="s">
        <v>218</v>
      </c>
      <c r="I55" s="14"/>
      <c r="J55" s="16" t="s">
        <v>219</v>
      </c>
      <c r="K55" s="16" t="s">
        <v>224</v>
      </c>
      <c r="L55" s="15"/>
      <c r="M55" s="15"/>
      <c r="N55" s="14"/>
      <c r="O55" s="15"/>
      <c r="P55" s="15"/>
      <c r="Q55" s="15"/>
      <c r="R55" s="15"/>
      <c r="S55" s="15"/>
      <c r="T55" s="15"/>
      <c r="U55" s="15"/>
      <c r="V55" s="15"/>
      <c r="W55" s="15"/>
      <c r="X55" s="15"/>
      <c r="Y55" s="11"/>
      <c r="Z55" s="11"/>
      <c r="AA55" s="11"/>
      <c r="AB55" s="11"/>
      <c r="AC55" s="11"/>
      <c r="AD55" s="11"/>
    </row>
    <row r="56" hidden="1">
      <c r="A56" s="26"/>
      <c r="B56" s="10"/>
      <c r="C56" s="10" t="s">
        <v>28</v>
      </c>
      <c r="D56" s="28"/>
      <c r="E56" s="28"/>
      <c r="F56" s="20"/>
      <c r="G56" s="20" t="s">
        <v>225</v>
      </c>
      <c r="H56" s="20" t="s">
        <v>218</v>
      </c>
      <c r="I56" s="10"/>
      <c r="J56" s="20" t="s">
        <v>219</v>
      </c>
      <c r="K56" s="20" t="s">
        <v>224</v>
      </c>
      <c r="L56" s="9"/>
      <c r="M56" s="9"/>
      <c r="N56" s="10"/>
      <c r="O56" s="9"/>
      <c r="P56" s="9"/>
      <c r="Q56" s="9"/>
      <c r="R56" s="9"/>
      <c r="S56" s="9"/>
      <c r="T56" s="9"/>
      <c r="U56" s="9"/>
      <c r="V56" s="9"/>
      <c r="W56" s="9"/>
      <c r="X56" s="9"/>
      <c r="Y56" s="11"/>
      <c r="Z56" s="11"/>
      <c r="AA56" s="11"/>
      <c r="AB56" s="11"/>
      <c r="AC56" s="11"/>
      <c r="AD56" s="11"/>
    </row>
    <row r="57" hidden="1">
      <c r="A57" s="27"/>
      <c r="B57" s="14"/>
      <c r="C57" s="14" t="s">
        <v>28</v>
      </c>
      <c r="D57" s="29"/>
      <c r="E57" s="29"/>
      <c r="F57" s="16"/>
      <c r="G57" s="16" t="s">
        <v>226</v>
      </c>
      <c r="H57" s="16" t="s">
        <v>218</v>
      </c>
      <c r="I57" s="14"/>
      <c r="J57" s="16" t="s">
        <v>219</v>
      </c>
      <c r="K57" s="16" t="s">
        <v>224</v>
      </c>
      <c r="L57" s="15"/>
      <c r="M57" s="15"/>
      <c r="N57" s="14"/>
      <c r="O57" s="15"/>
      <c r="P57" s="15"/>
      <c r="Q57" s="15"/>
      <c r="R57" s="15"/>
      <c r="S57" s="15"/>
      <c r="T57" s="15"/>
      <c r="U57" s="15"/>
      <c r="V57" s="15"/>
      <c r="W57" s="15"/>
      <c r="X57" s="15"/>
      <c r="Y57" s="11"/>
      <c r="Z57" s="11"/>
      <c r="AA57" s="11"/>
      <c r="AB57" s="11"/>
      <c r="AC57" s="11"/>
      <c r="AD57" s="11"/>
    </row>
    <row r="58" hidden="1">
      <c r="A58" s="26"/>
      <c r="B58" s="10"/>
      <c r="C58" s="10" t="s">
        <v>28</v>
      </c>
      <c r="D58" s="28"/>
      <c r="E58" s="28"/>
      <c r="F58" s="20"/>
      <c r="G58" s="20" t="s">
        <v>227</v>
      </c>
      <c r="H58" s="20" t="s">
        <v>218</v>
      </c>
      <c r="I58" s="10"/>
      <c r="J58" s="20" t="s">
        <v>219</v>
      </c>
      <c r="K58" s="20" t="s">
        <v>228</v>
      </c>
      <c r="L58" s="9"/>
      <c r="M58" s="9"/>
      <c r="N58" s="10"/>
      <c r="O58" s="9"/>
      <c r="P58" s="9"/>
      <c r="Q58" s="9"/>
      <c r="R58" s="9"/>
      <c r="S58" s="9"/>
      <c r="T58" s="9"/>
      <c r="U58" s="9"/>
      <c r="V58" s="9"/>
      <c r="W58" s="9"/>
      <c r="X58" s="9"/>
      <c r="Y58" s="11"/>
      <c r="Z58" s="11"/>
      <c r="AA58" s="11"/>
      <c r="AB58" s="11"/>
      <c r="AC58" s="11"/>
      <c r="AD58" s="11"/>
    </row>
    <row r="59" hidden="1">
      <c r="A59" s="27"/>
      <c r="B59" s="14"/>
      <c r="C59" s="14" t="s">
        <v>28</v>
      </c>
      <c r="D59" s="29"/>
      <c r="E59" s="29"/>
      <c r="F59" s="16"/>
      <c r="G59" s="16" t="s">
        <v>229</v>
      </c>
      <c r="H59" s="16" t="s">
        <v>218</v>
      </c>
      <c r="I59" s="14"/>
      <c r="J59" s="16" t="s">
        <v>219</v>
      </c>
      <c r="K59" s="16" t="s">
        <v>228</v>
      </c>
      <c r="L59" s="15"/>
      <c r="M59" s="15"/>
      <c r="N59" s="14"/>
      <c r="O59" s="15"/>
      <c r="P59" s="15"/>
      <c r="Q59" s="15"/>
      <c r="R59" s="15"/>
      <c r="S59" s="15"/>
      <c r="T59" s="15"/>
      <c r="U59" s="15"/>
      <c r="V59" s="15"/>
      <c r="W59" s="15"/>
      <c r="X59" s="15"/>
      <c r="Y59" s="11"/>
      <c r="Z59" s="11"/>
      <c r="AA59" s="11"/>
      <c r="AB59" s="11"/>
      <c r="AC59" s="11"/>
      <c r="AD59" s="11"/>
    </row>
    <row r="60" hidden="1">
      <c r="A60" s="26"/>
      <c r="B60" s="10"/>
      <c r="C60" s="10" t="s">
        <v>28</v>
      </c>
      <c r="D60" s="28"/>
      <c r="E60" s="28"/>
      <c r="F60" s="20"/>
      <c r="G60" s="20" t="s">
        <v>230</v>
      </c>
      <c r="H60" s="20" t="s">
        <v>218</v>
      </c>
      <c r="I60" s="10"/>
      <c r="J60" s="20" t="s">
        <v>219</v>
      </c>
      <c r="K60" s="20" t="s">
        <v>231</v>
      </c>
      <c r="L60" s="9"/>
      <c r="M60" s="9"/>
      <c r="N60" s="10"/>
      <c r="O60" s="9"/>
      <c r="P60" s="9"/>
      <c r="Q60" s="9"/>
      <c r="R60" s="9"/>
      <c r="S60" s="9"/>
      <c r="T60" s="9"/>
      <c r="U60" s="9"/>
      <c r="V60" s="9"/>
      <c r="W60" s="9"/>
      <c r="X60" s="9"/>
      <c r="Y60" s="11"/>
      <c r="Z60" s="11"/>
      <c r="AA60" s="11"/>
      <c r="AB60" s="11"/>
      <c r="AC60" s="11"/>
      <c r="AD60" s="11"/>
    </row>
    <row r="61" hidden="1">
      <c r="A61" s="27"/>
      <c r="B61" s="14"/>
      <c r="C61" s="14" t="s">
        <v>28</v>
      </c>
      <c r="D61" s="29"/>
      <c r="E61" s="29"/>
      <c r="F61" s="16"/>
      <c r="G61" s="16" t="s">
        <v>232</v>
      </c>
      <c r="H61" s="16" t="s">
        <v>218</v>
      </c>
      <c r="I61" s="14"/>
      <c r="J61" s="16" t="s">
        <v>219</v>
      </c>
      <c r="K61" s="16" t="s">
        <v>228</v>
      </c>
      <c r="L61" s="15"/>
      <c r="M61" s="15"/>
      <c r="N61" s="14"/>
      <c r="O61" s="15"/>
      <c r="P61" s="15"/>
      <c r="Q61" s="15"/>
      <c r="R61" s="15"/>
      <c r="S61" s="15"/>
      <c r="T61" s="15"/>
      <c r="U61" s="15"/>
      <c r="V61" s="15"/>
      <c r="W61" s="15"/>
      <c r="X61" s="15"/>
      <c r="Y61" s="11"/>
      <c r="Z61" s="11"/>
      <c r="AA61" s="11"/>
      <c r="AB61" s="11"/>
      <c r="AC61" s="11"/>
      <c r="AD61" s="11"/>
    </row>
    <row r="62" hidden="1">
      <c r="A62" s="26"/>
      <c r="B62" s="10"/>
      <c r="C62" s="10" t="s">
        <v>28</v>
      </c>
      <c r="D62" s="28"/>
      <c r="E62" s="28"/>
      <c r="F62" s="20"/>
      <c r="G62" s="20" t="s">
        <v>233</v>
      </c>
      <c r="H62" s="20" t="s">
        <v>218</v>
      </c>
      <c r="I62" s="10"/>
      <c r="J62" s="20" t="s">
        <v>219</v>
      </c>
      <c r="K62" s="20" t="s">
        <v>224</v>
      </c>
      <c r="L62" s="9"/>
      <c r="M62" s="9"/>
      <c r="N62" s="10"/>
      <c r="O62" s="9"/>
      <c r="P62" s="9"/>
      <c r="Q62" s="9"/>
      <c r="R62" s="9"/>
      <c r="S62" s="9"/>
      <c r="T62" s="9"/>
      <c r="U62" s="9"/>
      <c r="V62" s="9"/>
      <c r="W62" s="9"/>
      <c r="X62" s="9"/>
      <c r="Y62" s="11"/>
      <c r="Z62" s="11"/>
      <c r="AA62" s="11"/>
      <c r="AB62" s="11"/>
      <c r="AC62" s="11"/>
      <c r="AD62" s="11"/>
    </row>
    <row r="63" hidden="1">
      <c r="A63" s="27"/>
      <c r="B63" s="14"/>
      <c r="C63" s="14" t="s">
        <v>28</v>
      </c>
      <c r="D63" s="29"/>
      <c r="E63" s="29"/>
      <c r="F63" s="16"/>
      <c r="G63" s="16" t="s">
        <v>234</v>
      </c>
      <c r="H63" s="16" t="s">
        <v>218</v>
      </c>
      <c r="I63" s="14"/>
      <c r="J63" s="16" t="s">
        <v>219</v>
      </c>
      <c r="K63" s="16" t="s">
        <v>228</v>
      </c>
      <c r="L63" s="15"/>
      <c r="M63" s="15"/>
      <c r="N63" s="14"/>
      <c r="O63" s="15"/>
      <c r="P63" s="15"/>
      <c r="Q63" s="15"/>
      <c r="R63" s="15"/>
      <c r="S63" s="15"/>
      <c r="T63" s="15"/>
      <c r="U63" s="15"/>
      <c r="V63" s="15"/>
      <c r="W63" s="15"/>
      <c r="X63" s="15"/>
      <c r="Y63" s="11"/>
      <c r="Z63" s="11"/>
      <c r="AA63" s="11"/>
      <c r="AB63" s="11"/>
      <c r="AC63" s="11"/>
      <c r="AD63" s="11"/>
    </row>
    <row r="64" hidden="1">
      <c r="A64" s="26"/>
      <c r="B64" s="10"/>
      <c r="C64" s="10" t="s">
        <v>28</v>
      </c>
      <c r="D64" s="28"/>
      <c r="E64" s="28"/>
      <c r="F64" s="20"/>
      <c r="G64" s="20" t="s">
        <v>235</v>
      </c>
      <c r="H64" s="20" t="s">
        <v>218</v>
      </c>
      <c r="I64" s="10"/>
      <c r="J64" s="20" t="s">
        <v>219</v>
      </c>
      <c r="K64" s="20" t="s">
        <v>224</v>
      </c>
      <c r="L64" s="9"/>
      <c r="M64" s="9"/>
      <c r="N64" s="10"/>
      <c r="O64" s="9"/>
      <c r="P64" s="9"/>
      <c r="Q64" s="9"/>
      <c r="R64" s="9"/>
      <c r="S64" s="9"/>
      <c r="T64" s="9"/>
      <c r="U64" s="9"/>
      <c r="V64" s="9"/>
      <c r="W64" s="9"/>
      <c r="X64" s="9"/>
      <c r="Y64" s="11"/>
      <c r="Z64" s="11"/>
      <c r="AA64" s="11"/>
      <c r="AB64" s="11"/>
      <c r="AC64" s="11"/>
      <c r="AD64" s="11"/>
    </row>
    <row r="65" hidden="1">
      <c r="A65" s="27"/>
      <c r="B65" s="14"/>
      <c r="C65" s="14" t="s">
        <v>28</v>
      </c>
      <c r="D65" s="29"/>
      <c r="E65" s="29"/>
      <c r="F65" s="16"/>
      <c r="G65" s="16" t="s">
        <v>236</v>
      </c>
      <c r="H65" s="16" t="s">
        <v>218</v>
      </c>
      <c r="I65" s="14"/>
      <c r="J65" s="16" t="s">
        <v>219</v>
      </c>
      <c r="K65" s="16" t="s">
        <v>237</v>
      </c>
      <c r="L65" s="15"/>
      <c r="M65" s="15"/>
      <c r="N65" s="14"/>
      <c r="O65" s="15"/>
      <c r="P65" s="15"/>
      <c r="Q65" s="15"/>
      <c r="R65" s="15"/>
      <c r="S65" s="15"/>
      <c r="T65" s="15"/>
      <c r="U65" s="15"/>
      <c r="V65" s="15"/>
      <c r="W65" s="15"/>
      <c r="X65" s="15"/>
      <c r="Y65" s="11"/>
      <c r="Z65" s="11"/>
      <c r="AA65" s="11"/>
      <c r="AB65" s="11"/>
      <c r="AC65" s="11"/>
      <c r="AD65" s="11"/>
    </row>
    <row r="66" hidden="1">
      <c r="A66" s="26"/>
      <c r="B66" s="10"/>
      <c r="C66" s="10" t="s">
        <v>28</v>
      </c>
      <c r="D66" s="28"/>
      <c r="E66" s="28"/>
      <c r="F66" s="20"/>
      <c r="G66" s="20" t="s">
        <v>238</v>
      </c>
      <c r="H66" s="20" t="s">
        <v>218</v>
      </c>
      <c r="I66" s="10"/>
      <c r="J66" s="20" t="s">
        <v>219</v>
      </c>
      <c r="K66" s="20" t="s">
        <v>239</v>
      </c>
      <c r="L66" s="9"/>
      <c r="M66" s="9"/>
      <c r="N66" s="10"/>
      <c r="O66" s="9"/>
      <c r="P66" s="9"/>
      <c r="Q66" s="9"/>
      <c r="R66" s="9"/>
      <c r="S66" s="9"/>
      <c r="T66" s="9"/>
      <c r="U66" s="9"/>
      <c r="V66" s="9"/>
      <c r="W66" s="9"/>
      <c r="X66" s="9"/>
      <c r="Y66" s="11"/>
      <c r="Z66" s="11"/>
      <c r="AA66" s="11"/>
      <c r="AB66" s="11"/>
      <c r="AC66" s="11"/>
      <c r="AD66" s="11"/>
    </row>
    <row r="67" hidden="1">
      <c r="A67" s="27"/>
      <c r="B67" s="14"/>
      <c r="C67" s="14" t="s">
        <v>28</v>
      </c>
      <c r="D67" s="29"/>
      <c r="E67" s="29"/>
      <c r="F67" s="16"/>
      <c r="G67" s="16" t="s">
        <v>240</v>
      </c>
      <c r="H67" s="16" t="s">
        <v>218</v>
      </c>
      <c r="I67" s="14"/>
      <c r="J67" s="16" t="s">
        <v>219</v>
      </c>
      <c r="K67" s="16" t="s">
        <v>241</v>
      </c>
      <c r="L67" s="15"/>
      <c r="M67" s="15"/>
      <c r="N67" s="14"/>
      <c r="O67" s="15"/>
      <c r="P67" s="15"/>
      <c r="Q67" s="15"/>
      <c r="R67" s="15"/>
      <c r="S67" s="15"/>
      <c r="T67" s="15"/>
      <c r="U67" s="15"/>
      <c r="V67" s="15"/>
      <c r="W67" s="15"/>
      <c r="X67" s="15"/>
      <c r="Y67" s="11"/>
      <c r="Z67" s="11"/>
      <c r="AA67" s="11"/>
      <c r="AB67" s="11"/>
      <c r="AC67" s="11"/>
      <c r="AD67" s="11"/>
    </row>
    <row r="68" hidden="1">
      <c r="A68" s="26"/>
      <c r="B68" s="10"/>
      <c r="C68" s="10" t="s">
        <v>28</v>
      </c>
      <c r="D68" s="28"/>
      <c r="E68" s="28"/>
      <c r="F68" s="20"/>
      <c r="G68" s="20" t="s">
        <v>242</v>
      </c>
      <c r="H68" s="20" t="s">
        <v>218</v>
      </c>
      <c r="I68" s="10"/>
      <c r="J68" s="20" t="s">
        <v>219</v>
      </c>
      <c r="K68" s="20" t="s">
        <v>243</v>
      </c>
      <c r="L68" s="9"/>
      <c r="M68" s="9"/>
      <c r="N68" s="10"/>
      <c r="O68" s="9"/>
      <c r="P68" s="9"/>
      <c r="Q68" s="9"/>
      <c r="R68" s="9"/>
      <c r="S68" s="9"/>
      <c r="T68" s="9"/>
      <c r="U68" s="9"/>
      <c r="V68" s="9"/>
      <c r="W68" s="9"/>
      <c r="X68" s="9"/>
      <c r="Y68" s="11"/>
      <c r="Z68" s="11"/>
      <c r="AA68" s="11"/>
      <c r="AB68" s="11"/>
      <c r="AC68" s="11"/>
      <c r="AD68" s="11"/>
    </row>
    <row r="69" hidden="1">
      <c r="A69" s="27"/>
      <c r="B69" s="14"/>
      <c r="C69" s="14" t="s">
        <v>28</v>
      </c>
      <c r="D69" s="29"/>
      <c r="E69" s="29"/>
      <c r="F69" s="16"/>
      <c r="G69" s="16" t="s">
        <v>244</v>
      </c>
      <c r="H69" s="16" t="s">
        <v>218</v>
      </c>
      <c r="I69" s="14"/>
      <c r="J69" s="16" t="s">
        <v>219</v>
      </c>
      <c r="K69" s="16" t="s">
        <v>245</v>
      </c>
      <c r="L69" s="15"/>
      <c r="M69" s="15"/>
      <c r="N69" s="14"/>
      <c r="O69" s="15"/>
      <c r="P69" s="15"/>
      <c r="Q69" s="15"/>
      <c r="R69" s="15"/>
      <c r="S69" s="15"/>
      <c r="T69" s="15"/>
      <c r="U69" s="15"/>
      <c r="V69" s="15"/>
      <c r="W69" s="15"/>
      <c r="X69" s="15"/>
      <c r="Y69" s="11"/>
      <c r="Z69" s="11"/>
      <c r="AA69" s="11"/>
      <c r="AB69" s="11"/>
      <c r="AC69" s="11"/>
      <c r="AD69" s="11"/>
    </row>
    <row r="70" hidden="1">
      <c r="A70" s="26"/>
      <c r="B70" s="10"/>
      <c r="C70" s="10" t="s">
        <v>28</v>
      </c>
      <c r="D70" s="28"/>
      <c r="E70" s="28"/>
      <c r="F70" s="20"/>
      <c r="G70" s="20" t="s">
        <v>246</v>
      </c>
      <c r="H70" s="20" t="s">
        <v>218</v>
      </c>
      <c r="I70" s="10"/>
      <c r="J70" s="20" t="s">
        <v>219</v>
      </c>
      <c r="K70" s="20" t="s">
        <v>247</v>
      </c>
      <c r="L70" s="9"/>
      <c r="M70" s="9"/>
      <c r="N70" s="10"/>
      <c r="O70" s="9"/>
      <c r="P70" s="9"/>
      <c r="Q70" s="9"/>
      <c r="R70" s="9"/>
      <c r="S70" s="9"/>
      <c r="T70" s="9"/>
      <c r="U70" s="9"/>
      <c r="V70" s="9"/>
      <c r="W70" s="9"/>
      <c r="X70" s="9"/>
      <c r="Y70" s="11"/>
      <c r="Z70" s="11"/>
      <c r="AA70" s="11"/>
      <c r="AB70" s="11"/>
      <c r="AC70" s="11"/>
      <c r="AD70" s="11"/>
    </row>
    <row r="71" hidden="1">
      <c r="A71" s="27"/>
      <c r="B71" s="14"/>
      <c r="C71" s="14" t="s">
        <v>28</v>
      </c>
      <c r="D71" s="29"/>
      <c r="E71" s="29"/>
      <c r="F71" s="16"/>
      <c r="G71" s="16" t="s">
        <v>248</v>
      </c>
      <c r="H71" s="16" t="s">
        <v>218</v>
      </c>
      <c r="I71" s="14"/>
      <c r="J71" s="16" t="s">
        <v>219</v>
      </c>
      <c r="K71" s="16" t="s">
        <v>247</v>
      </c>
      <c r="L71" s="15"/>
      <c r="M71" s="15"/>
      <c r="N71" s="14"/>
      <c r="O71" s="15"/>
      <c r="P71" s="15"/>
      <c r="Q71" s="15"/>
      <c r="R71" s="15"/>
      <c r="S71" s="15"/>
      <c r="T71" s="15"/>
      <c r="U71" s="15"/>
      <c r="V71" s="15"/>
      <c r="W71" s="15"/>
      <c r="X71" s="15"/>
      <c r="Y71" s="11"/>
      <c r="Z71" s="11"/>
      <c r="AA71" s="11"/>
      <c r="AB71" s="11"/>
      <c r="AC71" s="11"/>
      <c r="AD71" s="11"/>
    </row>
    <row r="72" hidden="1">
      <c r="A72" s="26"/>
      <c r="B72" s="10"/>
      <c r="C72" s="10" t="s">
        <v>28</v>
      </c>
      <c r="D72" s="28"/>
      <c r="E72" s="28"/>
      <c r="F72" s="20"/>
      <c r="G72" s="20" t="s">
        <v>249</v>
      </c>
      <c r="H72" s="20" t="s">
        <v>218</v>
      </c>
      <c r="I72" s="10"/>
      <c r="J72" s="20" t="s">
        <v>219</v>
      </c>
      <c r="K72" s="20" t="s">
        <v>247</v>
      </c>
      <c r="L72" s="9"/>
      <c r="M72" s="9"/>
      <c r="N72" s="10"/>
      <c r="O72" s="9"/>
      <c r="P72" s="9"/>
      <c r="Q72" s="9"/>
      <c r="R72" s="9"/>
      <c r="S72" s="9"/>
      <c r="T72" s="9"/>
      <c r="U72" s="9"/>
      <c r="V72" s="9"/>
      <c r="W72" s="9"/>
      <c r="X72" s="9"/>
      <c r="Y72" s="11"/>
      <c r="Z72" s="11"/>
      <c r="AA72" s="11"/>
      <c r="AB72" s="11"/>
      <c r="AC72" s="11"/>
      <c r="AD72" s="11"/>
    </row>
    <row r="73" hidden="1">
      <c r="A73" s="27"/>
      <c r="B73" s="14"/>
      <c r="C73" s="14" t="s">
        <v>28</v>
      </c>
      <c r="D73" s="29"/>
      <c r="E73" s="29"/>
      <c r="F73" s="16"/>
      <c r="G73" s="16" t="s">
        <v>250</v>
      </c>
      <c r="H73" s="16" t="s">
        <v>218</v>
      </c>
      <c r="I73" s="14"/>
      <c r="J73" s="16" t="s">
        <v>219</v>
      </c>
      <c r="K73" s="16" t="s">
        <v>224</v>
      </c>
      <c r="L73" s="15"/>
      <c r="M73" s="15"/>
      <c r="N73" s="14"/>
      <c r="O73" s="15"/>
      <c r="P73" s="15"/>
      <c r="Q73" s="15"/>
      <c r="R73" s="15"/>
      <c r="S73" s="15"/>
      <c r="T73" s="15"/>
      <c r="U73" s="15"/>
      <c r="V73" s="15"/>
      <c r="W73" s="15"/>
      <c r="X73" s="15"/>
      <c r="Y73" s="11"/>
      <c r="Z73" s="11"/>
      <c r="AA73" s="11"/>
      <c r="AB73" s="11"/>
      <c r="AC73" s="11"/>
      <c r="AD73" s="11"/>
    </row>
    <row r="74" hidden="1">
      <c r="A74" s="26"/>
      <c r="B74" s="10"/>
      <c r="C74" s="10" t="s">
        <v>28</v>
      </c>
      <c r="D74" s="28"/>
      <c r="E74" s="28"/>
      <c r="F74" s="20"/>
      <c r="G74" s="20" t="s">
        <v>251</v>
      </c>
      <c r="H74" s="20" t="s">
        <v>218</v>
      </c>
      <c r="I74" s="10"/>
      <c r="J74" s="20" t="s">
        <v>219</v>
      </c>
      <c r="K74" s="20" t="s">
        <v>224</v>
      </c>
      <c r="L74" s="9"/>
      <c r="M74" s="9"/>
      <c r="N74" s="10"/>
      <c r="O74" s="9"/>
      <c r="P74" s="9"/>
      <c r="Q74" s="9"/>
      <c r="R74" s="9"/>
      <c r="S74" s="9"/>
      <c r="T74" s="9"/>
      <c r="U74" s="9"/>
      <c r="V74" s="9"/>
      <c r="W74" s="9"/>
      <c r="X74" s="9"/>
      <c r="Y74" s="11"/>
      <c r="Z74" s="11"/>
      <c r="AA74" s="11"/>
      <c r="AB74" s="11"/>
      <c r="AC74" s="11"/>
      <c r="AD74" s="11"/>
    </row>
    <row r="75" hidden="1">
      <c r="A75" s="27"/>
      <c r="B75" s="14"/>
      <c r="C75" s="14" t="s">
        <v>28</v>
      </c>
      <c r="D75" s="29"/>
      <c r="E75" s="29"/>
      <c r="F75" s="16"/>
      <c r="G75" s="16" t="s">
        <v>252</v>
      </c>
      <c r="H75" s="16" t="s">
        <v>218</v>
      </c>
      <c r="I75" s="14"/>
      <c r="J75" s="16" t="s">
        <v>219</v>
      </c>
      <c r="K75" s="16" t="s">
        <v>247</v>
      </c>
      <c r="L75" s="15"/>
      <c r="M75" s="15"/>
      <c r="N75" s="14"/>
      <c r="O75" s="15"/>
      <c r="P75" s="15"/>
      <c r="Q75" s="15"/>
      <c r="R75" s="15"/>
      <c r="S75" s="15"/>
      <c r="T75" s="15"/>
      <c r="U75" s="15"/>
      <c r="V75" s="15"/>
      <c r="W75" s="15"/>
      <c r="X75" s="15"/>
      <c r="Y75" s="11"/>
      <c r="Z75" s="11"/>
      <c r="AA75" s="11"/>
      <c r="AB75" s="11"/>
      <c r="AC75" s="11"/>
      <c r="AD75" s="11"/>
    </row>
    <row r="76" hidden="1">
      <c r="A76" s="26"/>
      <c r="B76" s="10"/>
      <c r="C76" s="10" t="s">
        <v>28</v>
      </c>
      <c r="D76" s="28"/>
      <c r="E76" s="28"/>
      <c r="F76" s="20"/>
      <c r="G76" s="20" t="s">
        <v>253</v>
      </c>
      <c r="H76" s="20" t="s">
        <v>218</v>
      </c>
      <c r="I76" s="10"/>
      <c r="J76" s="20" t="s">
        <v>219</v>
      </c>
      <c r="K76" s="20" t="s">
        <v>224</v>
      </c>
      <c r="L76" s="9"/>
      <c r="M76" s="9"/>
      <c r="N76" s="10"/>
      <c r="O76" s="9"/>
      <c r="P76" s="9"/>
      <c r="Q76" s="9"/>
      <c r="R76" s="9"/>
      <c r="S76" s="9"/>
      <c r="T76" s="9"/>
      <c r="U76" s="9"/>
      <c r="V76" s="9"/>
      <c r="W76" s="9"/>
      <c r="X76" s="9"/>
      <c r="Y76" s="11"/>
      <c r="Z76" s="11"/>
      <c r="AA76" s="11"/>
      <c r="AB76" s="11"/>
      <c r="AC76" s="11"/>
      <c r="AD76" s="11"/>
    </row>
    <row r="77" hidden="1">
      <c r="A77" s="27"/>
      <c r="B77" s="14"/>
      <c r="C77" s="14" t="s">
        <v>28</v>
      </c>
      <c r="D77" s="29"/>
      <c r="E77" s="29"/>
      <c r="F77" s="16"/>
      <c r="G77" s="16" t="s">
        <v>254</v>
      </c>
      <c r="H77" s="16" t="s">
        <v>218</v>
      </c>
      <c r="I77" s="14"/>
      <c r="J77" s="16" t="s">
        <v>219</v>
      </c>
      <c r="K77" s="16" t="s">
        <v>224</v>
      </c>
      <c r="L77" s="15"/>
      <c r="M77" s="15"/>
      <c r="N77" s="14"/>
      <c r="O77" s="15"/>
      <c r="P77" s="15"/>
      <c r="Q77" s="15"/>
      <c r="R77" s="15"/>
      <c r="S77" s="15"/>
      <c r="T77" s="15"/>
      <c r="U77" s="15"/>
      <c r="V77" s="15"/>
      <c r="W77" s="15"/>
      <c r="X77" s="15"/>
      <c r="Y77" s="11"/>
      <c r="Z77" s="11"/>
      <c r="AA77" s="11"/>
      <c r="AB77" s="11"/>
      <c r="AC77" s="11"/>
      <c r="AD77" s="11"/>
    </row>
    <row r="78" hidden="1">
      <c r="A78" s="26"/>
      <c r="B78" s="10"/>
      <c r="C78" s="10" t="s">
        <v>28</v>
      </c>
      <c r="D78" s="28"/>
      <c r="E78" s="28"/>
      <c r="F78" s="20"/>
      <c r="G78" s="20" t="s">
        <v>255</v>
      </c>
      <c r="H78" s="20" t="s">
        <v>218</v>
      </c>
      <c r="I78" s="10"/>
      <c r="J78" s="20" t="s">
        <v>219</v>
      </c>
      <c r="K78" s="20" t="s">
        <v>256</v>
      </c>
      <c r="L78" s="9"/>
      <c r="M78" s="9"/>
      <c r="N78" s="10"/>
      <c r="O78" s="9"/>
      <c r="P78" s="9"/>
      <c r="Q78" s="9"/>
      <c r="R78" s="9"/>
      <c r="S78" s="9"/>
      <c r="T78" s="9"/>
      <c r="U78" s="9"/>
      <c r="V78" s="9"/>
      <c r="W78" s="9"/>
      <c r="X78" s="9"/>
      <c r="Y78" s="11"/>
      <c r="Z78" s="11"/>
      <c r="AA78" s="11"/>
      <c r="AB78" s="11"/>
      <c r="AC78" s="11"/>
      <c r="AD78" s="11"/>
    </row>
    <row r="79" hidden="1">
      <c r="A79" s="27"/>
      <c r="B79" s="14"/>
      <c r="C79" s="14" t="s">
        <v>28</v>
      </c>
      <c r="D79" s="29"/>
      <c r="E79" s="29"/>
      <c r="F79" s="16"/>
      <c r="G79" s="16" t="s">
        <v>257</v>
      </c>
      <c r="H79" s="16" t="s">
        <v>218</v>
      </c>
      <c r="I79" s="14"/>
      <c r="J79" s="16" t="s">
        <v>219</v>
      </c>
      <c r="K79" s="16" t="s">
        <v>258</v>
      </c>
      <c r="L79" s="15"/>
      <c r="M79" s="15"/>
      <c r="N79" s="14"/>
      <c r="O79" s="15"/>
      <c r="P79" s="15"/>
      <c r="Q79" s="15"/>
      <c r="R79" s="15"/>
      <c r="S79" s="15"/>
      <c r="T79" s="15"/>
      <c r="U79" s="15"/>
      <c r="V79" s="15"/>
      <c r="W79" s="15"/>
      <c r="X79" s="15"/>
      <c r="Y79" s="11"/>
      <c r="Z79" s="11"/>
      <c r="AA79" s="11"/>
      <c r="AB79" s="11"/>
      <c r="AC79" s="11"/>
      <c r="AD79" s="11"/>
    </row>
    <row r="80" hidden="1">
      <c r="A80" s="26"/>
      <c r="B80" s="10"/>
      <c r="C80" s="10" t="s">
        <v>28</v>
      </c>
      <c r="D80" s="28"/>
      <c r="E80" s="28"/>
      <c r="F80" s="20"/>
      <c r="G80" s="20" t="s">
        <v>259</v>
      </c>
      <c r="H80" s="20" t="s">
        <v>218</v>
      </c>
      <c r="I80" s="10"/>
      <c r="J80" s="20" t="s">
        <v>219</v>
      </c>
      <c r="K80" s="20" t="s">
        <v>260</v>
      </c>
      <c r="L80" s="9"/>
      <c r="M80" s="9"/>
      <c r="N80" s="10"/>
      <c r="O80" s="9"/>
      <c r="P80" s="9"/>
      <c r="Q80" s="9"/>
      <c r="R80" s="9"/>
      <c r="S80" s="9"/>
      <c r="T80" s="9"/>
      <c r="U80" s="9"/>
      <c r="V80" s="9"/>
      <c r="W80" s="9"/>
      <c r="X80" s="9"/>
      <c r="Y80" s="11"/>
      <c r="Z80" s="11"/>
      <c r="AA80" s="11"/>
      <c r="AB80" s="11"/>
      <c r="AC80" s="11"/>
      <c r="AD80" s="11"/>
    </row>
    <row r="81" hidden="1">
      <c r="A81" s="27"/>
      <c r="B81" s="14" t="s">
        <v>182</v>
      </c>
      <c r="C81" s="14" t="s">
        <v>28</v>
      </c>
      <c r="D81" s="14"/>
      <c r="E81" s="14" t="s">
        <v>261</v>
      </c>
      <c r="F81" s="29"/>
      <c r="G81" s="29"/>
      <c r="H81" s="16"/>
      <c r="I81" s="14"/>
      <c r="J81" s="15"/>
      <c r="K81" s="15"/>
      <c r="L81" s="15"/>
      <c r="M81" s="15"/>
      <c r="N81" s="14"/>
      <c r="O81" s="15"/>
      <c r="P81" s="15"/>
      <c r="Q81" s="15"/>
      <c r="R81" s="15"/>
      <c r="S81" s="15"/>
      <c r="T81" s="15"/>
      <c r="U81" s="15"/>
      <c r="V81" s="15"/>
      <c r="W81" s="15"/>
      <c r="X81" s="15"/>
      <c r="Y81" s="11"/>
      <c r="Z81" s="11"/>
      <c r="AA81" s="11"/>
      <c r="AB81" s="11"/>
      <c r="AC81" s="11"/>
      <c r="AD81" s="11"/>
    </row>
    <row r="82" hidden="1">
      <c r="A82" s="26"/>
      <c r="B82" s="10"/>
      <c r="C82" s="10" t="s">
        <v>28</v>
      </c>
      <c r="D82" s="28"/>
      <c r="E82" s="28"/>
      <c r="F82" s="20"/>
      <c r="G82" s="20" t="s">
        <v>262</v>
      </c>
      <c r="H82" s="20" t="s">
        <v>218</v>
      </c>
      <c r="I82" s="20"/>
      <c r="J82" s="20" t="s">
        <v>263</v>
      </c>
      <c r="K82" s="20" t="s">
        <v>264</v>
      </c>
      <c r="L82" s="9"/>
      <c r="M82" s="9"/>
      <c r="N82" s="10"/>
      <c r="O82" s="9"/>
      <c r="P82" s="9"/>
      <c r="Q82" s="9"/>
      <c r="R82" s="9"/>
      <c r="S82" s="9"/>
      <c r="T82" s="9"/>
      <c r="U82" s="9"/>
      <c r="V82" s="9"/>
      <c r="W82" s="9"/>
      <c r="X82" s="9"/>
      <c r="Y82" s="11"/>
      <c r="Z82" s="11"/>
      <c r="AA82" s="11"/>
      <c r="AB82" s="11"/>
      <c r="AC82" s="11"/>
      <c r="AD82" s="11"/>
    </row>
    <row r="83" hidden="1">
      <c r="A83" s="27"/>
      <c r="B83" s="14"/>
      <c r="C83" s="14" t="s">
        <v>28</v>
      </c>
      <c r="D83" s="29"/>
      <c r="E83" s="29"/>
      <c r="F83" s="16"/>
      <c r="G83" s="16" t="s">
        <v>265</v>
      </c>
      <c r="H83" s="16" t="s">
        <v>218</v>
      </c>
      <c r="I83" s="16"/>
      <c r="J83" s="16" t="s">
        <v>263</v>
      </c>
      <c r="K83" s="16" t="s">
        <v>266</v>
      </c>
      <c r="L83" s="15"/>
      <c r="M83" s="15"/>
      <c r="N83" s="14"/>
      <c r="O83" s="15"/>
      <c r="P83" s="15"/>
      <c r="Q83" s="15"/>
      <c r="R83" s="15"/>
      <c r="S83" s="15"/>
      <c r="T83" s="15"/>
      <c r="U83" s="15"/>
      <c r="V83" s="15"/>
      <c r="W83" s="15"/>
      <c r="X83" s="15"/>
      <c r="Y83" s="11"/>
      <c r="Z83" s="11"/>
      <c r="AA83" s="11"/>
      <c r="AB83" s="11"/>
      <c r="AC83" s="11"/>
      <c r="AD83" s="11"/>
    </row>
    <row r="84" hidden="1">
      <c r="A84" s="26"/>
      <c r="B84" s="10"/>
      <c r="C84" s="10" t="s">
        <v>28</v>
      </c>
      <c r="D84" s="28"/>
      <c r="E84" s="28"/>
      <c r="F84" s="20"/>
      <c r="G84" s="20" t="s">
        <v>267</v>
      </c>
      <c r="H84" s="20" t="s">
        <v>218</v>
      </c>
      <c r="I84" s="20"/>
      <c r="J84" s="20" t="s">
        <v>263</v>
      </c>
      <c r="K84" s="20" t="s">
        <v>224</v>
      </c>
      <c r="L84" s="9"/>
      <c r="M84" s="9"/>
      <c r="N84" s="10"/>
      <c r="O84" s="9"/>
      <c r="P84" s="9"/>
      <c r="Q84" s="9"/>
      <c r="R84" s="9"/>
      <c r="S84" s="9"/>
      <c r="T84" s="9"/>
      <c r="U84" s="9"/>
      <c r="V84" s="9"/>
      <c r="W84" s="9"/>
      <c r="X84" s="9"/>
      <c r="Y84" s="11"/>
      <c r="Z84" s="11"/>
      <c r="AA84" s="11"/>
      <c r="AB84" s="11"/>
      <c r="AC84" s="11"/>
      <c r="AD84" s="11"/>
    </row>
    <row r="85" hidden="1">
      <c r="A85" s="27"/>
      <c r="B85" s="14"/>
      <c r="C85" s="14" t="s">
        <v>28</v>
      </c>
      <c r="D85" s="29"/>
      <c r="E85" s="29"/>
      <c r="F85" s="16"/>
      <c r="G85" s="16" t="s">
        <v>268</v>
      </c>
      <c r="H85" s="16" t="s">
        <v>218</v>
      </c>
      <c r="I85" s="16"/>
      <c r="J85" s="16" t="s">
        <v>263</v>
      </c>
      <c r="K85" s="16" t="s">
        <v>228</v>
      </c>
      <c r="L85" s="15"/>
      <c r="M85" s="15"/>
      <c r="N85" s="14"/>
      <c r="O85" s="15"/>
      <c r="P85" s="15"/>
      <c r="Q85" s="15"/>
      <c r="R85" s="15"/>
      <c r="S85" s="15"/>
      <c r="T85" s="15"/>
      <c r="U85" s="15"/>
      <c r="V85" s="15"/>
      <c r="W85" s="15"/>
      <c r="X85" s="15"/>
      <c r="Y85" s="11"/>
      <c r="Z85" s="11"/>
      <c r="AA85" s="11"/>
      <c r="AB85" s="11"/>
      <c r="AC85" s="11"/>
      <c r="AD85" s="11"/>
    </row>
    <row r="86" hidden="1">
      <c r="A86" s="26"/>
      <c r="B86" s="10"/>
      <c r="C86" s="10" t="s">
        <v>28</v>
      </c>
      <c r="D86" s="28"/>
      <c r="E86" s="28"/>
      <c r="F86" s="20"/>
      <c r="G86" s="20" t="s">
        <v>269</v>
      </c>
      <c r="H86" s="20" t="s">
        <v>218</v>
      </c>
      <c r="I86" s="20"/>
      <c r="J86" s="20" t="s">
        <v>263</v>
      </c>
      <c r="K86" s="20" t="s">
        <v>270</v>
      </c>
      <c r="L86" s="9"/>
      <c r="M86" s="9"/>
      <c r="N86" s="10"/>
      <c r="O86" s="9"/>
      <c r="P86" s="9"/>
      <c r="Q86" s="9"/>
      <c r="R86" s="9"/>
      <c r="S86" s="9"/>
      <c r="T86" s="9"/>
      <c r="U86" s="9"/>
      <c r="V86" s="9"/>
      <c r="W86" s="9"/>
      <c r="X86" s="9"/>
      <c r="Y86" s="11"/>
      <c r="Z86" s="11"/>
      <c r="AA86" s="11"/>
      <c r="AB86" s="11"/>
      <c r="AC86" s="11"/>
      <c r="AD86" s="11"/>
    </row>
    <row r="87" hidden="1">
      <c r="A87" s="27"/>
      <c r="B87" s="14"/>
      <c r="C87" s="14" t="s">
        <v>28</v>
      </c>
      <c r="D87" s="29"/>
      <c r="E87" s="29"/>
      <c r="F87" s="16"/>
      <c r="G87" s="16" t="s">
        <v>271</v>
      </c>
      <c r="H87" s="16" t="s">
        <v>218</v>
      </c>
      <c r="I87" s="16"/>
      <c r="J87" s="16" t="s">
        <v>263</v>
      </c>
      <c r="K87" s="16" t="s">
        <v>272</v>
      </c>
      <c r="L87" s="15"/>
      <c r="M87" s="15"/>
      <c r="N87" s="14"/>
      <c r="O87" s="15"/>
      <c r="P87" s="15"/>
      <c r="Q87" s="15"/>
      <c r="R87" s="15"/>
      <c r="S87" s="15"/>
      <c r="T87" s="15"/>
      <c r="U87" s="15"/>
      <c r="V87" s="15"/>
      <c r="W87" s="15"/>
      <c r="X87" s="15"/>
      <c r="Y87" s="11"/>
      <c r="Z87" s="11"/>
      <c r="AA87" s="11"/>
      <c r="AB87" s="11"/>
      <c r="AC87" s="11"/>
      <c r="AD87" s="11"/>
    </row>
    <row r="88" hidden="1">
      <c r="A88" s="26"/>
      <c r="B88" s="10"/>
      <c r="C88" s="10" t="s">
        <v>28</v>
      </c>
      <c r="D88" s="28"/>
      <c r="E88" s="28"/>
      <c r="F88" s="20"/>
      <c r="G88" s="20" t="s">
        <v>273</v>
      </c>
      <c r="H88" s="20" t="s">
        <v>218</v>
      </c>
      <c r="I88" s="20"/>
      <c r="J88" s="20" t="s">
        <v>263</v>
      </c>
      <c r="K88" s="20" t="s">
        <v>274</v>
      </c>
      <c r="L88" s="9"/>
      <c r="M88" s="9"/>
      <c r="N88" s="10"/>
      <c r="O88" s="9"/>
      <c r="P88" s="9"/>
      <c r="Q88" s="9"/>
      <c r="R88" s="9"/>
      <c r="S88" s="9"/>
      <c r="T88" s="9"/>
      <c r="U88" s="9"/>
      <c r="V88" s="9"/>
      <c r="W88" s="9"/>
      <c r="X88" s="9"/>
      <c r="Y88" s="11"/>
      <c r="Z88" s="11"/>
      <c r="AA88" s="11"/>
      <c r="AB88" s="11"/>
      <c r="AC88" s="11"/>
      <c r="AD88" s="11"/>
    </row>
    <row r="89" hidden="1">
      <c r="A89" s="27"/>
      <c r="B89" s="14"/>
      <c r="C89" s="14" t="s">
        <v>28</v>
      </c>
      <c r="D89" s="29"/>
      <c r="E89" s="29"/>
      <c r="F89" s="16"/>
      <c r="G89" s="16" t="s">
        <v>275</v>
      </c>
      <c r="H89" s="16" t="s">
        <v>218</v>
      </c>
      <c r="I89" s="16"/>
      <c r="J89" s="16" t="s">
        <v>263</v>
      </c>
      <c r="K89" s="16" t="s">
        <v>224</v>
      </c>
      <c r="L89" s="15"/>
      <c r="M89" s="15"/>
      <c r="N89" s="14"/>
      <c r="O89" s="15"/>
      <c r="P89" s="15"/>
      <c r="Q89" s="15"/>
      <c r="R89" s="15"/>
      <c r="S89" s="15"/>
      <c r="T89" s="15"/>
      <c r="U89" s="15"/>
      <c r="V89" s="15"/>
      <c r="W89" s="15"/>
      <c r="X89" s="15"/>
      <c r="Y89" s="11"/>
      <c r="Z89" s="11"/>
      <c r="AA89" s="11"/>
      <c r="AB89" s="11"/>
      <c r="AC89" s="11"/>
      <c r="AD89" s="11"/>
    </row>
    <row r="90" hidden="1">
      <c r="A90" s="26"/>
      <c r="B90" s="10"/>
      <c r="C90" s="10" t="s">
        <v>28</v>
      </c>
      <c r="D90" s="28"/>
      <c r="E90" s="28"/>
      <c r="F90" s="20"/>
      <c r="G90" s="20" t="s">
        <v>233</v>
      </c>
      <c r="H90" s="20" t="s">
        <v>218</v>
      </c>
      <c r="I90" s="20"/>
      <c r="J90" s="20" t="s">
        <v>263</v>
      </c>
      <c r="K90" s="20" t="s">
        <v>224</v>
      </c>
      <c r="L90" s="9"/>
      <c r="M90" s="9"/>
      <c r="N90" s="10"/>
      <c r="O90" s="9"/>
      <c r="P90" s="9"/>
      <c r="Q90" s="9"/>
      <c r="R90" s="9"/>
      <c r="S90" s="9"/>
      <c r="T90" s="9"/>
      <c r="U90" s="9"/>
      <c r="V90" s="9"/>
      <c r="W90" s="9"/>
      <c r="X90" s="9"/>
      <c r="Y90" s="11"/>
      <c r="Z90" s="11"/>
      <c r="AA90" s="11"/>
      <c r="AB90" s="11"/>
      <c r="AC90" s="11"/>
      <c r="AD90" s="11"/>
    </row>
    <row r="91" hidden="1">
      <c r="A91" s="27"/>
      <c r="B91" s="14"/>
      <c r="C91" s="14" t="s">
        <v>28</v>
      </c>
      <c r="D91" s="29"/>
      <c r="E91" s="29"/>
      <c r="F91" s="16"/>
      <c r="G91" s="16" t="s">
        <v>259</v>
      </c>
      <c r="H91" s="16" t="s">
        <v>218</v>
      </c>
      <c r="I91" s="16"/>
      <c r="J91" s="16" t="s">
        <v>263</v>
      </c>
      <c r="K91" s="16" t="s">
        <v>276</v>
      </c>
      <c r="L91" s="15"/>
      <c r="M91" s="15"/>
      <c r="N91" s="14"/>
      <c r="O91" s="15"/>
      <c r="P91" s="15"/>
      <c r="Q91" s="15"/>
      <c r="R91" s="15"/>
      <c r="S91" s="15"/>
      <c r="T91" s="15"/>
      <c r="U91" s="15"/>
      <c r="V91" s="15"/>
      <c r="W91" s="15"/>
      <c r="X91" s="15"/>
      <c r="Y91" s="11"/>
      <c r="Z91" s="11"/>
      <c r="AA91" s="11"/>
      <c r="AB91" s="11"/>
      <c r="AC91" s="11"/>
      <c r="AD91" s="11"/>
    </row>
    <row r="92" hidden="1">
      <c r="A92" s="26"/>
      <c r="B92" s="10" t="s">
        <v>182</v>
      </c>
      <c r="C92" s="10" t="s">
        <v>28</v>
      </c>
      <c r="D92" s="10"/>
      <c r="E92" s="10" t="s">
        <v>277</v>
      </c>
      <c r="F92" s="28"/>
      <c r="G92" s="28"/>
      <c r="H92" s="20"/>
      <c r="I92" s="10"/>
      <c r="J92" s="9"/>
      <c r="K92" s="9"/>
      <c r="L92" s="9"/>
      <c r="M92" s="9"/>
      <c r="N92" s="10"/>
      <c r="O92" s="9"/>
      <c r="P92" s="9"/>
      <c r="Q92" s="9"/>
      <c r="R92" s="9"/>
      <c r="S92" s="9"/>
      <c r="T92" s="9"/>
      <c r="U92" s="9"/>
      <c r="V92" s="9"/>
      <c r="W92" s="9"/>
      <c r="X92" s="9"/>
      <c r="Y92" s="11"/>
      <c r="Z92" s="11"/>
      <c r="AA92" s="11"/>
      <c r="AB92" s="11"/>
      <c r="AC92" s="11"/>
      <c r="AD92" s="11"/>
    </row>
    <row r="93" hidden="1">
      <c r="A93" s="27"/>
      <c r="B93" s="14"/>
      <c r="C93" s="14" t="s">
        <v>28</v>
      </c>
      <c r="D93" s="29"/>
      <c r="E93" s="29"/>
      <c r="F93" s="34"/>
      <c r="G93" s="16" t="s">
        <v>278</v>
      </c>
      <c r="H93" s="16" t="s">
        <v>218</v>
      </c>
      <c r="I93" s="16"/>
      <c r="J93" s="16" t="s">
        <v>263</v>
      </c>
      <c r="K93" s="16" t="s">
        <v>247</v>
      </c>
      <c r="L93" s="15"/>
      <c r="M93" s="15"/>
      <c r="N93" s="14"/>
      <c r="O93" s="15"/>
      <c r="P93" s="15"/>
      <c r="Q93" s="15"/>
      <c r="R93" s="15"/>
      <c r="S93" s="15"/>
      <c r="T93" s="15"/>
      <c r="U93" s="15"/>
      <c r="V93" s="15"/>
      <c r="W93" s="15"/>
      <c r="X93" s="15"/>
      <c r="Y93" s="11"/>
      <c r="Z93" s="11"/>
      <c r="AA93" s="11"/>
      <c r="AB93" s="11"/>
      <c r="AC93" s="11"/>
      <c r="AD93" s="11"/>
    </row>
    <row r="94" hidden="1">
      <c r="A94" s="26"/>
      <c r="B94" s="10"/>
      <c r="C94" s="10" t="s">
        <v>28</v>
      </c>
      <c r="D94" s="28"/>
      <c r="E94" s="28"/>
      <c r="F94" s="35"/>
      <c r="G94" s="20" t="s">
        <v>279</v>
      </c>
      <c r="H94" s="20" t="s">
        <v>218</v>
      </c>
      <c r="I94" s="20"/>
      <c r="J94" s="20" t="s">
        <v>263</v>
      </c>
      <c r="K94" s="20" t="s">
        <v>280</v>
      </c>
      <c r="L94" s="9"/>
      <c r="M94" s="9"/>
      <c r="N94" s="10"/>
      <c r="O94" s="9"/>
      <c r="P94" s="9"/>
      <c r="Q94" s="9"/>
      <c r="R94" s="9"/>
      <c r="S94" s="9"/>
      <c r="T94" s="9"/>
      <c r="U94" s="9"/>
      <c r="V94" s="9"/>
      <c r="W94" s="9"/>
      <c r="X94" s="9"/>
      <c r="Y94" s="11"/>
      <c r="Z94" s="11"/>
      <c r="AA94" s="11"/>
      <c r="AB94" s="11"/>
      <c r="AC94" s="11"/>
      <c r="AD94" s="11"/>
    </row>
    <row r="95" hidden="1">
      <c r="A95" s="27"/>
      <c r="B95" s="14"/>
      <c r="C95" s="14" t="s">
        <v>28</v>
      </c>
      <c r="D95" s="29"/>
      <c r="E95" s="29"/>
      <c r="F95" s="34"/>
      <c r="G95" s="16" t="s">
        <v>281</v>
      </c>
      <c r="H95" s="16" t="s">
        <v>218</v>
      </c>
      <c r="I95" s="16"/>
      <c r="J95" s="16" t="s">
        <v>263</v>
      </c>
      <c r="K95" s="16" t="s">
        <v>274</v>
      </c>
      <c r="L95" s="15"/>
      <c r="M95" s="15"/>
      <c r="N95" s="14"/>
      <c r="O95" s="15"/>
      <c r="P95" s="15"/>
      <c r="Q95" s="15"/>
      <c r="R95" s="15"/>
      <c r="S95" s="15"/>
      <c r="T95" s="15"/>
      <c r="U95" s="15"/>
      <c r="V95" s="15"/>
      <c r="W95" s="15"/>
      <c r="X95" s="15"/>
      <c r="Y95" s="11"/>
      <c r="Z95" s="11"/>
      <c r="AA95" s="11"/>
      <c r="AB95" s="11"/>
      <c r="AC95" s="11"/>
      <c r="AD95" s="11"/>
    </row>
    <row r="96" hidden="1">
      <c r="A96" s="26"/>
      <c r="B96" s="10"/>
      <c r="C96" s="10" t="s">
        <v>28</v>
      </c>
      <c r="D96" s="28"/>
      <c r="E96" s="28"/>
      <c r="F96" s="35"/>
      <c r="G96" s="20" t="s">
        <v>282</v>
      </c>
      <c r="H96" s="20" t="s">
        <v>218</v>
      </c>
      <c r="I96" s="20"/>
      <c r="J96" s="20" t="s">
        <v>263</v>
      </c>
      <c r="K96" s="20" t="s">
        <v>283</v>
      </c>
      <c r="L96" s="9"/>
      <c r="M96" s="9"/>
      <c r="N96" s="10"/>
      <c r="O96" s="9"/>
      <c r="P96" s="9"/>
      <c r="Q96" s="9"/>
      <c r="R96" s="9"/>
      <c r="S96" s="9"/>
      <c r="T96" s="9"/>
      <c r="U96" s="9"/>
      <c r="V96" s="9"/>
      <c r="W96" s="9"/>
      <c r="X96" s="9"/>
      <c r="Y96" s="11"/>
      <c r="Z96" s="11"/>
      <c r="AA96" s="11"/>
      <c r="AB96" s="11"/>
      <c r="AC96" s="11"/>
      <c r="AD96" s="11"/>
    </row>
    <row r="97" hidden="1">
      <c r="A97" s="27"/>
      <c r="B97" s="14"/>
      <c r="C97" s="14" t="s">
        <v>28</v>
      </c>
      <c r="D97" s="29"/>
      <c r="E97" s="29"/>
      <c r="F97" s="34"/>
      <c r="G97" s="16" t="s">
        <v>284</v>
      </c>
      <c r="H97" s="16" t="s">
        <v>218</v>
      </c>
      <c r="I97" s="16"/>
      <c r="J97" s="16" t="s">
        <v>263</v>
      </c>
      <c r="K97" s="16" t="s">
        <v>285</v>
      </c>
      <c r="L97" s="15"/>
      <c r="M97" s="15"/>
      <c r="N97" s="14"/>
      <c r="O97" s="15"/>
      <c r="P97" s="15"/>
      <c r="Q97" s="15"/>
      <c r="R97" s="15"/>
      <c r="S97" s="15"/>
      <c r="T97" s="15"/>
      <c r="U97" s="15"/>
      <c r="V97" s="15"/>
      <c r="W97" s="15"/>
      <c r="X97" s="15"/>
      <c r="Y97" s="11"/>
      <c r="Z97" s="11"/>
      <c r="AA97" s="11"/>
      <c r="AB97" s="11"/>
      <c r="AC97" s="11"/>
      <c r="AD97" s="11"/>
    </row>
    <row r="98" hidden="1">
      <c r="A98" s="26"/>
      <c r="B98" s="10">
        <v>10.0</v>
      </c>
      <c r="C98" s="10" t="s">
        <v>28</v>
      </c>
      <c r="D98" s="28" t="str">
        <f t="shared" ref="D98:D116" si="1">IF(G98&lt;&gt;"","QLTTHDVMPL_"&amp;TEXT(COUNTIF($G$98:G98,"&lt;&gt;"),"00"),"")</f>
        <v>QLTTHDVMPL_01</v>
      </c>
      <c r="E98" s="28" t="s">
        <v>286</v>
      </c>
      <c r="F98" s="28" t="s">
        <v>287</v>
      </c>
      <c r="G98" s="28" t="s">
        <v>288</v>
      </c>
      <c r="H98" s="20" t="s">
        <v>289</v>
      </c>
      <c r="I98" s="10"/>
      <c r="J98" s="20" t="s">
        <v>290</v>
      </c>
      <c r="K98" s="9" t="s">
        <v>288</v>
      </c>
      <c r="L98" s="9" t="s">
        <v>288</v>
      </c>
      <c r="M98" s="8" t="s">
        <v>291</v>
      </c>
      <c r="N98" s="10" t="s">
        <v>37</v>
      </c>
      <c r="O98" s="9"/>
      <c r="P98" s="9"/>
      <c r="Q98" s="9"/>
      <c r="R98" s="9"/>
      <c r="S98" s="9"/>
      <c r="T98" s="9"/>
      <c r="U98" s="9"/>
      <c r="V98" s="9"/>
      <c r="W98" s="9"/>
      <c r="X98" s="9"/>
      <c r="Y98" s="11"/>
      <c r="Z98" s="11"/>
      <c r="AA98" s="11"/>
      <c r="AB98" s="11"/>
      <c r="AC98" s="11"/>
      <c r="AD98" s="11"/>
    </row>
    <row r="99" hidden="1">
      <c r="A99" s="27"/>
      <c r="B99" s="36">
        <v>46203.0</v>
      </c>
      <c r="C99" s="14" t="s">
        <v>28</v>
      </c>
      <c r="D99" s="29" t="str">
        <f t="shared" si="1"/>
        <v>QLTTHDVMPL_02</v>
      </c>
      <c r="E99" s="29"/>
      <c r="F99" s="29"/>
      <c r="G99" s="16" t="s">
        <v>292</v>
      </c>
      <c r="H99" s="16" t="s">
        <v>293</v>
      </c>
      <c r="I99" s="16" t="s">
        <v>294</v>
      </c>
      <c r="J99" s="16" t="s">
        <v>295</v>
      </c>
      <c r="K99" s="16" t="s">
        <v>296</v>
      </c>
      <c r="L99" s="16" t="s">
        <v>296</v>
      </c>
      <c r="M99" s="30" t="s">
        <v>297</v>
      </c>
      <c r="N99" s="14" t="s">
        <v>37</v>
      </c>
      <c r="O99" s="15"/>
      <c r="P99" s="15"/>
      <c r="Q99" s="15"/>
      <c r="R99" s="15"/>
      <c r="S99" s="15"/>
      <c r="T99" s="15"/>
      <c r="U99" s="15"/>
      <c r="V99" s="15"/>
      <c r="W99" s="15"/>
      <c r="X99" s="15"/>
      <c r="Y99" s="11"/>
      <c r="Z99" s="11"/>
      <c r="AA99" s="11"/>
      <c r="AB99" s="11"/>
      <c r="AC99" s="11"/>
      <c r="AD99" s="11"/>
    </row>
    <row r="100" hidden="1">
      <c r="A100" s="26"/>
      <c r="B100" s="37">
        <v>46203.0</v>
      </c>
      <c r="C100" s="10" t="s">
        <v>28</v>
      </c>
      <c r="D100" s="28" t="str">
        <f t="shared" si="1"/>
        <v>QLTTHDVMPL_03</v>
      </c>
      <c r="E100" s="28"/>
      <c r="F100" s="28"/>
      <c r="G100" s="20" t="s">
        <v>298</v>
      </c>
      <c r="H100" s="20" t="s">
        <v>299</v>
      </c>
      <c r="I100" s="20" t="s">
        <v>300</v>
      </c>
      <c r="J100" s="20" t="s">
        <v>301</v>
      </c>
      <c r="K100" s="20" t="s">
        <v>302</v>
      </c>
      <c r="L100" s="20" t="s">
        <v>302</v>
      </c>
      <c r="M100" s="8" t="s">
        <v>303</v>
      </c>
      <c r="N100" s="10" t="s">
        <v>37</v>
      </c>
      <c r="O100" s="9"/>
      <c r="P100" s="9"/>
      <c r="Q100" s="9"/>
      <c r="R100" s="9"/>
      <c r="S100" s="9"/>
      <c r="T100" s="9"/>
      <c r="U100" s="9"/>
      <c r="V100" s="9"/>
      <c r="W100" s="9"/>
      <c r="X100" s="9"/>
      <c r="Y100" s="11"/>
      <c r="Z100" s="11"/>
      <c r="AA100" s="11"/>
      <c r="AB100" s="11"/>
      <c r="AC100" s="11"/>
      <c r="AD100" s="11"/>
    </row>
    <row r="101">
      <c r="A101" s="27"/>
      <c r="B101" s="36">
        <v>46203.0</v>
      </c>
      <c r="C101" s="14" t="s">
        <v>28</v>
      </c>
      <c r="D101" s="29" t="str">
        <f t="shared" si="1"/>
        <v>QLTTHDVMPL_04</v>
      </c>
      <c r="E101" s="29"/>
      <c r="F101" s="29"/>
      <c r="G101" s="16" t="s">
        <v>304</v>
      </c>
      <c r="H101" s="16" t="s">
        <v>305</v>
      </c>
      <c r="I101" s="16" t="s">
        <v>306</v>
      </c>
      <c r="J101" s="16" t="s">
        <v>307</v>
      </c>
      <c r="K101" s="16" t="s">
        <v>308</v>
      </c>
      <c r="L101" s="15" t="s">
        <v>309</v>
      </c>
      <c r="M101" s="30" t="s">
        <v>310</v>
      </c>
      <c r="N101" s="14" t="s">
        <v>64</v>
      </c>
      <c r="O101" s="15"/>
      <c r="P101" s="24" t="s">
        <v>65</v>
      </c>
      <c r="Q101" s="25" t="s">
        <v>37</v>
      </c>
      <c r="R101" s="15"/>
      <c r="S101" s="15"/>
      <c r="T101" s="15"/>
      <c r="U101" s="15"/>
      <c r="V101" s="15"/>
      <c r="W101" s="15"/>
      <c r="X101" s="15"/>
      <c r="Y101" s="11"/>
      <c r="Z101" s="11"/>
      <c r="AA101" s="11"/>
      <c r="AB101" s="11"/>
      <c r="AC101" s="11"/>
      <c r="AD101" s="11"/>
    </row>
    <row r="102" hidden="1">
      <c r="A102" s="26"/>
      <c r="B102" s="37">
        <v>46203.0</v>
      </c>
      <c r="C102" s="10" t="s">
        <v>28</v>
      </c>
      <c r="D102" s="28" t="str">
        <f t="shared" si="1"/>
        <v>QLTTHDVMPL_05</v>
      </c>
      <c r="E102" s="28"/>
      <c r="F102" s="28"/>
      <c r="G102" s="20" t="s">
        <v>311</v>
      </c>
      <c r="H102" s="20" t="s">
        <v>312</v>
      </c>
      <c r="I102" s="20" t="s">
        <v>313</v>
      </c>
      <c r="J102" s="20" t="s">
        <v>314</v>
      </c>
      <c r="K102" s="20" t="s">
        <v>315</v>
      </c>
      <c r="L102" s="20" t="s">
        <v>315</v>
      </c>
      <c r="M102" s="8" t="s">
        <v>316</v>
      </c>
      <c r="N102" s="10" t="s">
        <v>37</v>
      </c>
      <c r="O102" s="9"/>
      <c r="P102" s="9"/>
      <c r="Q102" s="9"/>
      <c r="R102" s="9"/>
      <c r="S102" s="9"/>
      <c r="T102" s="9"/>
      <c r="U102" s="9"/>
      <c r="V102" s="9"/>
      <c r="W102" s="9"/>
      <c r="X102" s="9"/>
      <c r="Y102" s="11"/>
      <c r="Z102" s="11"/>
      <c r="AA102" s="11"/>
      <c r="AB102" s="11"/>
      <c r="AC102" s="11"/>
      <c r="AD102" s="11"/>
    </row>
    <row r="103" hidden="1">
      <c r="A103" s="27"/>
      <c r="B103" s="36">
        <v>46203.0</v>
      </c>
      <c r="C103" s="14" t="s">
        <v>28</v>
      </c>
      <c r="D103" s="29" t="str">
        <f t="shared" si="1"/>
        <v>QLTTHDVMPL_06</v>
      </c>
      <c r="E103" s="29"/>
      <c r="F103" s="29"/>
      <c r="G103" s="16" t="s">
        <v>317</v>
      </c>
      <c r="H103" s="16" t="s">
        <v>318</v>
      </c>
      <c r="I103" s="16" t="s">
        <v>319</v>
      </c>
      <c r="J103" s="16" t="s">
        <v>320</v>
      </c>
      <c r="K103" s="16" t="s">
        <v>321</v>
      </c>
      <c r="L103" s="16" t="s">
        <v>321</v>
      </c>
      <c r="M103" s="30" t="s">
        <v>322</v>
      </c>
      <c r="N103" s="14" t="s">
        <v>37</v>
      </c>
      <c r="O103" s="15"/>
      <c r="P103" s="15"/>
      <c r="Q103" s="15"/>
      <c r="R103" s="15"/>
      <c r="S103" s="15"/>
      <c r="T103" s="15"/>
      <c r="U103" s="15"/>
      <c r="V103" s="15"/>
      <c r="W103" s="15"/>
      <c r="X103" s="15"/>
      <c r="Y103" s="11"/>
      <c r="Z103" s="11"/>
      <c r="AA103" s="11"/>
      <c r="AB103" s="11"/>
      <c r="AC103" s="11"/>
      <c r="AD103" s="11"/>
    </row>
    <row r="104" hidden="1">
      <c r="A104" s="26"/>
      <c r="B104" s="37">
        <v>46203.0</v>
      </c>
      <c r="C104" s="10" t="s">
        <v>28</v>
      </c>
      <c r="D104" s="28" t="str">
        <f t="shared" si="1"/>
        <v>QLTTHDVMPL_07</v>
      </c>
      <c r="E104" s="28"/>
      <c r="F104" s="28"/>
      <c r="G104" s="20" t="s">
        <v>323</v>
      </c>
      <c r="H104" s="20" t="s">
        <v>324</v>
      </c>
      <c r="I104" s="20" t="s">
        <v>325</v>
      </c>
      <c r="J104" s="20" t="s">
        <v>326</v>
      </c>
      <c r="K104" s="20" t="s">
        <v>327</v>
      </c>
      <c r="L104" s="20" t="s">
        <v>327</v>
      </c>
      <c r="M104" s="8" t="s">
        <v>328</v>
      </c>
      <c r="N104" s="10" t="s">
        <v>37</v>
      </c>
      <c r="O104" s="9"/>
      <c r="P104" s="9"/>
      <c r="Q104" s="9"/>
      <c r="R104" s="9"/>
      <c r="S104" s="9"/>
      <c r="T104" s="9"/>
      <c r="U104" s="9"/>
      <c r="V104" s="9"/>
      <c r="W104" s="9"/>
      <c r="X104" s="9"/>
      <c r="Y104" s="11"/>
      <c r="Z104" s="11"/>
      <c r="AA104" s="11"/>
      <c r="AB104" s="11"/>
      <c r="AC104" s="11"/>
      <c r="AD104" s="11"/>
    </row>
    <row r="105" hidden="1">
      <c r="A105" s="27"/>
      <c r="B105" s="36">
        <v>46203.0</v>
      </c>
      <c r="C105" s="14" t="s">
        <v>28</v>
      </c>
      <c r="D105" s="29" t="str">
        <f t="shared" si="1"/>
        <v>QLTTHDVMPL_08</v>
      </c>
      <c r="E105" s="29"/>
      <c r="F105" s="29"/>
      <c r="G105" s="16" t="s">
        <v>329</v>
      </c>
      <c r="H105" s="16" t="s">
        <v>330</v>
      </c>
      <c r="I105" s="16" t="s">
        <v>331</v>
      </c>
      <c r="J105" s="16" t="s">
        <v>332</v>
      </c>
      <c r="K105" s="16" t="s">
        <v>333</v>
      </c>
      <c r="L105" s="16" t="s">
        <v>333</v>
      </c>
      <c r="M105" s="30" t="s">
        <v>334</v>
      </c>
      <c r="N105" s="14" t="s">
        <v>37</v>
      </c>
      <c r="O105" s="15"/>
      <c r="P105" s="15"/>
      <c r="Q105" s="15"/>
      <c r="R105" s="15"/>
      <c r="S105" s="15"/>
      <c r="T105" s="15"/>
      <c r="U105" s="15"/>
      <c r="V105" s="15"/>
      <c r="W105" s="15"/>
      <c r="X105" s="15"/>
      <c r="Y105" s="11"/>
      <c r="Z105" s="11"/>
      <c r="AA105" s="11"/>
      <c r="AB105" s="11"/>
      <c r="AC105" s="11"/>
      <c r="AD105" s="11"/>
    </row>
    <row r="106" hidden="1">
      <c r="A106" s="26"/>
      <c r="B106" s="37">
        <v>46203.0</v>
      </c>
      <c r="C106" s="10" t="s">
        <v>28</v>
      </c>
      <c r="D106" s="28" t="str">
        <f t="shared" si="1"/>
        <v>QLTTHDVMPL_09</v>
      </c>
      <c r="E106" s="28"/>
      <c r="F106" s="28"/>
      <c r="G106" s="20" t="s">
        <v>335</v>
      </c>
      <c r="H106" s="20" t="s">
        <v>336</v>
      </c>
      <c r="I106" s="20" t="s">
        <v>337</v>
      </c>
      <c r="J106" s="20" t="s">
        <v>338</v>
      </c>
      <c r="K106" s="20" t="s">
        <v>339</v>
      </c>
      <c r="L106" s="20" t="s">
        <v>339</v>
      </c>
      <c r="M106" s="8" t="s">
        <v>340</v>
      </c>
      <c r="N106" s="10" t="s">
        <v>37</v>
      </c>
      <c r="O106" s="9"/>
      <c r="P106" s="9"/>
      <c r="Q106" s="9"/>
      <c r="R106" s="9"/>
      <c r="S106" s="9"/>
      <c r="T106" s="9"/>
      <c r="U106" s="9"/>
      <c r="V106" s="9"/>
      <c r="W106" s="9"/>
      <c r="X106" s="9"/>
      <c r="Y106" s="11"/>
      <c r="Z106" s="11"/>
      <c r="AA106" s="11"/>
      <c r="AB106" s="11"/>
      <c r="AC106" s="11"/>
      <c r="AD106" s="11"/>
    </row>
    <row r="107">
      <c r="A107" s="27"/>
      <c r="B107" s="36">
        <v>46203.0</v>
      </c>
      <c r="C107" s="14" t="s">
        <v>28</v>
      </c>
      <c r="D107" s="29" t="str">
        <f t="shared" si="1"/>
        <v>QLTTHDVMPL_10</v>
      </c>
      <c r="E107" s="29"/>
      <c r="F107" s="29"/>
      <c r="G107" s="16" t="s">
        <v>341</v>
      </c>
      <c r="H107" s="16" t="s">
        <v>342</v>
      </c>
      <c r="I107" s="16" t="s">
        <v>343</v>
      </c>
      <c r="J107" s="16" t="s">
        <v>344</v>
      </c>
      <c r="K107" s="16" t="s">
        <v>345</v>
      </c>
      <c r="L107" s="15" t="s">
        <v>346</v>
      </c>
      <c r="M107" s="30" t="s">
        <v>347</v>
      </c>
      <c r="N107" s="14" t="s">
        <v>64</v>
      </c>
      <c r="O107" s="15"/>
      <c r="P107" s="24" t="s">
        <v>65</v>
      </c>
      <c r="Q107" s="25" t="s">
        <v>37</v>
      </c>
      <c r="R107" s="15"/>
      <c r="S107" s="15"/>
      <c r="T107" s="15"/>
      <c r="U107" s="15"/>
      <c r="V107" s="15"/>
      <c r="W107" s="15"/>
      <c r="X107" s="15"/>
      <c r="Y107" s="11"/>
      <c r="Z107" s="11"/>
      <c r="AA107" s="11"/>
      <c r="AB107" s="11"/>
      <c r="AC107" s="11"/>
      <c r="AD107" s="11"/>
    </row>
    <row r="108" hidden="1">
      <c r="A108" s="26"/>
      <c r="B108" s="37">
        <v>46203.0</v>
      </c>
      <c r="C108" s="10" t="s">
        <v>28</v>
      </c>
      <c r="D108" s="28" t="str">
        <f t="shared" si="1"/>
        <v>QLTTHDVMPL_11</v>
      </c>
      <c r="E108" s="28"/>
      <c r="F108" s="28"/>
      <c r="G108" s="20" t="s">
        <v>348</v>
      </c>
      <c r="H108" s="20" t="s">
        <v>349</v>
      </c>
      <c r="I108" s="20" t="s">
        <v>350</v>
      </c>
      <c r="J108" s="20" t="s">
        <v>351</v>
      </c>
      <c r="K108" s="20" t="s">
        <v>352</v>
      </c>
      <c r="L108" s="20" t="s">
        <v>352</v>
      </c>
      <c r="M108" s="8" t="s">
        <v>353</v>
      </c>
      <c r="N108" s="10" t="s">
        <v>37</v>
      </c>
      <c r="O108" s="9"/>
      <c r="P108" s="9"/>
      <c r="Q108" s="9"/>
      <c r="R108" s="9"/>
      <c r="S108" s="9"/>
      <c r="T108" s="9"/>
      <c r="U108" s="9"/>
      <c r="V108" s="9"/>
      <c r="W108" s="9"/>
      <c r="X108" s="9"/>
      <c r="Y108" s="11"/>
      <c r="Z108" s="11"/>
      <c r="AA108" s="11"/>
      <c r="AB108" s="11"/>
      <c r="AC108" s="11"/>
      <c r="AD108" s="11"/>
    </row>
    <row r="109" hidden="1">
      <c r="A109" s="27"/>
      <c r="B109" s="36">
        <v>46203.0</v>
      </c>
      <c r="C109" s="14" t="s">
        <v>28</v>
      </c>
      <c r="D109" s="29" t="str">
        <f t="shared" si="1"/>
        <v>QLTTHDVMPL_12</v>
      </c>
      <c r="E109" s="29"/>
      <c r="F109" s="29"/>
      <c r="G109" s="16" t="s">
        <v>354</v>
      </c>
      <c r="H109" s="16" t="s">
        <v>355</v>
      </c>
      <c r="I109" s="16" t="s">
        <v>356</v>
      </c>
      <c r="J109" s="16" t="s">
        <v>357</v>
      </c>
      <c r="K109" s="16" t="s">
        <v>358</v>
      </c>
      <c r="L109" s="16" t="s">
        <v>358</v>
      </c>
      <c r="M109" s="30" t="s">
        <v>359</v>
      </c>
      <c r="N109" s="14" t="s">
        <v>37</v>
      </c>
      <c r="O109" s="15"/>
      <c r="P109" s="15"/>
      <c r="Q109" s="15"/>
      <c r="R109" s="15"/>
      <c r="S109" s="15"/>
      <c r="T109" s="15"/>
      <c r="U109" s="15"/>
      <c r="V109" s="15"/>
      <c r="W109" s="15"/>
      <c r="X109" s="15"/>
      <c r="Y109" s="11"/>
      <c r="Z109" s="11"/>
      <c r="AA109" s="11"/>
      <c r="AB109" s="11"/>
      <c r="AC109" s="11"/>
      <c r="AD109" s="11"/>
    </row>
    <row r="110" hidden="1">
      <c r="A110" s="26"/>
      <c r="B110" s="37">
        <v>46203.0</v>
      </c>
      <c r="C110" s="10" t="s">
        <v>28</v>
      </c>
      <c r="D110" s="28" t="str">
        <f t="shared" si="1"/>
        <v>QLTTHDVMPL_13</v>
      </c>
      <c r="E110" s="28"/>
      <c r="F110" s="28"/>
      <c r="G110" s="20" t="s">
        <v>360</v>
      </c>
      <c r="H110" s="20" t="s">
        <v>361</v>
      </c>
      <c r="I110" s="20" t="s">
        <v>362</v>
      </c>
      <c r="J110" s="20" t="s">
        <v>363</v>
      </c>
      <c r="K110" s="20" t="s">
        <v>364</v>
      </c>
      <c r="L110" s="20" t="s">
        <v>364</v>
      </c>
      <c r="M110" s="8" t="s">
        <v>365</v>
      </c>
      <c r="N110" s="10" t="s">
        <v>37</v>
      </c>
      <c r="O110" s="9"/>
      <c r="P110" s="9"/>
      <c r="Q110" s="9"/>
      <c r="R110" s="9"/>
      <c r="S110" s="9"/>
      <c r="T110" s="9"/>
      <c r="U110" s="9"/>
      <c r="V110" s="9"/>
      <c r="W110" s="9"/>
      <c r="X110" s="9"/>
      <c r="Y110" s="11"/>
      <c r="Z110" s="11"/>
      <c r="AA110" s="11"/>
      <c r="AB110" s="11"/>
      <c r="AC110" s="11"/>
      <c r="AD110" s="11"/>
    </row>
    <row r="111" hidden="1">
      <c r="A111" s="27"/>
      <c r="B111" s="36">
        <v>46203.0</v>
      </c>
      <c r="C111" s="14" t="s">
        <v>28</v>
      </c>
      <c r="D111" s="29" t="str">
        <f t="shared" si="1"/>
        <v>QLTTHDVMPL_14</v>
      </c>
      <c r="E111" s="29"/>
      <c r="F111" s="29"/>
      <c r="G111" s="16" t="s">
        <v>366</v>
      </c>
      <c r="H111" s="16" t="s">
        <v>318</v>
      </c>
      <c r="I111" s="16" t="s">
        <v>367</v>
      </c>
      <c r="J111" s="16" t="s">
        <v>368</v>
      </c>
      <c r="K111" s="16" t="s">
        <v>369</v>
      </c>
      <c r="L111" s="16" t="s">
        <v>369</v>
      </c>
      <c r="M111" s="30" t="s">
        <v>370</v>
      </c>
      <c r="N111" s="14" t="s">
        <v>37</v>
      </c>
      <c r="O111" s="15"/>
      <c r="P111" s="15"/>
      <c r="Q111" s="15"/>
      <c r="R111" s="15"/>
      <c r="S111" s="15"/>
      <c r="T111" s="15"/>
      <c r="U111" s="15"/>
      <c r="V111" s="15"/>
      <c r="W111" s="15"/>
      <c r="X111" s="15"/>
      <c r="Y111" s="11"/>
      <c r="Z111" s="11"/>
      <c r="AA111" s="11"/>
      <c r="AB111" s="11"/>
      <c r="AC111" s="11"/>
      <c r="AD111" s="11"/>
    </row>
    <row r="112" hidden="1">
      <c r="A112" s="26"/>
      <c r="B112" s="37">
        <v>46203.0</v>
      </c>
      <c r="C112" s="10" t="s">
        <v>28</v>
      </c>
      <c r="D112" s="28" t="str">
        <f t="shared" si="1"/>
        <v>QLTTHDVMPL_15</v>
      </c>
      <c r="E112" s="28"/>
      <c r="F112" s="28"/>
      <c r="G112" s="20" t="s">
        <v>371</v>
      </c>
      <c r="H112" s="20" t="s">
        <v>318</v>
      </c>
      <c r="I112" s="20" t="s">
        <v>372</v>
      </c>
      <c r="J112" s="20" t="s">
        <v>373</v>
      </c>
      <c r="K112" s="20" t="s">
        <v>374</v>
      </c>
      <c r="L112" s="20" t="s">
        <v>374</v>
      </c>
      <c r="M112" s="8" t="s">
        <v>375</v>
      </c>
      <c r="N112" s="10" t="s">
        <v>37</v>
      </c>
      <c r="O112" s="9"/>
      <c r="P112" s="9"/>
      <c r="Q112" s="9"/>
      <c r="R112" s="9"/>
      <c r="S112" s="9"/>
      <c r="T112" s="9"/>
      <c r="U112" s="9"/>
      <c r="V112" s="9"/>
      <c r="W112" s="9"/>
      <c r="X112" s="9"/>
      <c r="Y112" s="11"/>
      <c r="Z112" s="11"/>
      <c r="AA112" s="11"/>
      <c r="AB112" s="11"/>
      <c r="AC112" s="11"/>
      <c r="AD112" s="11"/>
    </row>
    <row r="113" hidden="1">
      <c r="A113" s="27"/>
      <c r="B113" s="36">
        <v>46203.0</v>
      </c>
      <c r="C113" s="14" t="s">
        <v>28</v>
      </c>
      <c r="D113" s="29" t="str">
        <f t="shared" si="1"/>
        <v>QLTTHDVMPL_16</v>
      </c>
      <c r="E113" s="29"/>
      <c r="F113" s="29"/>
      <c r="G113" s="16" t="s">
        <v>376</v>
      </c>
      <c r="H113" s="16" t="s">
        <v>377</v>
      </c>
      <c r="I113" s="16" t="s">
        <v>378</v>
      </c>
      <c r="J113" s="16" t="s">
        <v>379</v>
      </c>
      <c r="K113" s="16" t="s">
        <v>380</v>
      </c>
      <c r="L113" s="16" t="s">
        <v>380</v>
      </c>
      <c r="M113" s="30" t="s">
        <v>381</v>
      </c>
      <c r="N113" s="14" t="s">
        <v>37</v>
      </c>
      <c r="O113" s="15"/>
      <c r="P113" s="15"/>
      <c r="Q113" s="15"/>
      <c r="R113" s="15"/>
      <c r="S113" s="15"/>
      <c r="T113" s="15"/>
      <c r="U113" s="15"/>
      <c r="V113" s="15"/>
      <c r="W113" s="15"/>
      <c r="X113" s="15"/>
      <c r="Y113" s="11"/>
      <c r="Z113" s="11"/>
      <c r="AA113" s="11"/>
      <c r="AB113" s="11"/>
      <c r="AC113" s="11"/>
      <c r="AD113" s="11"/>
    </row>
    <row r="114" hidden="1">
      <c r="A114" s="26"/>
      <c r="B114" s="37">
        <v>46203.0</v>
      </c>
      <c r="C114" s="10" t="s">
        <v>28</v>
      </c>
      <c r="D114" s="28" t="str">
        <f t="shared" si="1"/>
        <v>QLTTHDVMPL_17</v>
      </c>
      <c r="E114" s="28"/>
      <c r="F114" s="28"/>
      <c r="G114" s="20" t="s">
        <v>382</v>
      </c>
      <c r="H114" s="20" t="s">
        <v>383</v>
      </c>
      <c r="I114" s="20" t="s">
        <v>384</v>
      </c>
      <c r="J114" s="20" t="s">
        <v>385</v>
      </c>
      <c r="K114" s="20" t="s">
        <v>386</v>
      </c>
      <c r="L114" s="20" t="s">
        <v>386</v>
      </c>
      <c r="M114" s="8" t="s">
        <v>387</v>
      </c>
      <c r="N114" s="10" t="s">
        <v>37</v>
      </c>
      <c r="O114" s="9"/>
      <c r="P114" s="9"/>
      <c r="Q114" s="9"/>
      <c r="R114" s="9"/>
      <c r="S114" s="9"/>
      <c r="T114" s="9"/>
      <c r="U114" s="9"/>
      <c r="V114" s="9"/>
      <c r="W114" s="9"/>
      <c r="X114" s="9"/>
      <c r="Y114" s="11"/>
      <c r="Z114" s="11"/>
      <c r="AA114" s="11"/>
      <c r="AB114" s="11"/>
      <c r="AC114" s="11"/>
      <c r="AD114" s="11"/>
    </row>
    <row r="115" hidden="1">
      <c r="A115" s="27"/>
      <c r="B115" s="36">
        <v>46203.0</v>
      </c>
      <c r="C115" s="14" t="s">
        <v>28</v>
      </c>
      <c r="D115" s="29" t="str">
        <f t="shared" si="1"/>
        <v>QLTTHDVMPL_18</v>
      </c>
      <c r="E115" s="29"/>
      <c r="F115" s="29"/>
      <c r="G115" s="16" t="s">
        <v>388</v>
      </c>
      <c r="H115" s="16" t="s">
        <v>389</v>
      </c>
      <c r="I115" s="16" t="s">
        <v>390</v>
      </c>
      <c r="J115" s="16" t="s">
        <v>391</v>
      </c>
      <c r="K115" s="16" t="s">
        <v>392</v>
      </c>
      <c r="L115" s="16" t="s">
        <v>392</v>
      </c>
      <c r="M115" s="30" t="s">
        <v>393</v>
      </c>
      <c r="N115" s="14" t="s">
        <v>37</v>
      </c>
      <c r="O115" s="15"/>
      <c r="P115" s="15"/>
      <c r="Q115" s="15"/>
      <c r="R115" s="15"/>
      <c r="S115" s="15"/>
      <c r="T115" s="15"/>
      <c r="U115" s="15"/>
      <c r="V115" s="15"/>
      <c r="W115" s="15"/>
      <c r="X115" s="15"/>
      <c r="Y115" s="11"/>
      <c r="Z115" s="11"/>
      <c r="AA115" s="11"/>
      <c r="AB115" s="11"/>
      <c r="AC115" s="11"/>
      <c r="AD115" s="11"/>
    </row>
    <row r="116" hidden="1">
      <c r="A116" s="26"/>
      <c r="B116" s="37">
        <v>46203.0</v>
      </c>
      <c r="C116" s="10" t="s">
        <v>28</v>
      </c>
      <c r="D116" s="28" t="str">
        <f t="shared" si="1"/>
        <v>QLTTHDVMPL_19</v>
      </c>
      <c r="E116" s="28"/>
      <c r="F116" s="28"/>
      <c r="G116" s="20" t="s">
        <v>394</v>
      </c>
      <c r="H116" s="20" t="s">
        <v>395</v>
      </c>
      <c r="I116" s="20" t="s">
        <v>396</v>
      </c>
      <c r="J116" s="20" t="s">
        <v>397</v>
      </c>
      <c r="K116" s="20" t="s">
        <v>398</v>
      </c>
      <c r="L116" s="20" t="s">
        <v>398</v>
      </c>
      <c r="M116" s="8" t="s">
        <v>399</v>
      </c>
      <c r="N116" s="10" t="s">
        <v>37</v>
      </c>
      <c r="O116" s="9"/>
      <c r="P116" s="9"/>
      <c r="Q116" s="9"/>
      <c r="R116" s="9"/>
      <c r="S116" s="9"/>
      <c r="T116" s="9"/>
      <c r="U116" s="9"/>
      <c r="V116" s="9"/>
      <c r="W116" s="9"/>
      <c r="X116" s="9"/>
      <c r="Y116" s="11"/>
      <c r="Z116" s="11"/>
      <c r="AA116" s="11"/>
      <c r="AB116" s="11"/>
      <c r="AC116" s="11"/>
      <c r="AD116" s="11"/>
    </row>
    <row r="117" hidden="1">
      <c r="A117" s="27"/>
      <c r="B117" s="14">
        <v>11.0</v>
      </c>
      <c r="C117" s="14" t="s">
        <v>28</v>
      </c>
      <c r="D117" s="29" t="str">
        <f t="shared" ref="D117:D129" si="2">IF(G117&lt;&gt;"","TKHDVMTH_"&amp;TEXT(COUNTIF($G$117:G117,"&lt;&gt;"),"00"),"")</f>
        <v>TKHDVMTH_01</v>
      </c>
      <c r="E117" s="29" t="s">
        <v>400</v>
      </c>
      <c r="F117" s="29" t="s">
        <v>287</v>
      </c>
      <c r="G117" s="29" t="s">
        <v>401</v>
      </c>
      <c r="H117" s="29" t="s">
        <v>402</v>
      </c>
      <c r="I117" s="14"/>
      <c r="J117" s="16" t="s">
        <v>295</v>
      </c>
      <c r="K117" s="15" t="s">
        <v>401</v>
      </c>
      <c r="L117" s="15" t="s">
        <v>401</v>
      </c>
      <c r="M117" s="30" t="s">
        <v>403</v>
      </c>
      <c r="N117" s="14" t="s">
        <v>37</v>
      </c>
      <c r="O117" s="15"/>
      <c r="P117" s="15"/>
      <c r="Q117" s="15"/>
      <c r="R117" s="15"/>
      <c r="S117" s="15"/>
      <c r="T117" s="15"/>
      <c r="U117" s="15"/>
      <c r="V117" s="15"/>
      <c r="W117" s="15"/>
      <c r="X117" s="15"/>
      <c r="Y117" s="11"/>
      <c r="Z117" s="11"/>
      <c r="AA117" s="11"/>
      <c r="AB117" s="11"/>
      <c r="AC117" s="11"/>
      <c r="AD117" s="11"/>
    </row>
    <row r="118" hidden="1">
      <c r="A118" s="26"/>
      <c r="B118" s="37">
        <v>46203.0</v>
      </c>
      <c r="C118" s="10" t="s">
        <v>28</v>
      </c>
      <c r="D118" s="28" t="str">
        <f t="shared" si="2"/>
        <v>TKHDVMTH_02</v>
      </c>
      <c r="E118" s="28"/>
      <c r="F118" s="28"/>
      <c r="G118" s="20" t="s">
        <v>404</v>
      </c>
      <c r="H118" s="20" t="s">
        <v>405</v>
      </c>
      <c r="I118" s="20" t="s">
        <v>406</v>
      </c>
      <c r="J118" s="20" t="s">
        <v>407</v>
      </c>
      <c r="K118" s="20" t="s">
        <v>408</v>
      </c>
      <c r="L118" s="20" t="s">
        <v>408</v>
      </c>
      <c r="M118" s="8" t="s">
        <v>409</v>
      </c>
      <c r="N118" s="10" t="s">
        <v>37</v>
      </c>
      <c r="O118" s="9"/>
      <c r="P118" s="9"/>
      <c r="Q118" s="9"/>
      <c r="R118" s="9"/>
      <c r="S118" s="9"/>
      <c r="T118" s="9"/>
      <c r="U118" s="9"/>
      <c r="V118" s="9"/>
      <c r="W118" s="9"/>
      <c r="X118" s="9"/>
      <c r="Y118" s="11"/>
      <c r="Z118" s="11"/>
      <c r="AA118" s="11"/>
      <c r="AB118" s="11"/>
      <c r="AC118" s="11"/>
      <c r="AD118" s="11"/>
    </row>
    <row r="119" hidden="1">
      <c r="A119" s="27"/>
      <c r="B119" s="36">
        <v>46203.0</v>
      </c>
      <c r="C119" s="14" t="s">
        <v>28</v>
      </c>
      <c r="D119" s="29" t="str">
        <f t="shared" si="2"/>
        <v>TKHDVMTH_03</v>
      </c>
      <c r="E119" s="29"/>
      <c r="F119" s="29"/>
      <c r="G119" s="16" t="s">
        <v>410</v>
      </c>
      <c r="H119" s="16" t="s">
        <v>411</v>
      </c>
      <c r="I119" s="16" t="s">
        <v>412</v>
      </c>
      <c r="J119" s="16" t="s">
        <v>413</v>
      </c>
      <c r="K119" s="16" t="s">
        <v>414</v>
      </c>
      <c r="L119" s="16" t="s">
        <v>414</v>
      </c>
      <c r="M119" s="30" t="s">
        <v>415</v>
      </c>
      <c r="N119" s="14" t="s">
        <v>37</v>
      </c>
      <c r="O119" s="15"/>
      <c r="P119" s="15"/>
      <c r="Q119" s="15"/>
      <c r="R119" s="15"/>
      <c r="S119" s="15"/>
      <c r="T119" s="15"/>
      <c r="U119" s="15"/>
      <c r="V119" s="15"/>
      <c r="W119" s="15"/>
      <c r="X119" s="15"/>
      <c r="Y119" s="11"/>
      <c r="Z119" s="11"/>
      <c r="AA119" s="11"/>
      <c r="AB119" s="11"/>
      <c r="AC119" s="11"/>
      <c r="AD119" s="11"/>
    </row>
    <row r="120" hidden="1">
      <c r="A120" s="26"/>
      <c r="B120" s="37">
        <v>46203.0</v>
      </c>
      <c r="C120" s="10" t="s">
        <v>28</v>
      </c>
      <c r="D120" s="28" t="str">
        <f t="shared" si="2"/>
        <v>TKHDVMTH_04</v>
      </c>
      <c r="E120" s="28"/>
      <c r="F120" s="28"/>
      <c r="G120" s="20" t="s">
        <v>416</v>
      </c>
      <c r="H120" s="20" t="s">
        <v>417</v>
      </c>
      <c r="I120" s="20" t="s">
        <v>418</v>
      </c>
      <c r="J120" s="20" t="s">
        <v>419</v>
      </c>
      <c r="K120" s="20" t="s">
        <v>420</v>
      </c>
      <c r="L120" s="20" t="s">
        <v>420</v>
      </c>
      <c r="M120" s="8" t="s">
        <v>421</v>
      </c>
      <c r="N120" s="10" t="s">
        <v>37</v>
      </c>
      <c r="O120" s="9"/>
      <c r="P120" s="9"/>
      <c r="Q120" s="9"/>
      <c r="R120" s="9"/>
      <c r="S120" s="9"/>
      <c r="T120" s="9"/>
      <c r="U120" s="9"/>
      <c r="V120" s="9"/>
      <c r="W120" s="9"/>
      <c r="X120" s="9"/>
      <c r="Y120" s="11"/>
      <c r="Z120" s="11"/>
      <c r="AA120" s="11"/>
      <c r="AB120" s="11"/>
      <c r="AC120" s="11"/>
      <c r="AD120" s="11"/>
    </row>
    <row r="121" hidden="1">
      <c r="A121" s="27"/>
      <c r="B121" s="36">
        <v>46203.0</v>
      </c>
      <c r="C121" s="14" t="s">
        <v>28</v>
      </c>
      <c r="D121" s="29" t="str">
        <f t="shared" si="2"/>
        <v>TKHDVMTH_05</v>
      </c>
      <c r="E121" s="29"/>
      <c r="F121" s="29"/>
      <c r="G121" s="16" t="s">
        <v>422</v>
      </c>
      <c r="H121" s="16" t="s">
        <v>423</v>
      </c>
      <c r="I121" s="16" t="s">
        <v>424</v>
      </c>
      <c r="J121" s="16" t="s">
        <v>425</v>
      </c>
      <c r="K121" s="16" t="s">
        <v>426</v>
      </c>
      <c r="L121" s="16" t="s">
        <v>426</v>
      </c>
      <c r="M121" s="30" t="s">
        <v>427</v>
      </c>
      <c r="N121" s="14" t="s">
        <v>37</v>
      </c>
      <c r="O121" s="15"/>
      <c r="P121" s="15"/>
      <c r="Q121" s="15"/>
      <c r="R121" s="15"/>
      <c r="S121" s="15"/>
      <c r="T121" s="15"/>
      <c r="U121" s="15"/>
      <c r="V121" s="15"/>
      <c r="W121" s="15"/>
      <c r="X121" s="15"/>
      <c r="Y121" s="11"/>
      <c r="Z121" s="11"/>
      <c r="AA121" s="11"/>
      <c r="AB121" s="11"/>
      <c r="AC121" s="11"/>
      <c r="AD121" s="11"/>
    </row>
    <row r="122" hidden="1">
      <c r="A122" s="26"/>
      <c r="B122" s="37">
        <v>46203.0</v>
      </c>
      <c r="C122" s="10" t="s">
        <v>28</v>
      </c>
      <c r="D122" s="28" t="str">
        <f t="shared" si="2"/>
        <v>TKHDVMTH_06</v>
      </c>
      <c r="E122" s="28"/>
      <c r="F122" s="28"/>
      <c r="G122" s="20" t="s">
        <v>428</v>
      </c>
      <c r="H122" s="20" t="s">
        <v>429</v>
      </c>
      <c r="I122" s="20" t="s">
        <v>430</v>
      </c>
      <c r="J122" s="20" t="s">
        <v>431</v>
      </c>
      <c r="K122" s="20" t="s">
        <v>432</v>
      </c>
      <c r="L122" s="20" t="s">
        <v>432</v>
      </c>
      <c r="M122" s="8" t="s">
        <v>433</v>
      </c>
      <c r="N122" s="10" t="s">
        <v>37</v>
      </c>
      <c r="O122" s="9"/>
      <c r="P122" s="9"/>
      <c r="Q122" s="9"/>
      <c r="R122" s="9"/>
      <c r="S122" s="9"/>
      <c r="T122" s="9"/>
      <c r="U122" s="9"/>
      <c r="V122" s="9"/>
      <c r="W122" s="9"/>
      <c r="X122" s="9"/>
      <c r="Y122" s="11"/>
      <c r="Z122" s="11"/>
      <c r="AA122" s="11"/>
      <c r="AB122" s="11"/>
      <c r="AC122" s="11"/>
      <c r="AD122" s="11"/>
    </row>
    <row r="123">
      <c r="A123" s="27"/>
      <c r="B123" s="36">
        <v>46203.0</v>
      </c>
      <c r="C123" s="14" t="s">
        <v>28</v>
      </c>
      <c r="D123" s="29" t="str">
        <f t="shared" si="2"/>
        <v>TKHDVMTH_07</v>
      </c>
      <c r="E123" s="29"/>
      <c r="F123" s="29"/>
      <c r="G123" s="16" t="s">
        <v>434</v>
      </c>
      <c r="H123" s="16" t="s">
        <v>435</v>
      </c>
      <c r="I123" s="16" t="s">
        <v>436</v>
      </c>
      <c r="J123" s="16" t="s">
        <v>437</v>
      </c>
      <c r="K123" s="16" t="s">
        <v>438</v>
      </c>
      <c r="L123" s="15" t="s">
        <v>439</v>
      </c>
      <c r="M123" s="30" t="s">
        <v>440</v>
      </c>
      <c r="N123" s="14" t="s">
        <v>64</v>
      </c>
      <c r="O123" s="15"/>
      <c r="P123" s="24" t="s">
        <v>65</v>
      </c>
      <c r="Q123" s="25" t="s">
        <v>37</v>
      </c>
      <c r="R123" s="15"/>
      <c r="S123" s="15"/>
      <c r="T123" s="15"/>
      <c r="U123" s="15"/>
      <c r="V123" s="15"/>
      <c r="W123" s="15"/>
      <c r="X123" s="15"/>
      <c r="Y123" s="11"/>
      <c r="Z123" s="11"/>
      <c r="AA123" s="11"/>
      <c r="AB123" s="11"/>
      <c r="AC123" s="11"/>
      <c r="AD123" s="11"/>
    </row>
    <row r="124" hidden="1">
      <c r="A124" s="26"/>
      <c r="B124" s="37">
        <v>46203.0</v>
      </c>
      <c r="C124" s="23" t="s">
        <v>28</v>
      </c>
      <c r="D124" s="9" t="str">
        <f t="shared" si="2"/>
        <v>TKHDVMTH_08</v>
      </c>
      <c r="E124" s="38"/>
      <c r="F124" s="38"/>
      <c r="G124" s="9" t="s">
        <v>441</v>
      </c>
      <c r="H124" s="9" t="s">
        <v>423</v>
      </c>
      <c r="I124" s="9" t="s">
        <v>442</v>
      </c>
      <c r="J124" s="9" t="s">
        <v>443</v>
      </c>
      <c r="K124" s="9" t="s">
        <v>444</v>
      </c>
      <c r="L124" s="9" t="s">
        <v>444</v>
      </c>
      <c r="M124" s="8" t="s">
        <v>445</v>
      </c>
      <c r="N124" s="39" t="s">
        <v>37</v>
      </c>
      <c r="O124" s="9"/>
      <c r="P124" s="22" t="s">
        <v>65</v>
      </c>
      <c r="Q124" s="23" t="s">
        <v>37</v>
      </c>
      <c r="R124" s="9"/>
      <c r="S124" s="9"/>
      <c r="T124" s="9"/>
      <c r="U124" s="9"/>
      <c r="V124" s="9"/>
      <c r="W124" s="9"/>
      <c r="X124" s="9"/>
      <c r="Y124" s="11"/>
      <c r="Z124" s="11"/>
      <c r="AA124" s="11"/>
      <c r="AB124" s="11"/>
      <c r="AC124" s="11"/>
      <c r="AD124" s="11"/>
    </row>
    <row r="125" hidden="1">
      <c r="A125" s="27"/>
      <c r="B125" s="36">
        <v>46203.0</v>
      </c>
      <c r="C125" s="14" t="s">
        <v>28</v>
      </c>
      <c r="D125" s="29" t="str">
        <f t="shared" si="2"/>
        <v>TKHDVMTH_09</v>
      </c>
      <c r="E125" s="29"/>
      <c r="F125" s="29"/>
      <c r="G125" s="16" t="s">
        <v>446</v>
      </c>
      <c r="H125" s="16" t="s">
        <v>447</v>
      </c>
      <c r="I125" s="16" t="s">
        <v>448</v>
      </c>
      <c r="J125" s="16" t="s">
        <v>449</v>
      </c>
      <c r="K125" s="16" t="s">
        <v>450</v>
      </c>
      <c r="L125" s="16" t="s">
        <v>450</v>
      </c>
      <c r="M125" s="30" t="s">
        <v>451</v>
      </c>
      <c r="N125" s="14" t="s">
        <v>37</v>
      </c>
      <c r="O125" s="15"/>
      <c r="P125" s="15"/>
      <c r="Q125" s="15"/>
      <c r="R125" s="15"/>
      <c r="S125" s="15"/>
      <c r="T125" s="15"/>
      <c r="U125" s="15"/>
      <c r="V125" s="15"/>
      <c r="W125" s="15"/>
      <c r="X125" s="15"/>
      <c r="Y125" s="11"/>
      <c r="Z125" s="11"/>
      <c r="AA125" s="11"/>
      <c r="AB125" s="11"/>
      <c r="AC125" s="11"/>
      <c r="AD125" s="11"/>
    </row>
    <row r="126" hidden="1">
      <c r="A126" s="26"/>
      <c r="B126" s="37">
        <v>46203.0</v>
      </c>
      <c r="C126" s="10" t="s">
        <v>28</v>
      </c>
      <c r="D126" s="28" t="str">
        <f t="shared" si="2"/>
        <v>TKHDVMTH_10</v>
      </c>
      <c r="E126" s="28"/>
      <c r="F126" s="28"/>
      <c r="G126" s="20" t="s">
        <v>452</v>
      </c>
      <c r="H126" s="20" t="s">
        <v>453</v>
      </c>
      <c r="I126" s="20" t="s">
        <v>454</v>
      </c>
      <c r="J126" s="20" t="s">
        <v>455</v>
      </c>
      <c r="K126" s="20" t="s">
        <v>456</v>
      </c>
      <c r="L126" s="20" t="s">
        <v>456</v>
      </c>
      <c r="M126" s="8" t="s">
        <v>457</v>
      </c>
      <c r="N126" s="10" t="s">
        <v>37</v>
      </c>
      <c r="O126" s="9"/>
      <c r="P126" s="9"/>
      <c r="Q126" s="9"/>
      <c r="R126" s="9"/>
      <c r="S126" s="9"/>
      <c r="T126" s="9"/>
      <c r="U126" s="9"/>
      <c r="V126" s="9"/>
      <c r="W126" s="9"/>
      <c r="X126" s="9"/>
      <c r="Y126" s="11"/>
      <c r="Z126" s="11"/>
      <c r="AA126" s="11"/>
      <c r="AB126" s="11"/>
      <c r="AC126" s="11"/>
      <c r="AD126" s="11"/>
    </row>
    <row r="127" hidden="1">
      <c r="A127" s="27"/>
      <c r="B127" s="36">
        <v>46203.0</v>
      </c>
      <c r="C127" s="14" t="s">
        <v>28</v>
      </c>
      <c r="D127" s="29" t="str">
        <f t="shared" si="2"/>
        <v>TKHDVMTH_11</v>
      </c>
      <c r="E127" s="29"/>
      <c r="F127" s="29"/>
      <c r="G127" s="16" t="s">
        <v>458</v>
      </c>
      <c r="H127" s="16" t="s">
        <v>459</v>
      </c>
      <c r="I127" s="16" t="s">
        <v>460</v>
      </c>
      <c r="J127" s="16" t="s">
        <v>461</v>
      </c>
      <c r="K127" s="16" t="s">
        <v>462</v>
      </c>
      <c r="L127" s="16" t="s">
        <v>462</v>
      </c>
      <c r="M127" s="30" t="s">
        <v>463</v>
      </c>
      <c r="N127" s="14" t="s">
        <v>37</v>
      </c>
      <c r="O127" s="15"/>
      <c r="P127" s="15"/>
      <c r="Q127" s="15"/>
      <c r="R127" s="15"/>
      <c r="S127" s="15"/>
      <c r="T127" s="15"/>
      <c r="U127" s="15"/>
      <c r="V127" s="15"/>
      <c r="W127" s="15"/>
      <c r="X127" s="15"/>
      <c r="Y127" s="11"/>
      <c r="Z127" s="11"/>
      <c r="AA127" s="11"/>
      <c r="AB127" s="11"/>
      <c r="AC127" s="11"/>
      <c r="AD127" s="11"/>
    </row>
    <row r="128" hidden="1">
      <c r="A128" s="26"/>
      <c r="B128" s="37">
        <v>46203.0</v>
      </c>
      <c r="C128" s="10" t="s">
        <v>28</v>
      </c>
      <c r="D128" s="28" t="str">
        <f t="shared" si="2"/>
        <v>TKHDVMTH_12</v>
      </c>
      <c r="E128" s="28"/>
      <c r="F128" s="28"/>
      <c r="G128" s="20" t="s">
        <v>464</v>
      </c>
      <c r="H128" s="20" t="s">
        <v>465</v>
      </c>
      <c r="I128" s="20" t="s">
        <v>466</v>
      </c>
      <c r="J128" s="20" t="s">
        <v>467</v>
      </c>
      <c r="K128" s="20" t="s">
        <v>468</v>
      </c>
      <c r="L128" s="20" t="s">
        <v>468</v>
      </c>
      <c r="M128" s="8" t="s">
        <v>469</v>
      </c>
      <c r="N128" s="10" t="s">
        <v>37</v>
      </c>
      <c r="O128" s="9"/>
      <c r="P128" s="9"/>
      <c r="Q128" s="9"/>
      <c r="R128" s="9"/>
      <c r="S128" s="9"/>
      <c r="T128" s="9"/>
      <c r="U128" s="9"/>
      <c r="V128" s="9"/>
      <c r="W128" s="9"/>
      <c r="X128" s="9"/>
      <c r="Y128" s="11"/>
      <c r="Z128" s="11"/>
      <c r="AA128" s="11"/>
      <c r="AB128" s="11"/>
      <c r="AC128" s="11"/>
      <c r="AD128" s="11"/>
    </row>
    <row r="129" hidden="1">
      <c r="A129" s="27"/>
      <c r="B129" s="36">
        <v>46203.0</v>
      </c>
      <c r="C129" s="14" t="s">
        <v>28</v>
      </c>
      <c r="D129" s="29" t="str">
        <f t="shared" si="2"/>
        <v>TKHDVMTH_13</v>
      </c>
      <c r="E129" s="29"/>
      <c r="F129" s="29"/>
      <c r="G129" s="16" t="s">
        <v>470</v>
      </c>
      <c r="H129" s="16" t="s">
        <v>471</v>
      </c>
      <c r="I129" s="16" t="s">
        <v>472</v>
      </c>
      <c r="J129" s="16" t="s">
        <v>473</v>
      </c>
      <c r="K129" s="16" t="s">
        <v>474</v>
      </c>
      <c r="L129" s="16" t="s">
        <v>474</v>
      </c>
      <c r="M129" s="30" t="s">
        <v>475</v>
      </c>
      <c r="N129" s="14" t="s">
        <v>37</v>
      </c>
      <c r="O129" s="15"/>
      <c r="P129" s="15"/>
      <c r="Q129" s="15"/>
      <c r="R129" s="15"/>
      <c r="S129" s="15"/>
      <c r="T129" s="15"/>
      <c r="U129" s="15"/>
      <c r="V129" s="15"/>
      <c r="W129" s="15"/>
      <c r="X129" s="15"/>
      <c r="Y129" s="11"/>
      <c r="Z129" s="11"/>
      <c r="AA129" s="11"/>
      <c r="AB129" s="11"/>
      <c r="AC129" s="11"/>
      <c r="AD129" s="11"/>
    </row>
    <row r="130" hidden="1">
      <c r="A130" s="4"/>
      <c r="B130" s="5" t="s">
        <v>476</v>
      </c>
      <c r="C130" s="10" t="s">
        <v>28</v>
      </c>
      <c r="D130" s="6"/>
      <c r="E130" s="6" t="s">
        <v>477</v>
      </c>
      <c r="F130" s="28"/>
      <c r="G130" s="28"/>
      <c r="H130" s="28"/>
      <c r="I130" s="28"/>
      <c r="J130" s="9"/>
      <c r="K130" s="9"/>
      <c r="L130" s="9"/>
      <c r="M130" s="9"/>
      <c r="N130" s="10"/>
      <c r="O130" s="9"/>
      <c r="P130" s="9"/>
      <c r="Q130" s="9"/>
      <c r="R130" s="9"/>
      <c r="S130" s="9"/>
      <c r="T130" s="9"/>
      <c r="U130" s="9"/>
      <c r="V130" s="9"/>
      <c r="W130" s="9"/>
      <c r="X130" s="9"/>
      <c r="Y130" s="11"/>
      <c r="Z130" s="11"/>
      <c r="AA130" s="11"/>
      <c r="AB130" s="11"/>
      <c r="AC130" s="11"/>
      <c r="AD130" s="11"/>
    </row>
    <row r="131" hidden="1">
      <c r="A131" s="27"/>
      <c r="B131" s="14">
        <v>12.0</v>
      </c>
      <c r="C131" s="14" t="s">
        <v>28</v>
      </c>
      <c r="D131" s="29" t="str">
        <f t="shared" ref="D131:D136" si="3">IF(G131&lt;&gt;"","TNXLHDVMPL_"&amp;TEXT(COUNTIF($G$131:G131,"&lt;&gt;"),"00"),"")</f>
        <v>TNXLHDVMPL_01</v>
      </c>
      <c r="E131" s="29" t="s">
        <v>478</v>
      </c>
      <c r="F131" s="29" t="s">
        <v>287</v>
      </c>
      <c r="G131" s="29" t="s">
        <v>479</v>
      </c>
      <c r="H131" s="16" t="s">
        <v>480</v>
      </c>
      <c r="I131" s="16"/>
      <c r="J131" s="16" t="s">
        <v>481</v>
      </c>
      <c r="K131" s="16" t="s">
        <v>482</v>
      </c>
      <c r="L131" s="16" t="s">
        <v>482</v>
      </c>
      <c r="M131" s="30" t="s">
        <v>483</v>
      </c>
      <c r="N131" s="14" t="s">
        <v>37</v>
      </c>
      <c r="O131" s="15"/>
      <c r="P131" s="15"/>
      <c r="Q131" s="15"/>
      <c r="R131" s="15"/>
      <c r="S131" s="15"/>
      <c r="T131" s="15"/>
      <c r="U131" s="15"/>
      <c r="V131" s="15"/>
      <c r="W131" s="15"/>
      <c r="X131" s="15"/>
      <c r="Y131" s="11"/>
      <c r="Z131" s="11"/>
      <c r="AA131" s="11"/>
      <c r="AB131" s="11"/>
      <c r="AC131" s="11"/>
      <c r="AD131" s="11"/>
    </row>
    <row r="132" hidden="1">
      <c r="A132" s="26"/>
      <c r="B132" s="37">
        <v>46205.0</v>
      </c>
      <c r="C132" s="10" t="s">
        <v>28</v>
      </c>
      <c r="D132" s="28" t="str">
        <f t="shared" si="3"/>
        <v>TNXLHDVMPL_02</v>
      </c>
      <c r="E132" s="28"/>
      <c r="F132" s="28"/>
      <c r="G132" s="20" t="s">
        <v>484</v>
      </c>
      <c r="H132" s="20" t="s">
        <v>485</v>
      </c>
      <c r="I132" s="20"/>
      <c r="J132" s="20" t="s">
        <v>486</v>
      </c>
      <c r="K132" s="20" t="s">
        <v>487</v>
      </c>
      <c r="L132" s="20" t="s">
        <v>487</v>
      </c>
      <c r="M132" s="8" t="s">
        <v>488</v>
      </c>
      <c r="N132" s="10" t="s">
        <v>37</v>
      </c>
      <c r="O132" s="9"/>
      <c r="P132" s="9"/>
      <c r="Q132" s="9"/>
      <c r="R132" s="9"/>
      <c r="S132" s="9"/>
      <c r="T132" s="9"/>
      <c r="U132" s="9"/>
      <c r="V132" s="9"/>
      <c r="W132" s="9"/>
      <c r="X132" s="9"/>
      <c r="Y132" s="11"/>
      <c r="Z132" s="11"/>
      <c r="AA132" s="11"/>
      <c r="AB132" s="11"/>
      <c r="AC132" s="11"/>
      <c r="AD132" s="11"/>
    </row>
    <row r="133" hidden="1">
      <c r="A133" s="27"/>
      <c r="B133" s="36">
        <v>46205.0</v>
      </c>
      <c r="C133" s="14" t="s">
        <v>28</v>
      </c>
      <c r="D133" s="29" t="str">
        <f t="shared" si="3"/>
        <v>TNXLHDVMPL_03</v>
      </c>
      <c r="E133" s="29"/>
      <c r="F133" s="29"/>
      <c r="G133" s="16" t="s">
        <v>489</v>
      </c>
      <c r="H133" s="16" t="s">
        <v>490</v>
      </c>
      <c r="I133" s="16"/>
      <c r="J133" s="16" t="s">
        <v>491</v>
      </c>
      <c r="K133" s="16" t="s">
        <v>492</v>
      </c>
      <c r="L133" s="16" t="s">
        <v>492</v>
      </c>
      <c r="M133" s="30" t="s">
        <v>493</v>
      </c>
      <c r="N133" s="14" t="s">
        <v>37</v>
      </c>
      <c r="O133" s="15"/>
      <c r="P133" s="15"/>
      <c r="Q133" s="15"/>
      <c r="R133" s="15"/>
      <c r="S133" s="15"/>
      <c r="T133" s="15"/>
      <c r="U133" s="15"/>
      <c r="V133" s="15"/>
      <c r="W133" s="15"/>
      <c r="X133" s="15"/>
      <c r="Y133" s="11"/>
      <c r="Z133" s="11"/>
      <c r="AA133" s="11"/>
      <c r="AB133" s="11"/>
      <c r="AC133" s="11"/>
      <c r="AD133" s="11"/>
    </row>
    <row r="134" hidden="1">
      <c r="A134" s="26"/>
      <c r="B134" s="37">
        <v>46205.0</v>
      </c>
      <c r="C134" s="10" t="s">
        <v>28</v>
      </c>
      <c r="D134" s="28" t="str">
        <f t="shared" si="3"/>
        <v>TNXLHDVMPL_04</v>
      </c>
      <c r="E134" s="28"/>
      <c r="F134" s="28"/>
      <c r="G134" s="20" t="s">
        <v>494</v>
      </c>
      <c r="H134" s="20" t="s">
        <v>495</v>
      </c>
      <c r="I134" s="20"/>
      <c r="J134" s="20" t="s">
        <v>496</v>
      </c>
      <c r="K134" s="20" t="s">
        <v>497</v>
      </c>
      <c r="L134" s="20" t="s">
        <v>497</v>
      </c>
      <c r="M134" s="8" t="s">
        <v>498</v>
      </c>
      <c r="N134" s="10" t="s">
        <v>37</v>
      </c>
      <c r="O134" s="9"/>
      <c r="P134" s="9"/>
      <c r="Q134" s="9"/>
      <c r="R134" s="9"/>
      <c r="S134" s="9"/>
      <c r="T134" s="9"/>
      <c r="U134" s="9"/>
      <c r="V134" s="9"/>
      <c r="W134" s="9"/>
      <c r="X134" s="9"/>
      <c r="Y134" s="11"/>
      <c r="Z134" s="11"/>
      <c r="AA134" s="11"/>
      <c r="AB134" s="11"/>
      <c r="AC134" s="11"/>
      <c r="AD134" s="11"/>
    </row>
    <row r="135" hidden="1">
      <c r="A135" s="27"/>
      <c r="B135" s="36">
        <v>46205.0</v>
      </c>
      <c r="C135" s="14" t="s">
        <v>28</v>
      </c>
      <c r="D135" s="29" t="str">
        <f t="shared" si="3"/>
        <v>TNXLHDVMPL_05</v>
      </c>
      <c r="E135" s="29"/>
      <c r="F135" s="29"/>
      <c r="G135" s="16" t="s">
        <v>499</v>
      </c>
      <c r="H135" s="16" t="s">
        <v>500</v>
      </c>
      <c r="I135" s="16"/>
      <c r="J135" s="16" t="s">
        <v>501</v>
      </c>
      <c r="K135" s="16" t="s">
        <v>502</v>
      </c>
      <c r="L135" s="16" t="s">
        <v>502</v>
      </c>
      <c r="M135" s="30" t="s">
        <v>503</v>
      </c>
      <c r="N135" s="14" t="s">
        <v>37</v>
      </c>
      <c r="O135" s="15"/>
      <c r="P135" s="15"/>
      <c r="Q135" s="15"/>
      <c r="R135" s="15"/>
      <c r="S135" s="15"/>
      <c r="T135" s="15"/>
      <c r="U135" s="15"/>
      <c r="V135" s="15"/>
      <c r="W135" s="15"/>
      <c r="X135" s="15"/>
      <c r="Y135" s="11"/>
      <c r="Z135" s="11"/>
      <c r="AA135" s="11"/>
      <c r="AB135" s="11"/>
      <c r="AC135" s="11"/>
      <c r="AD135" s="11"/>
    </row>
    <row r="136" hidden="1">
      <c r="A136" s="26"/>
      <c r="B136" s="37">
        <v>46205.0</v>
      </c>
      <c r="C136" s="10" t="s">
        <v>28</v>
      </c>
      <c r="D136" s="28" t="str">
        <f t="shared" si="3"/>
        <v>TNXLHDVMPL_06</v>
      </c>
      <c r="E136" s="28"/>
      <c r="F136" s="28"/>
      <c r="G136" s="20" t="s">
        <v>504</v>
      </c>
      <c r="H136" s="20" t="s">
        <v>505</v>
      </c>
      <c r="I136" s="20"/>
      <c r="J136" s="20" t="s">
        <v>506</v>
      </c>
      <c r="K136" s="20" t="s">
        <v>507</v>
      </c>
      <c r="L136" s="20" t="s">
        <v>507</v>
      </c>
      <c r="M136" s="8" t="s">
        <v>508</v>
      </c>
      <c r="N136" s="10" t="s">
        <v>37</v>
      </c>
      <c r="O136" s="9"/>
      <c r="P136" s="9"/>
      <c r="Q136" s="9"/>
      <c r="R136" s="9"/>
      <c r="S136" s="9"/>
      <c r="T136" s="9"/>
      <c r="U136" s="9"/>
      <c r="V136" s="9"/>
      <c r="W136" s="9"/>
      <c r="X136" s="9"/>
      <c r="Y136" s="11"/>
      <c r="Z136" s="11"/>
      <c r="AA136" s="11"/>
      <c r="AB136" s="11"/>
      <c r="AC136" s="11"/>
      <c r="AD136" s="11"/>
    </row>
    <row r="137" hidden="1">
      <c r="A137" s="27"/>
      <c r="B137" s="14">
        <v>13.0</v>
      </c>
      <c r="C137" s="14" t="s">
        <v>28</v>
      </c>
      <c r="D137" s="29"/>
      <c r="E137" s="29" t="s">
        <v>509</v>
      </c>
      <c r="F137" s="29" t="s">
        <v>287</v>
      </c>
      <c r="G137" s="29" t="s">
        <v>510</v>
      </c>
      <c r="H137" s="29" t="s">
        <v>511</v>
      </c>
      <c r="I137" s="14"/>
      <c r="J137" s="15"/>
      <c r="K137" s="15"/>
      <c r="L137" s="15"/>
      <c r="M137" s="15"/>
      <c r="N137" s="14"/>
      <c r="O137" s="15"/>
      <c r="P137" s="15"/>
      <c r="Q137" s="15"/>
      <c r="R137" s="15"/>
      <c r="S137" s="15"/>
      <c r="T137" s="15"/>
      <c r="U137" s="15"/>
      <c r="V137" s="15"/>
      <c r="W137" s="15"/>
      <c r="X137" s="15"/>
      <c r="Y137" s="11"/>
      <c r="Z137" s="11"/>
      <c r="AA137" s="11"/>
      <c r="AB137" s="11"/>
      <c r="AC137" s="11"/>
      <c r="AD137" s="11"/>
    </row>
    <row r="138" hidden="1">
      <c r="A138" s="26"/>
      <c r="B138" s="37">
        <v>46205.0</v>
      </c>
      <c r="C138" s="10" t="s">
        <v>28</v>
      </c>
      <c r="D138" s="28" t="str">
        <f t="shared" ref="D138:D146" si="4">IF(G138&lt;&gt;"","QLTNXLHDVM_"&amp;TEXT(COUNTIF($G$138:G138,"&lt;&gt;"),"00"),"")</f>
        <v>QLTNXLHDVM_01</v>
      </c>
      <c r="E138" s="28"/>
      <c r="F138" s="28"/>
      <c r="G138" s="20" t="s">
        <v>512</v>
      </c>
      <c r="H138" s="20" t="s">
        <v>513</v>
      </c>
      <c r="I138" s="20"/>
      <c r="J138" s="20" t="s">
        <v>514</v>
      </c>
      <c r="K138" s="20" t="s">
        <v>515</v>
      </c>
      <c r="L138" s="20" t="s">
        <v>515</v>
      </c>
      <c r="M138" s="8" t="s">
        <v>516</v>
      </c>
      <c r="N138" s="10" t="s">
        <v>37</v>
      </c>
      <c r="O138" s="9"/>
      <c r="P138" s="9"/>
      <c r="Q138" s="9"/>
      <c r="R138" s="9"/>
      <c r="S138" s="9"/>
      <c r="T138" s="9"/>
      <c r="U138" s="9"/>
      <c r="V138" s="9"/>
      <c r="W138" s="9"/>
      <c r="X138" s="9"/>
      <c r="Y138" s="11"/>
      <c r="Z138" s="11"/>
      <c r="AA138" s="11"/>
      <c r="AB138" s="11"/>
      <c r="AC138" s="11"/>
      <c r="AD138" s="11"/>
    </row>
    <row r="139" hidden="1">
      <c r="A139" s="27"/>
      <c r="B139" s="36">
        <v>46205.0</v>
      </c>
      <c r="C139" s="14" t="s">
        <v>28</v>
      </c>
      <c r="D139" s="29" t="str">
        <f t="shared" si="4"/>
        <v>QLTNXLHDVM_02</v>
      </c>
      <c r="E139" s="29"/>
      <c r="F139" s="29"/>
      <c r="G139" s="16" t="s">
        <v>517</v>
      </c>
      <c r="H139" s="16" t="s">
        <v>518</v>
      </c>
      <c r="I139" s="16"/>
      <c r="J139" s="16" t="s">
        <v>519</v>
      </c>
      <c r="K139" s="16" t="s">
        <v>520</v>
      </c>
      <c r="L139" s="16" t="s">
        <v>520</v>
      </c>
      <c r="M139" s="30" t="s">
        <v>521</v>
      </c>
      <c r="N139" s="14" t="s">
        <v>37</v>
      </c>
      <c r="O139" s="15"/>
      <c r="P139" s="15"/>
      <c r="Q139" s="15"/>
      <c r="R139" s="15"/>
      <c r="S139" s="15"/>
      <c r="T139" s="15"/>
      <c r="U139" s="15"/>
      <c r="V139" s="15"/>
      <c r="W139" s="15"/>
      <c r="X139" s="15"/>
      <c r="Y139" s="11"/>
      <c r="Z139" s="11"/>
      <c r="AA139" s="11"/>
      <c r="AB139" s="11"/>
      <c r="AC139" s="11"/>
      <c r="AD139" s="11"/>
    </row>
    <row r="140" hidden="1">
      <c r="A140" s="26"/>
      <c r="B140" s="37">
        <v>46205.0</v>
      </c>
      <c r="C140" s="10" t="s">
        <v>28</v>
      </c>
      <c r="D140" s="28" t="str">
        <f t="shared" si="4"/>
        <v>QLTNXLHDVM_03</v>
      </c>
      <c r="E140" s="28"/>
      <c r="F140" s="28"/>
      <c r="G140" s="20" t="s">
        <v>522</v>
      </c>
      <c r="H140" s="20" t="s">
        <v>523</v>
      </c>
      <c r="I140" s="20"/>
      <c r="J140" s="20" t="s">
        <v>524</v>
      </c>
      <c r="K140" s="20" t="s">
        <v>525</v>
      </c>
      <c r="L140" s="20" t="s">
        <v>525</v>
      </c>
      <c r="M140" s="8" t="s">
        <v>526</v>
      </c>
      <c r="N140" s="10" t="s">
        <v>37</v>
      </c>
      <c r="O140" s="9"/>
      <c r="P140" s="9"/>
      <c r="Q140" s="9"/>
      <c r="R140" s="9"/>
      <c r="S140" s="9"/>
      <c r="T140" s="9"/>
      <c r="U140" s="9"/>
      <c r="V140" s="9"/>
      <c r="W140" s="9"/>
      <c r="X140" s="9"/>
      <c r="Y140" s="11"/>
      <c r="Z140" s="11"/>
      <c r="AA140" s="11"/>
      <c r="AB140" s="11"/>
      <c r="AC140" s="11"/>
      <c r="AD140" s="11"/>
    </row>
    <row r="141" hidden="1">
      <c r="A141" s="27"/>
      <c r="B141" s="36">
        <v>46205.0</v>
      </c>
      <c r="C141" s="14" t="s">
        <v>28</v>
      </c>
      <c r="D141" s="29" t="str">
        <f t="shared" si="4"/>
        <v>QLTNXLHDVM_04</v>
      </c>
      <c r="E141" s="29"/>
      <c r="F141" s="29"/>
      <c r="G141" s="16" t="s">
        <v>527</v>
      </c>
      <c r="H141" s="16" t="s">
        <v>528</v>
      </c>
      <c r="I141" s="16"/>
      <c r="J141" s="16" t="s">
        <v>529</v>
      </c>
      <c r="K141" s="16" t="s">
        <v>530</v>
      </c>
      <c r="L141" s="16" t="s">
        <v>530</v>
      </c>
      <c r="M141" s="30" t="s">
        <v>531</v>
      </c>
      <c r="N141" s="14" t="s">
        <v>37</v>
      </c>
      <c r="O141" s="15"/>
      <c r="P141" s="15"/>
      <c r="Q141" s="15"/>
      <c r="R141" s="15"/>
      <c r="S141" s="15"/>
      <c r="T141" s="15"/>
      <c r="U141" s="15"/>
      <c r="V141" s="15"/>
      <c r="W141" s="15"/>
      <c r="X141" s="15"/>
      <c r="Y141" s="11"/>
      <c r="Z141" s="11"/>
      <c r="AA141" s="11"/>
      <c r="AB141" s="11"/>
      <c r="AC141" s="11"/>
      <c r="AD141" s="11"/>
    </row>
    <row r="142" hidden="1">
      <c r="A142" s="26"/>
      <c r="B142" s="37">
        <v>46205.0</v>
      </c>
      <c r="C142" s="10" t="s">
        <v>28</v>
      </c>
      <c r="D142" s="28" t="str">
        <f t="shared" si="4"/>
        <v>QLTNXLHDVM_05</v>
      </c>
      <c r="E142" s="28"/>
      <c r="F142" s="28"/>
      <c r="G142" s="20" t="s">
        <v>532</v>
      </c>
      <c r="H142" s="20" t="s">
        <v>533</v>
      </c>
      <c r="I142" s="20"/>
      <c r="J142" s="20" t="s">
        <v>534</v>
      </c>
      <c r="K142" s="20" t="s">
        <v>535</v>
      </c>
      <c r="L142" s="20" t="s">
        <v>535</v>
      </c>
      <c r="M142" s="8" t="s">
        <v>536</v>
      </c>
      <c r="N142" s="10" t="s">
        <v>37</v>
      </c>
      <c r="O142" s="9"/>
      <c r="P142" s="9"/>
      <c r="Q142" s="9"/>
      <c r="R142" s="9"/>
      <c r="S142" s="9"/>
      <c r="T142" s="9"/>
      <c r="U142" s="9"/>
      <c r="V142" s="9"/>
      <c r="W142" s="9"/>
      <c r="X142" s="9"/>
      <c r="Y142" s="11"/>
      <c r="Z142" s="11"/>
      <c r="AA142" s="11"/>
      <c r="AB142" s="11"/>
      <c r="AC142" s="11"/>
      <c r="AD142" s="11"/>
    </row>
    <row r="143">
      <c r="A143" s="27"/>
      <c r="B143" s="36">
        <v>46205.0</v>
      </c>
      <c r="C143" s="14" t="s">
        <v>28</v>
      </c>
      <c r="D143" s="29" t="str">
        <f t="shared" si="4"/>
        <v>QLTNXLHDVM_06</v>
      </c>
      <c r="E143" s="29"/>
      <c r="F143" s="29"/>
      <c r="G143" s="16" t="s">
        <v>537</v>
      </c>
      <c r="H143" s="16" t="s">
        <v>538</v>
      </c>
      <c r="I143" s="16"/>
      <c r="J143" s="16" t="s">
        <v>539</v>
      </c>
      <c r="K143" s="16" t="s">
        <v>540</v>
      </c>
      <c r="L143" s="15" t="s">
        <v>541</v>
      </c>
      <c r="M143" s="30" t="s">
        <v>542</v>
      </c>
      <c r="N143" s="14" t="s">
        <v>64</v>
      </c>
      <c r="O143" s="15"/>
      <c r="P143" s="24" t="s">
        <v>65</v>
      </c>
      <c r="Q143" s="25" t="s">
        <v>37</v>
      </c>
      <c r="R143" s="24" t="s">
        <v>543</v>
      </c>
      <c r="S143" s="15"/>
      <c r="T143" s="15"/>
      <c r="U143" s="15"/>
      <c r="V143" s="15"/>
      <c r="W143" s="15"/>
      <c r="X143" s="15"/>
      <c r="Y143" s="11"/>
      <c r="Z143" s="11"/>
      <c r="AA143" s="11"/>
      <c r="AB143" s="11"/>
      <c r="AC143" s="11"/>
      <c r="AD143" s="11"/>
    </row>
    <row r="144" hidden="1">
      <c r="A144" s="26"/>
      <c r="B144" s="37">
        <v>46205.0</v>
      </c>
      <c r="C144" s="10" t="s">
        <v>28</v>
      </c>
      <c r="D144" s="28" t="str">
        <f t="shared" si="4"/>
        <v>QLTNXLHDVM_07</v>
      </c>
      <c r="E144" s="28"/>
      <c r="F144" s="28"/>
      <c r="G144" s="20" t="s">
        <v>544</v>
      </c>
      <c r="H144" s="20" t="s">
        <v>545</v>
      </c>
      <c r="I144" s="20"/>
      <c r="J144" s="20" t="s">
        <v>546</v>
      </c>
      <c r="K144" s="20" t="s">
        <v>547</v>
      </c>
      <c r="L144" s="20" t="s">
        <v>547</v>
      </c>
      <c r="M144" s="8" t="s">
        <v>548</v>
      </c>
      <c r="N144" s="10" t="s">
        <v>37</v>
      </c>
      <c r="O144" s="9"/>
      <c r="P144" s="9"/>
      <c r="Q144" s="9"/>
      <c r="R144" s="9"/>
      <c r="S144" s="9"/>
      <c r="T144" s="9"/>
      <c r="U144" s="9"/>
      <c r="V144" s="9"/>
      <c r="W144" s="9"/>
      <c r="X144" s="9"/>
      <c r="Y144" s="11"/>
      <c r="Z144" s="11"/>
      <c r="AA144" s="11"/>
      <c r="AB144" s="11"/>
      <c r="AC144" s="11"/>
      <c r="AD144" s="11"/>
    </row>
    <row r="145" hidden="1">
      <c r="A145" s="27"/>
      <c r="B145" s="36">
        <v>46205.0</v>
      </c>
      <c r="C145" s="14" t="s">
        <v>28</v>
      </c>
      <c r="D145" s="29" t="str">
        <f t="shared" si="4"/>
        <v>QLTNXLHDVM_08</v>
      </c>
      <c r="E145" s="29"/>
      <c r="F145" s="29"/>
      <c r="G145" s="16" t="s">
        <v>549</v>
      </c>
      <c r="H145" s="16" t="s">
        <v>550</v>
      </c>
      <c r="I145" s="16"/>
      <c r="J145" s="16" t="s">
        <v>551</v>
      </c>
      <c r="K145" s="16" t="s">
        <v>552</v>
      </c>
      <c r="L145" s="16" t="s">
        <v>552</v>
      </c>
      <c r="M145" s="30" t="s">
        <v>553</v>
      </c>
      <c r="N145" s="14" t="s">
        <v>37</v>
      </c>
      <c r="O145" s="15"/>
      <c r="P145" s="15"/>
      <c r="Q145" s="15"/>
      <c r="R145" s="15"/>
      <c r="S145" s="15"/>
      <c r="T145" s="15"/>
      <c r="U145" s="15"/>
      <c r="V145" s="15"/>
      <c r="W145" s="15"/>
      <c r="X145" s="15"/>
      <c r="Y145" s="11"/>
      <c r="Z145" s="11"/>
      <c r="AA145" s="11"/>
      <c r="AB145" s="11"/>
      <c r="AC145" s="11"/>
      <c r="AD145" s="11"/>
    </row>
    <row r="146" hidden="1">
      <c r="A146" s="26"/>
      <c r="B146" s="37">
        <v>46205.0</v>
      </c>
      <c r="C146" s="10" t="s">
        <v>28</v>
      </c>
      <c r="D146" s="28" t="str">
        <f t="shared" si="4"/>
        <v>QLTNXLHDVM_09</v>
      </c>
      <c r="E146" s="28"/>
      <c r="F146" s="28"/>
      <c r="G146" s="20" t="s">
        <v>554</v>
      </c>
      <c r="H146" s="20" t="s">
        <v>555</v>
      </c>
      <c r="I146" s="20"/>
      <c r="J146" s="20" t="s">
        <v>556</v>
      </c>
      <c r="K146" s="20" t="s">
        <v>557</v>
      </c>
      <c r="L146" s="20" t="s">
        <v>557</v>
      </c>
      <c r="M146" s="8" t="s">
        <v>558</v>
      </c>
      <c r="N146" s="10" t="s">
        <v>37</v>
      </c>
      <c r="O146" s="9"/>
      <c r="P146" s="9"/>
      <c r="Q146" s="9"/>
      <c r="R146" s="9"/>
      <c r="S146" s="9"/>
      <c r="T146" s="9"/>
      <c r="U146" s="9"/>
      <c r="V146" s="9"/>
      <c r="W146" s="9"/>
      <c r="X146" s="9"/>
      <c r="Y146" s="11"/>
      <c r="Z146" s="11"/>
      <c r="AA146" s="11"/>
      <c r="AB146" s="11"/>
      <c r="AC146" s="11"/>
      <c r="AD146" s="11"/>
    </row>
    <row r="147" hidden="1">
      <c r="A147" s="27"/>
      <c r="B147" s="14">
        <v>14.0</v>
      </c>
      <c r="C147" s="14"/>
      <c r="D147" s="29"/>
      <c r="E147" s="29" t="s">
        <v>559</v>
      </c>
      <c r="F147" s="29" t="s">
        <v>30</v>
      </c>
      <c r="G147" s="29" t="s">
        <v>560</v>
      </c>
      <c r="H147" s="29"/>
      <c r="I147" s="14"/>
      <c r="J147" s="15"/>
      <c r="K147" s="15"/>
      <c r="L147" s="15"/>
      <c r="M147" s="15"/>
      <c r="N147" s="14"/>
      <c r="O147" s="15"/>
      <c r="P147" s="15"/>
      <c r="Q147" s="15"/>
      <c r="R147" s="15"/>
      <c r="S147" s="15"/>
      <c r="T147" s="15"/>
      <c r="U147" s="15"/>
      <c r="V147" s="15"/>
      <c r="W147" s="15"/>
      <c r="X147" s="15"/>
      <c r="Y147" s="11"/>
      <c r="Z147" s="11"/>
      <c r="AA147" s="11"/>
      <c r="AB147" s="11"/>
      <c r="AC147" s="11"/>
      <c r="AD147" s="11"/>
    </row>
    <row r="148" hidden="1">
      <c r="A148" s="26"/>
      <c r="B148" s="37">
        <v>46205.0</v>
      </c>
      <c r="C148" s="10" t="s">
        <v>28</v>
      </c>
      <c r="D148" s="28" t="str">
        <f t="shared" ref="D148:D159" si="5">IF(G148&lt;&gt;"","TKHDVMPLDTNXL_"&amp;TEXT(COUNTIF($G$148:G148,"&lt;&gt;"),"00"),"")</f>
        <v>TKHDVMPLDTNXL_01</v>
      </c>
      <c r="E148" s="28"/>
      <c r="F148" s="28"/>
      <c r="G148" s="20" t="s">
        <v>404</v>
      </c>
      <c r="H148" s="20" t="s">
        <v>405</v>
      </c>
      <c r="I148" s="20" t="s">
        <v>406</v>
      </c>
      <c r="J148" s="20" t="s">
        <v>407</v>
      </c>
      <c r="K148" s="20" t="s">
        <v>408</v>
      </c>
      <c r="L148" s="20" t="s">
        <v>408</v>
      </c>
      <c r="M148" s="8" t="s">
        <v>561</v>
      </c>
      <c r="N148" s="10" t="s">
        <v>37</v>
      </c>
      <c r="O148" s="9"/>
      <c r="P148" s="9"/>
      <c r="Q148" s="9"/>
      <c r="R148" s="9"/>
      <c r="S148" s="9"/>
      <c r="T148" s="9"/>
      <c r="U148" s="9"/>
      <c r="V148" s="9"/>
      <c r="W148" s="9"/>
      <c r="X148" s="9"/>
      <c r="Y148" s="11"/>
      <c r="Z148" s="11"/>
      <c r="AA148" s="11"/>
      <c r="AB148" s="11"/>
      <c r="AC148" s="11"/>
      <c r="AD148" s="11"/>
    </row>
    <row r="149" hidden="1">
      <c r="A149" s="27"/>
      <c r="B149" s="36">
        <v>46205.0</v>
      </c>
      <c r="C149" s="14" t="s">
        <v>28</v>
      </c>
      <c r="D149" s="29" t="str">
        <f t="shared" si="5"/>
        <v>TKHDVMPLDTNXL_02</v>
      </c>
      <c r="E149" s="29"/>
      <c r="F149" s="29"/>
      <c r="G149" s="16" t="s">
        <v>410</v>
      </c>
      <c r="H149" s="16" t="s">
        <v>411</v>
      </c>
      <c r="I149" s="16" t="s">
        <v>412</v>
      </c>
      <c r="J149" s="16" t="s">
        <v>413</v>
      </c>
      <c r="K149" s="16" t="s">
        <v>414</v>
      </c>
      <c r="L149" s="16" t="s">
        <v>414</v>
      </c>
      <c r="M149" s="30" t="s">
        <v>562</v>
      </c>
      <c r="N149" s="14" t="s">
        <v>37</v>
      </c>
      <c r="O149" s="15"/>
      <c r="P149" s="15"/>
      <c r="Q149" s="15"/>
      <c r="R149" s="15"/>
      <c r="S149" s="15"/>
      <c r="T149" s="15"/>
      <c r="U149" s="15"/>
      <c r="V149" s="15"/>
      <c r="W149" s="15"/>
      <c r="X149" s="15"/>
      <c r="Y149" s="11"/>
      <c r="Z149" s="11"/>
      <c r="AA149" s="11"/>
      <c r="AB149" s="11"/>
      <c r="AC149" s="11"/>
      <c r="AD149" s="11"/>
    </row>
    <row r="150" hidden="1">
      <c r="A150" s="26"/>
      <c r="B150" s="37">
        <v>46205.0</v>
      </c>
      <c r="C150" s="10" t="s">
        <v>28</v>
      </c>
      <c r="D150" s="28" t="str">
        <f t="shared" si="5"/>
        <v>TKHDVMPLDTNXL_03</v>
      </c>
      <c r="E150" s="28"/>
      <c r="F150" s="28"/>
      <c r="G150" s="20" t="s">
        <v>416</v>
      </c>
      <c r="H150" s="20" t="s">
        <v>417</v>
      </c>
      <c r="I150" s="20" t="s">
        <v>418</v>
      </c>
      <c r="J150" s="20" t="s">
        <v>419</v>
      </c>
      <c r="K150" s="20" t="s">
        <v>420</v>
      </c>
      <c r="L150" s="20" t="s">
        <v>420</v>
      </c>
      <c r="M150" s="8" t="s">
        <v>563</v>
      </c>
      <c r="N150" s="10" t="s">
        <v>37</v>
      </c>
      <c r="O150" s="9"/>
      <c r="P150" s="9"/>
      <c r="Q150" s="9"/>
      <c r="R150" s="9"/>
      <c r="S150" s="9"/>
      <c r="T150" s="9"/>
      <c r="U150" s="9"/>
      <c r="V150" s="9"/>
      <c r="W150" s="9"/>
      <c r="X150" s="9"/>
      <c r="Y150" s="11"/>
      <c r="Z150" s="11"/>
      <c r="AA150" s="11"/>
      <c r="AB150" s="11"/>
      <c r="AC150" s="11"/>
      <c r="AD150" s="11"/>
    </row>
    <row r="151" hidden="1">
      <c r="A151" s="27"/>
      <c r="B151" s="36">
        <v>46205.0</v>
      </c>
      <c r="C151" s="14" t="s">
        <v>28</v>
      </c>
      <c r="D151" s="29" t="str">
        <f t="shared" si="5"/>
        <v>TKHDVMPLDTNXL_04</v>
      </c>
      <c r="E151" s="29"/>
      <c r="F151" s="29"/>
      <c r="G151" s="16" t="s">
        <v>422</v>
      </c>
      <c r="H151" s="16" t="s">
        <v>423</v>
      </c>
      <c r="I151" s="16" t="s">
        <v>424</v>
      </c>
      <c r="J151" s="16" t="s">
        <v>425</v>
      </c>
      <c r="K151" s="16" t="s">
        <v>426</v>
      </c>
      <c r="L151" s="16" t="s">
        <v>426</v>
      </c>
      <c r="M151" s="30" t="s">
        <v>564</v>
      </c>
      <c r="N151" s="25" t="s">
        <v>37</v>
      </c>
      <c r="O151" s="15"/>
      <c r="P151" s="24" t="s">
        <v>65</v>
      </c>
      <c r="Q151" s="25" t="s">
        <v>37</v>
      </c>
      <c r="R151" s="15"/>
      <c r="S151" s="15"/>
      <c r="T151" s="15"/>
      <c r="U151" s="15"/>
      <c r="V151" s="15"/>
      <c r="W151" s="15"/>
      <c r="X151" s="15"/>
      <c r="Y151" s="11"/>
      <c r="Z151" s="11"/>
      <c r="AA151" s="11"/>
      <c r="AB151" s="11"/>
      <c r="AC151" s="11"/>
      <c r="AD151" s="11"/>
    </row>
    <row r="152" hidden="1">
      <c r="A152" s="26"/>
      <c r="B152" s="37">
        <v>46205.0</v>
      </c>
      <c r="C152" s="10" t="s">
        <v>28</v>
      </c>
      <c r="D152" s="28" t="str">
        <f t="shared" si="5"/>
        <v>TKHDVMPLDTNXL_05</v>
      </c>
      <c r="E152" s="28"/>
      <c r="F152" s="28"/>
      <c r="G152" s="20" t="s">
        <v>428</v>
      </c>
      <c r="H152" s="20" t="s">
        <v>429</v>
      </c>
      <c r="I152" s="20" t="s">
        <v>430</v>
      </c>
      <c r="J152" s="20" t="s">
        <v>431</v>
      </c>
      <c r="K152" s="20" t="s">
        <v>432</v>
      </c>
      <c r="L152" s="20" t="s">
        <v>432</v>
      </c>
      <c r="M152" s="8" t="s">
        <v>565</v>
      </c>
      <c r="N152" s="10" t="s">
        <v>37</v>
      </c>
      <c r="O152" s="9"/>
      <c r="P152" s="9"/>
      <c r="Q152" s="9"/>
      <c r="R152" s="9"/>
      <c r="S152" s="9"/>
      <c r="T152" s="9"/>
      <c r="U152" s="9"/>
      <c r="V152" s="9"/>
      <c r="W152" s="9"/>
      <c r="X152" s="9"/>
      <c r="Y152" s="11"/>
      <c r="Z152" s="11"/>
      <c r="AA152" s="11"/>
      <c r="AB152" s="11"/>
      <c r="AC152" s="11"/>
      <c r="AD152" s="11"/>
    </row>
    <row r="153">
      <c r="A153" s="27"/>
      <c r="B153" s="36">
        <v>46205.0</v>
      </c>
      <c r="C153" s="14" t="s">
        <v>28</v>
      </c>
      <c r="D153" s="29" t="str">
        <f t="shared" si="5"/>
        <v>TKHDVMPLDTNXL_06</v>
      </c>
      <c r="E153" s="29"/>
      <c r="F153" s="29"/>
      <c r="G153" s="16" t="s">
        <v>434</v>
      </c>
      <c r="H153" s="16" t="s">
        <v>435</v>
      </c>
      <c r="I153" s="16" t="s">
        <v>436</v>
      </c>
      <c r="J153" s="16" t="s">
        <v>437</v>
      </c>
      <c r="K153" s="16" t="s">
        <v>438</v>
      </c>
      <c r="L153" s="15" t="s">
        <v>566</v>
      </c>
      <c r="M153" s="30" t="s">
        <v>567</v>
      </c>
      <c r="N153" s="14" t="s">
        <v>64</v>
      </c>
      <c r="O153" s="15"/>
      <c r="P153" s="24" t="s">
        <v>65</v>
      </c>
      <c r="Q153" s="25" t="s">
        <v>37</v>
      </c>
      <c r="R153" s="15"/>
      <c r="S153" s="15"/>
      <c r="T153" s="15"/>
      <c r="U153" s="15"/>
      <c r="V153" s="15"/>
      <c r="W153" s="15"/>
      <c r="X153" s="15"/>
      <c r="Y153" s="11"/>
      <c r="Z153" s="11"/>
      <c r="AA153" s="11"/>
      <c r="AB153" s="11"/>
      <c r="AC153" s="11"/>
      <c r="AD153" s="11"/>
    </row>
    <row r="154" hidden="1">
      <c r="A154" s="26"/>
      <c r="B154" s="37">
        <v>46205.0</v>
      </c>
      <c r="C154" s="10" t="s">
        <v>28</v>
      </c>
      <c r="D154" s="28" t="str">
        <f t="shared" si="5"/>
        <v>TKHDVMPLDTNXL_07</v>
      </c>
      <c r="E154" s="28"/>
      <c r="F154" s="28"/>
      <c r="G154" s="20" t="s">
        <v>446</v>
      </c>
      <c r="H154" s="20" t="s">
        <v>447</v>
      </c>
      <c r="I154" s="20" t="s">
        <v>448</v>
      </c>
      <c r="J154" s="20" t="s">
        <v>449</v>
      </c>
      <c r="K154" s="20" t="s">
        <v>450</v>
      </c>
      <c r="L154" s="20" t="s">
        <v>450</v>
      </c>
      <c r="M154" s="8" t="s">
        <v>568</v>
      </c>
      <c r="N154" s="10" t="s">
        <v>37</v>
      </c>
      <c r="O154" s="9"/>
      <c r="P154" s="9"/>
      <c r="Q154" s="9"/>
      <c r="R154" s="9"/>
      <c r="S154" s="9"/>
      <c r="T154" s="9"/>
      <c r="U154" s="9"/>
      <c r="V154" s="9"/>
      <c r="W154" s="9"/>
      <c r="X154" s="9"/>
      <c r="Y154" s="11"/>
      <c r="Z154" s="11"/>
      <c r="AA154" s="11"/>
      <c r="AB154" s="11"/>
      <c r="AC154" s="11"/>
      <c r="AD154" s="11"/>
    </row>
    <row r="155" hidden="1">
      <c r="A155" s="27"/>
      <c r="B155" s="36">
        <v>46205.0</v>
      </c>
      <c r="C155" s="14" t="s">
        <v>28</v>
      </c>
      <c r="D155" s="29" t="str">
        <f t="shared" si="5"/>
        <v>TKHDVMPLDTNXL_08</v>
      </c>
      <c r="E155" s="29"/>
      <c r="F155" s="29"/>
      <c r="G155" s="16" t="s">
        <v>452</v>
      </c>
      <c r="H155" s="16" t="s">
        <v>453</v>
      </c>
      <c r="I155" s="16" t="s">
        <v>454</v>
      </c>
      <c r="J155" s="16" t="s">
        <v>455</v>
      </c>
      <c r="K155" s="16" t="s">
        <v>456</v>
      </c>
      <c r="L155" s="16" t="s">
        <v>456</v>
      </c>
      <c r="M155" s="30" t="s">
        <v>569</v>
      </c>
      <c r="N155" s="14" t="s">
        <v>37</v>
      </c>
      <c r="O155" s="15"/>
      <c r="P155" s="15"/>
      <c r="Q155" s="15"/>
      <c r="R155" s="15"/>
      <c r="S155" s="15"/>
      <c r="T155" s="15"/>
      <c r="U155" s="15"/>
      <c r="V155" s="15"/>
      <c r="W155" s="15"/>
      <c r="X155" s="15"/>
      <c r="Y155" s="11"/>
      <c r="Z155" s="11"/>
      <c r="AA155" s="11"/>
      <c r="AB155" s="11"/>
      <c r="AC155" s="11"/>
      <c r="AD155" s="11"/>
    </row>
    <row r="156" hidden="1">
      <c r="A156" s="26"/>
      <c r="B156" s="37">
        <v>46205.0</v>
      </c>
      <c r="C156" s="10" t="s">
        <v>28</v>
      </c>
      <c r="D156" s="28" t="str">
        <f t="shared" si="5"/>
        <v>TKHDVMPLDTNXL_09</v>
      </c>
      <c r="E156" s="28"/>
      <c r="F156" s="28"/>
      <c r="G156" s="20" t="s">
        <v>458</v>
      </c>
      <c r="H156" s="20" t="s">
        <v>459</v>
      </c>
      <c r="I156" s="20" t="s">
        <v>460</v>
      </c>
      <c r="J156" s="20" t="s">
        <v>461</v>
      </c>
      <c r="K156" s="20" t="s">
        <v>462</v>
      </c>
      <c r="L156" s="20" t="s">
        <v>462</v>
      </c>
      <c r="M156" s="8" t="s">
        <v>570</v>
      </c>
      <c r="N156" s="10" t="s">
        <v>37</v>
      </c>
      <c r="O156" s="9"/>
      <c r="P156" s="9"/>
      <c r="Q156" s="9"/>
      <c r="R156" s="9"/>
      <c r="S156" s="9"/>
      <c r="T156" s="9"/>
      <c r="U156" s="9"/>
      <c r="V156" s="9"/>
      <c r="W156" s="9"/>
      <c r="X156" s="9"/>
      <c r="Y156" s="11"/>
      <c r="Z156" s="11"/>
      <c r="AA156" s="11"/>
      <c r="AB156" s="11"/>
      <c r="AC156" s="11"/>
      <c r="AD156" s="11"/>
    </row>
    <row r="157" hidden="1">
      <c r="A157" s="27"/>
      <c r="B157" s="36">
        <v>46205.0</v>
      </c>
      <c r="C157" s="14" t="s">
        <v>28</v>
      </c>
      <c r="D157" s="29" t="str">
        <f t="shared" si="5"/>
        <v>TKHDVMPLDTNXL_10</v>
      </c>
      <c r="E157" s="29"/>
      <c r="F157" s="29"/>
      <c r="G157" s="16" t="s">
        <v>441</v>
      </c>
      <c r="H157" s="16" t="s">
        <v>423</v>
      </c>
      <c r="I157" s="16" t="s">
        <v>442</v>
      </c>
      <c r="J157" s="16" t="s">
        <v>443</v>
      </c>
      <c r="K157" s="16" t="s">
        <v>444</v>
      </c>
      <c r="L157" s="16" t="s">
        <v>444</v>
      </c>
      <c r="M157" s="30" t="s">
        <v>571</v>
      </c>
      <c r="N157" s="14" t="s">
        <v>37</v>
      </c>
      <c r="O157" s="15"/>
      <c r="P157" s="15"/>
      <c r="Q157" s="15"/>
      <c r="R157" s="15"/>
      <c r="S157" s="15"/>
      <c r="T157" s="15"/>
      <c r="U157" s="15"/>
      <c r="V157" s="15"/>
      <c r="W157" s="15"/>
      <c r="X157" s="15"/>
      <c r="Y157" s="11"/>
      <c r="Z157" s="11"/>
      <c r="AA157" s="11"/>
      <c r="AB157" s="11"/>
      <c r="AC157" s="11"/>
      <c r="AD157" s="11"/>
    </row>
    <row r="158" hidden="1">
      <c r="A158" s="26"/>
      <c r="B158" s="37">
        <v>46205.0</v>
      </c>
      <c r="C158" s="10" t="s">
        <v>28</v>
      </c>
      <c r="D158" s="28" t="str">
        <f t="shared" si="5"/>
        <v>TKHDVMPLDTNXL_11</v>
      </c>
      <c r="E158" s="28"/>
      <c r="F158" s="28"/>
      <c r="G158" s="20" t="s">
        <v>464</v>
      </c>
      <c r="H158" s="20" t="s">
        <v>465</v>
      </c>
      <c r="I158" s="20" t="s">
        <v>466</v>
      </c>
      <c r="J158" s="20" t="s">
        <v>467</v>
      </c>
      <c r="K158" s="20" t="s">
        <v>468</v>
      </c>
      <c r="L158" s="20" t="s">
        <v>468</v>
      </c>
      <c r="M158" s="8" t="s">
        <v>572</v>
      </c>
      <c r="N158" s="10" t="s">
        <v>37</v>
      </c>
      <c r="O158" s="9"/>
      <c r="P158" s="9"/>
      <c r="Q158" s="9"/>
      <c r="R158" s="9"/>
      <c r="S158" s="9"/>
      <c r="T158" s="9"/>
      <c r="U158" s="9"/>
      <c r="V158" s="9"/>
      <c r="W158" s="9"/>
      <c r="X158" s="9"/>
      <c r="Y158" s="11"/>
      <c r="Z158" s="11"/>
      <c r="AA158" s="11"/>
      <c r="AB158" s="11"/>
      <c r="AC158" s="11"/>
      <c r="AD158" s="11"/>
    </row>
    <row r="159" hidden="1">
      <c r="A159" s="27"/>
      <c r="B159" s="36">
        <v>46205.0</v>
      </c>
      <c r="C159" s="14" t="s">
        <v>28</v>
      </c>
      <c r="D159" s="29" t="str">
        <f t="shared" si="5"/>
        <v>TKHDVMPLDTNXL_12</v>
      </c>
      <c r="E159" s="29"/>
      <c r="F159" s="29"/>
      <c r="G159" s="16" t="s">
        <v>470</v>
      </c>
      <c r="H159" s="16" t="s">
        <v>471</v>
      </c>
      <c r="I159" s="16" t="s">
        <v>472</v>
      </c>
      <c r="J159" s="16" t="s">
        <v>473</v>
      </c>
      <c r="K159" s="16" t="s">
        <v>474</v>
      </c>
      <c r="L159" s="16" t="s">
        <v>474</v>
      </c>
      <c r="M159" s="30" t="s">
        <v>573</v>
      </c>
      <c r="N159" s="14" t="s">
        <v>37</v>
      </c>
      <c r="O159" s="15"/>
      <c r="P159" s="15"/>
      <c r="Q159" s="15"/>
      <c r="R159" s="15"/>
      <c r="S159" s="15"/>
      <c r="T159" s="15"/>
      <c r="U159" s="15"/>
      <c r="V159" s="15"/>
      <c r="W159" s="15"/>
      <c r="X159" s="15"/>
      <c r="Y159" s="11"/>
      <c r="Z159" s="11"/>
      <c r="AA159" s="11"/>
      <c r="AB159" s="11"/>
      <c r="AC159" s="11"/>
      <c r="AD159" s="11"/>
    </row>
    <row r="160" hidden="1">
      <c r="A160" s="26"/>
      <c r="B160" s="10">
        <v>15.0</v>
      </c>
      <c r="C160" s="10" t="s">
        <v>28</v>
      </c>
      <c r="D160" s="28"/>
      <c r="E160" s="28" t="s">
        <v>574</v>
      </c>
      <c r="F160" s="28" t="s">
        <v>287</v>
      </c>
      <c r="G160" s="28" t="s">
        <v>575</v>
      </c>
      <c r="H160" s="40"/>
      <c r="I160" s="10"/>
      <c r="J160" s="9"/>
      <c r="K160" s="9"/>
      <c r="L160" s="9"/>
      <c r="M160" s="9"/>
      <c r="N160" s="10"/>
      <c r="O160" s="9"/>
      <c r="P160" s="9"/>
      <c r="Q160" s="9"/>
      <c r="R160" s="9"/>
      <c r="S160" s="9"/>
      <c r="T160" s="9"/>
      <c r="U160" s="9"/>
      <c r="V160" s="9"/>
      <c r="W160" s="9"/>
      <c r="X160" s="9"/>
      <c r="Y160" s="11"/>
      <c r="Z160" s="11"/>
      <c r="AA160" s="11"/>
      <c r="AB160" s="11"/>
      <c r="AC160" s="11"/>
      <c r="AD160" s="11"/>
    </row>
    <row r="161">
      <c r="A161" s="27"/>
      <c r="B161" s="36">
        <v>46205.0</v>
      </c>
      <c r="C161" s="14" t="s">
        <v>28</v>
      </c>
      <c r="D161" s="29" t="str">
        <f t="shared" ref="D161:D168" si="6">IF(G161&lt;&gt;"","PCXLCHVM_"&amp;TEXT(COUNTIF($G$161:G161,"&lt;&gt;"),"00"),"")</f>
        <v>PCXLCHVM_01</v>
      </c>
      <c r="E161" s="29"/>
      <c r="F161" s="29"/>
      <c r="G161" s="16" t="s">
        <v>576</v>
      </c>
      <c r="H161" s="16" t="s">
        <v>577</v>
      </c>
      <c r="I161" s="16"/>
      <c r="J161" s="16" t="s">
        <v>578</v>
      </c>
      <c r="K161" s="16" t="s">
        <v>579</v>
      </c>
      <c r="L161" s="16" t="s">
        <v>580</v>
      </c>
      <c r="M161" s="41" t="s">
        <v>581</v>
      </c>
      <c r="N161" s="14" t="s">
        <v>64</v>
      </c>
      <c r="O161" s="15"/>
      <c r="P161" s="24" t="s">
        <v>65</v>
      </c>
      <c r="Q161" s="25" t="s">
        <v>37</v>
      </c>
      <c r="R161" s="15"/>
      <c r="S161" s="15"/>
      <c r="T161" s="15"/>
      <c r="U161" s="15"/>
      <c r="V161" s="15"/>
      <c r="W161" s="15"/>
      <c r="X161" s="15"/>
      <c r="Y161" s="11"/>
      <c r="Z161" s="11"/>
      <c r="AA161" s="11"/>
      <c r="AB161" s="11"/>
      <c r="AC161" s="11"/>
      <c r="AD161" s="11"/>
    </row>
    <row r="162" hidden="1">
      <c r="A162" s="26"/>
      <c r="B162" s="37">
        <v>46205.0</v>
      </c>
      <c r="C162" s="10" t="s">
        <v>28</v>
      </c>
      <c r="D162" s="28" t="str">
        <f t="shared" si="6"/>
        <v>PCXLCHVM_02</v>
      </c>
      <c r="E162" s="28"/>
      <c r="F162" s="28"/>
      <c r="G162" s="20" t="s">
        <v>582</v>
      </c>
      <c r="H162" s="20" t="s">
        <v>583</v>
      </c>
      <c r="I162" s="20"/>
      <c r="J162" s="20" t="s">
        <v>584</v>
      </c>
      <c r="K162" s="20" t="s">
        <v>585</v>
      </c>
      <c r="L162" s="20" t="s">
        <v>585</v>
      </c>
      <c r="M162" s="8" t="s">
        <v>586</v>
      </c>
      <c r="N162" s="10" t="s">
        <v>37</v>
      </c>
      <c r="O162" s="9"/>
      <c r="P162" s="9"/>
      <c r="Q162" s="9"/>
      <c r="R162" s="9"/>
      <c r="S162" s="9"/>
      <c r="T162" s="9"/>
      <c r="U162" s="9"/>
      <c r="V162" s="9"/>
      <c r="W162" s="9"/>
      <c r="X162" s="9"/>
      <c r="Y162" s="11"/>
      <c r="Z162" s="11"/>
      <c r="AA162" s="11"/>
      <c r="AB162" s="11"/>
      <c r="AC162" s="11"/>
      <c r="AD162" s="11"/>
    </row>
    <row r="163" hidden="1">
      <c r="A163" s="27"/>
      <c r="B163" s="36">
        <v>46205.0</v>
      </c>
      <c r="C163" s="14" t="s">
        <v>28</v>
      </c>
      <c r="D163" s="29" t="str">
        <f t="shared" si="6"/>
        <v>PCXLCHVM_03</v>
      </c>
      <c r="E163" s="29"/>
      <c r="F163" s="29"/>
      <c r="G163" s="16" t="s">
        <v>587</v>
      </c>
      <c r="H163" s="16" t="s">
        <v>588</v>
      </c>
      <c r="I163" s="16"/>
      <c r="J163" s="16" t="s">
        <v>589</v>
      </c>
      <c r="K163" s="16" t="s">
        <v>590</v>
      </c>
      <c r="L163" s="16" t="s">
        <v>590</v>
      </c>
      <c r="M163" s="30" t="s">
        <v>591</v>
      </c>
      <c r="N163" s="14" t="s">
        <v>37</v>
      </c>
      <c r="O163" s="15"/>
      <c r="P163" s="15"/>
      <c r="Q163" s="15"/>
      <c r="R163" s="15"/>
      <c r="S163" s="15"/>
      <c r="T163" s="15"/>
      <c r="U163" s="15"/>
      <c r="V163" s="15"/>
      <c r="W163" s="15"/>
      <c r="X163" s="15"/>
      <c r="Y163" s="11"/>
      <c r="Z163" s="11"/>
      <c r="AA163" s="11"/>
      <c r="AB163" s="11"/>
      <c r="AC163" s="11"/>
      <c r="AD163" s="11"/>
    </row>
    <row r="164" hidden="1">
      <c r="A164" s="26"/>
      <c r="B164" s="37">
        <v>46205.0</v>
      </c>
      <c r="C164" s="10" t="s">
        <v>28</v>
      </c>
      <c r="D164" s="28" t="str">
        <f t="shared" si="6"/>
        <v>PCXLCHVM_04</v>
      </c>
      <c r="E164" s="28"/>
      <c r="F164" s="28"/>
      <c r="G164" s="20" t="s">
        <v>592</v>
      </c>
      <c r="H164" s="20" t="s">
        <v>593</v>
      </c>
      <c r="I164" s="20"/>
      <c r="J164" s="20" t="s">
        <v>594</v>
      </c>
      <c r="K164" s="20" t="s">
        <v>595</v>
      </c>
      <c r="L164" s="20" t="s">
        <v>595</v>
      </c>
      <c r="M164" s="8" t="s">
        <v>596</v>
      </c>
      <c r="N164" s="10" t="s">
        <v>37</v>
      </c>
      <c r="O164" s="9"/>
      <c r="P164" s="9"/>
      <c r="Q164" s="9"/>
      <c r="R164" s="9"/>
      <c r="S164" s="9"/>
      <c r="T164" s="9"/>
      <c r="U164" s="9"/>
      <c r="V164" s="9"/>
      <c r="W164" s="9"/>
      <c r="X164" s="9"/>
      <c r="Y164" s="11"/>
      <c r="Z164" s="11"/>
      <c r="AA164" s="11"/>
      <c r="AB164" s="11"/>
      <c r="AC164" s="11"/>
      <c r="AD164" s="11"/>
    </row>
    <row r="165" hidden="1">
      <c r="A165" s="27"/>
      <c r="B165" s="36">
        <v>46205.0</v>
      </c>
      <c r="C165" s="14" t="s">
        <v>28</v>
      </c>
      <c r="D165" s="29" t="str">
        <f t="shared" si="6"/>
        <v>PCXLCHVM_05</v>
      </c>
      <c r="E165" s="29"/>
      <c r="F165" s="29"/>
      <c r="G165" s="16" t="s">
        <v>597</v>
      </c>
      <c r="H165" s="16" t="s">
        <v>598</v>
      </c>
      <c r="I165" s="16"/>
      <c r="J165" s="16" t="s">
        <v>599</v>
      </c>
      <c r="K165" s="16" t="s">
        <v>600</v>
      </c>
      <c r="L165" s="16" t="s">
        <v>600</v>
      </c>
      <c r="M165" s="30" t="s">
        <v>601</v>
      </c>
      <c r="N165" s="14" t="s">
        <v>37</v>
      </c>
      <c r="O165" s="15"/>
      <c r="P165" s="15"/>
      <c r="Q165" s="15"/>
      <c r="R165" s="15"/>
      <c r="S165" s="15"/>
      <c r="T165" s="15"/>
      <c r="U165" s="15"/>
      <c r="V165" s="15"/>
      <c r="W165" s="15"/>
      <c r="X165" s="15"/>
      <c r="Y165" s="11"/>
      <c r="Z165" s="11"/>
      <c r="AA165" s="11"/>
      <c r="AB165" s="11"/>
      <c r="AC165" s="11"/>
      <c r="AD165" s="11"/>
    </row>
    <row r="166" hidden="1">
      <c r="A166" s="26"/>
      <c r="B166" s="37">
        <v>46205.0</v>
      </c>
      <c r="C166" s="10" t="s">
        <v>28</v>
      </c>
      <c r="D166" s="28" t="str">
        <f t="shared" si="6"/>
        <v>PCXLCHVM_06</v>
      </c>
      <c r="E166" s="28"/>
      <c r="F166" s="28"/>
      <c r="G166" s="20" t="s">
        <v>602</v>
      </c>
      <c r="H166" s="20" t="s">
        <v>603</v>
      </c>
      <c r="I166" s="20"/>
      <c r="J166" s="20" t="s">
        <v>604</v>
      </c>
      <c r="K166" s="20" t="s">
        <v>605</v>
      </c>
      <c r="L166" s="20" t="s">
        <v>605</v>
      </c>
      <c r="M166" s="8" t="s">
        <v>606</v>
      </c>
      <c r="N166" s="10" t="s">
        <v>37</v>
      </c>
      <c r="O166" s="9"/>
      <c r="P166" s="9"/>
      <c r="Q166" s="9"/>
      <c r="R166" s="9"/>
      <c r="S166" s="9"/>
      <c r="T166" s="9"/>
      <c r="U166" s="9"/>
      <c r="V166" s="9"/>
      <c r="W166" s="9"/>
      <c r="X166" s="9"/>
      <c r="Y166" s="11"/>
      <c r="Z166" s="11"/>
      <c r="AA166" s="11"/>
      <c r="AB166" s="11"/>
      <c r="AC166" s="11"/>
      <c r="AD166" s="11"/>
    </row>
    <row r="167" hidden="1">
      <c r="A167" s="27"/>
      <c r="B167" s="36">
        <v>46205.0</v>
      </c>
      <c r="C167" s="14" t="s">
        <v>28</v>
      </c>
      <c r="D167" s="29" t="str">
        <f t="shared" si="6"/>
        <v>PCXLCHVM_07</v>
      </c>
      <c r="E167" s="29"/>
      <c r="F167" s="29"/>
      <c r="G167" s="16" t="s">
        <v>607</v>
      </c>
      <c r="H167" s="16" t="s">
        <v>608</v>
      </c>
      <c r="I167" s="16"/>
      <c r="J167" s="16" t="s">
        <v>609</v>
      </c>
      <c r="K167" s="16" t="s">
        <v>610</v>
      </c>
      <c r="L167" s="16" t="s">
        <v>610</v>
      </c>
      <c r="M167" s="30" t="s">
        <v>611</v>
      </c>
      <c r="N167" s="14" t="s">
        <v>37</v>
      </c>
      <c r="O167" s="15"/>
      <c r="P167" s="15"/>
      <c r="Q167" s="15"/>
      <c r="R167" s="15"/>
      <c r="S167" s="15"/>
      <c r="T167" s="15"/>
      <c r="U167" s="15"/>
      <c r="V167" s="15"/>
      <c r="W167" s="15"/>
      <c r="X167" s="15"/>
      <c r="Y167" s="11"/>
      <c r="Z167" s="11"/>
      <c r="AA167" s="11"/>
      <c r="AB167" s="11"/>
      <c r="AC167" s="11"/>
      <c r="AD167" s="11"/>
    </row>
    <row r="168" hidden="1">
      <c r="A168" s="26"/>
      <c r="B168" s="37">
        <v>46205.0</v>
      </c>
      <c r="C168" s="10" t="s">
        <v>28</v>
      </c>
      <c r="D168" s="28" t="str">
        <f t="shared" si="6"/>
        <v>PCXLCHVM_08</v>
      </c>
      <c r="E168" s="28"/>
      <c r="F168" s="28"/>
      <c r="G168" s="20" t="s">
        <v>612</v>
      </c>
      <c r="H168" s="20" t="s">
        <v>613</v>
      </c>
      <c r="I168" s="20"/>
      <c r="J168" s="20" t="s">
        <v>614</v>
      </c>
      <c r="K168" s="20" t="s">
        <v>615</v>
      </c>
      <c r="L168" s="20" t="s">
        <v>615</v>
      </c>
      <c r="M168" s="8" t="s">
        <v>616</v>
      </c>
      <c r="N168" s="10" t="s">
        <v>37</v>
      </c>
      <c r="O168" s="9"/>
      <c r="P168" s="9"/>
      <c r="Q168" s="9"/>
      <c r="R168" s="9"/>
      <c r="S168" s="9"/>
      <c r="T168" s="9"/>
      <c r="U168" s="9"/>
      <c r="V168" s="9"/>
      <c r="W168" s="9"/>
      <c r="X168" s="9"/>
      <c r="Y168" s="11"/>
      <c r="Z168" s="11"/>
      <c r="AA168" s="11"/>
      <c r="AB168" s="11"/>
      <c r="AC168" s="11"/>
      <c r="AD168" s="11"/>
    </row>
    <row r="169" hidden="1">
      <c r="A169" s="27"/>
      <c r="B169" s="14">
        <v>16.0</v>
      </c>
      <c r="C169" s="14"/>
      <c r="D169" s="29"/>
      <c r="E169" s="29" t="s">
        <v>617</v>
      </c>
      <c r="F169" s="29" t="s">
        <v>287</v>
      </c>
      <c r="G169" s="29" t="s">
        <v>618</v>
      </c>
      <c r="H169" s="42"/>
      <c r="I169" s="14"/>
      <c r="J169" s="15"/>
      <c r="K169" s="15"/>
      <c r="L169" s="15"/>
      <c r="M169" s="15"/>
      <c r="N169" s="14"/>
      <c r="O169" s="15"/>
      <c r="P169" s="15"/>
      <c r="Q169" s="15"/>
      <c r="R169" s="15"/>
      <c r="S169" s="15"/>
      <c r="T169" s="15"/>
      <c r="U169" s="15"/>
      <c r="V169" s="15"/>
      <c r="W169" s="15"/>
      <c r="X169" s="15"/>
      <c r="Y169" s="11"/>
      <c r="Z169" s="11"/>
      <c r="AA169" s="11"/>
      <c r="AB169" s="11"/>
      <c r="AC169" s="11"/>
      <c r="AD169" s="11"/>
    </row>
    <row r="170">
      <c r="A170" s="26"/>
      <c r="B170" s="37">
        <v>46205.0</v>
      </c>
      <c r="C170" s="10" t="s">
        <v>28</v>
      </c>
      <c r="D170" s="28" t="str">
        <f t="shared" ref="D170:D181" si="7">IF(G170&lt;&gt;"","PHCHVM_"&amp;TEXT(COUNTIF($G$170:G170,"&lt;&gt;"),"00"),"")</f>
        <v>PHCHVM_01</v>
      </c>
      <c r="E170" s="28"/>
      <c r="F170" s="28"/>
      <c r="G170" s="20" t="s">
        <v>619</v>
      </c>
      <c r="H170" s="20" t="s">
        <v>620</v>
      </c>
      <c r="I170" s="20"/>
      <c r="J170" s="20" t="s">
        <v>621</v>
      </c>
      <c r="K170" s="20" t="s">
        <v>622</v>
      </c>
      <c r="L170" s="9" t="s">
        <v>623</v>
      </c>
      <c r="M170" s="8" t="s">
        <v>624</v>
      </c>
      <c r="N170" s="10" t="s">
        <v>64</v>
      </c>
      <c r="O170" s="9"/>
      <c r="P170" s="22" t="s">
        <v>65</v>
      </c>
      <c r="Q170" s="23" t="s">
        <v>37</v>
      </c>
      <c r="R170" s="22" t="s">
        <v>625</v>
      </c>
      <c r="S170" s="9"/>
      <c r="T170" s="9"/>
      <c r="U170" s="9"/>
      <c r="V170" s="9"/>
      <c r="W170" s="9"/>
      <c r="X170" s="9"/>
      <c r="Y170" s="11"/>
      <c r="Z170" s="11"/>
      <c r="AA170" s="11"/>
      <c r="AB170" s="11"/>
      <c r="AC170" s="11"/>
      <c r="AD170" s="11"/>
    </row>
    <row r="171" hidden="1">
      <c r="A171" s="27"/>
      <c r="B171" s="36">
        <v>46205.0</v>
      </c>
      <c r="C171" s="14" t="s">
        <v>28</v>
      </c>
      <c r="D171" s="29" t="str">
        <f t="shared" si="7"/>
        <v>PHCHVM_02</v>
      </c>
      <c r="E171" s="29"/>
      <c r="F171" s="29"/>
      <c r="G171" s="16" t="s">
        <v>626</v>
      </c>
      <c r="H171" s="16" t="s">
        <v>620</v>
      </c>
      <c r="I171" s="16"/>
      <c r="J171" s="16" t="s">
        <v>627</v>
      </c>
      <c r="K171" s="16" t="s">
        <v>628</v>
      </c>
      <c r="L171" s="16" t="s">
        <v>628</v>
      </c>
      <c r="M171" s="30" t="s">
        <v>629</v>
      </c>
      <c r="N171" s="14" t="s">
        <v>37</v>
      </c>
      <c r="O171" s="15"/>
      <c r="P171" s="15"/>
      <c r="Q171" s="15"/>
      <c r="R171" s="15"/>
      <c r="S171" s="15"/>
      <c r="T171" s="15"/>
      <c r="U171" s="15"/>
      <c r="V171" s="15"/>
      <c r="W171" s="15"/>
      <c r="X171" s="15"/>
      <c r="Y171" s="11"/>
      <c r="Z171" s="11"/>
      <c r="AA171" s="11"/>
      <c r="AB171" s="11"/>
      <c r="AC171" s="11"/>
      <c r="AD171" s="11"/>
    </row>
    <row r="172">
      <c r="A172" s="26"/>
      <c r="B172" s="37">
        <v>46205.0</v>
      </c>
      <c r="C172" s="10" t="s">
        <v>28</v>
      </c>
      <c r="D172" s="28" t="str">
        <f t="shared" si="7"/>
        <v>PHCHVM_03</v>
      </c>
      <c r="E172" s="28"/>
      <c r="F172" s="28"/>
      <c r="G172" s="20" t="s">
        <v>630</v>
      </c>
      <c r="H172" s="20" t="s">
        <v>620</v>
      </c>
      <c r="I172" s="20"/>
      <c r="J172" s="20" t="s">
        <v>631</v>
      </c>
      <c r="K172" s="20" t="s">
        <v>632</v>
      </c>
      <c r="L172" s="9" t="s">
        <v>633</v>
      </c>
      <c r="M172" s="8" t="s">
        <v>634</v>
      </c>
      <c r="N172" s="10" t="s">
        <v>64</v>
      </c>
      <c r="O172" s="9"/>
      <c r="P172" s="22" t="s">
        <v>65</v>
      </c>
      <c r="Q172" s="23" t="s">
        <v>37</v>
      </c>
      <c r="R172" s="9"/>
      <c r="S172" s="9"/>
      <c r="T172" s="9"/>
      <c r="U172" s="9"/>
      <c r="V172" s="9"/>
      <c r="W172" s="9"/>
      <c r="X172" s="9"/>
      <c r="Y172" s="11"/>
      <c r="Z172" s="11"/>
      <c r="AA172" s="11"/>
      <c r="AB172" s="11"/>
      <c r="AC172" s="11"/>
      <c r="AD172" s="11"/>
    </row>
    <row r="173" hidden="1">
      <c r="A173" s="27"/>
      <c r="B173" s="36">
        <v>46205.0</v>
      </c>
      <c r="C173" s="14" t="s">
        <v>28</v>
      </c>
      <c r="D173" s="29" t="str">
        <f t="shared" si="7"/>
        <v>PHCHVM_04</v>
      </c>
      <c r="E173" s="29"/>
      <c r="F173" s="29"/>
      <c r="G173" s="16" t="s">
        <v>635</v>
      </c>
      <c r="H173" s="16" t="s">
        <v>620</v>
      </c>
      <c r="I173" s="16"/>
      <c r="J173" s="16" t="s">
        <v>636</v>
      </c>
      <c r="K173" s="16" t="s">
        <v>637</v>
      </c>
      <c r="L173" s="16" t="s">
        <v>637</v>
      </c>
      <c r="M173" s="30" t="s">
        <v>638</v>
      </c>
      <c r="N173" s="14" t="s">
        <v>37</v>
      </c>
      <c r="O173" s="15"/>
      <c r="P173" s="15"/>
      <c r="Q173" s="15"/>
      <c r="R173" s="15"/>
      <c r="S173" s="15"/>
      <c r="T173" s="15"/>
      <c r="U173" s="15"/>
      <c r="V173" s="15"/>
      <c r="W173" s="15"/>
      <c r="X173" s="15"/>
      <c r="Y173" s="11"/>
      <c r="Z173" s="11"/>
      <c r="AA173" s="11"/>
      <c r="AB173" s="11"/>
      <c r="AC173" s="11"/>
      <c r="AD173" s="11"/>
    </row>
    <row r="174" hidden="1">
      <c r="A174" s="26"/>
      <c r="B174" s="37">
        <v>46205.0</v>
      </c>
      <c r="C174" s="10" t="s">
        <v>28</v>
      </c>
      <c r="D174" s="28" t="str">
        <f t="shared" si="7"/>
        <v>PHCHVM_05</v>
      </c>
      <c r="E174" s="28"/>
      <c r="F174" s="28"/>
      <c r="G174" s="20" t="s">
        <v>639</v>
      </c>
      <c r="H174" s="20" t="s">
        <v>640</v>
      </c>
      <c r="I174" s="20"/>
      <c r="J174" s="20" t="s">
        <v>641</v>
      </c>
      <c r="K174" s="20" t="s">
        <v>642</v>
      </c>
      <c r="L174" s="20" t="s">
        <v>642</v>
      </c>
      <c r="M174" s="8" t="s">
        <v>643</v>
      </c>
      <c r="N174" s="10" t="s">
        <v>37</v>
      </c>
      <c r="O174" s="9"/>
      <c r="P174" s="9"/>
      <c r="Q174" s="9"/>
      <c r="R174" s="9"/>
      <c r="S174" s="9"/>
      <c r="T174" s="9"/>
      <c r="U174" s="9"/>
      <c r="V174" s="9"/>
      <c r="W174" s="9"/>
      <c r="X174" s="9"/>
      <c r="Y174" s="11"/>
      <c r="Z174" s="11"/>
      <c r="AA174" s="11"/>
      <c r="AB174" s="11"/>
      <c r="AC174" s="11"/>
      <c r="AD174" s="11"/>
    </row>
    <row r="175">
      <c r="A175" s="27"/>
      <c r="B175" s="36">
        <v>46205.0</v>
      </c>
      <c r="C175" s="14" t="s">
        <v>28</v>
      </c>
      <c r="D175" s="29" t="str">
        <f t="shared" si="7"/>
        <v>PHCHVM_06</v>
      </c>
      <c r="E175" s="29"/>
      <c r="F175" s="29"/>
      <c r="G175" s="16" t="s">
        <v>644</v>
      </c>
      <c r="H175" s="16" t="s">
        <v>620</v>
      </c>
      <c r="I175" s="16"/>
      <c r="J175" s="16" t="s">
        <v>645</v>
      </c>
      <c r="K175" s="16" t="s">
        <v>646</v>
      </c>
      <c r="L175" s="16" t="s">
        <v>647</v>
      </c>
      <c r="M175" s="30" t="s">
        <v>648</v>
      </c>
      <c r="N175" s="14" t="s">
        <v>64</v>
      </c>
      <c r="O175" s="15"/>
      <c r="P175" s="24" t="s">
        <v>649</v>
      </c>
      <c r="Q175" s="25" t="s">
        <v>649</v>
      </c>
      <c r="R175" s="24" t="s">
        <v>625</v>
      </c>
      <c r="S175" s="15"/>
      <c r="T175" s="15"/>
      <c r="U175" s="15"/>
      <c r="V175" s="15"/>
      <c r="W175" s="15"/>
      <c r="X175" s="15"/>
      <c r="Y175" s="11"/>
      <c r="Z175" s="11"/>
      <c r="AA175" s="11"/>
      <c r="AB175" s="11"/>
      <c r="AC175" s="11"/>
      <c r="AD175" s="11"/>
    </row>
    <row r="176" hidden="1">
      <c r="A176" s="26"/>
      <c r="B176" s="37">
        <v>46205.0</v>
      </c>
      <c r="C176" s="10" t="s">
        <v>28</v>
      </c>
      <c r="D176" s="28" t="str">
        <f t="shared" si="7"/>
        <v>PHCHVM_07</v>
      </c>
      <c r="E176" s="28"/>
      <c r="F176" s="28"/>
      <c r="G176" s="20" t="s">
        <v>650</v>
      </c>
      <c r="H176" s="20" t="s">
        <v>651</v>
      </c>
      <c r="I176" s="20"/>
      <c r="J176" s="20" t="s">
        <v>652</v>
      </c>
      <c r="K176" s="20" t="s">
        <v>653</v>
      </c>
      <c r="L176" s="20" t="s">
        <v>653</v>
      </c>
      <c r="M176" s="8" t="s">
        <v>654</v>
      </c>
      <c r="N176" s="10" t="s">
        <v>37</v>
      </c>
      <c r="O176" s="9"/>
      <c r="P176" s="9"/>
      <c r="Q176" s="9"/>
      <c r="R176" s="9"/>
      <c r="S176" s="9"/>
      <c r="T176" s="9"/>
      <c r="U176" s="9"/>
      <c r="V176" s="9"/>
      <c r="W176" s="9"/>
      <c r="X176" s="9"/>
      <c r="Y176" s="11"/>
      <c r="Z176" s="11"/>
      <c r="AA176" s="11"/>
      <c r="AB176" s="11"/>
      <c r="AC176" s="11"/>
      <c r="AD176" s="11"/>
    </row>
    <row r="177" hidden="1">
      <c r="A177" s="27"/>
      <c r="B177" s="36">
        <v>46205.0</v>
      </c>
      <c r="C177" s="14" t="s">
        <v>28</v>
      </c>
      <c r="D177" s="29" t="str">
        <f t="shared" si="7"/>
        <v>PHCHVM_08</v>
      </c>
      <c r="E177" s="29"/>
      <c r="F177" s="29"/>
      <c r="G177" s="16" t="s">
        <v>655</v>
      </c>
      <c r="H177" s="16" t="s">
        <v>656</v>
      </c>
      <c r="I177" s="16"/>
      <c r="J177" s="16" t="s">
        <v>657</v>
      </c>
      <c r="K177" s="16" t="s">
        <v>658</v>
      </c>
      <c r="L177" s="16" t="s">
        <v>658</v>
      </c>
      <c r="M177" s="30" t="s">
        <v>659</v>
      </c>
      <c r="N177" s="14" t="s">
        <v>37</v>
      </c>
      <c r="O177" s="15"/>
      <c r="P177" s="15"/>
      <c r="Q177" s="15"/>
      <c r="R177" s="15"/>
      <c r="S177" s="15"/>
      <c r="T177" s="15"/>
      <c r="U177" s="15"/>
      <c r="V177" s="15"/>
      <c r="W177" s="15"/>
      <c r="X177" s="15"/>
      <c r="Y177" s="11"/>
      <c r="Z177" s="11"/>
      <c r="AA177" s="11"/>
      <c r="AB177" s="11"/>
      <c r="AC177" s="11"/>
      <c r="AD177" s="11"/>
    </row>
    <row r="178">
      <c r="A178" s="26"/>
      <c r="B178" s="37">
        <v>46205.0</v>
      </c>
      <c r="C178" s="10" t="s">
        <v>28</v>
      </c>
      <c r="D178" s="28" t="str">
        <f t="shared" si="7"/>
        <v>PHCHVM_09</v>
      </c>
      <c r="E178" s="28"/>
      <c r="F178" s="28"/>
      <c r="G178" s="20" t="s">
        <v>660</v>
      </c>
      <c r="H178" s="20" t="s">
        <v>661</v>
      </c>
      <c r="I178" s="20"/>
      <c r="J178" s="20" t="s">
        <v>662</v>
      </c>
      <c r="K178" s="20" t="s">
        <v>663</v>
      </c>
      <c r="L178" s="9" t="s">
        <v>664</v>
      </c>
      <c r="M178" s="8" t="s">
        <v>665</v>
      </c>
      <c r="N178" s="10" t="s">
        <v>64</v>
      </c>
      <c r="O178" s="9"/>
      <c r="P178" s="22" t="s">
        <v>65</v>
      </c>
      <c r="Q178" s="23" t="s">
        <v>37</v>
      </c>
      <c r="R178" s="9"/>
      <c r="S178" s="9"/>
      <c r="T178" s="9"/>
      <c r="U178" s="9"/>
      <c r="V178" s="9"/>
      <c r="W178" s="9"/>
      <c r="X178" s="9"/>
      <c r="Y178" s="11"/>
      <c r="Z178" s="11"/>
      <c r="AA178" s="11"/>
      <c r="AB178" s="11"/>
      <c r="AC178" s="11"/>
      <c r="AD178" s="11"/>
    </row>
    <row r="179">
      <c r="A179" s="27"/>
      <c r="B179" s="36">
        <v>46205.0</v>
      </c>
      <c r="C179" s="14" t="s">
        <v>28</v>
      </c>
      <c r="D179" s="29" t="str">
        <f t="shared" si="7"/>
        <v>PHCHVM_10</v>
      </c>
      <c r="E179" s="29"/>
      <c r="F179" s="29"/>
      <c r="G179" s="16" t="s">
        <v>666</v>
      </c>
      <c r="H179" s="16" t="s">
        <v>667</v>
      </c>
      <c r="I179" s="16"/>
      <c r="J179" s="16" t="s">
        <v>668</v>
      </c>
      <c r="K179" s="16" t="s">
        <v>669</v>
      </c>
      <c r="L179" s="15" t="s">
        <v>670</v>
      </c>
      <c r="M179" s="30" t="s">
        <v>671</v>
      </c>
      <c r="N179" s="14" t="s">
        <v>64</v>
      </c>
      <c r="O179" s="15"/>
      <c r="P179" s="24" t="s">
        <v>65</v>
      </c>
      <c r="Q179" s="25" t="s">
        <v>37</v>
      </c>
      <c r="R179" s="15"/>
      <c r="S179" s="15"/>
      <c r="T179" s="15"/>
      <c r="U179" s="15"/>
      <c r="V179" s="15"/>
      <c r="W179" s="15"/>
      <c r="X179" s="15"/>
      <c r="Y179" s="11"/>
      <c r="Z179" s="11"/>
      <c r="AA179" s="11"/>
      <c r="AB179" s="11"/>
      <c r="AC179" s="11"/>
      <c r="AD179" s="11"/>
    </row>
    <row r="180" hidden="1">
      <c r="A180" s="26"/>
      <c r="B180" s="37">
        <v>46205.0</v>
      </c>
      <c r="C180" s="10" t="s">
        <v>28</v>
      </c>
      <c r="D180" s="28" t="str">
        <f t="shared" si="7"/>
        <v>PHCHVM_11</v>
      </c>
      <c r="E180" s="28"/>
      <c r="F180" s="28"/>
      <c r="G180" s="20" t="s">
        <v>672</v>
      </c>
      <c r="H180" s="20" t="s">
        <v>673</v>
      </c>
      <c r="I180" s="20"/>
      <c r="J180" s="20" t="s">
        <v>674</v>
      </c>
      <c r="K180" s="20" t="s">
        <v>675</v>
      </c>
      <c r="L180" s="20" t="s">
        <v>675</v>
      </c>
      <c r="M180" s="8" t="s">
        <v>676</v>
      </c>
      <c r="N180" s="10" t="s">
        <v>37</v>
      </c>
      <c r="O180" s="9"/>
      <c r="P180" s="9"/>
      <c r="Q180" s="9"/>
      <c r="R180" s="9"/>
      <c r="S180" s="9"/>
      <c r="T180" s="9"/>
      <c r="U180" s="9"/>
      <c r="V180" s="9"/>
      <c r="W180" s="9"/>
      <c r="X180" s="9"/>
      <c r="Y180" s="11"/>
      <c r="Z180" s="11"/>
      <c r="AA180" s="11"/>
      <c r="AB180" s="11"/>
      <c r="AC180" s="11"/>
      <c r="AD180" s="11"/>
    </row>
    <row r="181" hidden="1">
      <c r="A181" s="27"/>
      <c r="B181" s="36">
        <v>46205.0</v>
      </c>
      <c r="C181" s="14" t="s">
        <v>28</v>
      </c>
      <c r="D181" s="29" t="str">
        <f t="shared" si="7"/>
        <v>PHCHVM_12</v>
      </c>
      <c r="E181" s="29"/>
      <c r="F181" s="29"/>
      <c r="G181" s="16" t="s">
        <v>677</v>
      </c>
      <c r="H181" s="16" t="s">
        <v>678</v>
      </c>
      <c r="I181" s="16"/>
      <c r="J181" s="16" t="s">
        <v>679</v>
      </c>
      <c r="K181" s="16" t="s">
        <v>680</v>
      </c>
      <c r="L181" s="16" t="s">
        <v>680</v>
      </c>
      <c r="M181" s="30" t="s">
        <v>681</v>
      </c>
      <c r="N181" s="14" t="s">
        <v>37</v>
      </c>
      <c r="O181" s="15"/>
      <c r="P181" s="15"/>
      <c r="Q181" s="15"/>
      <c r="R181" s="15"/>
      <c r="S181" s="15"/>
      <c r="T181" s="15"/>
      <c r="U181" s="15"/>
      <c r="V181" s="15"/>
      <c r="W181" s="15"/>
      <c r="X181" s="15"/>
      <c r="Y181" s="11"/>
      <c r="Z181" s="11"/>
      <c r="AA181" s="11"/>
      <c r="AB181" s="11"/>
      <c r="AC181" s="11"/>
      <c r="AD181" s="11"/>
    </row>
    <row r="182" hidden="1">
      <c r="A182" s="26"/>
      <c r="B182" s="10">
        <v>17.0</v>
      </c>
      <c r="C182" s="10"/>
      <c r="D182" s="28"/>
      <c r="E182" s="28" t="s">
        <v>682</v>
      </c>
      <c r="F182" s="28" t="s">
        <v>287</v>
      </c>
      <c r="G182" s="20" t="s">
        <v>683</v>
      </c>
      <c r="H182" s="20"/>
      <c r="I182" s="20"/>
      <c r="J182" s="20"/>
      <c r="K182" s="20"/>
      <c r="L182" s="9"/>
      <c r="M182" s="9"/>
      <c r="N182" s="10"/>
      <c r="O182" s="9"/>
      <c r="P182" s="9"/>
      <c r="Q182" s="9"/>
      <c r="R182" s="9"/>
      <c r="S182" s="9"/>
      <c r="T182" s="9"/>
      <c r="U182" s="9"/>
      <c r="V182" s="9"/>
      <c r="W182" s="9"/>
      <c r="X182" s="9"/>
      <c r="Y182" s="11"/>
      <c r="Z182" s="11"/>
      <c r="AA182" s="11"/>
      <c r="AB182" s="11"/>
      <c r="AC182" s="11"/>
      <c r="AD182" s="11"/>
    </row>
    <row r="183">
      <c r="A183" s="27"/>
      <c r="B183" s="36">
        <v>46205.0</v>
      </c>
      <c r="C183" s="14" t="s">
        <v>28</v>
      </c>
      <c r="D183" s="29" t="str">
        <f t="shared" ref="D183:D193" si="8">IF(G183&lt;&gt;"","QLCKPHCHVM_"&amp;TEXT(COUNTIF($G$183:G183,"&lt;&gt;"),"00"),"")</f>
        <v>QLCKPHCHVM_01</v>
      </c>
      <c r="E183" s="29"/>
      <c r="F183" s="29"/>
      <c r="G183" s="16" t="s">
        <v>684</v>
      </c>
      <c r="H183" s="16" t="s">
        <v>685</v>
      </c>
      <c r="I183" s="16"/>
      <c r="J183" s="16" t="s">
        <v>686</v>
      </c>
      <c r="K183" s="16" t="s">
        <v>687</v>
      </c>
      <c r="L183" s="15" t="s">
        <v>688</v>
      </c>
      <c r="M183" s="30" t="s">
        <v>689</v>
      </c>
      <c r="N183" s="14" t="s">
        <v>64</v>
      </c>
      <c r="O183" s="15"/>
      <c r="P183" s="24" t="s">
        <v>65</v>
      </c>
      <c r="Q183" s="25" t="s">
        <v>37</v>
      </c>
      <c r="R183" s="24" t="s">
        <v>690</v>
      </c>
      <c r="S183" s="15"/>
      <c r="T183" s="15"/>
      <c r="U183" s="15"/>
      <c r="V183" s="15"/>
      <c r="W183" s="15"/>
      <c r="X183" s="15"/>
      <c r="Y183" s="11"/>
      <c r="Z183" s="11"/>
      <c r="AA183" s="11"/>
      <c r="AB183" s="11"/>
      <c r="AC183" s="11"/>
      <c r="AD183" s="11"/>
    </row>
    <row r="184">
      <c r="A184" s="26"/>
      <c r="B184" s="37">
        <v>46205.0</v>
      </c>
      <c r="C184" s="10" t="s">
        <v>28</v>
      </c>
      <c r="D184" s="28" t="str">
        <f t="shared" si="8"/>
        <v>QLCKPHCHVM_02</v>
      </c>
      <c r="E184" s="28"/>
      <c r="F184" s="28"/>
      <c r="G184" s="20" t="s">
        <v>691</v>
      </c>
      <c r="H184" s="20" t="s">
        <v>692</v>
      </c>
      <c r="I184" s="20"/>
      <c r="J184" s="20" t="s">
        <v>693</v>
      </c>
      <c r="K184" s="20" t="s">
        <v>694</v>
      </c>
      <c r="L184" s="9" t="s">
        <v>695</v>
      </c>
      <c r="M184" s="43" t="s">
        <v>696</v>
      </c>
      <c r="N184" s="10" t="s">
        <v>64</v>
      </c>
      <c r="O184" s="9"/>
      <c r="P184" s="22" t="s">
        <v>65</v>
      </c>
      <c r="Q184" s="23" t="s">
        <v>37</v>
      </c>
      <c r="R184" s="22"/>
      <c r="S184" s="9"/>
      <c r="T184" s="9"/>
      <c r="U184" s="9"/>
      <c r="V184" s="9"/>
      <c r="W184" s="9"/>
      <c r="X184" s="9"/>
      <c r="Y184" s="11"/>
      <c r="Z184" s="11"/>
      <c r="AA184" s="11"/>
      <c r="AB184" s="11"/>
      <c r="AC184" s="11"/>
      <c r="AD184" s="11"/>
    </row>
    <row r="185" hidden="1">
      <c r="A185" s="27"/>
      <c r="B185" s="36">
        <v>46205.0</v>
      </c>
      <c r="C185" s="14" t="s">
        <v>28</v>
      </c>
      <c r="D185" s="29" t="str">
        <f t="shared" si="8"/>
        <v>QLCKPHCHVM_03</v>
      </c>
      <c r="E185" s="29"/>
      <c r="F185" s="29"/>
      <c r="G185" s="16" t="s">
        <v>697</v>
      </c>
      <c r="H185" s="16" t="s">
        <v>698</v>
      </c>
      <c r="I185" s="16"/>
      <c r="J185" s="16" t="s">
        <v>699</v>
      </c>
      <c r="K185" s="16" t="s">
        <v>700</v>
      </c>
      <c r="L185" s="16" t="s">
        <v>700</v>
      </c>
      <c r="M185" s="30" t="s">
        <v>701</v>
      </c>
      <c r="N185" s="14" t="s">
        <v>37</v>
      </c>
      <c r="O185" s="15"/>
      <c r="P185" s="15"/>
      <c r="Q185" s="15"/>
      <c r="R185" s="15"/>
      <c r="S185" s="15"/>
      <c r="T185" s="15"/>
      <c r="U185" s="15"/>
      <c r="V185" s="15"/>
      <c r="W185" s="15"/>
      <c r="X185" s="15"/>
      <c r="Y185" s="11"/>
      <c r="Z185" s="11"/>
      <c r="AA185" s="11"/>
      <c r="AB185" s="11"/>
      <c r="AC185" s="11"/>
      <c r="AD185" s="11"/>
    </row>
    <row r="186" hidden="1">
      <c r="A186" s="26"/>
      <c r="B186" s="37">
        <v>46205.0</v>
      </c>
      <c r="C186" s="10" t="s">
        <v>28</v>
      </c>
      <c r="D186" s="28" t="str">
        <f t="shared" si="8"/>
        <v>QLCKPHCHVM_04</v>
      </c>
      <c r="E186" s="28"/>
      <c r="F186" s="28"/>
      <c r="G186" s="20" t="s">
        <v>702</v>
      </c>
      <c r="H186" s="20" t="s">
        <v>703</v>
      </c>
      <c r="I186" s="20"/>
      <c r="J186" s="20" t="s">
        <v>704</v>
      </c>
      <c r="K186" s="20" t="s">
        <v>705</v>
      </c>
      <c r="L186" s="20" t="s">
        <v>705</v>
      </c>
      <c r="M186" s="8" t="s">
        <v>706</v>
      </c>
      <c r="N186" s="10" t="s">
        <v>37</v>
      </c>
      <c r="O186" s="9"/>
      <c r="P186" s="9"/>
      <c r="Q186" s="9"/>
      <c r="R186" s="9"/>
      <c r="S186" s="9"/>
      <c r="T186" s="9"/>
      <c r="U186" s="9"/>
      <c r="V186" s="9"/>
      <c r="W186" s="9"/>
      <c r="X186" s="9"/>
      <c r="Y186" s="11"/>
      <c r="Z186" s="11"/>
      <c r="AA186" s="11"/>
      <c r="AB186" s="11"/>
      <c r="AC186" s="11"/>
      <c r="AD186" s="11"/>
    </row>
    <row r="187" hidden="1">
      <c r="A187" s="27"/>
      <c r="B187" s="36">
        <v>46205.0</v>
      </c>
      <c r="C187" s="14" t="s">
        <v>28</v>
      </c>
      <c r="D187" s="29" t="str">
        <f t="shared" si="8"/>
        <v>QLCKPHCHVM_05</v>
      </c>
      <c r="E187" s="29"/>
      <c r="F187" s="29"/>
      <c r="G187" s="16" t="s">
        <v>707</v>
      </c>
      <c r="H187" s="16" t="s">
        <v>708</v>
      </c>
      <c r="I187" s="16"/>
      <c r="J187" s="16" t="s">
        <v>709</v>
      </c>
      <c r="K187" s="16" t="s">
        <v>710</v>
      </c>
      <c r="L187" s="16" t="s">
        <v>710</v>
      </c>
      <c r="M187" s="30" t="s">
        <v>711</v>
      </c>
      <c r="N187" s="14" t="s">
        <v>37</v>
      </c>
      <c r="O187" s="15"/>
      <c r="P187" s="15"/>
      <c r="Q187" s="15"/>
      <c r="R187" s="15"/>
      <c r="S187" s="15"/>
      <c r="T187" s="15"/>
      <c r="U187" s="15"/>
      <c r="V187" s="15"/>
      <c r="W187" s="15"/>
      <c r="X187" s="15"/>
      <c r="Y187" s="11"/>
      <c r="Z187" s="11"/>
      <c r="AA187" s="11"/>
      <c r="AB187" s="11"/>
      <c r="AC187" s="11"/>
      <c r="AD187" s="11"/>
    </row>
    <row r="188" hidden="1">
      <c r="A188" s="26"/>
      <c r="B188" s="37">
        <v>46205.0</v>
      </c>
      <c r="C188" s="10" t="s">
        <v>28</v>
      </c>
      <c r="D188" s="28" t="str">
        <f t="shared" si="8"/>
        <v>QLCKPHCHVM_06</v>
      </c>
      <c r="E188" s="28"/>
      <c r="F188" s="28"/>
      <c r="G188" s="20" t="s">
        <v>712</v>
      </c>
      <c r="H188" s="20" t="s">
        <v>713</v>
      </c>
      <c r="I188" s="20"/>
      <c r="J188" s="20" t="s">
        <v>714</v>
      </c>
      <c r="K188" s="20" t="s">
        <v>715</v>
      </c>
      <c r="L188" s="20" t="s">
        <v>715</v>
      </c>
      <c r="M188" s="8" t="s">
        <v>716</v>
      </c>
      <c r="N188" s="10" t="s">
        <v>37</v>
      </c>
      <c r="O188" s="9"/>
      <c r="P188" s="9"/>
      <c r="Q188" s="9"/>
      <c r="R188" s="9"/>
      <c r="S188" s="9"/>
      <c r="T188" s="9"/>
      <c r="U188" s="9"/>
      <c r="V188" s="9"/>
      <c r="W188" s="9"/>
      <c r="X188" s="9"/>
      <c r="Y188" s="11"/>
      <c r="Z188" s="11"/>
      <c r="AA188" s="11"/>
      <c r="AB188" s="11"/>
      <c r="AC188" s="11"/>
      <c r="AD188" s="11"/>
    </row>
    <row r="189" hidden="1">
      <c r="A189" s="27"/>
      <c r="B189" s="36">
        <v>46205.0</v>
      </c>
      <c r="C189" s="14" t="s">
        <v>28</v>
      </c>
      <c r="D189" s="29" t="str">
        <f t="shared" si="8"/>
        <v>QLCKPHCHVM_07</v>
      </c>
      <c r="E189" s="29"/>
      <c r="F189" s="29"/>
      <c r="G189" s="16" t="s">
        <v>717</v>
      </c>
      <c r="H189" s="16" t="s">
        <v>718</v>
      </c>
      <c r="I189" s="16"/>
      <c r="J189" s="16" t="s">
        <v>719</v>
      </c>
      <c r="K189" s="16" t="s">
        <v>720</v>
      </c>
      <c r="L189" s="16" t="s">
        <v>720</v>
      </c>
      <c r="M189" s="30" t="s">
        <v>721</v>
      </c>
      <c r="N189" s="14" t="s">
        <v>37</v>
      </c>
      <c r="O189" s="15"/>
      <c r="P189" s="15"/>
      <c r="Q189" s="15"/>
      <c r="R189" s="15"/>
      <c r="S189" s="15"/>
      <c r="T189" s="15"/>
      <c r="U189" s="15"/>
      <c r="V189" s="15"/>
      <c r="W189" s="15"/>
      <c r="X189" s="15"/>
      <c r="Y189" s="11"/>
      <c r="Z189" s="11"/>
      <c r="AA189" s="11"/>
      <c r="AB189" s="11"/>
      <c r="AC189" s="11"/>
      <c r="AD189" s="11"/>
    </row>
    <row r="190" hidden="1">
      <c r="A190" s="26"/>
      <c r="B190" s="37">
        <v>46205.0</v>
      </c>
      <c r="C190" s="10" t="s">
        <v>28</v>
      </c>
      <c r="D190" s="28" t="str">
        <f t="shared" si="8"/>
        <v>QLCKPHCHVM_08</v>
      </c>
      <c r="E190" s="28"/>
      <c r="F190" s="28"/>
      <c r="G190" s="20" t="s">
        <v>722</v>
      </c>
      <c r="H190" s="20" t="s">
        <v>723</v>
      </c>
      <c r="I190" s="20"/>
      <c r="J190" s="20" t="s">
        <v>724</v>
      </c>
      <c r="K190" s="20" t="s">
        <v>725</v>
      </c>
      <c r="L190" s="20" t="s">
        <v>725</v>
      </c>
      <c r="M190" s="8" t="s">
        <v>726</v>
      </c>
      <c r="N190" s="10" t="s">
        <v>37</v>
      </c>
      <c r="O190" s="9"/>
      <c r="P190" s="9"/>
      <c r="Q190" s="9"/>
      <c r="R190" s="9"/>
      <c r="S190" s="9"/>
      <c r="T190" s="9"/>
      <c r="U190" s="9"/>
      <c r="V190" s="9"/>
      <c r="W190" s="9"/>
      <c r="X190" s="9"/>
      <c r="Y190" s="11"/>
      <c r="Z190" s="11"/>
      <c r="AA190" s="11"/>
      <c r="AB190" s="11"/>
      <c r="AC190" s="11"/>
      <c r="AD190" s="11"/>
    </row>
    <row r="191" hidden="1">
      <c r="A191" s="27"/>
      <c r="B191" s="36">
        <v>46205.0</v>
      </c>
      <c r="C191" s="14" t="s">
        <v>28</v>
      </c>
      <c r="D191" s="29" t="str">
        <f t="shared" si="8"/>
        <v>QLCKPHCHVM_09</v>
      </c>
      <c r="E191" s="29"/>
      <c r="F191" s="29"/>
      <c r="G191" s="16" t="s">
        <v>727</v>
      </c>
      <c r="H191" s="16" t="s">
        <v>728</v>
      </c>
      <c r="I191" s="16"/>
      <c r="J191" s="16" t="s">
        <v>729</v>
      </c>
      <c r="K191" s="16" t="s">
        <v>730</v>
      </c>
      <c r="L191" s="16" t="s">
        <v>730</v>
      </c>
      <c r="M191" s="30" t="s">
        <v>731</v>
      </c>
      <c r="N191" s="14" t="s">
        <v>37</v>
      </c>
      <c r="O191" s="15"/>
      <c r="P191" s="15"/>
      <c r="Q191" s="15"/>
      <c r="R191" s="15"/>
      <c r="S191" s="15"/>
      <c r="T191" s="15"/>
      <c r="U191" s="15"/>
      <c r="V191" s="15"/>
      <c r="W191" s="15"/>
      <c r="X191" s="15"/>
      <c r="Y191" s="11"/>
      <c r="Z191" s="11"/>
      <c r="AA191" s="11"/>
      <c r="AB191" s="11"/>
      <c r="AC191" s="11"/>
      <c r="AD191" s="11"/>
    </row>
    <row r="192" hidden="1">
      <c r="A192" s="26"/>
      <c r="B192" s="37">
        <v>46205.0</v>
      </c>
      <c r="C192" s="10" t="s">
        <v>28</v>
      </c>
      <c r="D192" s="28" t="str">
        <f t="shared" si="8"/>
        <v>QLCKPHCHVM_10</v>
      </c>
      <c r="E192" s="28"/>
      <c r="F192" s="28"/>
      <c r="G192" s="20" t="s">
        <v>732</v>
      </c>
      <c r="H192" s="20" t="s">
        <v>733</v>
      </c>
      <c r="I192" s="20"/>
      <c r="J192" s="20" t="s">
        <v>734</v>
      </c>
      <c r="K192" s="20" t="s">
        <v>735</v>
      </c>
      <c r="L192" s="20" t="s">
        <v>735</v>
      </c>
      <c r="M192" s="8" t="s">
        <v>736</v>
      </c>
      <c r="N192" s="10" t="s">
        <v>37</v>
      </c>
      <c r="O192" s="9"/>
      <c r="P192" s="9"/>
      <c r="Q192" s="9"/>
      <c r="R192" s="9"/>
      <c r="S192" s="9"/>
      <c r="T192" s="9"/>
      <c r="U192" s="9"/>
      <c r="V192" s="9"/>
      <c r="W192" s="9"/>
      <c r="X192" s="9"/>
      <c r="Y192" s="11"/>
      <c r="Z192" s="11"/>
      <c r="AA192" s="11"/>
      <c r="AB192" s="11"/>
      <c r="AC192" s="11"/>
      <c r="AD192" s="11"/>
    </row>
    <row r="193" hidden="1">
      <c r="A193" s="27"/>
      <c r="B193" s="36">
        <v>46205.0</v>
      </c>
      <c r="C193" s="14" t="s">
        <v>28</v>
      </c>
      <c r="D193" s="29" t="str">
        <f t="shared" si="8"/>
        <v>QLCKPHCHVM_11</v>
      </c>
      <c r="E193" s="29"/>
      <c r="F193" s="29"/>
      <c r="G193" s="16" t="s">
        <v>737</v>
      </c>
      <c r="H193" s="16" t="s">
        <v>738</v>
      </c>
      <c r="I193" s="16"/>
      <c r="J193" s="16" t="s">
        <v>739</v>
      </c>
      <c r="K193" s="16" t="s">
        <v>740</v>
      </c>
      <c r="L193" s="16" t="s">
        <v>740</v>
      </c>
      <c r="M193" s="30" t="s">
        <v>741</v>
      </c>
      <c r="N193" s="14" t="s">
        <v>37</v>
      </c>
      <c r="O193" s="15"/>
      <c r="P193" s="15"/>
      <c r="Q193" s="15"/>
      <c r="R193" s="15"/>
      <c r="S193" s="15"/>
      <c r="T193" s="15"/>
      <c r="U193" s="15"/>
      <c r="V193" s="15"/>
      <c r="W193" s="15"/>
      <c r="X193" s="15"/>
      <c r="Y193" s="11"/>
      <c r="Z193" s="11"/>
      <c r="AA193" s="11"/>
      <c r="AB193" s="11"/>
      <c r="AC193" s="11"/>
      <c r="AD193" s="11"/>
    </row>
    <row r="194" hidden="1">
      <c r="A194" s="4"/>
      <c r="B194" s="5" t="s">
        <v>742</v>
      </c>
      <c r="C194" s="5" t="s">
        <v>28</v>
      </c>
      <c r="D194" s="6"/>
      <c r="E194" s="6" t="s">
        <v>743</v>
      </c>
      <c r="F194" s="28"/>
      <c r="G194" s="28"/>
      <c r="H194" s="28"/>
      <c r="I194" s="28"/>
      <c r="J194" s="9"/>
      <c r="K194" s="9"/>
      <c r="L194" s="9"/>
      <c r="M194" s="9"/>
      <c r="N194" s="10"/>
      <c r="O194" s="9"/>
      <c r="P194" s="9"/>
      <c r="Q194" s="9"/>
      <c r="R194" s="9"/>
      <c r="S194" s="9"/>
      <c r="T194" s="9"/>
      <c r="U194" s="9"/>
      <c r="V194" s="9"/>
      <c r="W194" s="9"/>
      <c r="X194" s="9"/>
      <c r="Y194" s="11"/>
      <c r="Z194" s="11"/>
      <c r="AA194" s="11"/>
      <c r="AB194" s="11"/>
      <c r="AC194" s="11"/>
      <c r="AD194" s="11"/>
    </row>
    <row r="195" hidden="1">
      <c r="A195" s="27"/>
      <c r="B195" s="14">
        <v>18.0</v>
      </c>
      <c r="C195" s="14" t="s">
        <v>28</v>
      </c>
      <c r="D195" s="29"/>
      <c r="E195" s="29" t="s">
        <v>744</v>
      </c>
      <c r="F195" s="29" t="s">
        <v>287</v>
      </c>
      <c r="G195" s="29" t="s">
        <v>745</v>
      </c>
      <c r="H195" s="42"/>
      <c r="I195" s="14"/>
      <c r="J195" s="15"/>
      <c r="K195" s="15"/>
      <c r="L195" s="15"/>
      <c r="M195" s="15"/>
      <c r="N195" s="14"/>
      <c r="O195" s="15"/>
      <c r="P195" s="15"/>
      <c r="Q195" s="15"/>
      <c r="R195" s="15"/>
      <c r="S195" s="15"/>
      <c r="T195" s="15"/>
      <c r="U195" s="15"/>
      <c r="V195" s="15"/>
      <c r="W195" s="15"/>
      <c r="X195" s="15"/>
      <c r="Y195" s="11"/>
      <c r="Z195" s="11"/>
      <c r="AA195" s="11"/>
      <c r="AB195" s="11"/>
      <c r="AC195" s="11"/>
      <c r="AD195" s="11"/>
    </row>
    <row r="196">
      <c r="A196" s="26"/>
      <c r="B196" s="37">
        <v>46206.0</v>
      </c>
      <c r="C196" s="10" t="s">
        <v>28</v>
      </c>
      <c r="D196" s="28" t="str">
        <f t="shared" ref="D196:D205" si="9">IF(G195&lt;&gt;"","QLCHVMDXL_"&amp;TEXT(COUNTIF($G$195:G195,"&lt;&gt;"),"00"),"")</f>
        <v>QLCHVMDXL_01</v>
      </c>
      <c r="E196" s="28"/>
      <c r="F196" s="28"/>
      <c r="G196" s="20" t="s">
        <v>512</v>
      </c>
      <c r="H196" s="20" t="s">
        <v>513</v>
      </c>
      <c r="I196" s="20"/>
      <c r="J196" s="20" t="s">
        <v>746</v>
      </c>
      <c r="K196" s="20" t="s">
        <v>747</v>
      </c>
      <c r="L196" s="9" t="s">
        <v>748</v>
      </c>
      <c r="M196" s="8" t="s">
        <v>749</v>
      </c>
      <c r="N196" s="10" t="s">
        <v>64</v>
      </c>
      <c r="O196" s="9"/>
      <c r="P196" s="22" t="s">
        <v>649</v>
      </c>
      <c r="Q196" s="23" t="s">
        <v>649</v>
      </c>
      <c r="R196" s="22" t="s">
        <v>750</v>
      </c>
      <c r="S196" s="9"/>
      <c r="T196" s="9"/>
      <c r="U196" s="9"/>
      <c r="V196" s="9"/>
      <c r="W196" s="9"/>
      <c r="X196" s="9"/>
      <c r="Y196" s="11"/>
      <c r="Z196" s="11"/>
      <c r="AA196" s="11"/>
      <c r="AB196" s="11"/>
      <c r="AC196" s="11"/>
      <c r="AD196" s="11"/>
    </row>
    <row r="197" hidden="1">
      <c r="A197" s="27"/>
      <c r="B197" s="36">
        <v>46206.0</v>
      </c>
      <c r="C197" s="14" t="s">
        <v>28</v>
      </c>
      <c r="D197" s="29" t="str">
        <f t="shared" si="9"/>
        <v>QLCHVMDXL_02</v>
      </c>
      <c r="E197" s="29"/>
      <c r="F197" s="29"/>
      <c r="G197" s="16" t="s">
        <v>517</v>
      </c>
      <c r="H197" s="16" t="s">
        <v>518</v>
      </c>
      <c r="I197" s="16"/>
      <c r="J197" s="16" t="s">
        <v>751</v>
      </c>
      <c r="K197" s="16" t="s">
        <v>752</v>
      </c>
      <c r="L197" s="16" t="s">
        <v>752</v>
      </c>
      <c r="M197" s="30" t="s">
        <v>753</v>
      </c>
      <c r="N197" s="14" t="s">
        <v>37</v>
      </c>
      <c r="O197" s="15"/>
      <c r="P197" s="15"/>
      <c r="Q197" s="15"/>
      <c r="R197" s="15"/>
      <c r="S197" s="15"/>
      <c r="T197" s="15"/>
      <c r="U197" s="15"/>
      <c r="V197" s="15"/>
      <c r="W197" s="15"/>
      <c r="X197" s="15"/>
      <c r="Y197" s="11"/>
      <c r="Z197" s="11"/>
      <c r="AA197" s="11"/>
      <c r="AB197" s="11"/>
      <c r="AC197" s="11"/>
      <c r="AD197" s="11"/>
    </row>
    <row r="198" hidden="1">
      <c r="A198" s="26"/>
      <c r="B198" s="37">
        <v>46206.0</v>
      </c>
      <c r="C198" s="10" t="s">
        <v>28</v>
      </c>
      <c r="D198" s="28" t="str">
        <f t="shared" si="9"/>
        <v>QLCHVMDXL_03</v>
      </c>
      <c r="E198" s="28"/>
      <c r="F198" s="28"/>
      <c r="G198" s="20" t="s">
        <v>522</v>
      </c>
      <c r="H198" s="20" t="s">
        <v>523</v>
      </c>
      <c r="I198" s="20"/>
      <c r="J198" s="20" t="s">
        <v>754</v>
      </c>
      <c r="K198" s="20" t="s">
        <v>755</v>
      </c>
      <c r="L198" s="20" t="s">
        <v>755</v>
      </c>
      <c r="M198" s="8" t="s">
        <v>756</v>
      </c>
      <c r="N198" s="10" t="s">
        <v>37</v>
      </c>
      <c r="O198" s="9"/>
      <c r="P198" s="9"/>
      <c r="Q198" s="9"/>
      <c r="R198" s="9"/>
      <c r="S198" s="9"/>
      <c r="T198" s="9"/>
      <c r="U198" s="9"/>
      <c r="V198" s="9"/>
      <c r="W198" s="9"/>
      <c r="X198" s="9"/>
      <c r="Y198" s="11"/>
      <c r="Z198" s="11"/>
      <c r="AA198" s="11"/>
      <c r="AB198" s="11"/>
      <c r="AC198" s="11"/>
      <c r="AD198" s="11"/>
    </row>
    <row r="199" hidden="1">
      <c r="A199" s="27"/>
      <c r="B199" s="36">
        <v>46206.0</v>
      </c>
      <c r="C199" s="14" t="s">
        <v>28</v>
      </c>
      <c r="D199" s="29" t="str">
        <f t="shared" si="9"/>
        <v>QLCHVMDXL_04</v>
      </c>
      <c r="E199" s="29"/>
      <c r="F199" s="29"/>
      <c r="G199" s="16" t="s">
        <v>527</v>
      </c>
      <c r="H199" s="16" t="s">
        <v>528</v>
      </c>
      <c r="I199" s="16"/>
      <c r="J199" s="16" t="s">
        <v>529</v>
      </c>
      <c r="K199" s="16" t="s">
        <v>757</v>
      </c>
      <c r="L199" s="16" t="s">
        <v>757</v>
      </c>
      <c r="M199" s="30" t="s">
        <v>758</v>
      </c>
      <c r="N199" s="14" t="s">
        <v>37</v>
      </c>
      <c r="O199" s="15"/>
      <c r="P199" s="15"/>
      <c r="Q199" s="15"/>
      <c r="R199" s="15"/>
      <c r="S199" s="15"/>
      <c r="T199" s="15"/>
      <c r="U199" s="15"/>
      <c r="V199" s="15"/>
      <c r="W199" s="15"/>
      <c r="X199" s="15"/>
      <c r="Y199" s="11"/>
      <c r="Z199" s="11"/>
      <c r="AA199" s="11"/>
      <c r="AB199" s="11"/>
      <c r="AC199" s="11"/>
      <c r="AD199" s="11"/>
    </row>
    <row r="200" hidden="1">
      <c r="A200" s="26"/>
      <c r="B200" s="37">
        <v>46206.0</v>
      </c>
      <c r="C200" s="10" t="s">
        <v>28</v>
      </c>
      <c r="D200" s="28" t="str">
        <f t="shared" si="9"/>
        <v>QLCHVMDXL_05</v>
      </c>
      <c r="E200" s="28"/>
      <c r="F200" s="28"/>
      <c r="G200" s="20" t="s">
        <v>532</v>
      </c>
      <c r="H200" s="20" t="s">
        <v>759</v>
      </c>
      <c r="I200" s="20"/>
      <c r="J200" s="20" t="s">
        <v>760</v>
      </c>
      <c r="K200" s="20" t="s">
        <v>761</v>
      </c>
      <c r="L200" s="20" t="s">
        <v>761</v>
      </c>
      <c r="M200" s="8" t="s">
        <v>762</v>
      </c>
      <c r="N200" s="10" t="s">
        <v>37</v>
      </c>
      <c r="O200" s="9"/>
      <c r="P200" s="9"/>
      <c r="Q200" s="9"/>
      <c r="R200" s="9"/>
      <c r="S200" s="9"/>
      <c r="T200" s="9"/>
      <c r="U200" s="9"/>
      <c r="V200" s="9"/>
      <c r="W200" s="9"/>
      <c r="X200" s="9"/>
      <c r="Y200" s="11"/>
      <c r="Z200" s="11"/>
      <c r="AA200" s="11"/>
      <c r="AB200" s="11"/>
      <c r="AC200" s="11"/>
      <c r="AD200" s="11"/>
    </row>
    <row r="201">
      <c r="A201" s="27"/>
      <c r="B201" s="36">
        <v>46206.0</v>
      </c>
      <c r="C201" s="14" t="s">
        <v>28</v>
      </c>
      <c r="D201" s="29" t="str">
        <f t="shared" si="9"/>
        <v>QLCHVMDXL_06</v>
      </c>
      <c r="E201" s="29"/>
      <c r="F201" s="29"/>
      <c r="G201" s="16" t="s">
        <v>537</v>
      </c>
      <c r="H201" s="16" t="s">
        <v>538</v>
      </c>
      <c r="I201" s="16"/>
      <c r="J201" s="16" t="s">
        <v>539</v>
      </c>
      <c r="K201" s="16" t="s">
        <v>540</v>
      </c>
      <c r="L201" s="15" t="s">
        <v>763</v>
      </c>
      <c r="M201" s="30" t="s">
        <v>764</v>
      </c>
      <c r="N201" s="14" t="s">
        <v>64</v>
      </c>
      <c r="O201" s="15"/>
      <c r="P201" s="24" t="s">
        <v>65</v>
      </c>
      <c r="Q201" s="25" t="s">
        <v>37</v>
      </c>
      <c r="R201" s="24" t="s">
        <v>765</v>
      </c>
      <c r="S201" s="15"/>
      <c r="T201" s="15"/>
      <c r="U201" s="15"/>
      <c r="V201" s="15"/>
      <c r="W201" s="15"/>
      <c r="X201" s="15"/>
      <c r="Y201" s="11"/>
      <c r="Z201" s="11"/>
      <c r="AA201" s="11"/>
      <c r="AB201" s="11"/>
      <c r="AC201" s="11"/>
      <c r="AD201" s="11"/>
    </row>
    <row r="202" hidden="1">
      <c r="A202" s="26"/>
      <c r="B202" s="37">
        <v>46206.0</v>
      </c>
      <c r="C202" s="10" t="s">
        <v>28</v>
      </c>
      <c r="D202" s="28" t="str">
        <f t="shared" si="9"/>
        <v>QLCHVMDXL_07</v>
      </c>
      <c r="E202" s="28"/>
      <c r="F202" s="28"/>
      <c r="G202" s="20" t="s">
        <v>544</v>
      </c>
      <c r="H202" s="20" t="s">
        <v>766</v>
      </c>
      <c r="I202" s="20"/>
      <c r="J202" s="20" t="s">
        <v>767</v>
      </c>
      <c r="K202" s="20" t="s">
        <v>547</v>
      </c>
      <c r="L202" s="20" t="s">
        <v>547</v>
      </c>
      <c r="M202" s="8" t="s">
        <v>768</v>
      </c>
      <c r="N202" s="10" t="s">
        <v>37</v>
      </c>
      <c r="O202" s="9"/>
      <c r="P202" s="9"/>
      <c r="Q202" s="9"/>
      <c r="R202" s="9"/>
      <c r="S202" s="9"/>
      <c r="T202" s="9"/>
      <c r="U202" s="9"/>
      <c r="V202" s="9"/>
      <c r="W202" s="9"/>
      <c r="X202" s="9"/>
      <c r="Y202" s="11"/>
      <c r="Z202" s="11"/>
      <c r="AA202" s="11"/>
      <c r="AB202" s="11"/>
      <c r="AC202" s="11"/>
      <c r="AD202" s="11"/>
    </row>
    <row r="203" hidden="1">
      <c r="A203" s="27"/>
      <c r="B203" s="36">
        <v>46206.0</v>
      </c>
      <c r="C203" s="14" t="s">
        <v>28</v>
      </c>
      <c r="D203" s="29" t="str">
        <f t="shared" si="9"/>
        <v>QLCHVMDXL_08</v>
      </c>
      <c r="E203" s="29"/>
      <c r="F203" s="29"/>
      <c r="G203" s="16" t="s">
        <v>769</v>
      </c>
      <c r="H203" s="16" t="s">
        <v>770</v>
      </c>
      <c r="I203" s="16"/>
      <c r="J203" s="16" t="s">
        <v>771</v>
      </c>
      <c r="K203" s="16" t="s">
        <v>772</v>
      </c>
      <c r="L203" s="16" t="s">
        <v>772</v>
      </c>
      <c r="M203" s="30" t="s">
        <v>773</v>
      </c>
      <c r="N203" s="14" t="s">
        <v>37</v>
      </c>
      <c r="O203" s="15"/>
      <c r="P203" s="15"/>
      <c r="Q203" s="15"/>
      <c r="R203" s="15"/>
      <c r="S203" s="15"/>
      <c r="T203" s="15"/>
      <c r="U203" s="15"/>
      <c r="V203" s="15"/>
      <c r="W203" s="15"/>
      <c r="X203" s="15"/>
      <c r="Y203" s="11"/>
      <c r="Z203" s="11"/>
      <c r="AA203" s="11"/>
      <c r="AB203" s="11"/>
      <c r="AC203" s="11"/>
      <c r="AD203" s="11"/>
    </row>
    <row r="204" hidden="1">
      <c r="A204" s="26"/>
      <c r="B204" s="37">
        <v>46206.0</v>
      </c>
      <c r="C204" s="10" t="s">
        <v>28</v>
      </c>
      <c r="D204" s="28" t="str">
        <f t="shared" si="9"/>
        <v>QLCHVMDXL_09</v>
      </c>
      <c r="E204" s="28"/>
      <c r="F204" s="28"/>
      <c r="G204" s="20" t="s">
        <v>549</v>
      </c>
      <c r="H204" s="20" t="s">
        <v>550</v>
      </c>
      <c r="I204" s="20"/>
      <c r="J204" s="20" t="s">
        <v>551</v>
      </c>
      <c r="K204" s="20" t="s">
        <v>552</v>
      </c>
      <c r="L204" s="20" t="s">
        <v>552</v>
      </c>
      <c r="M204" s="8" t="s">
        <v>774</v>
      </c>
      <c r="N204" s="10" t="s">
        <v>37</v>
      </c>
      <c r="O204" s="9"/>
      <c r="P204" s="9"/>
      <c r="Q204" s="9"/>
      <c r="R204" s="9"/>
      <c r="S204" s="9"/>
      <c r="T204" s="9"/>
      <c r="U204" s="9"/>
      <c r="V204" s="9"/>
      <c r="W204" s="9"/>
      <c r="X204" s="9"/>
      <c r="Y204" s="11"/>
      <c r="Z204" s="11"/>
      <c r="AA204" s="11"/>
      <c r="AB204" s="11"/>
      <c r="AC204" s="11"/>
      <c r="AD204" s="11"/>
    </row>
    <row r="205" hidden="1">
      <c r="A205" s="27"/>
      <c r="B205" s="36">
        <v>46206.0</v>
      </c>
      <c r="C205" s="14" t="s">
        <v>28</v>
      </c>
      <c r="D205" s="29" t="str">
        <f t="shared" si="9"/>
        <v>QLCHVMDXL_10</v>
      </c>
      <c r="E205" s="29"/>
      <c r="F205" s="29"/>
      <c r="G205" s="16" t="s">
        <v>554</v>
      </c>
      <c r="H205" s="16" t="s">
        <v>555</v>
      </c>
      <c r="I205" s="16"/>
      <c r="J205" s="16" t="s">
        <v>775</v>
      </c>
      <c r="K205" s="16" t="s">
        <v>776</v>
      </c>
      <c r="L205" s="16" t="s">
        <v>776</v>
      </c>
      <c r="M205" s="30" t="s">
        <v>777</v>
      </c>
      <c r="N205" s="14" t="s">
        <v>37</v>
      </c>
      <c r="O205" s="15"/>
      <c r="P205" s="15"/>
      <c r="Q205" s="15"/>
      <c r="R205" s="15"/>
      <c r="S205" s="15"/>
      <c r="T205" s="15"/>
      <c r="U205" s="15"/>
      <c r="V205" s="15"/>
      <c r="W205" s="15"/>
      <c r="X205" s="15"/>
      <c r="Y205" s="11"/>
      <c r="Z205" s="11"/>
      <c r="AA205" s="11"/>
      <c r="AB205" s="11"/>
      <c r="AC205" s="11"/>
      <c r="AD205" s="11"/>
    </row>
    <row r="206" hidden="1">
      <c r="A206" s="26"/>
      <c r="B206" s="10">
        <v>19.0</v>
      </c>
      <c r="C206" s="10" t="s">
        <v>28</v>
      </c>
      <c r="D206" s="28"/>
      <c r="E206" s="28" t="s">
        <v>778</v>
      </c>
      <c r="F206" s="28" t="s">
        <v>30</v>
      </c>
      <c r="G206" s="28" t="s">
        <v>779</v>
      </c>
      <c r="H206" s="28"/>
      <c r="I206" s="10"/>
      <c r="J206" s="9"/>
      <c r="K206" s="9"/>
      <c r="L206" s="9"/>
      <c r="M206" s="9"/>
      <c r="N206" s="10"/>
      <c r="O206" s="9"/>
      <c r="P206" s="9"/>
      <c r="Q206" s="9"/>
      <c r="R206" s="9"/>
      <c r="S206" s="9"/>
      <c r="T206" s="9"/>
      <c r="U206" s="9"/>
      <c r="V206" s="9"/>
      <c r="W206" s="9"/>
      <c r="X206" s="9"/>
      <c r="Y206" s="11"/>
      <c r="Z206" s="11"/>
      <c r="AA206" s="11"/>
      <c r="AB206" s="11"/>
      <c r="AC206" s="11"/>
      <c r="AD206" s="11"/>
    </row>
    <row r="207" hidden="1">
      <c r="A207" s="27"/>
      <c r="B207" s="36">
        <v>46206.0</v>
      </c>
      <c r="C207" s="14" t="s">
        <v>28</v>
      </c>
      <c r="D207" s="29" t="str">
        <f t="shared" ref="D207:D218" si="10">IF(G207&lt;&gt;"","TKCHVMDXL_"&amp;TEXT(COUNTIF($G$207:G207,"&lt;&gt;"),"00"),"")</f>
        <v>TKCHVMDXL_01</v>
      </c>
      <c r="E207" s="29"/>
      <c r="F207" s="29"/>
      <c r="G207" s="16" t="s">
        <v>404</v>
      </c>
      <c r="H207" s="16" t="s">
        <v>405</v>
      </c>
      <c r="I207" s="16" t="s">
        <v>406</v>
      </c>
      <c r="J207" s="16" t="s">
        <v>407</v>
      </c>
      <c r="K207" s="16" t="s">
        <v>408</v>
      </c>
      <c r="L207" s="16" t="s">
        <v>408</v>
      </c>
      <c r="M207" s="30" t="s">
        <v>780</v>
      </c>
      <c r="N207" s="14" t="s">
        <v>37</v>
      </c>
      <c r="O207" s="15"/>
      <c r="P207" s="15"/>
      <c r="Q207" s="15"/>
      <c r="R207" s="15"/>
      <c r="S207" s="15"/>
      <c r="T207" s="15"/>
      <c r="U207" s="15"/>
      <c r="V207" s="15"/>
      <c r="W207" s="15"/>
      <c r="X207" s="15"/>
      <c r="Y207" s="11"/>
      <c r="Z207" s="11"/>
      <c r="AA207" s="11"/>
      <c r="AB207" s="11"/>
      <c r="AC207" s="11"/>
      <c r="AD207" s="11"/>
    </row>
    <row r="208" hidden="1">
      <c r="A208" s="26"/>
      <c r="B208" s="37">
        <v>46206.0</v>
      </c>
      <c r="C208" s="10" t="s">
        <v>28</v>
      </c>
      <c r="D208" s="28" t="str">
        <f t="shared" si="10"/>
        <v>TKCHVMDXL_02</v>
      </c>
      <c r="E208" s="28"/>
      <c r="F208" s="28"/>
      <c r="G208" s="20" t="s">
        <v>410</v>
      </c>
      <c r="H208" s="20" t="s">
        <v>411</v>
      </c>
      <c r="I208" s="20" t="s">
        <v>412</v>
      </c>
      <c r="J208" s="20" t="s">
        <v>413</v>
      </c>
      <c r="K208" s="20" t="s">
        <v>414</v>
      </c>
      <c r="L208" s="20" t="s">
        <v>414</v>
      </c>
      <c r="M208" s="8" t="s">
        <v>781</v>
      </c>
      <c r="N208" s="10" t="s">
        <v>37</v>
      </c>
      <c r="O208" s="9"/>
      <c r="P208" s="9"/>
      <c r="Q208" s="9"/>
      <c r="R208" s="9"/>
      <c r="S208" s="9"/>
      <c r="T208" s="9"/>
      <c r="U208" s="9"/>
      <c r="V208" s="9"/>
      <c r="W208" s="9"/>
      <c r="X208" s="9"/>
      <c r="Y208" s="11"/>
      <c r="Z208" s="11"/>
      <c r="AA208" s="11"/>
      <c r="AB208" s="11"/>
      <c r="AC208" s="11"/>
      <c r="AD208" s="11"/>
    </row>
    <row r="209" hidden="1">
      <c r="A209" s="27"/>
      <c r="B209" s="36">
        <v>46206.0</v>
      </c>
      <c r="C209" s="14" t="s">
        <v>28</v>
      </c>
      <c r="D209" s="29" t="str">
        <f t="shared" si="10"/>
        <v>TKCHVMDXL_03</v>
      </c>
      <c r="E209" s="29"/>
      <c r="F209" s="29"/>
      <c r="G209" s="16" t="s">
        <v>416</v>
      </c>
      <c r="H209" s="16" t="s">
        <v>417</v>
      </c>
      <c r="I209" s="16" t="s">
        <v>418</v>
      </c>
      <c r="J209" s="16" t="s">
        <v>419</v>
      </c>
      <c r="K209" s="16" t="s">
        <v>420</v>
      </c>
      <c r="L209" s="16" t="s">
        <v>420</v>
      </c>
      <c r="M209" s="30" t="s">
        <v>782</v>
      </c>
      <c r="N209" s="14" t="s">
        <v>37</v>
      </c>
      <c r="O209" s="15"/>
      <c r="P209" s="15"/>
      <c r="Q209" s="15"/>
      <c r="R209" s="15"/>
      <c r="S209" s="15"/>
      <c r="T209" s="15"/>
      <c r="U209" s="15"/>
      <c r="V209" s="15"/>
      <c r="W209" s="15"/>
      <c r="X209" s="15"/>
      <c r="Y209" s="11"/>
      <c r="Z209" s="11"/>
      <c r="AA209" s="11"/>
      <c r="AB209" s="11"/>
      <c r="AC209" s="11"/>
      <c r="AD209" s="11"/>
    </row>
    <row r="210" hidden="1">
      <c r="A210" s="26"/>
      <c r="B210" s="37">
        <v>46206.0</v>
      </c>
      <c r="C210" s="10" t="s">
        <v>28</v>
      </c>
      <c r="D210" s="28" t="str">
        <f t="shared" si="10"/>
        <v>TKCHVMDXL_04</v>
      </c>
      <c r="E210" s="28"/>
      <c r="F210" s="28"/>
      <c r="G210" s="20" t="s">
        <v>422</v>
      </c>
      <c r="H210" s="20" t="s">
        <v>423</v>
      </c>
      <c r="I210" s="20" t="s">
        <v>424</v>
      </c>
      <c r="J210" s="20" t="s">
        <v>425</v>
      </c>
      <c r="K210" s="20" t="s">
        <v>426</v>
      </c>
      <c r="L210" s="20" t="s">
        <v>426</v>
      </c>
      <c r="M210" s="8" t="s">
        <v>783</v>
      </c>
      <c r="N210" s="10" t="s">
        <v>37</v>
      </c>
      <c r="O210" s="9"/>
      <c r="P210" s="9"/>
      <c r="Q210" s="9"/>
      <c r="R210" s="9"/>
      <c r="S210" s="9"/>
      <c r="T210" s="9"/>
      <c r="U210" s="9"/>
      <c r="V210" s="9"/>
      <c r="W210" s="9"/>
      <c r="X210" s="9"/>
      <c r="Y210" s="11"/>
      <c r="Z210" s="11"/>
      <c r="AA210" s="11"/>
      <c r="AB210" s="11"/>
      <c r="AC210" s="11"/>
      <c r="AD210" s="11"/>
    </row>
    <row r="211" hidden="1">
      <c r="A211" s="27"/>
      <c r="B211" s="36">
        <v>46206.0</v>
      </c>
      <c r="C211" s="14" t="s">
        <v>28</v>
      </c>
      <c r="D211" s="29" t="str">
        <f t="shared" si="10"/>
        <v>TKCHVMDXL_05</v>
      </c>
      <c r="E211" s="29"/>
      <c r="F211" s="29"/>
      <c r="G211" s="16" t="s">
        <v>428</v>
      </c>
      <c r="H211" s="16" t="s">
        <v>429</v>
      </c>
      <c r="I211" s="16" t="s">
        <v>430</v>
      </c>
      <c r="J211" s="16" t="s">
        <v>431</v>
      </c>
      <c r="K211" s="16" t="s">
        <v>432</v>
      </c>
      <c r="L211" s="16" t="s">
        <v>432</v>
      </c>
      <c r="M211" s="30" t="s">
        <v>784</v>
      </c>
      <c r="N211" s="14" t="s">
        <v>37</v>
      </c>
      <c r="O211" s="15"/>
      <c r="P211" s="15"/>
      <c r="Q211" s="15"/>
      <c r="R211" s="15"/>
      <c r="S211" s="15"/>
      <c r="T211" s="15"/>
      <c r="U211" s="15"/>
      <c r="V211" s="15"/>
      <c r="W211" s="15"/>
      <c r="X211" s="15"/>
      <c r="Y211" s="11"/>
      <c r="Z211" s="11"/>
      <c r="AA211" s="11"/>
      <c r="AB211" s="11"/>
      <c r="AC211" s="11"/>
      <c r="AD211" s="11"/>
    </row>
    <row r="212">
      <c r="A212" s="26"/>
      <c r="B212" s="37">
        <v>46206.0</v>
      </c>
      <c r="C212" s="10" t="s">
        <v>28</v>
      </c>
      <c r="D212" s="28" t="str">
        <f t="shared" si="10"/>
        <v>TKCHVMDXL_06</v>
      </c>
      <c r="E212" s="28"/>
      <c r="F212" s="28"/>
      <c r="G212" s="20" t="s">
        <v>434</v>
      </c>
      <c r="H212" s="20" t="s">
        <v>435</v>
      </c>
      <c r="I212" s="20" t="s">
        <v>436</v>
      </c>
      <c r="J212" s="20" t="s">
        <v>437</v>
      </c>
      <c r="K212" s="20" t="s">
        <v>438</v>
      </c>
      <c r="L212" s="9" t="s">
        <v>785</v>
      </c>
      <c r="M212" s="8" t="s">
        <v>786</v>
      </c>
      <c r="N212" s="10" t="s">
        <v>64</v>
      </c>
      <c r="O212" s="9"/>
      <c r="P212" s="22" t="s">
        <v>65</v>
      </c>
      <c r="Q212" s="23" t="s">
        <v>37</v>
      </c>
      <c r="R212" s="9"/>
      <c r="S212" s="9"/>
      <c r="T212" s="9"/>
      <c r="U212" s="9"/>
      <c r="V212" s="9"/>
      <c r="W212" s="9"/>
      <c r="X212" s="9"/>
      <c r="Y212" s="11"/>
      <c r="Z212" s="11"/>
      <c r="AA212" s="11"/>
      <c r="AB212" s="11"/>
      <c r="AC212" s="11"/>
      <c r="AD212" s="11"/>
    </row>
    <row r="213" hidden="1">
      <c r="A213" s="27"/>
      <c r="B213" s="36">
        <v>46206.0</v>
      </c>
      <c r="C213" s="14" t="s">
        <v>28</v>
      </c>
      <c r="D213" s="29" t="str">
        <f t="shared" si="10"/>
        <v>TKCHVMDXL_07</v>
      </c>
      <c r="E213" s="29"/>
      <c r="F213" s="29"/>
      <c r="G213" s="16" t="s">
        <v>446</v>
      </c>
      <c r="H213" s="16" t="s">
        <v>447</v>
      </c>
      <c r="I213" s="16" t="s">
        <v>448</v>
      </c>
      <c r="J213" s="16" t="s">
        <v>449</v>
      </c>
      <c r="K213" s="16" t="s">
        <v>450</v>
      </c>
      <c r="L213" s="16" t="s">
        <v>450</v>
      </c>
      <c r="M213" s="30" t="s">
        <v>787</v>
      </c>
      <c r="N213" s="14" t="s">
        <v>37</v>
      </c>
      <c r="O213" s="15"/>
      <c r="P213" s="15"/>
      <c r="Q213" s="15"/>
      <c r="R213" s="15"/>
      <c r="S213" s="15"/>
      <c r="T213" s="15"/>
      <c r="U213" s="15"/>
      <c r="V213" s="15"/>
      <c r="W213" s="15"/>
      <c r="X213" s="15"/>
      <c r="Y213" s="11"/>
      <c r="Z213" s="11"/>
      <c r="AA213" s="11"/>
      <c r="AB213" s="11"/>
      <c r="AC213" s="11"/>
      <c r="AD213" s="11"/>
    </row>
    <row r="214" hidden="1">
      <c r="A214" s="26"/>
      <c r="B214" s="37">
        <v>46206.0</v>
      </c>
      <c r="C214" s="10" t="s">
        <v>28</v>
      </c>
      <c r="D214" s="28" t="str">
        <f t="shared" si="10"/>
        <v>TKCHVMDXL_08</v>
      </c>
      <c r="E214" s="28"/>
      <c r="F214" s="28"/>
      <c r="G214" s="20" t="s">
        <v>452</v>
      </c>
      <c r="H214" s="20" t="s">
        <v>453</v>
      </c>
      <c r="I214" s="20" t="s">
        <v>454</v>
      </c>
      <c r="J214" s="20" t="s">
        <v>455</v>
      </c>
      <c r="K214" s="20" t="s">
        <v>456</v>
      </c>
      <c r="L214" s="20" t="s">
        <v>456</v>
      </c>
      <c r="M214" s="8" t="s">
        <v>788</v>
      </c>
      <c r="N214" s="10" t="s">
        <v>37</v>
      </c>
      <c r="O214" s="9"/>
      <c r="P214" s="9"/>
      <c r="Q214" s="9"/>
      <c r="R214" s="9"/>
      <c r="S214" s="9"/>
      <c r="T214" s="9"/>
      <c r="U214" s="9"/>
      <c r="V214" s="9"/>
      <c r="W214" s="9"/>
      <c r="X214" s="9"/>
      <c r="Y214" s="11"/>
      <c r="Z214" s="11"/>
      <c r="AA214" s="11"/>
      <c r="AB214" s="11"/>
      <c r="AC214" s="11"/>
      <c r="AD214" s="11"/>
    </row>
    <row r="215" hidden="1">
      <c r="A215" s="27"/>
      <c r="B215" s="36">
        <v>46206.0</v>
      </c>
      <c r="C215" s="14" t="s">
        <v>28</v>
      </c>
      <c r="D215" s="29" t="str">
        <f t="shared" si="10"/>
        <v>TKCHVMDXL_09</v>
      </c>
      <c r="E215" s="29"/>
      <c r="F215" s="29"/>
      <c r="G215" s="16" t="s">
        <v>458</v>
      </c>
      <c r="H215" s="16" t="s">
        <v>459</v>
      </c>
      <c r="I215" s="16" t="s">
        <v>460</v>
      </c>
      <c r="J215" s="16" t="s">
        <v>461</v>
      </c>
      <c r="K215" s="16" t="s">
        <v>462</v>
      </c>
      <c r="L215" s="16" t="s">
        <v>462</v>
      </c>
      <c r="M215" s="30" t="s">
        <v>789</v>
      </c>
      <c r="N215" s="14" t="s">
        <v>37</v>
      </c>
      <c r="O215" s="15"/>
      <c r="P215" s="15"/>
      <c r="Q215" s="15"/>
      <c r="R215" s="15"/>
      <c r="S215" s="15"/>
      <c r="T215" s="15"/>
      <c r="U215" s="15"/>
      <c r="V215" s="15"/>
      <c r="W215" s="15"/>
      <c r="X215" s="15"/>
      <c r="Y215" s="11"/>
      <c r="Z215" s="11"/>
      <c r="AA215" s="11"/>
      <c r="AB215" s="11"/>
      <c r="AC215" s="11"/>
      <c r="AD215" s="11"/>
    </row>
    <row r="216" hidden="1">
      <c r="A216" s="26"/>
      <c r="B216" s="37">
        <v>46206.0</v>
      </c>
      <c r="C216" s="10" t="s">
        <v>28</v>
      </c>
      <c r="D216" s="28" t="str">
        <f t="shared" si="10"/>
        <v>TKCHVMDXL_10</v>
      </c>
      <c r="E216" s="28"/>
      <c r="F216" s="28"/>
      <c r="G216" s="20" t="s">
        <v>441</v>
      </c>
      <c r="H216" s="20" t="s">
        <v>423</v>
      </c>
      <c r="I216" s="20" t="s">
        <v>442</v>
      </c>
      <c r="J216" s="20" t="s">
        <v>443</v>
      </c>
      <c r="K216" s="20" t="s">
        <v>444</v>
      </c>
      <c r="L216" s="20" t="s">
        <v>444</v>
      </c>
      <c r="M216" s="8" t="s">
        <v>790</v>
      </c>
      <c r="N216" s="10" t="s">
        <v>37</v>
      </c>
      <c r="O216" s="9"/>
      <c r="P216" s="9"/>
      <c r="Q216" s="9"/>
      <c r="R216" s="9"/>
      <c r="S216" s="9"/>
      <c r="T216" s="9"/>
      <c r="U216" s="9"/>
      <c r="V216" s="9"/>
      <c r="W216" s="9"/>
      <c r="X216" s="9"/>
      <c r="Y216" s="11"/>
      <c r="Z216" s="11"/>
      <c r="AA216" s="11"/>
      <c r="AB216" s="11"/>
      <c r="AC216" s="11"/>
      <c r="AD216" s="11"/>
    </row>
    <row r="217">
      <c r="A217" s="27"/>
      <c r="B217" s="36">
        <v>46206.0</v>
      </c>
      <c r="C217" s="14" t="s">
        <v>28</v>
      </c>
      <c r="D217" s="29" t="str">
        <f t="shared" si="10"/>
        <v>TKCHVMDXL_11</v>
      </c>
      <c r="E217" s="29"/>
      <c r="F217" s="29"/>
      <c r="G217" s="16" t="s">
        <v>464</v>
      </c>
      <c r="H217" s="16" t="s">
        <v>465</v>
      </c>
      <c r="I217" s="16" t="s">
        <v>466</v>
      </c>
      <c r="J217" s="16" t="s">
        <v>467</v>
      </c>
      <c r="K217" s="16" t="s">
        <v>468</v>
      </c>
      <c r="L217" s="15" t="s">
        <v>791</v>
      </c>
      <c r="M217" s="30" t="s">
        <v>792</v>
      </c>
      <c r="N217" s="14" t="s">
        <v>64</v>
      </c>
      <c r="O217" s="15"/>
      <c r="P217" s="24" t="s">
        <v>65</v>
      </c>
      <c r="Q217" s="25" t="s">
        <v>37</v>
      </c>
      <c r="R217" s="15"/>
      <c r="S217" s="15"/>
      <c r="T217" s="15"/>
      <c r="U217" s="15"/>
      <c r="V217" s="15"/>
      <c r="W217" s="15"/>
      <c r="X217" s="15"/>
      <c r="Y217" s="11"/>
      <c r="Z217" s="11"/>
      <c r="AA217" s="11"/>
      <c r="AB217" s="11"/>
      <c r="AC217" s="11"/>
      <c r="AD217" s="11"/>
    </row>
    <row r="218" hidden="1">
      <c r="A218" s="26"/>
      <c r="B218" s="37">
        <v>46206.0</v>
      </c>
      <c r="C218" s="10" t="s">
        <v>28</v>
      </c>
      <c r="D218" s="28" t="str">
        <f t="shared" si="10"/>
        <v>TKCHVMDXL_12</v>
      </c>
      <c r="E218" s="28"/>
      <c r="F218" s="28"/>
      <c r="G218" s="20" t="s">
        <v>470</v>
      </c>
      <c r="H218" s="20" t="s">
        <v>471</v>
      </c>
      <c r="I218" s="20" t="s">
        <v>472</v>
      </c>
      <c r="J218" s="20" t="s">
        <v>473</v>
      </c>
      <c r="K218" s="20" t="s">
        <v>474</v>
      </c>
      <c r="L218" s="20" t="s">
        <v>474</v>
      </c>
      <c r="M218" s="8" t="s">
        <v>793</v>
      </c>
      <c r="N218" s="10" t="s">
        <v>37</v>
      </c>
      <c r="O218" s="9"/>
      <c r="P218" s="9"/>
      <c r="Q218" s="9"/>
      <c r="R218" s="9"/>
      <c r="S218" s="9"/>
      <c r="T218" s="9"/>
      <c r="U218" s="9"/>
      <c r="V218" s="9"/>
      <c r="W218" s="9"/>
      <c r="X218" s="9"/>
      <c r="Y218" s="11"/>
      <c r="Z218" s="11"/>
      <c r="AA218" s="11"/>
      <c r="AB218" s="11"/>
      <c r="AC218" s="11"/>
      <c r="AD218" s="11"/>
    </row>
    <row r="219" hidden="1">
      <c r="A219" s="31"/>
      <c r="B219" s="32" t="s">
        <v>794</v>
      </c>
      <c r="C219" s="32" t="s">
        <v>28</v>
      </c>
      <c r="D219" s="33"/>
      <c r="E219" s="33" t="s">
        <v>795</v>
      </c>
      <c r="F219" s="29"/>
      <c r="G219" s="29"/>
      <c r="H219" s="29"/>
      <c r="I219" s="29"/>
      <c r="J219" s="29"/>
      <c r="K219" s="15"/>
      <c r="L219" s="15"/>
      <c r="M219" s="15"/>
      <c r="N219" s="14"/>
      <c r="O219" s="15"/>
      <c r="P219" s="15"/>
      <c r="Q219" s="15"/>
      <c r="R219" s="15"/>
      <c r="S219" s="15"/>
      <c r="T219" s="15"/>
      <c r="U219" s="15"/>
      <c r="V219" s="15"/>
      <c r="W219" s="15"/>
      <c r="X219" s="15"/>
      <c r="Y219" s="11"/>
      <c r="Z219" s="11"/>
      <c r="AA219" s="11"/>
      <c r="AB219" s="11"/>
      <c r="AC219" s="11"/>
      <c r="AD219" s="11"/>
    </row>
    <row r="220" hidden="1">
      <c r="A220" s="26"/>
      <c r="B220" s="10">
        <v>20.0</v>
      </c>
      <c r="C220" s="10" t="s">
        <v>28</v>
      </c>
      <c r="D220" s="28"/>
      <c r="E220" s="28" t="s">
        <v>796</v>
      </c>
      <c r="F220" s="28" t="s">
        <v>797</v>
      </c>
      <c r="G220" s="28" t="s">
        <v>798</v>
      </c>
      <c r="H220" s="10"/>
      <c r="I220" s="9"/>
      <c r="J220" s="9"/>
      <c r="K220" s="9"/>
      <c r="L220" s="9"/>
      <c r="M220" s="9"/>
      <c r="N220" s="10"/>
      <c r="O220" s="9"/>
      <c r="P220" s="9"/>
      <c r="Q220" s="9"/>
      <c r="R220" s="9"/>
      <c r="S220" s="9"/>
      <c r="T220" s="9"/>
      <c r="U220" s="9"/>
      <c r="V220" s="9"/>
      <c r="W220" s="9"/>
      <c r="X220" s="9"/>
      <c r="Y220" s="11"/>
      <c r="Z220" s="11"/>
      <c r="AA220" s="11"/>
      <c r="AB220" s="11"/>
      <c r="AC220" s="11"/>
      <c r="AD220" s="11"/>
    </row>
    <row r="221" hidden="1">
      <c r="A221" s="27"/>
      <c r="B221" s="36">
        <v>46206.0</v>
      </c>
      <c r="C221" s="14" t="s">
        <v>28</v>
      </c>
      <c r="D221" s="29" t="str">
        <f t="shared" ref="D221:D243" si="11">IF(G221&lt;&gt;"","TTCTDTTH_"&amp;TEXT(COUNTIF($G$221:G221,"&lt;&gt;"),"00"),"")</f>
        <v>TTCTDTTH_01</v>
      </c>
      <c r="E221" s="44"/>
      <c r="F221" s="16"/>
      <c r="G221" s="16" t="s">
        <v>799</v>
      </c>
      <c r="H221" s="16" t="s">
        <v>800</v>
      </c>
      <c r="I221" s="16" t="s">
        <v>801</v>
      </c>
      <c r="J221" s="16" t="s">
        <v>802</v>
      </c>
      <c r="K221" s="16" t="s">
        <v>803</v>
      </c>
      <c r="L221" s="16" t="s">
        <v>803</v>
      </c>
      <c r="M221" s="30" t="s">
        <v>804</v>
      </c>
      <c r="N221" s="14" t="s">
        <v>37</v>
      </c>
      <c r="O221" s="15"/>
      <c r="P221" s="15"/>
      <c r="Q221" s="15"/>
      <c r="R221" s="15"/>
      <c r="S221" s="15"/>
      <c r="T221" s="15"/>
      <c r="U221" s="15"/>
      <c r="V221" s="15"/>
      <c r="W221" s="15"/>
      <c r="X221" s="15"/>
      <c r="Y221" s="11"/>
      <c r="Z221" s="11"/>
      <c r="AA221" s="11"/>
      <c r="AB221" s="11"/>
      <c r="AC221" s="11"/>
      <c r="AD221" s="11"/>
    </row>
    <row r="222" hidden="1">
      <c r="A222" s="26"/>
      <c r="B222" s="37">
        <v>46206.0</v>
      </c>
      <c r="C222" s="10" t="s">
        <v>28</v>
      </c>
      <c r="D222" s="28" t="str">
        <f t="shared" si="11"/>
        <v>TTCTDTTH_02</v>
      </c>
      <c r="E222" s="45"/>
      <c r="F222" s="20"/>
      <c r="G222" s="20" t="s">
        <v>805</v>
      </c>
      <c r="H222" s="20" t="s">
        <v>806</v>
      </c>
      <c r="I222" s="20" t="s">
        <v>801</v>
      </c>
      <c r="J222" s="20" t="s">
        <v>807</v>
      </c>
      <c r="K222" s="20" t="s">
        <v>808</v>
      </c>
      <c r="L222" s="20" t="s">
        <v>808</v>
      </c>
      <c r="M222" s="8" t="s">
        <v>809</v>
      </c>
      <c r="N222" s="10" t="s">
        <v>37</v>
      </c>
      <c r="O222" s="9"/>
      <c r="P222" s="9"/>
      <c r="Q222" s="9"/>
      <c r="R222" s="9"/>
      <c r="S222" s="9"/>
      <c r="T222" s="9"/>
      <c r="U222" s="9"/>
      <c r="V222" s="9"/>
      <c r="W222" s="9"/>
      <c r="X222" s="9"/>
      <c r="Y222" s="11"/>
      <c r="Z222" s="11"/>
      <c r="AA222" s="11"/>
      <c r="AB222" s="11"/>
      <c r="AC222" s="11"/>
      <c r="AD222" s="11"/>
    </row>
    <row r="223" hidden="1">
      <c r="A223" s="27"/>
      <c r="B223" s="36">
        <v>46206.0</v>
      </c>
      <c r="C223" s="14" t="s">
        <v>28</v>
      </c>
      <c r="D223" s="29" t="str">
        <f t="shared" si="11"/>
        <v>TTCTDTTH_03</v>
      </c>
      <c r="E223" s="44"/>
      <c r="F223" s="16"/>
      <c r="G223" s="16" t="s">
        <v>810</v>
      </c>
      <c r="H223" s="16" t="s">
        <v>59</v>
      </c>
      <c r="I223" s="16" t="s">
        <v>811</v>
      </c>
      <c r="J223" s="16" t="s">
        <v>812</v>
      </c>
      <c r="K223" s="16" t="s">
        <v>813</v>
      </c>
      <c r="L223" s="16" t="s">
        <v>813</v>
      </c>
      <c r="M223" s="30" t="s">
        <v>814</v>
      </c>
      <c r="N223" s="14" t="s">
        <v>37</v>
      </c>
      <c r="O223" s="15"/>
      <c r="P223" s="15"/>
      <c r="Q223" s="15"/>
      <c r="R223" s="15"/>
      <c r="S223" s="15"/>
      <c r="T223" s="15"/>
      <c r="U223" s="15"/>
      <c r="V223" s="15"/>
      <c r="W223" s="15"/>
      <c r="X223" s="15"/>
      <c r="Y223" s="11"/>
      <c r="Z223" s="11"/>
      <c r="AA223" s="11"/>
      <c r="AB223" s="11"/>
      <c r="AC223" s="11"/>
      <c r="AD223" s="11"/>
    </row>
    <row r="224" hidden="1">
      <c r="A224" s="26"/>
      <c r="B224" s="37">
        <v>46206.0</v>
      </c>
      <c r="C224" s="10" t="s">
        <v>28</v>
      </c>
      <c r="D224" s="28" t="str">
        <f t="shared" si="11"/>
        <v>TTCTDTTH_04</v>
      </c>
      <c r="E224" s="45"/>
      <c r="F224" s="20"/>
      <c r="G224" s="20" t="s">
        <v>815</v>
      </c>
      <c r="H224" s="20" t="s">
        <v>59</v>
      </c>
      <c r="I224" s="20" t="s">
        <v>816</v>
      </c>
      <c r="J224" s="20" t="s">
        <v>817</v>
      </c>
      <c r="K224" s="20" t="s">
        <v>818</v>
      </c>
      <c r="L224" s="20" t="s">
        <v>818</v>
      </c>
      <c r="M224" s="8" t="s">
        <v>819</v>
      </c>
      <c r="N224" s="10" t="s">
        <v>37</v>
      </c>
      <c r="O224" s="9"/>
      <c r="P224" s="9"/>
      <c r="Q224" s="9"/>
      <c r="R224" s="9"/>
      <c r="S224" s="9"/>
      <c r="T224" s="9"/>
      <c r="U224" s="9"/>
      <c r="V224" s="9"/>
      <c r="W224" s="9"/>
      <c r="X224" s="9"/>
      <c r="Y224" s="11"/>
      <c r="Z224" s="11"/>
      <c r="AA224" s="11"/>
      <c r="AB224" s="11"/>
      <c r="AC224" s="11"/>
      <c r="AD224" s="11"/>
    </row>
    <row r="225" hidden="1">
      <c r="A225" s="27"/>
      <c r="B225" s="36">
        <v>46206.0</v>
      </c>
      <c r="C225" s="14" t="s">
        <v>28</v>
      </c>
      <c r="D225" s="29" t="str">
        <f t="shared" si="11"/>
        <v>TTCTDTTH_05</v>
      </c>
      <c r="E225" s="44"/>
      <c r="F225" s="16"/>
      <c r="G225" s="16" t="s">
        <v>820</v>
      </c>
      <c r="H225" s="16" t="s">
        <v>801</v>
      </c>
      <c r="I225" s="16" t="s">
        <v>821</v>
      </c>
      <c r="J225" s="16" t="s">
        <v>822</v>
      </c>
      <c r="K225" s="16" t="s">
        <v>823</v>
      </c>
      <c r="L225" s="16" t="s">
        <v>823</v>
      </c>
      <c r="M225" s="30" t="s">
        <v>824</v>
      </c>
      <c r="N225" s="14" t="s">
        <v>37</v>
      </c>
      <c r="O225" s="15"/>
      <c r="P225" s="15"/>
      <c r="Q225" s="15"/>
      <c r="R225" s="15"/>
      <c r="S225" s="15"/>
      <c r="T225" s="15"/>
      <c r="U225" s="15"/>
      <c r="V225" s="15"/>
      <c r="W225" s="15"/>
      <c r="X225" s="15"/>
      <c r="Y225" s="11"/>
      <c r="Z225" s="11"/>
      <c r="AA225" s="11"/>
      <c r="AB225" s="11"/>
      <c r="AC225" s="11"/>
      <c r="AD225" s="11"/>
    </row>
    <row r="226" hidden="1">
      <c r="A226" s="26"/>
      <c r="B226" s="37">
        <v>46206.0</v>
      </c>
      <c r="C226" s="10" t="s">
        <v>28</v>
      </c>
      <c r="D226" s="28" t="str">
        <f t="shared" si="11"/>
        <v>TTCTDTTH_06</v>
      </c>
      <c r="E226" s="45"/>
      <c r="F226" s="20"/>
      <c r="G226" s="20" t="s">
        <v>825</v>
      </c>
      <c r="H226" s="20" t="s">
        <v>801</v>
      </c>
      <c r="I226" s="20" t="s">
        <v>826</v>
      </c>
      <c r="J226" s="20" t="s">
        <v>827</v>
      </c>
      <c r="K226" s="20" t="s">
        <v>828</v>
      </c>
      <c r="L226" s="20" t="s">
        <v>828</v>
      </c>
      <c r="M226" s="8" t="s">
        <v>829</v>
      </c>
      <c r="N226" s="10" t="s">
        <v>37</v>
      </c>
      <c r="O226" s="9"/>
      <c r="P226" s="9"/>
      <c r="Q226" s="9"/>
      <c r="R226" s="9"/>
      <c r="S226" s="9"/>
      <c r="T226" s="9"/>
      <c r="U226" s="9"/>
      <c r="V226" s="9"/>
      <c r="W226" s="9"/>
      <c r="X226" s="9"/>
      <c r="Y226" s="11"/>
      <c r="Z226" s="11"/>
      <c r="AA226" s="11"/>
      <c r="AB226" s="11"/>
      <c r="AC226" s="11"/>
      <c r="AD226" s="11"/>
    </row>
    <row r="227" hidden="1">
      <c r="A227" s="27"/>
      <c r="B227" s="36">
        <v>46206.0</v>
      </c>
      <c r="C227" s="14" t="s">
        <v>28</v>
      </c>
      <c r="D227" s="29" t="str">
        <f t="shared" si="11"/>
        <v>TTCTDTTH_07</v>
      </c>
      <c r="E227" s="44"/>
      <c r="F227" s="16"/>
      <c r="G227" s="16" t="s">
        <v>830</v>
      </c>
      <c r="H227" s="16" t="s">
        <v>59</v>
      </c>
      <c r="I227" s="16" t="s">
        <v>831</v>
      </c>
      <c r="J227" s="16" t="s">
        <v>832</v>
      </c>
      <c r="K227" s="16" t="s">
        <v>833</v>
      </c>
      <c r="L227" s="16" t="s">
        <v>833</v>
      </c>
      <c r="M227" s="30" t="s">
        <v>834</v>
      </c>
      <c r="N227" s="14" t="s">
        <v>37</v>
      </c>
      <c r="O227" s="15"/>
      <c r="P227" s="15"/>
      <c r="Q227" s="15"/>
      <c r="R227" s="15"/>
      <c r="S227" s="15"/>
      <c r="T227" s="15"/>
      <c r="U227" s="15"/>
      <c r="V227" s="15"/>
      <c r="W227" s="15"/>
      <c r="X227" s="15"/>
      <c r="Y227" s="11"/>
      <c r="Z227" s="11"/>
      <c r="AA227" s="11"/>
      <c r="AB227" s="11"/>
      <c r="AC227" s="11"/>
      <c r="AD227" s="11"/>
    </row>
    <row r="228" hidden="1">
      <c r="A228" s="26"/>
      <c r="B228" s="37">
        <v>46206.0</v>
      </c>
      <c r="C228" s="10" t="s">
        <v>28</v>
      </c>
      <c r="D228" s="28" t="str">
        <f t="shared" si="11"/>
        <v>TTCTDTTH_08</v>
      </c>
      <c r="E228" s="45"/>
      <c r="F228" s="20"/>
      <c r="G228" s="20" t="s">
        <v>835</v>
      </c>
      <c r="H228" s="20" t="s">
        <v>801</v>
      </c>
      <c r="I228" s="20" t="s">
        <v>801</v>
      </c>
      <c r="J228" s="20" t="s">
        <v>836</v>
      </c>
      <c r="K228" s="20" t="s">
        <v>837</v>
      </c>
      <c r="L228" s="20" t="s">
        <v>837</v>
      </c>
      <c r="M228" s="8" t="s">
        <v>838</v>
      </c>
      <c r="N228" s="10" t="s">
        <v>37</v>
      </c>
      <c r="O228" s="9"/>
      <c r="P228" s="9"/>
      <c r="Q228" s="9"/>
      <c r="R228" s="9"/>
      <c r="S228" s="9"/>
      <c r="T228" s="9"/>
      <c r="U228" s="9"/>
      <c r="V228" s="9"/>
      <c r="W228" s="9"/>
      <c r="X228" s="9"/>
      <c r="Y228" s="11"/>
      <c r="Z228" s="11"/>
      <c r="AA228" s="11"/>
      <c r="AB228" s="11"/>
      <c r="AC228" s="11"/>
      <c r="AD228" s="11"/>
    </row>
    <row r="229" hidden="1">
      <c r="A229" s="27"/>
      <c r="B229" s="36">
        <v>46206.0</v>
      </c>
      <c r="C229" s="14" t="s">
        <v>28</v>
      </c>
      <c r="D229" s="29" t="str">
        <f t="shared" si="11"/>
        <v>TTCTDTTH_09</v>
      </c>
      <c r="E229" s="44"/>
      <c r="F229" s="16"/>
      <c r="G229" s="16" t="s">
        <v>839</v>
      </c>
      <c r="H229" s="16" t="s">
        <v>840</v>
      </c>
      <c r="I229" s="16" t="s">
        <v>801</v>
      </c>
      <c r="J229" s="16" t="s">
        <v>82</v>
      </c>
      <c r="K229" s="16" t="s">
        <v>841</v>
      </c>
      <c r="L229" s="16" t="s">
        <v>841</v>
      </c>
      <c r="M229" s="30" t="s">
        <v>842</v>
      </c>
      <c r="N229" s="14" t="s">
        <v>37</v>
      </c>
      <c r="O229" s="15"/>
      <c r="P229" s="15"/>
      <c r="Q229" s="15"/>
      <c r="R229" s="15"/>
      <c r="S229" s="15"/>
      <c r="T229" s="15"/>
      <c r="U229" s="15"/>
      <c r="V229" s="15"/>
      <c r="W229" s="15"/>
      <c r="X229" s="15"/>
      <c r="Y229" s="11"/>
      <c r="Z229" s="11"/>
      <c r="AA229" s="11"/>
      <c r="AB229" s="11"/>
      <c r="AC229" s="11"/>
      <c r="AD229" s="11"/>
    </row>
    <row r="230" hidden="1">
      <c r="A230" s="26"/>
      <c r="B230" s="37">
        <v>46206.0</v>
      </c>
      <c r="C230" s="10" t="s">
        <v>28</v>
      </c>
      <c r="D230" s="28" t="str">
        <f t="shared" si="11"/>
        <v>TTCTDTTH_10</v>
      </c>
      <c r="E230" s="45"/>
      <c r="F230" s="20"/>
      <c r="G230" s="20" t="s">
        <v>843</v>
      </c>
      <c r="H230" s="20" t="s">
        <v>801</v>
      </c>
      <c r="I230" s="20" t="s">
        <v>801</v>
      </c>
      <c r="J230" s="20" t="s">
        <v>87</v>
      </c>
      <c r="K230" s="20" t="s">
        <v>844</v>
      </c>
      <c r="L230" s="20" t="s">
        <v>844</v>
      </c>
      <c r="M230" s="8" t="s">
        <v>845</v>
      </c>
      <c r="N230" s="10" t="s">
        <v>37</v>
      </c>
      <c r="O230" s="9"/>
      <c r="P230" s="9"/>
      <c r="Q230" s="9"/>
      <c r="R230" s="9"/>
      <c r="S230" s="9"/>
      <c r="T230" s="9"/>
      <c r="U230" s="9"/>
      <c r="V230" s="9"/>
      <c r="W230" s="9"/>
      <c r="X230" s="9"/>
      <c r="Y230" s="11"/>
      <c r="Z230" s="11"/>
      <c r="AA230" s="11"/>
      <c r="AB230" s="11"/>
      <c r="AC230" s="11"/>
      <c r="AD230" s="11"/>
    </row>
    <row r="231" hidden="1">
      <c r="A231" s="27"/>
      <c r="B231" s="36">
        <v>46206.0</v>
      </c>
      <c r="C231" s="14" t="s">
        <v>28</v>
      </c>
      <c r="D231" s="29" t="str">
        <f t="shared" si="11"/>
        <v>TTCTDTTH_11</v>
      </c>
      <c r="E231" s="44"/>
      <c r="F231" s="16"/>
      <c r="G231" s="16" t="s">
        <v>846</v>
      </c>
      <c r="H231" s="16" t="s">
        <v>801</v>
      </c>
      <c r="I231" s="16" t="s">
        <v>801</v>
      </c>
      <c r="J231" s="16" t="s">
        <v>847</v>
      </c>
      <c r="K231" s="16" t="s">
        <v>848</v>
      </c>
      <c r="L231" s="16" t="s">
        <v>848</v>
      </c>
      <c r="M231" s="30" t="s">
        <v>849</v>
      </c>
      <c r="N231" s="14" t="s">
        <v>37</v>
      </c>
      <c r="O231" s="15"/>
      <c r="P231" s="15"/>
      <c r="Q231" s="15"/>
      <c r="R231" s="15"/>
      <c r="S231" s="15"/>
      <c r="T231" s="15"/>
      <c r="U231" s="15"/>
      <c r="V231" s="15"/>
      <c r="W231" s="15"/>
      <c r="X231" s="15"/>
      <c r="Y231" s="11"/>
      <c r="Z231" s="11"/>
      <c r="AA231" s="11"/>
      <c r="AB231" s="11"/>
      <c r="AC231" s="11"/>
      <c r="AD231" s="11"/>
    </row>
    <row r="232" hidden="1">
      <c r="A232" s="26"/>
      <c r="B232" s="37">
        <v>46206.0</v>
      </c>
      <c r="C232" s="10" t="s">
        <v>28</v>
      </c>
      <c r="D232" s="28" t="str">
        <f t="shared" si="11"/>
        <v>TTCTDTTH_12</v>
      </c>
      <c r="E232" s="45"/>
      <c r="F232" s="20"/>
      <c r="G232" s="20" t="s">
        <v>850</v>
      </c>
      <c r="H232" s="20" t="s">
        <v>59</v>
      </c>
      <c r="I232" s="20" t="s">
        <v>801</v>
      </c>
      <c r="J232" s="20" t="s">
        <v>851</v>
      </c>
      <c r="K232" s="20" t="s">
        <v>852</v>
      </c>
      <c r="L232" s="20" t="s">
        <v>852</v>
      </c>
      <c r="M232" s="8" t="s">
        <v>853</v>
      </c>
      <c r="N232" s="10" t="s">
        <v>37</v>
      </c>
      <c r="O232" s="9"/>
      <c r="P232" s="9"/>
      <c r="Q232" s="9"/>
      <c r="R232" s="9"/>
      <c r="S232" s="9"/>
      <c r="T232" s="9"/>
      <c r="U232" s="9"/>
      <c r="V232" s="9"/>
      <c r="W232" s="9"/>
      <c r="X232" s="9"/>
      <c r="Y232" s="11"/>
      <c r="Z232" s="11"/>
      <c r="AA232" s="11"/>
      <c r="AB232" s="11"/>
      <c r="AC232" s="11"/>
      <c r="AD232" s="11"/>
    </row>
    <row r="233" hidden="1">
      <c r="A233" s="27"/>
      <c r="B233" s="36">
        <v>46206.0</v>
      </c>
      <c r="C233" s="14" t="s">
        <v>28</v>
      </c>
      <c r="D233" s="29" t="str">
        <f t="shared" si="11"/>
        <v>TTCTDTTH_13</v>
      </c>
      <c r="E233" s="44"/>
      <c r="F233" s="16"/>
      <c r="G233" s="16" t="s">
        <v>854</v>
      </c>
      <c r="H233" s="16" t="s">
        <v>59</v>
      </c>
      <c r="I233" s="16" t="s">
        <v>801</v>
      </c>
      <c r="J233" s="16" t="s">
        <v>855</v>
      </c>
      <c r="K233" s="16" t="s">
        <v>856</v>
      </c>
      <c r="L233" s="16" t="s">
        <v>856</v>
      </c>
      <c r="M233" s="30" t="s">
        <v>857</v>
      </c>
      <c r="N233" s="14" t="s">
        <v>37</v>
      </c>
      <c r="O233" s="15"/>
      <c r="P233" s="15"/>
      <c r="Q233" s="15"/>
      <c r="R233" s="15"/>
      <c r="S233" s="15"/>
      <c r="T233" s="15"/>
      <c r="U233" s="15"/>
      <c r="V233" s="15"/>
      <c r="W233" s="15"/>
      <c r="X233" s="15"/>
      <c r="Y233" s="11"/>
      <c r="Z233" s="11"/>
      <c r="AA233" s="11"/>
      <c r="AB233" s="11"/>
      <c r="AC233" s="11"/>
      <c r="AD233" s="11"/>
    </row>
    <row r="234" hidden="1">
      <c r="A234" s="26"/>
      <c r="B234" s="37">
        <v>46206.0</v>
      </c>
      <c r="C234" s="10" t="s">
        <v>28</v>
      </c>
      <c r="D234" s="28" t="str">
        <f t="shared" si="11"/>
        <v>TTCTDTTH_14</v>
      </c>
      <c r="E234" s="45"/>
      <c r="F234" s="20"/>
      <c r="G234" s="20" t="s">
        <v>858</v>
      </c>
      <c r="H234" s="20" t="s">
        <v>59</v>
      </c>
      <c r="I234" s="20" t="s">
        <v>801</v>
      </c>
      <c r="J234" s="20" t="s">
        <v>859</v>
      </c>
      <c r="K234" s="20" t="s">
        <v>860</v>
      </c>
      <c r="L234" s="20" t="s">
        <v>860</v>
      </c>
      <c r="M234" s="8" t="s">
        <v>861</v>
      </c>
      <c r="N234" s="10" t="s">
        <v>37</v>
      </c>
      <c r="O234" s="9"/>
      <c r="P234" s="9"/>
      <c r="Q234" s="9"/>
      <c r="R234" s="9"/>
      <c r="S234" s="9"/>
      <c r="T234" s="9"/>
      <c r="U234" s="9"/>
      <c r="V234" s="9"/>
      <c r="W234" s="9"/>
      <c r="X234" s="9"/>
      <c r="Y234" s="11"/>
      <c r="Z234" s="11"/>
      <c r="AA234" s="11"/>
      <c r="AB234" s="11"/>
      <c r="AC234" s="11"/>
      <c r="AD234" s="11"/>
    </row>
    <row r="235" hidden="1">
      <c r="A235" s="27"/>
      <c r="B235" s="36">
        <v>46206.0</v>
      </c>
      <c r="C235" s="14" t="s">
        <v>28</v>
      </c>
      <c r="D235" s="29" t="str">
        <f t="shared" si="11"/>
        <v>TTCTDTTH_15</v>
      </c>
      <c r="E235" s="44"/>
      <c r="F235" s="16"/>
      <c r="G235" s="16" t="s">
        <v>862</v>
      </c>
      <c r="H235" s="16" t="s">
        <v>59</v>
      </c>
      <c r="I235" s="16" t="s">
        <v>801</v>
      </c>
      <c r="J235" s="16" t="s">
        <v>863</v>
      </c>
      <c r="K235" s="16" t="s">
        <v>864</v>
      </c>
      <c r="L235" s="16" t="s">
        <v>864</v>
      </c>
      <c r="M235" s="30" t="s">
        <v>865</v>
      </c>
      <c r="N235" s="14" t="s">
        <v>37</v>
      </c>
      <c r="O235" s="15"/>
      <c r="P235" s="15"/>
      <c r="Q235" s="15"/>
      <c r="R235" s="15"/>
      <c r="S235" s="15"/>
      <c r="T235" s="15"/>
      <c r="U235" s="15"/>
      <c r="V235" s="15"/>
      <c r="W235" s="15"/>
      <c r="X235" s="15"/>
      <c r="Y235" s="11"/>
      <c r="Z235" s="11"/>
      <c r="AA235" s="11"/>
      <c r="AB235" s="11"/>
      <c r="AC235" s="11"/>
      <c r="AD235" s="11"/>
    </row>
    <row r="236" hidden="1">
      <c r="A236" s="26"/>
      <c r="B236" s="37">
        <v>46206.0</v>
      </c>
      <c r="C236" s="10" t="s">
        <v>28</v>
      </c>
      <c r="D236" s="28" t="str">
        <f t="shared" si="11"/>
        <v>TTCTDTTH_16</v>
      </c>
      <c r="E236" s="45"/>
      <c r="F236" s="20"/>
      <c r="G236" s="20" t="s">
        <v>866</v>
      </c>
      <c r="H236" s="20" t="s">
        <v>59</v>
      </c>
      <c r="I236" s="20" t="s">
        <v>801</v>
      </c>
      <c r="J236" s="20" t="s">
        <v>867</v>
      </c>
      <c r="K236" s="20" t="s">
        <v>868</v>
      </c>
      <c r="L236" s="20"/>
      <c r="M236" s="9"/>
      <c r="N236" s="10" t="s">
        <v>208</v>
      </c>
      <c r="O236" s="9" t="s">
        <v>209</v>
      </c>
      <c r="P236" s="9"/>
      <c r="Q236" s="9"/>
      <c r="R236" s="9"/>
      <c r="S236" s="9"/>
      <c r="T236" s="9"/>
      <c r="U236" s="9"/>
      <c r="V236" s="9"/>
      <c r="W236" s="9"/>
      <c r="X236" s="9"/>
      <c r="Y236" s="11"/>
      <c r="Z236" s="11"/>
      <c r="AA236" s="11"/>
      <c r="AB236" s="11"/>
      <c r="AC236" s="11"/>
      <c r="AD236" s="11"/>
    </row>
    <row r="237" hidden="1">
      <c r="A237" s="27"/>
      <c r="B237" s="36">
        <v>46206.0</v>
      </c>
      <c r="C237" s="14" t="s">
        <v>28</v>
      </c>
      <c r="D237" s="29" t="str">
        <f t="shared" si="11"/>
        <v>TTCTDTTH_17</v>
      </c>
      <c r="E237" s="44"/>
      <c r="F237" s="16"/>
      <c r="G237" s="16" t="s">
        <v>869</v>
      </c>
      <c r="H237" s="16" t="s">
        <v>59</v>
      </c>
      <c r="I237" s="16" t="s">
        <v>801</v>
      </c>
      <c r="J237" s="16" t="s">
        <v>870</v>
      </c>
      <c r="K237" s="16" t="s">
        <v>871</v>
      </c>
      <c r="L237" s="16"/>
      <c r="M237" s="15"/>
      <c r="N237" s="14" t="s">
        <v>208</v>
      </c>
      <c r="O237" s="15" t="s">
        <v>209</v>
      </c>
      <c r="P237" s="15"/>
      <c r="Q237" s="15"/>
      <c r="R237" s="15"/>
      <c r="S237" s="15"/>
      <c r="T237" s="15"/>
      <c r="U237" s="15"/>
      <c r="V237" s="15"/>
      <c r="W237" s="15"/>
      <c r="X237" s="15"/>
      <c r="Y237" s="11"/>
      <c r="Z237" s="11"/>
      <c r="AA237" s="11"/>
      <c r="AB237" s="11"/>
      <c r="AC237" s="11"/>
      <c r="AD237" s="11"/>
    </row>
    <row r="238" hidden="1">
      <c r="A238" s="26"/>
      <c r="B238" s="37">
        <v>46206.0</v>
      </c>
      <c r="C238" s="10" t="s">
        <v>28</v>
      </c>
      <c r="D238" s="28" t="str">
        <f t="shared" si="11"/>
        <v>TTCTDTTH_18</v>
      </c>
      <c r="E238" s="45"/>
      <c r="F238" s="20"/>
      <c r="G238" s="20" t="s">
        <v>872</v>
      </c>
      <c r="H238" s="20" t="s">
        <v>59</v>
      </c>
      <c r="I238" s="20" t="s">
        <v>801</v>
      </c>
      <c r="J238" s="20" t="s">
        <v>873</v>
      </c>
      <c r="K238" s="20" t="s">
        <v>874</v>
      </c>
      <c r="L238" s="20" t="s">
        <v>874</v>
      </c>
      <c r="M238" s="8" t="s">
        <v>875</v>
      </c>
      <c r="N238" s="10" t="s">
        <v>37</v>
      </c>
      <c r="O238" s="9"/>
      <c r="P238" s="9"/>
      <c r="Q238" s="9"/>
      <c r="R238" s="9"/>
      <c r="S238" s="9"/>
      <c r="T238" s="9"/>
      <c r="U238" s="9"/>
      <c r="V238" s="9"/>
      <c r="W238" s="9"/>
      <c r="X238" s="9"/>
      <c r="Y238" s="11"/>
      <c r="Z238" s="11"/>
      <c r="AA238" s="11"/>
      <c r="AB238" s="11"/>
      <c r="AC238" s="11"/>
      <c r="AD238" s="11"/>
    </row>
    <row r="239" hidden="1">
      <c r="A239" s="27"/>
      <c r="B239" s="36">
        <v>46206.0</v>
      </c>
      <c r="C239" s="14" t="s">
        <v>28</v>
      </c>
      <c r="D239" s="29" t="str">
        <f t="shared" si="11"/>
        <v>TTCTDTTH_19</v>
      </c>
      <c r="E239" s="44"/>
      <c r="F239" s="16"/>
      <c r="G239" s="16" t="s">
        <v>876</v>
      </c>
      <c r="H239" s="16" t="s">
        <v>877</v>
      </c>
      <c r="I239" s="16" t="s">
        <v>801</v>
      </c>
      <c r="J239" s="16" t="s">
        <v>878</v>
      </c>
      <c r="K239" s="16" t="s">
        <v>879</v>
      </c>
      <c r="L239" s="16" t="s">
        <v>879</v>
      </c>
      <c r="M239" s="30" t="s">
        <v>880</v>
      </c>
      <c r="N239" s="14" t="s">
        <v>37</v>
      </c>
      <c r="O239" s="15"/>
      <c r="P239" s="15"/>
      <c r="Q239" s="15"/>
      <c r="R239" s="15"/>
      <c r="S239" s="15"/>
      <c r="T239" s="15"/>
      <c r="U239" s="15"/>
      <c r="V239" s="15"/>
      <c r="W239" s="15"/>
      <c r="X239" s="15"/>
      <c r="Y239" s="11"/>
      <c r="Z239" s="11"/>
      <c r="AA239" s="11"/>
      <c r="AB239" s="11"/>
      <c r="AC239" s="11"/>
      <c r="AD239" s="11"/>
    </row>
    <row r="240" hidden="1">
      <c r="A240" s="26"/>
      <c r="B240" s="37">
        <v>46206.0</v>
      </c>
      <c r="C240" s="10" t="s">
        <v>28</v>
      </c>
      <c r="D240" s="28" t="str">
        <f t="shared" si="11"/>
        <v>TTCTDTTH_20</v>
      </c>
      <c r="E240" s="45"/>
      <c r="F240" s="20"/>
      <c r="G240" s="20" t="s">
        <v>881</v>
      </c>
      <c r="H240" s="20" t="s">
        <v>882</v>
      </c>
      <c r="I240" s="20" t="s">
        <v>801</v>
      </c>
      <c r="J240" s="20" t="s">
        <v>883</v>
      </c>
      <c r="K240" s="20" t="s">
        <v>884</v>
      </c>
      <c r="L240" s="20" t="s">
        <v>884</v>
      </c>
      <c r="M240" s="8" t="s">
        <v>885</v>
      </c>
      <c r="N240" s="10" t="s">
        <v>37</v>
      </c>
      <c r="O240" s="9"/>
      <c r="P240" s="9"/>
      <c r="Q240" s="9"/>
      <c r="R240" s="9"/>
      <c r="S240" s="9"/>
      <c r="T240" s="9"/>
      <c r="U240" s="9"/>
      <c r="V240" s="9"/>
      <c r="W240" s="9"/>
      <c r="X240" s="9"/>
      <c r="Y240" s="11"/>
      <c r="Z240" s="11"/>
      <c r="AA240" s="11"/>
      <c r="AB240" s="11"/>
      <c r="AC240" s="11"/>
      <c r="AD240" s="11"/>
    </row>
    <row r="241" hidden="1">
      <c r="A241" s="27"/>
      <c r="B241" s="36">
        <v>46206.0</v>
      </c>
      <c r="C241" s="14" t="s">
        <v>28</v>
      </c>
      <c r="D241" s="29" t="str">
        <f t="shared" si="11"/>
        <v>TTCTDTTH_21</v>
      </c>
      <c r="E241" s="44"/>
      <c r="F241" s="16"/>
      <c r="G241" s="16" t="s">
        <v>886</v>
      </c>
      <c r="H241" s="16" t="s">
        <v>59</v>
      </c>
      <c r="I241" s="16" t="s">
        <v>801</v>
      </c>
      <c r="J241" s="16" t="s">
        <v>887</v>
      </c>
      <c r="K241" s="16" t="s">
        <v>888</v>
      </c>
      <c r="L241" s="16" t="s">
        <v>888</v>
      </c>
      <c r="M241" s="30" t="s">
        <v>889</v>
      </c>
      <c r="N241" s="14" t="s">
        <v>37</v>
      </c>
      <c r="O241" s="15"/>
      <c r="P241" s="15"/>
      <c r="Q241" s="15"/>
      <c r="R241" s="15"/>
      <c r="S241" s="15"/>
      <c r="T241" s="15"/>
      <c r="U241" s="15"/>
      <c r="V241" s="15"/>
      <c r="W241" s="15"/>
      <c r="X241" s="15"/>
      <c r="Y241" s="11"/>
      <c r="Z241" s="11"/>
      <c r="AA241" s="11"/>
      <c r="AB241" s="11"/>
      <c r="AC241" s="11"/>
      <c r="AD241" s="11"/>
    </row>
    <row r="242" hidden="1">
      <c r="A242" s="26"/>
      <c r="B242" s="37">
        <v>46206.0</v>
      </c>
      <c r="C242" s="10" t="s">
        <v>28</v>
      </c>
      <c r="D242" s="28" t="str">
        <f t="shared" si="11"/>
        <v>TTCTDTTH_22</v>
      </c>
      <c r="E242" s="45"/>
      <c r="F242" s="20"/>
      <c r="G242" s="20" t="s">
        <v>890</v>
      </c>
      <c r="H242" s="20" t="s">
        <v>801</v>
      </c>
      <c r="I242" s="20" t="s">
        <v>801</v>
      </c>
      <c r="J242" s="20" t="s">
        <v>891</v>
      </c>
      <c r="K242" s="20" t="s">
        <v>892</v>
      </c>
      <c r="L242" s="20" t="s">
        <v>892</v>
      </c>
      <c r="M242" s="8" t="s">
        <v>893</v>
      </c>
      <c r="N242" s="10" t="s">
        <v>37</v>
      </c>
      <c r="O242" s="9"/>
      <c r="P242" s="9"/>
      <c r="Q242" s="9"/>
      <c r="R242" s="9"/>
      <c r="S242" s="9"/>
      <c r="T242" s="9"/>
      <c r="U242" s="9"/>
      <c r="V242" s="9"/>
      <c r="W242" s="9"/>
      <c r="X242" s="9"/>
      <c r="Y242" s="11"/>
      <c r="Z242" s="11"/>
      <c r="AA242" s="11"/>
      <c r="AB242" s="11"/>
      <c r="AC242" s="11"/>
      <c r="AD242" s="11"/>
    </row>
    <row r="243" hidden="1">
      <c r="A243" s="27"/>
      <c r="B243" s="36">
        <v>46206.0</v>
      </c>
      <c r="C243" s="14" t="s">
        <v>28</v>
      </c>
      <c r="D243" s="29" t="str">
        <f t="shared" si="11"/>
        <v>TTCTDTTH_23</v>
      </c>
      <c r="E243" s="44"/>
      <c r="F243" s="16"/>
      <c r="G243" s="16" t="s">
        <v>894</v>
      </c>
      <c r="H243" s="16" t="s">
        <v>801</v>
      </c>
      <c r="I243" s="16" t="s">
        <v>801</v>
      </c>
      <c r="J243" s="16" t="s">
        <v>895</v>
      </c>
      <c r="K243" s="16" t="s">
        <v>896</v>
      </c>
      <c r="L243" s="16" t="s">
        <v>896</v>
      </c>
      <c r="M243" s="30" t="s">
        <v>897</v>
      </c>
      <c r="N243" s="14" t="s">
        <v>37</v>
      </c>
      <c r="O243" s="15"/>
      <c r="P243" s="15"/>
      <c r="Q243" s="15"/>
      <c r="R243" s="15"/>
      <c r="S243" s="15"/>
      <c r="T243" s="15"/>
      <c r="U243" s="15"/>
      <c r="V243" s="15"/>
      <c r="W243" s="15"/>
      <c r="X243" s="15"/>
      <c r="Y243" s="11"/>
      <c r="Z243" s="11"/>
      <c r="AA243" s="11"/>
      <c r="AB243" s="11"/>
      <c r="AC243" s="11"/>
      <c r="AD243" s="11"/>
    </row>
    <row r="244" hidden="1">
      <c r="A244" s="26"/>
      <c r="B244" s="10">
        <v>21.0</v>
      </c>
      <c r="C244" s="10" t="s">
        <v>28</v>
      </c>
      <c r="D244" s="28"/>
      <c r="E244" s="28" t="s">
        <v>898</v>
      </c>
      <c r="F244" s="28" t="s">
        <v>899</v>
      </c>
      <c r="G244" s="28" t="s">
        <v>900</v>
      </c>
      <c r="H244" s="10"/>
      <c r="I244" s="9"/>
      <c r="J244" s="9"/>
      <c r="K244" s="9"/>
      <c r="L244" s="9"/>
      <c r="M244" s="9"/>
      <c r="N244" s="10"/>
      <c r="O244" s="9"/>
      <c r="P244" s="9"/>
      <c r="Q244" s="9"/>
      <c r="R244" s="9"/>
      <c r="S244" s="9"/>
      <c r="T244" s="9"/>
      <c r="U244" s="9"/>
      <c r="V244" s="9"/>
      <c r="W244" s="9"/>
      <c r="X244" s="9"/>
      <c r="Y244" s="11"/>
      <c r="Z244" s="11"/>
      <c r="AA244" s="11"/>
      <c r="AB244" s="11"/>
      <c r="AC244" s="11"/>
      <c r="AD244" s="11"/>
    </row>
    <row r="245" hidden="1">
      <c r="A245" s="27"/>
      <c r="B245" s="36">
        <v>46206.0</v>
      </c>
      <c r="C245" s="14" t="s">
        <v>28</v>
      </c>
      <c r="D245" s="29" t="str">
        <f t="shared" ref="D245:D265" si="12">IF(G245&lt;&gt;"","TKCTDTTH_"&amp;TEXT(COUNTIF($G$245:G245,"&lt;&gt;"),"00"),"")</f>
        <v>TKCTDTTH_01</v>
      </c>
      <c r="E245" s="44"/>
      <c r="F245" s="16"/>
      <c r="G245" s="16" t="s">
        <v>901</v>
      </c>
      <c r="H245" s="16" t="s">
        <v>902</v>
      </c>
      <c r="I245" s="16" t="s">
        <v>903</v>
      </c>
      <c r="J245" s="16" t="s">
        <v>904</v>
      </c>
      <c r="K245" s="16" t="s">
        <v>905</v>
      </c>
      <c r="L245" s="16" t="s">
        <v>905</v>
      </c>
      <c r="M245" s="30" t="s">
        <v>906</v>
      </c>
      <c r="N245" s="14" t="s">
        <v>37</v>
      </c>
      <c r="O245" s="15"/>
      <c r="P245" s="15"/>
      <c r="Q245" s="15"/>
      <c r="R245" s="15"/>
      <c r="S245" s="15"/>
      <c r="T245" s="15"/>
      <c r="U245" s="15"/>
      <c r="V245" s="15"/>
      <c r="W245" s="15"/>
      <c r="X245" s="15"/>
      <c r="Y245" s="11"/>
      <c r="Z245" s="11"/>
      <c r="AA245" s="11"/>
      <c r="AB245" s="11"/>
      <c r="AC245" s="11"/>
      <c r="AD245" s="11"/>
    </row>
    <row r="246" hidden="1">
      <c r="A246" s="26"/>
      <c r="B246" s="37">
        <v>46206.0</v>
      </c>
      <c r="C246" s="10" t="s">
        <v>28</v>
      </c>
      <c r="D246" s="28" t="str">
        <f t="shared" si="12"/>
        <v>TKCTDTTH_02</v>
      </c>
      <c r="E246" s="45"/>
      <c r="F246" s="20"/>
      <c r="G246" s="20" t="s">
        <v>907</v>
      </c>
      <c r="H246" s="20" t="s">
        <v>908</v>
      </c>
      <c r="I246" s="20" t="s">
        <v>909</v>
      </c>
      <c r="J246" s="20" t="s">
        <v>910</v>
      </c>
      <c r="K246" s="20" t="s">
        <v>911</v>
      </c>
      <c r="L246" s="20" t="s">
        <v>911</v>
      </c>
      <c r="M246" s="8" t="s">
        <v>912</v>
      </c>
      <c r="N246" s="10" t="s">
        <v>37</v>
      </c>
      <c r="O246" s="9"/>
      <c r="P246" s="9"/>
      <c r="Q246" s="9"/>
      <c r="R246" s="9"/>
      <c r="S246" s="9"/>
      <c r="T246" s="9"/>
      <c r="U246" s="9"/>
      <c r="V246" s="9"/>
      <c r="W246" s="9"/>
      <c r="X246" s="9"/>
      <c r="Y246" s="11"/>
      <c r="Z246" s="11"/>
      <c r="AA246" s="11"/>
      <c r="AB246" s="11"/>
      <c r="AC246" s="11"/>
      <c r="AD246" s="11"/>
    </row>
    <row r="247" hidden="1">
      <c r="A247" s="27"/>
      <c r="B247" s="36">
        <v>46206.0</v>
      </c>
      <c r="C247" s="14" t="s">
        <v>28</v>
      </c>
      <c r="D247" s="29" t="str">
        <f t="shared" si="12"/>
        <v>TKCTDTTH_03</v>
      </c>
      <c r="E247" s="44"/>
      <c r="F247" s="16"/>
      <c r="G247" s="16" t="s">
        <v>913</v>
      </c>
      <c r="H247" s="16" t="s">
        <v>914</v>
      </c>
      <c r="I247" s="16" t="s">
        <v>915</v>
      </c>
      <c r="J247" s="16" t="s">
        <v>916</v>
      </c>
      <c r="K247" s="16" t="s">
        <v>917</v>
      </c>
      <c r="L247" s="16" t="s">
        <v>917</v>
      </c>
      <c r="M247" s="30" t="s">
        <v>918</v>
      </c>
      <c r="N247" s="14" t="s">
        <v>37</v>
      </c>
      <c r="O247" s="15"/>
      <c r="P247" s="15"/>
      <c r="Q247" s="15"/>
      <c r="R247" s="15"/>
      <c r="S247" s="15"/>
      <c r="T247" s="15"/>
      <c r="U247" s="15"/>
      <c r="V247" s="15"/>
      <c r="W247" s="15"/>
      <c r="X247" s="15"/>
      <c r="Y247" s="11"/>
      <c r="Z247" s="11"/>
      <c r="AA247" s="11"/>
      <c r="AB247" s="11"/>
      <c r="AC247" s="11"/>
      <c r="AD247" s="11"/>
    </row>
    <row r="248" hidden="1">
      <c r="A248" s="26"/>
      <c r="B248" s="37">
        <v>46206.0</v>
      </c>
      <c r="C248" s="10" t="s">
        <v>28</v>
      </c>
      <c r="D248" s="28" t="str">
        <f t="shared" si="12"/>
        <v>TKCTDTTH_04</v>
      </c>
      <c r="E248" s="45"/>
      <c r="F248" s="20"/>
      <c r="G248" s="20" t="s">
        <v>919</v>
      </c>
      <c r="H248" s="20" t="s">
        <v>914</v>
      </c>
      <c r="I248" s="20" t="s">
        <v>920</v>
      </c>
      <c r="J248" s="20" t="s">
        <v>921</v>
      </c>
      <c r="K248" s="20" t="s">
        <v>922</v>
      </c>
      <c r="L248" s="20" t="s">
        <v>922</v>
      </c>
      <c r="M248" s="8" t="s">
        <v>923</v>
      </c>
      <c r="N248" s="10" t="s">
        <v>37</v>
      </c>
      <c r="O248" s="9"/>
      <c r="P248" s="9"/>
      <c r="Q248" s="9"/>
      <c r="R248" s="9"/>
      <c r="S248" s="9"/>
      <c r="T248" s="9"/>
      <c r="U248" s="9"/>
      <c r="V248" s="9"/>
      <c r="W248" s="9"/>
      <c r="X248" s="9"/>
      <c r="Y248" s="11"/>
      <c r="Z248" s="11"/>
      <c r="AA248" s="11"/>
      <c r="AB248" s="11"/>
      <c r="AC248" s="11"/>
      <c r="AD248" s="11"/>
    </row>
    <row r="249" hidden="1">
      <c r="A249" s="27"/>
      <c r="B249" s="36">
        <v>46206.0</v>
      </c>
      <c r="C249" s="14" t="s">
        <v>28</v>
      </c>
      <c r="D249" s="29" t="str">
        <f t="shared" si="12"/>
        <v>TKCTDTTH_05</v>
      </c>
      <c r="E249" s="44"/>
      <c r="F249" s="16"/>
      <c r="G249" s="16" t="s">
        <v>924</v>
      </c>
      <c r="H249" s="16" t="s">
        <v>914</v>
      </c>
      <c r="I249" s="16" t="s">
        <v>925</v>
      </c>
      <c r="J249" s="16" t="s">
        <v>926</v>
      </c>
      <c r="K249" s="16" t="s">
        <v>927</v>
      </c>
      <c r="L249" s="16" t="s">
        <v>927</v>
      </c>
      <c r="M249" s="30" t="s">
        <v>928</v>
      </c>
      <c r="N249" s="14" t="s">
        <v>37</v>
      </c>
      <c r="O249" s="15"/>
      <c r="P249" s="15"/>
      <c r="Q249" s="15"/>
      <c r="R249" s="15"/>
      <c r="S249" s="15"/>
      <c r="T249" s="15"/>
      <c r="U249" s="15"/>
      <c r="V249" s="15"/>
      <c r="W249" s="15"/>
      <c r="X249" s="15"/>
      <c r="Y249" s="11"/>
      <c r="Z249" s="11"/>
      <c r="AA249" s="11"/>
      <c r="AB249" s="11"/>
      <c r="AC249" s="11"/>
      <c r="AD249" s="11"/>
    </row>
    <row r="250" hidden="1">
      <c r="A250" s="26"/>
      <c r="B250" s="37">
        <v>46206.0</v>
      </c>
      <c r="C250" s="10" t="s">
        <v>28</v>
      </c>
      <c r="D250" s="28" t="str">
        <f t="shared" si="12"/>
        <v>TKCTDTTH_06</v>
      </c>
      <c r="E250" s="45"/>
      <c r="F250" s="20"/>
      <c r="G250" s="20" t="s">
        <v>929</v>
      </c>
      <c r="H250" s="20" t="s">
        <v>930</v>
      </c>
      <c r="I250" s="20" t="s">
        <v>931</v>
      </c>
      <c r="J250" s="20" t="s">
        <v>425</v>
      </c>
      <c r="K250" s="20" t="s">
        <v>932</v>
      </c>
      <c r="L250" s="20" t="s">
        <v>932</v>
      </c>
      <c r="M250" s="8" t="s">
        <v>933</v>
      </c>
      <c r="N250" s="10" t="s">
        <v>37</v>
      </c>
      <c r="O250" s="9"/>
      <c r="P250" s="9"/>
      <c r="Q250" s="9"/>
      <c r="R250" s="9"/>
      <c r="S250" s="9"/>
      <c r="T250" s="9"/>
      <c r="U250" s="9"/>
      <c r="V250" s="9"/>
      <c r="W250" s="9"/>
      <c r="X250" s="9"/>
      <c r="Y250" s="11"/>
      <c r="Z250" s="11"/>
      <c r="AA250" s="11"/>
      <c r="AB250" s="11"/>
      <c r="AC250" s="11"/>
      <c r="AD250" s="11"/>
    </row>
    <row r="251" hidden="1">
      <c r="A251" s="27"/>
      <c r="B251" s="36">
        <v>46206.0</v>
      </c>
      <c r="C251" s="14" t="s">
        <v>28</v>
      </c>
      <c r="D251" s="29" t="str">
        <f t="shared" si="12"/>
        <v>TKCTDTTH_07</v>
      </c>
      <c r="E251" s="44"/>
      <c r="F251" s="16"/>
      <c r="G251" s="16" t="s">
        <v>934</v>
      </c>
      <c r="H251" s="16" t="s">
        <v>801</v>
      </c>
      <c r="I251" s="16" t="s">
        <v>935</v>
      </c>
      <c r="J251" s="16" t="s">
        <v>936</v>
      </c>
      <c r="K251" s="16" t="s">
        <v>937</v>
      </c>
      <c r="L251" s="16" t="s">
        <v>937</v>
      </c>
      <c r="M251" s="30" t="s">
        <v>938</v>
      </c>
      <c r="N251" s="14" t="s">
        <v>37</v>
      </c>
      <c r="O251" s="15"/>
      <c r="P251" s="15"/>
      <c r="Q251" s="15"/>
      <c r="R251" s="15"/>
      <c r="S251" s="15"/>
      <c r="T251" s="15"/>
      <c r="U251" s="15"/>
      <c r="V251" s="15"/>
      <c r="W251" s="15"/>
      <c r="X251" s="15"/>
      <c r="Y251" s="11"/>
      <c r="Z251" s="11"/>
      <c r="AA251" s="11"/>
      <c r="AB251" s="11"/>
      <c r="AC251" s="11"/>
      <c r="AD251" s="11"/>
    </row>
    <row r="252" hidden="1">
      <c r="A252" s="26"/>
      <c r="B252" s="37">
        <v>46206.0</v>
      </c>
      <c r="C252" s="10" t="s">
        <v>28</v>
      </c>
      <c r="D252" s="28" t="str">
        <f t="shared" si="12"/>
        <v>TKCTDTTH_08</v>
      </c>
      <c r="E252" s="45"/>
      <c r="F252" s="20"/>
      <c r="G252" s="20" t="s">
        <v>939</v>
      </c>
      <c r="H252" s="20" t="s">
        <v>940</v>
      </c>
      <c r="I252" s="20" t="s">
        <v>801</v>
      </c>
      <c r="J252" s="20" t="s">
        <v>941</v>
      </c>
      <c r="K252" s="20" t="s">
        <v>942</v>
      </c>
      <c r="L252" s="20" t="s">
        <v>942</v>
      </c>
      <c r="M252" s="8" t="s">
        <v>943</v>
      </c>
      <c r="N252" s="10" t="s">
        <v>37</v>
      </c>
      <c r="O252" s="9"/>
      <c r="P252" s="9"/>
      <c r="Q252" s="9"/>
      <c r="R252" s="9"/>
      <c r="S252" s="9"/>
      <c r="T252" s="9"/>
      <c r="U252" s="9"/>
      <c r="V252" s="9"/>
      <c r="W252" s="9"/>
      <c r="X252" s="9"/>
      <c r="Y252" s="11"/>
      <c r="Z252" s="11"/>
      <c r="AA252" s="11"/>
      <c r="AB252" s="11"/>
      <c r="AC252" s="11"/>
      <c r="AD252" s="11"/>
    </row>
    <row r="253" hidden="1">
      <c r="A253" s="27"/>
      <c r="B253" s="36">
        <v>46206.0</v>
      </c>
      <c r="C253" s="14" t="s">
        <v>28</v>
      </c>
      <c r="D253" s="29" t="str">
        <f t="shared" si="12"/>
        <v>TKCTDTTH_09</v>
      </c>
      <c r="E253" s="44"/>
      <c r="F253" s="16"/>
      <c r="G253" s="16" t="s">
        <v>944</v>
      </c>
      <c r="H253" s="16" t="s">
        <v>945</v>
      </c>
      <c r="I253" s="16" t="s">
        <v>826</v>
      </c>
      <c r="J253" s="16" t="s">
        <v>946</v>
      </c>
      <c r="K253" s="16" t="s">
        <v>947</v>
      </c>
      <c r="L253" s="16" t="s">
        <v>947</v>
      </c>
      <c r="M253" s="30" t="s">
        <v>948</v>
      </c>
      <c r="N253" s="14" t="s">
        <v>37</v>
      </c>
      <c r="O253" s="15"/>
      <c r="P253" s="15"/>
      <c r="Q253" s="15"/>
      <c r="R253" s="15"/>
      <c r="S253" s="15"/>
      <c r="T253" s="15"/>
      <c r="U253" s="15"/>
      <c r="V253" s="15"/>
      <c r="W253" s="15"/>
      <c r="X253" s="15"/>
      <c r="Y253" s="11"/>
      <c r="Z253" s="11"/>
      <c r="AA253" s="11"/>
      <c r="AB253" s="11"/>
      <c r="AC253" s="11"/>
      <c r="AD253" s="11"/>
    </row>
    <row r="254" hidden="1">
      <c r="A254" s="26"/>
      <c r="B254" s="37">
        <v>46206.0</v>
      </c>
      <c r="C254" s="10" t="s">
        <v>28</v>
      </c>
      <c r="D254" s="28" t="str">
        <f t="shared" si="12"/>
        <v>TKCTDTTH_10</v>
      </c>
      <c r="E254" s="45"/>
      <c r="F254" s="20"/>
      <c r="G254" s="20" t="s">
        <v>949</v>
      </c>
      <c r="H254" s="20" t="s">
        <v>801</v>
      </c>
      <c r="I254" s="20">
        <v>46023.0</v>
      </c>
      <c r="J254" s="20" t="s">
        <v>950</v>
      </c>
      <c r="K254" s="20" t="s">
        <v>951</v>
      </c>
      <c r="L254" s="20" t="s">
        <v>951</v>
      </c>
      <c r="M254" s="8" t="s">
        <v>952</v>
      </c>
      <c r="N254" s="10" t="s">
        <v>37</v>
      </c>
      <c r="O254" s="9"/>
      <c r="P254" s="9"/>
      <c r="Q254" s="9"/>
      <c r="R254" s="9"/>
      <c r="S254" s="9"/>
      <c r="T254" s="9"/>
      <c r="U254" s="9"/>
      <c r="V254" s="9"/>
      <c r="W254" s="9"/>
      <c r="X254" s="9"/>
      <c r="Y254" s="11"/>
      <c r="Z254" s="11"/>
      <c r="AA254" s="11"/>
      <c r="AB254" s="11"/>
      <c r="AC254" s="11"/>
      <c r="AD254" s="11"/>
    </row>
    <row r="255" hidden="1">
      <c r="A255" s="27"/>
      <c r="B255" s="36">
        <v>46206.0</v>
      </c>
      <c r="C255" s="14" t="s">
        <v>28</v>
      </c>
      <c r="D255" s="29" t="str">
        <f t="shared" si="12"/>
        <v>TKCTDTTH_11</v>
      </c>
      <c r="E255" s="44"/>
      <c r="F255" s="16"/>
      <c r="G255" s="16" t="s">
        <v>953</v>
      </c>
      <c r="H255" s="16" t="s">
        <v>801</v>
      </c>
      <c r="I255" s="16">
        <v>46387.0</v>
      </c>
      <c r="J255" s="16" t="s">
        <v>954</v>
      </c>
      <c r="K255" s="16" t="s">
        <v>955</v>
      </c>
      <c r="L255" s="16" t="s">
        <v>955</v>
      </c>
      <c r="M255" s="30" t="s">
        <v>956</v>
      </c>
      <c r="N255" s="14" t="s">
        <v>37</v>
      </c>
      <c r="O255" s="15"/>
      <c r="P255" s="15"/>
      <c r="Q255" s="15"/>
      <c r="R255" s="15"/>
      <c r="S255" s="15"/>
      <c r="T255" s="15"/>
      <c r="U255" s="15"/>
      <c r="V255" s="15"/>
      <c r="W255" s="15"/>
      <c r="X255" s="15"/>
      <c r="Y255" s="11"/>
      <c r="Z255" s="11"/>
      <c r="AA255" s="11"/>
      <c r="AB255" s="11"/>
      <c r="AC255" s="11"/>
      <c r="AD255" s="11"/>
    </row>
    <row r="256" hidden="1">
      <c r="A256" s="26"/>
      <c r="B256" s="37">
        <v>46206.0</v>
      </c>
      <c r="C256" s="10" t="s">
        <v>28</v>
      </c>
      <c r="D256" s="28" t="str">
        <f t="shared" si="12"/>
        <v>TKCTDTTH_12</v>
      </c>
      <c r="E256" s="45"/>
      <c r="F256" s="20"/>
      <c r="G256" s="20" t="s">
        <v>957</v>
      </c>
      <c r="H256" s="20" t="s">
        <v>459</v>
      </c>
      <c r="I256" s="20" t="s">
        <v>958</v>
      </c>
      <c r="J256" s="20" t="s">
        <v>959</v>
      </c>
      <c r="K256" s="20" t="s">
        <v>960</v>
      </c>
      <c r="L256" s="20" t="s">
        <v>960</v>
      </c>
      <c r="M256" s="8" t="s">
        <v>961</v>
      </c>
      <c r="N256" s="10" t="s">
        <v>37</v>
      </c>
      <c r="O256" s="9"/>
      <c r="P256" s="9"/>
      <c r="Q256" s="9"/>
      <c r="R256" s="9"/>
      <c r="S256" s="9"/>
      <c r="T256" s="9"/>
      <c r="U256" s="9"/>
      <c r="V256" s="9"/>
      <c r="W256" s="9"/>
      <c r="X256" s="9"/>
      <c r="Y256" s="11"/>
      <c r="Z256" s="11"/>
      <c r="AA256" s="11"/>
      <c r="AB256" s="11"/>
      <c r="AC256" s="11"/>
      <c r="AD256" s="11"/>
    </row>
    <row r="257" hidden="1">
      <c r="A257" s="27"/>
      <c r="B257" s="36">
        <v>46206.0</v>
      </c>
      <c r="C257" s="14" t="s">
        <v>28</v>
      </c>
      <c r="D257" s="29" t="str">
        <f t="shared" si="12"/>
        <v>TKCTDTTH_13</v>
      </c>
      <c r="E257" s="44"/>
      <c r="F257" s="16"/>
      <c r="G257" s="16" t="s">
        <v>962</v>
      </c>
      <c r="H257" s="16" t="s">
        <v>963</v>
      </c>
      <c r="I257" s="16">
        <v>46023.0</v>
      </c>
      <c r="J257" s="16" t="s">
        <v>964</v>
      </c>
      <c r="K257" s="16" t="s">
        <v>965</v>
      </c>
      <c r="L257" s="16" t="s">
        <v>965</v>
      </c>
      <c r="M257" s="30" t="s">
        <v>966</v>
      </c>
      <c r="N257" s="14" t="s">
        <v>37</v>
      </c>
      <c r="O257" s="15"/>
      <c r="P257" s="15"/>
      <c r="Q257" s="15"/>
      <c r="R257" s="15"/>
      <c r="S257" s="15"/>
      <c r="T257" s="15"/>
      <c r="U257" s="15"/>
      <c r="V257" s="15"/>
      <c r="W257" s="15"/>
      <c r="X257" s="15"/>
      <c r="Y257" s="11"/>
      <c r="Z257" s="11"/>
      <c r="AA257" s="11"/>
      <c r="AB257" s="11"/>
      <c r="AC257" s="11"/>
      <c r="AD257" s="11"/>
    </row>
    <row r="258" hidden="1">
      <c r="A258" s="26"/>
      <c r="B258" s="37">
        <v>46206.0</v>
      </c>
      <c r="C258" s="10" t="s">
        <v>28</v>
      </c>
      <c r="D258" s="28" t="str">
        <f t="shared" si="12"/>
        <v>TKCTDTTH_14</v>
      </c>
      <c r="E258" s="45"/>
      <c r="F258" s="20"/>
      <c r="G258" s="20" t="s">
        <v>967</v>
      </c>
      <c r="H258" s="20" t="s">
        <v>968</v>
      </c>
      <c r="I258" s="20">
        <v>46387.0</v>
      </c>
      <c r="J258" s="20" t="s">
        <v>969</v>
      </c>
      <c r="K258" s="20" t="s">
        <v>970</v>
      </c>
      <c r="L258" s="20" t="s">
        <v>970</v>
      </c>
      <c r="M258" s="8" t="s">
        <v>971</v>
      </c>
      <c r="N258" s="10" t="s">
        <v>37</v>
      </c>
      <c r="O258" s="9"/>
      <c r="P258" s="9"/>
      <c r="Q258" s="9"/>
      <c r="R258" s="9"/>
      <c r="S258" s="9"/>
      <c r="T258" s="9"/>
      <c r="U258" s="9"/>
      <c r="V258" s="9"/>
      <c r="W258" s="9"/>
      <c r="X258" s="9"/>
      <c r="Y258" s="11"/>
      <c r="Z258" s="11"/>
      <c r="AA258" s="11"/>
      <c r="AB258" s="11"/>
      <c r="AC258" s="11"/>
      <c r="AD258" s="11"/>
    </row>
    <row r="259" hidden="1">
      <c r="A259" s="27"/>
      <c r="B259" s="36">
        <v>46206.0</v>
      </c>
      <c r="C259" s="14" t="s">
        <v>28</v>
      </c>
      <c r="D259" s="29" t="str">
        <f t="shared" si="12"/>
        <v>TKCTDTTH_15</v>
      </c>
      <c r="E259" s="44"/>
      <c r="F259" s="16"/>
      <c r="G259" s="16" t="s">
        <v>972</v>
      </c>
      <c r="H259" s="16" t="s">
        <v>801</v>
      </c>
      <c r="I259" s="16" t="s">
        <v>973</v>
      </c>
      <c r="J259" s="16" t="s">
        <v>974</v>
      </c>
      <c r="K259" s="16" t="s">
        <v>975</v>
      </c>
      <c r="L259" s="16" t="s">
        <v>975</v>
      </c>
      <c r="M259" s="30" t="s">
        <v>976</v>
      </c>
      <c r="N259" s="14" t="s">
        <v>37</v>
      </c>
      <c r="O259" s="15"/>
      <c r="P259" s="15"/>
      <c r="Q259" s="15"/>
      <c r="R259" s="15"/>
      <c r="S259" s="15"/>
      <c r="T259" s="15"/>
      <c r="U259" s="15"/>
      <c r="V259" s="15"/>
      <c r="W259" s="15"/>
      <c r="X259" s="15"/>
      <c r="Y259" s="11"/>
      <c r="Z259" s="11"/>
      <c r="AA259" s="11"/>
      <c r="AB259" s="11"/>
      <c r="AC259" s="11"/>
      <c r="AD259" s="11"/>
    </row>
    <row r="260" hidden="1">
      <c r="A260" s="26"/>
      <c r="B260" s="37">
        <v>46206.0</v>
      </c>
      <c r="C260" s="10" t="s">
        <v>28</v>
      </c>
      <c r="D260" s="28" t="str">
        <f t="shared" si="12"/>
        <v>TKCTDTTH_16</v>
      </c>
      <c r="E260" s="45"/>
      <c r="F260" s="20"/>
      <c r="G260" s="20" t="s">
        <v>977</v>
      </c>
      <c r="H260" s="20" t="s">
        <v>978</v>
      </c>
      <c r="I260" s="20" t="s">
        <v>979</v>
      </c>
      <c r="J260" s="20" t="s">
        <v>980</v>
      </c>
      <c r="K260" s="20" t="s">
        <v>981</v>
      </c>
      <c r="L260" s="20" t="s">
        <v>981</v>
      </c>
      <c r="M260" s="8" t="s">
        <v>982</v>
      </c>
      <c r="N260" s="10" t="s">
        <v>37</v>
      </c>
      <c r="O260" s="9"/>
      <c r="P260" s="9"/>
      <c r="Q260" s="9"/>
      <c r="R260" s="9"/>
      <c r="S260" s="9"/>
      <c r="T260" s="9"/>
      <c r="U260" s="9"/>
      <c r="V260" s="9"/>
      <c r="W260" s="9"/>
      <c r="X260" s="9"/>
      <c r="Y260" s="11"/>
      <c r="Z260" s="11"/>
      <c r="AA260" s="11"/>
      <c r="AB260" s="11"/>
      <c r="AC260" s="11"/>
      <c r="AD260" s="11"/>
    </row>
    <row r="261" hidden="1">
      <c r="A261" s="27"/>
      <c r="B261" s="36">
        <v>46206.0</v>
      </c>
      <c r="C261" s="14" t="s">
        <v>28</v>
      </c>
      <c r="D261" s="29" t="str">
        <f t="shared" si="12"/>
        <v>TKCTDTTH_17</v>
      </c>
      <c r="E261" s="44"/>
      <c r="F261" s="16"/>
      <c r="G261" s="16" t="s">
        <v>983</v>
      </c>
      <c r="H261" s="16" t="s">
        <v>914</v>
      </c>
      <c r="I261" s="16"/>
      <c r="J261" s="16" t="s">
        <v>984</v>
      </c>
      <c r="K261" s="16" t="s">
        <v>985</v>
      </c>
      <c r="L261" s="16" t="s">
        <v>985</v>
      </c>
      <c r="M261" s="30" t="s">
        <v>986</v>
      </c>
      <c r="N261" s="14" t="s">
        <v>37</v>
      </c>
      <c r="O261" s="15"/>
      <c r="P261" s="15"/>
      <c r="Q261" s="15"/>
      <c r="R261" s="15"/>
      <c r="S261" s="15"/>
      <c r="T261" s="15"/>
      <c r="U261" s="15"/>
      <c r="V261" s="15"/>
      <c r="W261" s="15"/>
      <c r="X261" s="15"/>
      <c r="Y261" s="11"/>
      <c r="Z261" s="11"/>
      <c r="AA261" s="11"/>
      <c r="AB261" s="11"/>
      <c r="AC261" s="11"/>
      <c r="AD261" s="11"/>
    </row>
    <row r="262" hidden="1">
      <c r="A262" s="26"/>
      <c r="B262" s="37">
        <v>46206.0</v>
      </c>
      <c r="C262" s="10" t="s">
        <v>28</v>
      </c>
      <c r="D262" s="28" t="str">
        <f t="shared" si="12"/>
        <v>TKCTDTTH_18</v>
      </c>
      <c r="E262" s="45"/>
      <c r="F262" s="20"/>
      <c r="G262" s="20" t="s">
        <v>987</v>
      </c>
      <c r="H262" s="20" t="s">
        <v>801</v>
      </c>
      <c r="I262" s="20" t="s">
        <v>988</v>
      </c>
      <c r="J262" s="20" t="s">
        <v>989</v>
      </c>
      <c r="K262" s="20" t="s">
        <v>990</v>
      </c>
      <c r="L262" s="20" t="s">
        <v>990</v>
      </c>
      <c r="M262" s="8" t="s">
        <v>991</v>
      </c>
      <c r="N262" s="10" t="s">
        <v>37</v>
      </c>
      <c r="O262" s="9"/>
      <c r="P262" s="9"/>
      <c r="Q262" s="9"/>
      <c r="R262" s="9"/>
      <c r="S262" s="9"/>
      <c r="T262" s="9"/>
      <c r="U262" s="9"/>
      <c r="V262" s="9"/>
      <c r="W262" s="9"/>
      <c r="X262" s="9"/>
      <c r="Y262" s="11"/>
      <c r="Z262" s="11"/>
      <c r="AA262" s="11"/>
      <c r="AB262" s="11"/>
      <c r="AC262" s="11"/>
      <c r="AD262" s="11"/>
    </row>
    <row r="263" hidden="1">
      <c r="A263" s="27"/>
      <c r="B263" s="36">
        <v>46206.0</v>
      </c>
      <c r="C263" s="14" t="s">
        <v>28</v>
      </c>
      <c r="D263" s="29" t="str">
        <f t="shared" si="12"/>
        <v>TKCTDTTH_19</v>
      </c>
      <c r="E263" s="44"/>
      <c r="F263" s="16"/>
      <c r="G263" s="16" t="s">
        <v>992</v>
      </c>
      <c r="H263" s="16" t="s">
        <v>993</v>
      </c>
      <c r="I263" s="16" t="s">
        <v>801</v>
      </c>
      <c r="J263" s="16" t="s">
        <v>994</v>
      </c>
      <c r="K263" s="16" t="s">
        <v>995</v>
      </c>
      <c r="L263" s="16" t="s">
        <v>995</v>
      </c>
      <c r="M263" s="30" t="s">
        <v>996</v>
      </c>
      <c r="N263" s="14" t="s">
        <v>37</v>
      </c>
      <c r="O263" s="15"/>
      <c r="P263" s="15"/>
      <c r="Q263" s="15"/>
      <c r="R263" s="15"/>
      <c r="S263" s="15"/>
      <c r="T263" s="15"/>
      <c r="U263" s="15"/>
      <c r="V263" s="15"/>
      <c r="W263" s="15"/>
      <c r="X263" s="15"/>
      <c r="Y263" s="11"/>
      <c r="Z263" s="11"/>
      <c r="AA263" s="11"/>
      <c r="AB263" s="11"/>
      <c r="AC263" s="11"/>
      <c r="AD263" s="11"/>
    </row>
    <row r="264" hidden="1">
      <c r="A264" s="26"/>
      <c r="B264" s="37">
        <v>46206.0</v>
      </c>
      <c r="C264" s="10" t="s">
        <v>28</v>
      </c>
      <c r="D264" s="28" t="str">
        <f t="shared" si="12"/>
        <v>TKCTDTTH_20</v>
      </c>
      <c r="E264" s="45"/>
      <c r="F264" s="20"/>
      <c r="G264" s="20" t="s">
        <v>997</v>
      </c>
      <c r="H264" s="20" t="s">
        <v>435</v>
      </c>
      <c r="I264" s="20" t="s">
        <v>826</v>
      </c>
      <c r="J264" s="20" t="s">
        <v>998</v>
      </c>
      <c r="K264" s="20" t="s">
        <v>999</v>
      </c>
      <c r="L264" s="20" t="s">
        <v>999</v>
      </c>
      <c r="M264" s="8" t="s">
        <v>1000</v>
      </c>
      <c r="N264" s="10" t="s">
        <v>37</v>
      </c>
      <c r="O264" s="9"/>
      <c r="P264" s="9"/>
      <c r="Q264" s="9"/>
      <c r="R264" s="9"/>
      <c r="S264" s="9"/>
      <c r="T264" s="9"/>
      <c r="U264" s="9"/>
      <c r="V264" s="9"/>
      <c r="W264" s="9"/>
      <c r="X264" s="9"/>
      <c r="Y264" s="11"/>
      <c r="Z264" s="11"/>
      <c r="AA264" s="11"/>
      <c r="AB264" s="11"/>
      <c r="AC264" s="11"/>
      <c r="AD264" s="11"/>
    </row>
    <row r="265" hidden="1">
      <c r="A265" s="27"/>
      <c r="B265" s="36">
        <v>46206.0</v>
      </c>
      <c r="C265" s="14" t="s">
        <v>28</v>
      </c>
      <c r="D265" s="29" t="str">
        <f t="shared" si="12"/>
        <v>TKCTDTTH_21</v>
      </c>
      <c r="E265" s="44"/>
      <c r="F265" s="16"/>
      <c r="G265" s="16" t="s">
        <v>1001</v>
      </c>
      <c r="H265" s="16" t="s">
        <v>1002</v>
      </c>
      <c r="I265" s="16" t="s">
        <v>801</v>
      </c>
      <c r="J265" s="16" t="s">
        <v>1003</v>
      </c>
      <c r="K265" s="16" t="s">
        <v>1004</v>
      </c>
      <c r="L265" s="16" t="s">
        <v>1004</v>
      </c>
      <c r="M265" s="30" t="s">
        <v>1005</v>
      </c>
      <c r="N265" s="14" t="s">
        <v>37</v>
      </c>
      <c r="O265" s="15"/>
      <c r="P265" s="15"/>
      <c r="Q265" s="15"/>
      <c r="R265" s="15"/>
      <c r="S265" s="15"/>
      <c r="T265" s="15"/>
      <c r="U265" s="15"/>
      <c r="V265" s="15"/>
      <c r="W265" s="15"/>
      <c r="X265" s="15"/>
      <c r="Y265" s="11"/>
      <c r="Z265" s="11"/>
      <c r="AA265" s="11"/>
      <c r="AB265" s="11"/>
      <c r="AC265" s="11"/>
      <c r="AD265" s="11"/>
    </row>
    <row r="266" hidden="1">
      <c r="A266" s="26"/>
      <c r="B266" s="10">
        <v>22.0</v>
      </c>
      <c r="C266" s="10" t="s">
        <v>28</v>
      </c>
      <c r="D266" s="28"/>
      <c r="E266" s="28" t="s">
        <v>1006</v>
      </c>
      <c r="F266" s="28" t="s">
        <v>30</v>
      </c>
      <c r="G266" s="28" t="s">
        <v>1007</v>
      </c>
      <c r="H266" s="10"/>
      <c r="I266" s="9"/>
      <c r="J266" s="9"/>
      <c r="K266" s="9"/>
      <c r="L266" s="9"/>
      <c r="M266" s="9"/>
      <c r="N266" s="10"/>
      <c r="O266" s="9"/>
      <c r="P266" s="9"/>
      <c r="Q266" s="9"/>
      <c r="R266" s="9"/>
      <c r="S266" s="9"/>
      <c r="T266" s="9"/>
      <c r="U266" s="9"/>
      <c r="V266" s="9"/>
      <c r="W266" s="9"/>
      <c r="X266" s="9"/>
      <c r="Y266" s="11"/>
      <c r="Z266" s="11"/>
      <c r="AA266" s="11"/>
      <c r="AB266" s="11"/>
      <c r="AC266" s="11"/>
      <c r="AD266" s="11"/>
    </row>
    <row r="267" hidden="1">
      <c r="A267" s="27"/>
      <c r="B267" s="36">
        <v>46206.0</v>
      </c>
      <c r="C267" s="14" t="s">
        <v>28</v>
      </c>
      <c r="D267" s="29" t="str">
        <f t="shared" ref="D267:D276" si="13">IF(G267&lt;&gt;"","QLDKDTTH_"&amp;TEXT(COUNTIF($G$267:G267,"&lt;&gt;"),"00"),"")</f>
        <v>QLDKDTTH_01</v>
      </c>
      <c r="E267" s="29"/>
      <c r="F267" s="29"/>
      <c r="G267" s="29" t="s">
        <v>1008</v>
      </c>
      <c r="H267" s="29" t="s">
        <v>1009</v>
      </c>
      <c r="I267" s="15"/>
      <c r="J267" s="15" t="s">
        <v>1010</v>
      </c>
      <c r="K267" s="15" t="s">
        <v>1011</v>
      </c>
      <c r="L267" s="15" t="s">
        <v>1011</v>
      </c>
      <c r="M267" s="30" t="s">
        <v>1012</v>
      </c>
      <c r="N267" s="14" t="s">
        <v>37</v>
      </c>
      <c r="O267" s="15"/>
      <c r="P267" s="15"/>
      <c r="Q267" s="15"/>
      <c r="R267" s="15"/>
      <c r="S267" s="15"/>
      <c r="T267" s="15"/>
      <c r="U267" s="15"/>
      <c r="V267" s="15"/>
      <c r="W267" s="15"/>
      <c r="X267" s="15"/>
      <c r="Y267" s="11"/>
      <c r="Z267" s="11"/>
      <c r="AA267" s="11"/>
      <c r="AB267" s="11"/>
      <c r="AC267" s="11"/>
      <c r="AD267" s="11"/>
    </row>
    <row r="268" hidden="1">
      <c r="A268" s="26"/>
      <c r="B268" s="37">
        <v>46206.0</v>
      </c>
      <c r="C268" s="10" t="s">
        <v>28</v>
      </c>
      <c r="D268" s="28" t="str">
        <f t="shared" si="13"/>
        <v>QLDKDTTH_02</v>
      </c>
      <c r="E268" s="28"/>
      <c r="F268" s="28"/>
      <c r="G268" s="28" t="s">
        <v>1013</v>
      </c>
      <c r="H268" s="28" t="s">
        <v>1009</v>
      </c>
      <c r="I268" s="9"/>
      <c r="J268" s="9" t="s">
        <v>1014</v>
      </c>
      <c r="K268" s="9" t="s">
        <v>1015</v>
      </c>
      <c r="L268" s="9" t="s">
        <v>1015</v>
      </c>
      <c r="M268" s="8" t="s">
        <v>1016</v>
      </c>
      <c r="N268" s="10" t="s">
        <v>37</v>
      </c>
      <c r="O268" s="9"/>
      <c r="P268" s="9"/>
      <c r="Q268" s="9"/>
      <c r="R268" s="9"/>
      <c r="S268" s="9"/>
      <c r="T268" s="9"/>
      <c r="U268" s="9"/>
      <c r="V268" s="9"/>
      <c r="W268" s="9"/>
      <c r="X268" s="9"/>
      <c r="Y268" s="11"/>
      <c r="Z268" s="11"/>
      <c r="AA268" s="11"/>
      <c r="AB268" s="11"/>
      <c r="AC268" s="11"/>
      <c r="AD268" s="11"/>
    </row>
    <row r="269" hidden="1">
      <c r="A269" s="27"/>
      <c r="B269" s="36">
        <v>46206.0</v>
      </c>
      <c r="C269" s="14" t="s">
        <v>28</v>
      </c>
      <c r="D269" s="29" t="str">
        <f t="shared" si="13"/>
        <v>QLDKDTTH_03</v>
      </c>
      <c r="E269" s="29"/>
      <c r="F269" s="29"/>
      <c r="G269" s="29" t="s">
        <v>1017</v>
      </c>
      <c r="H269" s="29" t="s">
        <v>1009</v>
      </c>
      <c r="I269" s="15"/>
      <c r="J269" s="15" t="s">
        <v>1018</v>
      </c>
      <c r="K269" s="15" t="s">
        <v>1019</v>
      </c>
      <c r="L269" s="15" t="s">
        <v>1019</v>
      </c>
      <c r="M269" s="30" t="s">
        <v>1020</v>
      </c>
      <c r="N269" s="14" t="s">
        <v>37</v>
      </c>
      <c r="O269" s="15"/>
      <c r="P269" s="15"/>
      <c r="Q269" s="15"/>
      <c r="R269" s="15"/>
      <c r="S269" s="15"/>
      <c r="T269" s="15"/>
      <c r="U269" s="15"/>
      <c r="V269" s="15"/>
      <c r="W269" s="15"/>
      <c r="X269" s="15"/>
      <c r="Y269" s="11"/>
      <c r="Z269" s="11"/>
      <c r="AA269" s="11"/>
      <c r="AB269" s="11"/>
      <c r="AC269" s="11"/>
      <c r="AD269" s="11"/>
    </row>
    <row r="270">
      <c r="A270" s="26"/>
      <c r="B270" s="37">
        <v>46206.0</v>
      </c>
      <c r="C270" s="10" t="s">
        <v>28</v>
      </c>
      <c r="D270" s="28" t="str">
        <f t="shared" si="13"/>
        <v>QLDKDTTH_04</v>
      </c>
      <c r="E270" s="28"/>
      <c r="F270" s="28"/>
      <c r="G270" s="28" t="s">
        <v>1021</v>
      </c>
      <c r="H270" s="28" t="s">
        <v>1009</v>
      </c>
      <c r="I270" s="9"/>
      <c r="J270" s="9" t="s">
        <v>1022</v>
      </c>
      <c r="K270" s="9" t="s">
        <v>1023</v>
      </c>
      <c r="L270" s="9" t="s">
        <v>1024</v>
      </c>
      <c r="M270" s="8" t="s">
        <v>1025</v>
      </c>
      <c r="N270" s="10" t="s">
        <v>64</v>
      </c>
      <c r="O270" s="9"/>
      <c r="P270" s="22" t="s">
        <v>65</v>
      </c>
      <c r="Q270" s="23" t="s">
        <v>37</v>
      </c>
      <c r="R270" s="9"/>
      <c r="S270" s="9"/>
      <c r="T270" s="9"/>
      <c r="U270" s="9"/>
      <c r="V270" s="9"/>
      <c r="W270" s="9"/>
      <c r="X270" s="9"/>
      <c r="Y270" s="11"/>
      <c r="Z270" s="11"/>
      <c r="AA270" s="11"/>
      <c r="AB270" s="11"/>
      <c r="AC270" s="11"/>
      <c r="AD270" s="11"/>
    </row>
    <row r="271" hidden="1">
      <c r="A271" s="27"/>
      <c r="B271" s="36">
        <v>46206.0</v>
      </c>
      <c r="C271" s="14" t="s">
        <v>28</v>
      </c>
      <c r="D271" s="29" t="str">
        <f t="shared" si="13"/>
        <v>QLDKDTTH_05</v>
      </c>
      <c r="E271" s="29"/>
      <c r="F271" s="29"/>
      <c r="G271" s="29" t="s">
        <v>1026</v>
      </c>
      <c r="H271" s="29" t="s">
        <v>1027</v>
      </c>
      <c r="I271" s="15"/>
      <c r="J271" s="15" t="s">
        <v>1028</v>
      </c>
      <c r="K271" s="15" t="s">
        <v>1029</v>
      </c>
      <c r="L271" s="15"/>
      <c r="M271" s="15"/>
      <c r="N271" s="14" t="s">
        <v>208</v>
      </c>
      <c r="O271" s="15" t="s">
        <v>1030</v>
      </c>
      <c r="P271" s="15"/>
      <c r="Q271" s="15"/>
      <c r="R271" s="15"/>
      <c r="S271" s="15"/>
      <c r="T271" s="15"/>
      <c r="U271" s="15"/>
      <c r="V271" s="15"/>
      <c r="W271" s="15"/>
      <c r="X271" s="15"/>
      <c r="Y271" s="11"/>
      <c r="Z271" s="11"/>
      <c r="AA271" s="11"/>
      <c r="AB271" s="11"/>
      <c r="AC271" s="11"/>
      <c r="AD271" s="11"/>
    </row>
    <row r="272" hidden="1">
      <c r="A272" s="26"/>
      <c r="B272" s="37">
        <v>46206.0</v>
      </c>
      <c r="C272" s="10" t="s">
        <v>28</v>
      </c>
      <c r="D272" s="28" t="str">
        <f t="shared" si="13"/>
        <v>QLDKDTTH_06</v>
      </c>
      <c r="E272" s="28"/>
      <c r="F272" s="28"/>
      <c r="G272" s="28" t="s">
        <v>1031</v>
      </c>
      <c r="H272" s="28" t="s">
        <v>1032</v>
      </c>
      <c r="I272" s="9"/>
      <c r="J272" s="9" t="s">
        <v>1028</v>
      </c>
      <c r="K272" s="9" t="s">
        <v>1033</v>
      </c>
      <c r="L272" s="9"/>
      <c r="M272" s="9"/>
      <c r="N272" s="10" t="s">
        <v>208</v>
      </c>
      <c r="O272" s="9" t="s">
        <v>1030</v>
      </c>
      <c r="P272" s="9"/>
      <c r="Q272" s="9"/>
      <c r="R272" s="9"/>
      <c r="S272" s="9"/>
      <c r="T272" s="9"/>
      <c r="U272" s="9"/>
      <c r="V272" s="9"/>
      <c r="W272" s="9"/>
      <c r="X272" s="9"/>
      <c r="Y272" s="11"/>
      <c r="Z272" s="11"/>
      <c r="AA272" s="11"/>
      <c r="AB272" s="11"/>
      <c r="AC272" s="11"/>
      <c r="AD272" s="11"/>
    </row>
    <row r="273">
      <c r="A273" s="27"/>
      <c r="B273" s="36">
        <v>46206.0</v>
      </c>
      <c r="C273" s="14" t="s">
        <v>28</v>
      </c>
      <c r="D273" s="29" t="str">
        <f t="shared" si="13"/>
        <v>QLDKDTTH_07</v>
      </c>
      <c r="E273" s="29"/>
      <c r="F273" s="29"/>
      <c r="G273" s="29" t="s">
        <v>1034</v>
      </c>
      <c r="H273" s="29" t="s">
        <v>1035</v>
      </c>
      <c r="I273" s="15"/>
      <c r="J273" s="15" t="s">
        <v>1036</v>
      </c>
      <c r="K273" s="15" t="s">
        <v>1037</v>
      </c>
      <c r="L273" s="15" t="s">
        <v>1038</v>
      </c>
      <c r="M273" s="17" t="s">
        <v>1039</v>
      </c>
      <c r="N273" s="14" t="s">
        <v>64</v>
      </c>
      <c r="O273" s="15"/>
      <c r="P273" s="24" t="s">
        <v>65</v>
      </c>
      <c r="Q273" s="25" t="s">
        <v>37</v>
      </c>
      <c r="R273" s="15"/>
      <c r="S273" s="15"/>
      <c r="T273" s="15"/>
      <c r="U273" s="15"/>
      <c r="V273" s="15"/>
      <c r="W273" s="15"/>
      <c r="X273" s="15"/>
      <c r="Y273" s="11"/>
      <c r="Z273" s="11"/>
      <c r="AA273" s="11"/>
      <c r="AB273" s="11"/>
      <c r="AC273" s="11"/>
      <c r="AD273" s="11"/>
    </row>
    <row r="274" hidden="1">
      <c r="A274" s="26"/>
      <c r="B274" s="37">
        <v>46206.0</v>
      </c>
      <c r="C274" s="10" t="s">
        <v>28</v>
      </c>
      <c r="D274" s="28" t="str">
        <f t="shared" si="13"/>
        <v>QLDKDTTH_08</v>
      </c>
      <c r="E274" s="28"/>
      <c r="F274" s="28"/>
      <c r="G274" s="28" t="s">
        <v>1040</v>
      </c>
      <c r="H274" s="28" t="s">
        <v>1035</v>
      </c>
      <c r="I274" s="9"/>
      <c r="J274" s="9" t="s">
        <v>1041</v>
      </c>
      <c r="K274" s="9" t="s">
        <v>1042</v>
      </c>
      <c r="L274" s="9"/>
      <c r="M274" s="9"/>
      <c r="N274" s="10" t="s">
        <v>208</v>
      </c>
      <c r="O274" s="9" t="s">
        <v>1030</v>
      </c>
      <c r="P274" s="9"/>
      <c r="Q274" s="9"/>
      <c r="R274" s="9"/>
      <c r="S274" s="9"/>
      <c r="T274" s="9"/>
      <c r="U274" s="9"/>
      <c r="V274" s="9"/>
      <c r="W274" s="9"/>
      <c r="X274" s="9"/>
      <c r="Y274" s="11"/>
      <c r="Z274" s="11"/>
      <c r="AA274" s="11"/>
      <c r="AB274" s="11"/>
      <c r="AC274" s="11"/>
      <c r="AD274" s="11"/>
    </row>
    <row r="275" hidden="1">
      <c r="A275" s="27"/>
      <c r="B275" s="36">
        <v>46206.0</v>
      </c>
      <c r="C275" s="14" t="s">
        <v>28</v>
      </c>
      <c r="D275" s="29" t="str">
        <f t="shared" si="13"/>
        <v>QLDKDTTH_09</v>
      </c>
      <c r="E275" s="29"/>
      <c r="F275" s="29"/>
      <c r="G275" s="29" t="s">
        <v>1043</v>
      </c>
      <c r="H275" s="29" t="s">
        <v>1035</v>
      </c>
      <c r="I275" s="15"/>
      <c r="J275" s="15" t="s">
        <v>1036</v>
      </c>
      <c r="K275" s="15" t="s">
        <v>1044</v>
      </c>
      <c r="L275" s="15" t="s">
        <v>1044</v>
      </c>
      <c r="M275" s="17" t="s">
        <v>1045</v>
      </c>
      <c r="N275" s="14" t="s">
        <v>37</v>
      </c>
      <c r="O275" s="15"/>
      <c r="P275" s="15"/>
      <c r="Q275" s="15"/>
      <c r="R275" s="15"/>
      <c r="S275" s="15"/>
      <c r="T275" s="15"/>
      <c r="U275" s="15"/>
      <c r="V275" s="15"/>
      <c r="W275" s="15"/>
      <c r="X275" s="15"/>
      <c r="Y275" s="11"/>
      <c r="Z275" s="11"/>
      <c r="AA275" s="11"/>
      <c r="AB275" s="11"/>
      <c r="AC275" s="11"/>
      <c r="AD275" s="11"/>
    </row>
    <row r="276">
      <c r="A276" s="26"/>
      <c r="B276" s="10"/>
      <c r="C276" s="10"/>
      <c r="D276" s="28" t="str">
        <f t="shared" si="13"/>
        <v/>
      </c>
      <c r="E276" s="28"/>
      <c r="F276" s="28"/>
      <c r="G276" s="28"/>
      <c r="H276" s="46"/>
      <c r="I276" s="11"/>
      <c r="J276" s="11"/>
      <c r="K276" s="11"/>
      <c r="L276" s="11"/>
      <c r="M276" s="11"/>
      <c r="N276" s="46"/>
      <c r="O276" s="11"/>
      <c r="P276" s="11"/>
      <c r="Q276" s="46"/>
      <c r="R276" s="11"/>
      <c r="S276" s="11"/>
      <c r="T276" s="11"/>
      <c r="U276" s="11"/>
      <c r="V276" s="11"/>
      <c r="W276" s="11"/>
      <c r="X276" s="11"/>
      <c r="Y276" s="11"/>
      <c r="Z276" s="11"/>
      <c r="AA276" s="11"/>
      <c r="AB276" s="11"/>
      <c r="AC276" s="11"/>
      <c r="AD276" s="11"/>
    </row>
    <row r="277">
      <c r="A277" s="26"/>
      <c r="B277" s="10"/>
      <c r="C277" s="10"/>
      <c r="D277" s="9"/>
      <c r="E277" s="9"/>
      <c r="F277" s="9"/>
      <c r="G277" s="9"/>
      <c r="H277" s="11"/>
      <c r="I277" s="11"/>
      <c r="J277" s="11"/>
      <c r="K277" s="11"/>
      <c r="L277" s="11"/>
      <c r="M277" s="11"/>
      <c r="N277" s="46"/>
      <c r="O277" s="11"/>
      <c r="P277" s="11"/>
      <c r="Q277" s="46"/>
      <c r="R277" s="11"/>
      <c r="S277" s="11"/>
      <c r="T277" s="11"/>
      <c r="U277" s="11"/>
      <c r="V277" s="11"/>
      <c r="W277" s="11"/>
      <c r="X277" s="11"/>
      <c r="Y277" s="11"/>
      <c r="Z277" s="11"/>
      <c r="AA277" s="11"/>
      <c r="AB277" s="11"/>
      <c r="AC277" s="11"/>
      <c r="AD277" s="11"/>
    </row>
    <row r="278">
      <c r="A278" s="47"/>
      <c r="B278" s="46"/>
      <c r="C278" s="46"/>
      <c r="D278" s="11"/>
      <c r="E278" s="11"/>
      <c r="F278" s="11"/>
      <c r="G278" s="11"/>
      <c r="H278" s="11"/>
      <c r="I278" s="11"/>
      <c r="J278" s="11"/>
      <c r="K278" s="11"/>
      <c r="L278" s="11"/>
      <c r="M278" s="11"/>
      <c r="N278" s="46"/>
      <c r="O278" s="11"/>
      <c r="P278" s="11"/>
      <c r="Q278" s="46"/>
      <c r="R278" s="11"/>
      <c r="S278" s="11"/>
      <c r="T278" s="11"/>
      <c r="U278" s="11"/>
      <c r="V278" s="11"/>
      <c r="W278" s="11"/>
      <c r="X278" s="11"/>
      <c r="Y278" s="11"/>
      <c r="Z278" s="11"/>
      <c r="AA278" s="11"/>
      <c r="AB278" s="11"/>
      <c r="AC278" s="11"/>
      <c r="AD278" s="11"/>
    </row>
    <row r="279">
      <c r="A279" s="47"/>
      <c r="B279" s="46"/>
      <c r="C279" s="46"/>
      <c r="D279" s="11"/>
      <c r="E279" s="11"/>
      <c r="F279" s="11"/>
      <c r="G279" s="11"/>
      <c r="H279" s="11"/>
      <c r="I279" s="11"/>
      <c r="J279" s="11"/>
      <c r="K279" s="11"/>
      <c r="L279" s="11"/>
      <c r="M279" s="11"/>
      <c r="N279" s="46"/>
      <c r="O279" s="11"/>
      <c r="P279" s="11"/>
      <c r="Q279" s="46"/>
      <c r="R279" s="11"/>
      <c r="S279" s="11"/>
      <c r="T279" s="11"/>
      <c r="U279" s="11"/>
      <c r="V279" s="11"/>
      <c r="W279" s="11"/>
      <c r="X279" s="11"/>
      <c r="Y279" s="11"/>
      <c r="Z279" s="11"/>
      <c r="AA279" s="11"/>
      <c r="AB279" s="11"/>
      <c r="AC279" s="11"/>
      <c r="AD279" s="11"/>
    </row>
    <row r="280">
      <c r="A280" s="47"/>
      <c r="B280" s="46"/>
      <c r="C280" s="46"/>
      <c r="D280" s="11"/>
      <c r="E280" s="11"/>
      <c r="F280" s="11"/>
      <c r="G280" s="11"/>
      <c r="H280" s="11"/>
      <c r="I280" s="11"/>
      <c r="J280" s="11"/>
      <c r="K280" s="11"/>
      <c r="L280" s="11"/>
      <c r="M280" s="11"/>
      <c r="N280" s="46"/>
      <c r="O280" s="11"/>
      <c r="P280" s="11"/>
      <c r="Q280" s="46"/>
      <c r="R280" s="11"/>
      <c r="S280" s="11"/>
      <c r="T280" s="11"/>
      <c r="U280" s="11"/>
      <c r="V280" s="11"/>
      <c r="W280" s="11"/>
      <c r="X280" s="11"/>
      <c r="Y280" s="11"/>
      <c r="Z280" s="11"/>
      <c r="AA280" s="11"/>
      <c r="AB280" s="11"/>
      <c r="AC280" s="11"/>
      <c r="AD280" s="11"/>
    </row>
    <row r="281">
      <c r="A281" s="47"/>
      <c r="B281" s="46"/>
      <c r="C281" s="46"/>
      <c r="D281" s="11"/>
      <c r="E281" s="11"/>
      <c r="F281" s="11"/>
      <c r="G281" s="11"/>
      <c r="H281" s="11"/>
      <c r="I281" s="11"/>
      <c r="J281" s="11"/>
      <c r="K281" s="11"/>
      <c r="L281" s="11"/>
      <c r="M281" s="11"/>
      <c r="N281" s="46"/>
      <c r="O281" s="11"/>
      <c r="P281" s="11"/>
      <c r="Q281" s="46"/>
      <c r="R281" s="11"/>
      <c r="S281" s="11"/>
      <c r="T281" s="11"/>
      <c r="U281" s="11"/>
      <c r="V281" s="11"/>
      <c r="W281" s="11"/>
      <c r="X281" s="11"/>
      <c r="Y281" s="11"/>
      <c r="Z281" s="11"/>
      <c r="AA281" s="11"/>
      <c r="AB281" s="11"/>
      <c r="AC281" s="11"/>
      <c r="AD281" s="11"/>
    </row>
    <row r="282">
      <c r="A282" s="47"/>
      <c r="B282" s="46"/>
      <c r="C282" s="46"/>
      <c r="D282" s="11"/>
      <c r="E282" s="11"/>
      <c r="F282" s="11"/>
      <c r="G282" s="11"/>
      <c r="H282" s="11"/>
      <c r="I282" s="11"/>
      <c r="J282" s="11"/>
      <c r="K282" s="11"/>
      <c r="L282" s="11"/>
      <c r="M282" s="11"/>
      <c r="N282" s="46"/>
      <c r="O282" s="11"/>
      <c r="P282" s="11"/>
      <c r="Q282" s="46"/>
      <c r="R282" s="11"/>
      <c r="S282" s="11"/>
      <c r="T282" s="11"/>
      <c r="U282" s="11"/>
      <c r="V282" s="11"/>
      <c r="W282" s="11"/>
      <c r="X282" s="11"/>
      <c r="Y282" s="11"/>
      <c r="Z282" s="11"/>
      <c r="AA282" s="11"/>
      <c r="AB282" s="11"/>
      <c r="AC282" s="11"/>
      <c r="AD282" s="11"/>
    </row>
    <row r="283">
      <c r="A283" s="47"/>
      <c r="B283" s="46"/>
      <c r="C283" s="46"/>
      <c r="D283" s="11"/>
      <c r="E283" s="11"/>
      <c r="F283" s="11"/>
      <c r="G283" s="11"/>
      <c r="H283" s="11"/>
      <c r="I283" s="11"/>
      <c r="J283" s="11"/>
      <c r="K283" s="11"/>
      <c r="L283" s="11"/>
      <c r="M283" s="11"/>
      <c r="N283" s="46"/>
      <c r="O283" s="11"/>
      <c r="P283" s="11"/>
      <c r="Q283" s="46"/>
      <c r="R283" s="11"/>
      <c r="S283" s="11"/>
      <c r="T283" s="11"/>
      <c r="U283" s="11"/>
      <c r="V283" s="11"/>
      <c r="W283" s="11"/>
      <c r="X283" s="11"/>
      <c r="Y283" s="11"/>
      <c r="Z283" s="11"/>
      <c r="AA283" s="11"/>
      <c r="AB283" s="11"/>
      <c r="AC283" s="11"/>
      <c r="AD283" s="11"/>
    </row>
    <row r="284">
      <c r="A284" s="47"/>
      <c r="B284" s="46"/>
      <c r="C284" s="46"/>
      <c r="D284" s="11"/>
      <c r="E284" s="11"/>
      <c r="F284" s="11"/>
      <c r="G284" s="11"/>
      <c r="H284" s="11"/>
      <c r="I284" s="11"/>
      <c r="J284" s="11"/>
      <c r="K284" s="11"/>
      <c r="L284" s="11"/>
      <c r="M284" s="11"/>
      <c r="N284" s="46"/>
      <c r="O284" s="11"/>
      <c r="P284" s="11"/>
      <c r="Q284" s="46"/>
      <c r="R284" s="11"/>
      <c r="S284" s="11"/>
      <c r="T284" s="11"/>
      <c r="U284" s="11"/>
      <c r="V284" s="11"/>
      <c r="W284" s="11"/>
      <c r="X284" s="11"/>
      <c r="Y284" s="11"/>
      <c r="Z284" s="11"/>
      <c r="AA284" s="11"/>
      <c r="AB284" s="11"/>
      <c r="AC284" s="11"/>
      <c r="AD284" s="11"/>
    </row>
    <row r="285">
      <c r="A285" s="47"/>
      <c r="B285" s="46"/>
      <c r="C285" s="46"/>
      <c r="D285" s="11"/>
      <c r="E285" s="11"/>
      <c r="F285" s="11"/>
      <c r="G285" s="11"/>
      <c r="H285" s="11"/>
      <c r="I285" s="11"/>
      <c r="J285" s="11"/>
      <c r="K285" s="11"/>
      <c r="L285" s="11"/>
      <c r="M285" s="11"/>
      <c r="N285" s="46"/>
      <c r="O285" s="11"/>
      <c r="P285" s="11"/>
      <c r="Q285" s="46"/>
      <c r="R285" s="11"/>
      <c r="S285" s="11"/>
      <c r="T285" s="11"/>
      <c r="U285" s="11"/>
      <c r="V285" s="11"/>
      <c r="W285" s="11"/>
      <c r="X285" s="11"/>
      <c r="Y285" s="11"/>
      <c r="Z285" s="11"/>
      <c r="AA285" s="11"/>
      <c r="AB285" s="11"/>
      <c r="AC285" s="11"/>
      <c r="AD285" s="11"/>
    </row>
    <row r="286">
      <c r="A286" s="47"/>
      <c r="B286" s="46"/>
      <c r="C286" s="46"/>
      <c r="D286" s="11"/>
      <c r="E286" s="11"/>
      <c r="F286" s="11"/>
      <c r="G286" s="11"/>
      <c r="H286" s="11"/>
      <c r="I286" s="11"/>
      <c r="J286" s="11"/>
      <c r="K286" s="11"/>
      <c r="L286" s="11"/>
      <c r="M286" s="11"/>
      <c r="N286" s="46"/>
      <c r="O286" s="11"/>
      <c r="P286" s="11"/>
      <c r="Q286" s="46"/>
      <c r="R286" s="11"/>
      <c r="S286" s="11"/>
      <c r="T286" s="11"/>
      <c r="U286" s="11"/>
      <c r="V286" s="11"/>
      <c r="W286" s="11"/>
      <c r="X286" s="11"/>
      <c r="Y286" s="11"/>
      <c r="Z286" s="11"/>
      <c r="AA286" s="11"/>
      <c r="AB286" s="11"/>
      <c r="AC286" s="11"/>
      <c r="AD286" s="11"/>
    </row>
    <row r="287">
      <c r="A287" s="47"/>
      <c r="B287" s="46"/>
      <c r="C287" s="46"/>
      <c r="D287" s="11"/>
      <c r="E287" s="11"/>
      <c r="F287" s="11"/>
      <c r="G287" s="11"/>
      <c r="H287" s="11"/>
      <c r="I287" s="11"/>
      <c r="J287" s="11"/>
      <c r="K287" s="11"/>
      <c r="L287" s="11"/>
      <c r="M287" s="11"/>
      <c r="N287" s="46"/>
      <c r="O287" s="11"/>
      <c r="P287" s="11"/>
      <c r="Q287" s="46"/>
      <c r="R287" s="11"/>
      <c r="S287" s="11"/>
      <c r="T287" s="11"/>
      <c r="U287" s="11"/>
      <c r="V287" s="11"/>
      <c r="W287" s="11"/>
      <c r="X287" s="11"/>
      <c r="Y287" s="11"/>
      <c r="Z287" s="11"/>
      <c r="AA287" s="11"/>
      <c r="AB287" s="11"/>
      <c r="AC287" s="11"/>
      <c r="AD287" s="11"/>
    </row>
    <row r="288">
      <c r="A288" s="47"/>
      <c r="B288" s="46"/>
      <c r="C288" s="46"/>
      <c r="D288" s="11"/>
      <c r="E288" s="11"/>
      <c r="F288" s="11"/>
      <c r="G288" s="11"/>
      <c r="H288" s="11"/>
      <c r="I288" s="11"/>
      <c r="J288" s="11"/>
      <c r="K288" s="11"/>
      <c r="L288" s="11"/>
      <c r="M288" s="11"/>
      <c r="N288" s="46"/>
      <c r="O288" s="11"/>
      <c r="P288" s="11"/>
      <c r="Q288" s="46"/>
      <c r="R288" s="11"/>
      <c r="S288" s="11"/>
      <c r="T288" s="11"/>
      <c r="U288" s="11"/>
      <c r="V288" s="11"/>
      <c r="W288" s="11"/>
      <c r="X288" s="11"/>
      <c r="Y288" s="11"/>
      <c r="Z288" s="11"/>
      <c r="AA288" s="11"/>
      <c r="AB288" s="11"/>
      <c r="AC288" s="11"/>
      <c r="AD288" s="11"/>
    </row>
    <row r="289">
      <c r="A289" s="47"/>
      <c r="B289" s="46"/>
      <c r="C289" s="46"/>
      <c r="D289" s="11"/>
      <c r="E289" s="11"/>
      <c r="F289" s="11"/>
      <c r="G289" s="11"/>
      <c r="H289" s="11"/>
      <c r="I289" s="11"/>
      <c r="J289" s="11"/>
      <c r="K289" s="11"/>
      <c r="L289" s="11"/>
      <c r="M289" s="11"/>
      <c r="N289" s="46"/>
      <c r="O289" s="11"/>
      <c r="P289" s="11"/>
      <c r="Q289" s="46"/>
      <c r="R289" s="11"/>
      <c r="S289" s="11"/>
      <c r="T289" s="11"/>
      <c r="U289" s="11"/>
      <c r="V289" s="11"/>
      <c r="W289" s="11"/>
      <c r="X289" s="11"/>
      <c r="Y289" s="11"/>
      <c r="Z289" s="11"/>
      <c r="AA289" s="11"/>
      <c r="AB289" s="11"/>
      <c r="AC289" s="11"/>
      <c r="AD289" s="11"/>
    </row>
    <row r="290">
      <c r="A290" s="47"/>
      <c r="B290" s="46"/>
      <c r="C290" s="46"/>
      <c r="D290" s="11"/>
      <c r="E290" s="11"/>
      <c r="F290" s="11"/>
      <c r="G290" s="11"/>
      <c r="H290" s="11"/>
      <c r="I290" s="11"/>
      <c r="J290" s="11"/>
      <c r="K290" s="11"/>
      <c r="L290" s="11"/>
      <c r="M290" s="11"/>
      <c r="N290" s="46"/>
      <c r="O290" s="11"/>
      <c r="P290" s="11"/>
      <c r="Q290" s="46"/>
      <c r="R290" s="11"/>
      <c r="S290" s="11"/>
      <c r="T290" s="11"/>
      <c r="U290" s="11"/>
      <c r="V290" s="11"/>
      <c r="W290" s="11"/>
      <c r="X290" s="11"/>
      <c r="Y290" s="11"/>
      <c r="Z290" s="11"/>
      <c r="AA290" s="11"/>
      <c r="AB290" s="11"/>
      <c r="AC290" s="11"/>
      <c r="AD290" s="11"/>
    </row>
    <row r="291">
      <c r="A291" s="47"/>
      <c r="B291" s="46"/>
      <c r="C291" s="46"/>
      <c r="D291" s="11"/>
      <c r="E291" s="11"/>
      <c r="F291" s="11"/>
      <c r="G291" s="11"/>
      <c r="H291" s="11"/>
      <c r="I291" s="11"/>
      <c r="J291" s="11"/>
      <c r="K291" s="11"/>
      <c r="L291" s="11"/>
      <c r="M291" s="11"/>
      <c r="N291" s="46"/>
      <c r="O291" s="11"/>
      <c r="P291" s="11"/>
      <c r="Q291" s="46"/>
      <c r="R291" s="11"/>
      <c r="S291" s="11"/>
      <c r="T291" s="11"/>
      <c r="U291" s="11"/>
      <c r="V291" s="11"/>
      <c r="W291" s="11"/>
      <c r="X291" s="11"/>
      <c r="Y291" s="11"/>
      <c r="Z291" s="11"/>
      <c r="AA291" s="11"/>
      <c r="AB291" s="11"/>
      <c r="AC291" s="11"/>
      <c r="AD291" s="11"/>
    </row>
    <row r="292">
      <c r="A292" s="47"/>
      <c r="B292" s="46"/>
      <c r="C292" s="46"/>
      <c r="D292" s="11"/>
      <c r="E292" s="11"/>
      <c r="F292" s="11"/>
      <c r="G292" s="11"/>
      <c r="H292" s="11"/>
      <c r="I292" s="11"/>
      <c r="J292" s="11"/>
      <c r="K292" s="11"/>
      <c r="L292" s="11"/>
      <c r="M292" s="11"/>
      <c r="N292" s="46"/>
      <c r="O292" s="11"/>
      <c r="P292" s="11"/>
      <c r="Q292" s="46"/>
      <c r="R292" s="11"/>
      <c r="S292" s="11"/>
      <c r="T292" s="11"/>
      <c r="U292" s="11"/>
      <c r="V292" s="11"/>
      <c r="W292" s="11"/>
      <c r="X292" s="11"/>
      <c r="Y292" s="11"/>
      <c r="Z292" s="11"/>
      <c r="AA292" s="11"/>
      <c r="AB292" s="11"/>
      <c r="AC292" s="11"/>
      <c r="AD292" s="11"/>
    </row>
    <row r="293">
      <c r="A293" s="47"/>
      <c r="B293" s="46"/>
      <c r="C293" s="46"/>
      <c r="D293" s="11"/>
      <c r="E293" s="11"/>
      <c r="F293" s="11"/>
      <c r="G293" s="11"/>
      <c r="H293" s="11"/>
      <c r="I293" s="11"/>
      <c r="J293" s="11"/>
      <c r="K293" s="11"/>
      <c r="L293" s="11"/>
      <c r="M293" s="11"/>
      <c r="N293" s="46"/>
      <c r="O293" s="11"/>
      <c r="P293" s="11"/>
      <c r="Q293" s="46"/>
      <c r="R293" s="11"/>
      <c r="S293" s="11"/>
      <c r="T293" s="11"/>
      <c r="U293" s="11"/>
      <c r="V293" s="11"/>
      <c r="W293" s="11"/>
      <c r="X293" s="11"/>
      <c r="Y293" s="11"/>
      <c r="Z293" s="11"/>
      <c r="AA293" s="11"/>
      <c r="AB293" s="11"/>
      <c r="AC293" s="11"/>
      <c r="AD293" s="11"/>
    </row>
    <row r="294">
      <c r="A294" s="47"/>
      <c r="B294" s="46"/>
      <c r="C294" s="46"/>
      <c r="D294" s="11"/>
      <c r="E294" s="11"/>
      <c r="F294" s="11"/>
      <c r="G294" s="11"/>
      <c r="H294" s="11"/>
      <c r="I294" s="11"/>
      <c r="J294" s="11"/>
      <c r="K294" s="11"/>
      <c r="L294" s="11"/>
      <c r="M294" s="11"/>
      <c r="N294" s="46"/>
      <c r="O294" s="11"/>
      <c r="P294" s="11"/>
      <c r="Q294" s="46"/>
      <c r="R294" s="11"/>
      <c r="S294" s="11"/>
      <c r="T294" s="11"/>
      <c r="U294" s="11"/>
      <c r="V294" s="11"/>
      <c r="W294" s="11"/>
      <c r="X294" s="11"/>
      <c r="Y294" s="11"/>
      <c r="Z294" s="11"/>
      <c r="AA294" s="11"/>
      <c r="AB294" s="11"/>
      <c r="AC294" s="11"/>
      <c r="AD294" s="11"/>
    </row>
    <row r="295">
      <c r="A295" s="47"/>
      <c r="B295" s="46"/>
      <c r="C295" s="46"/>
      <c r="D295" s="11"/>
      <c r="E295" s="11"/>
      <c r="F295" s="11"/>
      <c r="G295" s="11"/>
      <c r="H295" s="11"/>
      <c r="I295" s="11"/>
      <c r="J295" s="11"/>
      <c r="K295" s="11"/>
      <c r="L295" s="11"/>
      <c r="M295" s="11"/>
      <c r="N295" s="46"/>
      <c r="O295" s="11"/>
      <c r="P295" s="11"/>
      <c r="Q295" s="46"/>
      <c r="R295" s="11"/>
      <c r="S295" s="11"/>
      <c r="T295" s="11"/>
      <c r="U295" s="11"/>
      <c r="V295" s="11"/>
      <c r="W295" s="11"/>
      <c r="X295" s="11"/>
      <c r="Y295" s="11"/>
      <c r="Z295" s="11"/>
      <c r="AA295" s="11"/>
      <c r="AB295" s="11"/>
      <c r="AC295" s="11"/>
      <c r="AD295" s="11"/>
    </row>
    <row r="296">
      <c r="A296" s="47"/>
      <c r="B296" s="46"/>
      <c r="C296" s="46"/>
      <c r="D296" s="11"/>
      <c r="E296" s="11"/>
      <c r="F296" s="11"/>
      <c r="G296" s="11"/>
      <c r="H296" s="11"/>
      <c r="I296" s="11"/>
      <c r="J296" s="11"/>
      <c r="K296" s="11"/>
      <c r="L296" s="11"/>
      <c r="M296" s="11"/>
      <c r="N296" s="46"/>
      <c r="O296" s="11"/>
      <c r="P296" s="11"/>
      <c r="Q296" s="46"/>
      <c r="R296" s="11"/>
      <c r="S296" s="11"/>
      <c r="T296" s="11"/>
      <c r="U296" s="11"/>
      <c r="V296" s="11"/>
      <c r="W296" s="11"/>
      <c r="X296" s="11"/>
      <c r="Y296" s="11"/>
      <c r="Z296" s="11"/>
      <c r="AA296" s="11"/>
      <c r="AB296" s="11"/>
      <c r="AC296" s="11"/>
      <c r="AD296" s="11"/>
    </row>
    <row r="297">
      <c r="A297" s="47"/>
      <c r="B297" s="46"/>
      <c r="C297" s="46"/>
      <c r="D297" s="11"/>
      <c r="E297" s="11"/>
      <c r="F297" s="11"/>
      <c r="G297" s="11"/>
      <c r="H297" s="11"/>
      <c r="I297" s="11"/>
      <c r="J297" s="11"/>
      <c r="K297" s="11"/>
      <c r="L297" s="11"/>
      <c r="M297" s="11"/>
      <c r="N297" s="46"/>
      <c r="O297" s="11"/>
      <c r="P297" s="11"/>
      <c r="Q297" s="46"/>
      <c r="R297" s="11"/>
      <c r="S297" s="11"/>
      <c r="T297" s="11"/>
      <c r="U297" s="11"/>
      <c r="V297" s="11"/>
      <c r="W297" s="11"/>
      <c r="X297" s="11"/>
      <c r="Y297" s="11"/>
      <c r="Z297" s="11"/>
      <c r="AA297" s="11"/>
      <c r="AB297" s="11"/>
      <c r="AC297" s="11"/>
      <c r="AD297" s="11"/>
    </row>
    <row r="298">
      <c r="A298" s="47"/>
      <c r="B298" s="46"/>
      <c r="C298" s="46"/>
      <c r="D298" s="11"/>
      <c r="E298" s="11"/>
      <c r="F298" s="11"/>
      <c r="G298" s="11"/>
      <c r="H298" s="11"/>
      <c r="I298" s="11"/>
      <c r="J298" s="11"/>
      <c r="K298" s="11"/>
      <c r="L298" s="11"/>
      <c r="M298" s="11"/>
      <c r="N298" s="46"/>
      <c r="O298" s="11"/>
      <c r="P298" s="11"/>
      <c r="Q298" s="46"/>
      <c r="R298" s="11"/>
      <c r="S298" s="11"/>
      <c r="T298" s="11"/>
      <c r="U298" s="11"/>
      <c r="V298" s="11"/>
      <c r="W298" s="11"/>
      <c r="X298" s="11"/>
      <c r="Y298" s="11"/>
      <c r="Z298" s="11"/>
      <c r="AA298" s="11"/>
      <c r="AB298" s="11"/>
      <c r="AC298" s="11"/>
      <c r="AD298" s="11"/>
    </row>
    <row r="299">
      <c r="A299" s="47"/>
      <c r="B299" s="46"/>
      <c r="C299" s="46"/>
      <c r="D299" s="11"/>
      <c r="E299" s="11"/>
      <c r="F299" s="11"/>
      <c r="G299" s="11"/>
      <c r="H299" s="11"/>
      <c r="I299" s="11"/>
      <c r="J299" s="11"/>
      <c r="K299" s="11"/>
      <c r="L299" s="11"/>
      <c r="M299" s="11"/>
      <c r="N299" s="46"/>
      <c r="O299" s="11"/>
      <c r="P299" s="11"/>
      <c r="Q299" s="46"/>
      <c r="R299" s="11"/>
      <c r="S299" s="11"/>
      <c r="T299" s="11"/>
      <c r="U299" s="11"/>
      <c r="V299" s="11"/>
      <c r="W299" s="11"/>
      <c r="X299" s="11"/>
      <c r="Y299" s="11"/>
      <c r="Z299" s="11"/>
      <c r="AA299" s="11"/>
      <c r="AB299" s="11"/>
      <c r="AC299" s="11"/>
      <c r="AD299" s="11"/>
    </row>
    <row r="300">
      <c r="A300" s="47"/>
      <c r="B300" s="46"/>
      <c r="C300" s="46"/>
      <c r="D300" s="11"/>
      <c r="E300" s="11"/>
      <c r="F300" s="11"/>
      <c r="G300" s="11"/>
      <c r="H300" s="11"/>
      <c r="I300" s="11"/>
      <c r="J300" s="11"/>
      <c r="K300" s="11"/>
      <c r="L300" s="11"/>
      <c r="M300" s="11"/>
      <c r="N300" s="46"/>
      <c r="O300" s="11"/>
      <c r="P300" s="11"/>
      <c r="Q300" s="46"/>
      <c r="R300" s="11"/>
      <c r="S300" s="11"/>
      <c r="T300" s="11"/>
      <c r="U300" s="11"/>
      <c r="V300" s="11"/>
      <c r="W300" s="11"/>
      <c r="X300" s="11"/>
      <c r="Y300" s="11"/>
      <c r="Z300" s="11"/>
      <c r="AA300" s="11"/>
      <c r="AB300" s="11"/>
      <c r="AC300" s="11"/>
      <c r="AD300" s="11"/>
    </row>
    <row r="301">
      <c r="A301" s="47"/>
      <c r="B301" s="46"/>
      <c r="C301" s="46"/>
      <c r="D301" s="11"/>
      <c r="E301" s="11"/>
      <c r="F301" s="11"/>
      <c r="G301" s="11"/>
      <c r="H301" s="11"/>
      <c r="I301" s="11"/>
      <c r="J301" s="11"/>
      <c r="K301" s="11"/>
      <c r="L301" s="11"/>
      <c r="M301" s="11"/>
      <c r="N301" s="46"/>
      <c r="O301" s="11"/>
      <c r="P301" s="11"/>
      <c r="Q301" s="46"/>
      <c r="R301" s="11"/>
      <c r="S301" s="11"/>
      <c r="T301" s="11"/>
      <c r="U301" s="11"/>
      <c r="V301" s="11"/>
      <c r="W301" s="11"/>
      <c r="X301" s="11"/>
      <c r="Y301" s="11"/>
      <c r="Z301" s="11"/>
      <c r="AA301" s="11"/>
      <c r="AB301" s="11"/>
      <c r="AC301" s="11"/>
      <c r="AD301" s="11"/>
    </row>
    <row r="302">
      <c r="A302" s="47"/>
      <c r="B302" s="46"/>
      <c r="C302" s="46"/>
      <c r="D302" s="11"/>
      <c r="E302" s="11"/>
      <c r="F302" s="11"/>
      <c r="G302" s="11"/>
      <c r="H302" s="11"/>
      <c r="I302" s="11"/>
      <c r="J302" s="11"/>
      <c r="K302" s="11"/>
      <c r="L302" s="11"/>
      <c r="M302" s="11"/>
      <c r="N302" s="46"/>
      <c r="O302" s="11"/>
      <c r="P302" s="11"/>
      <c r="Q302" s="46"/>
      <c r="R302" s="11"/>
      <c r="S302" s="11"/>
      <c r="T302" s="11"/>
      <c r="U302" s="11"/>
      <c r="V302" s="11"/>
      <c r="W302" s="11"/>
      <c r="X302" s="11"/>
      <c r="Y302" s="11"/>
      <c r="Z302" s="11"/>
      <c r="AA302" s="11"/>
      <c r="AB302" s="11"/>
      <c r="AC302" s="11"/>
      <c r="AD302" s="11"/>
    </row>
    <row r="303">
      <c r="A303" s="47"/>
      <c r="B303" s="46"/>
      <c r="C303" s="46"/>
      <c r="D303" s="11"/>
      <c r="E303" s="11"/>
      <c r="F303" s="11"/>
      <c r="G303" s="11"/>
      <c r="H303" s="11"/>
      <c r="I303" s="11"/>
      <c r="J303" s="11"/>
      <c r="K303" s="11"/>
      <c r="L303" s="11"/>
      <c r="M303" s="11"/>
      <c r="N303" s="46"/>
      <c r="O303" s="11"/>
      <c r="P303" s="11"/>
      <c r="Q303" s="46"/>
      <c r="R303" s="11"/>
      <c r="S303" s="11"/>
      <c r="T303" s="11"/>
      <c r="U303" s="11"/>
      <c r="V303" s="11"/>
      <c r="W303" s="11"/>
      <c r="X303" s="11"/>
      <c r="Y303" s="11"/>
      <c r="Z303" s="11"/>
      <c r="AA303" s="11"/>
      <c r="AB303" s="11"/>
      <c r="AC303" s="11"/>
      <c r="AD303" s="11"/>
    </row>
    <row r="304">
      <c r="A304" s="47"/>
      <c r="B304" s="46"/>
      <c r="C304" s="46"/>
      <c r="D304" s="11"/>
      <c r="E304" s="11"/>
      <c r="F304" s="11"/>
      <c r="G304" s="11"/>
      <c r="H304" s="11"/>
      <c r="I304" s="11"/>
      <c r="J304" s="11"/>
      <c r="K304" s="11"/>
      <c r="L304" s="11"/>
      <c r="M304" s="11"/>
      <c r="N304" s="46"/>
      <c r="O304" s="11"/>
      <c r="P304" s="11"/>
      <c r="Q304" s="46"/>
      <c r="R304" s="11"/>
      <c r="S304" s="11"/>
      <c r="T304" s="11"/>
      <c r="U304" s="11"/>
      <c r="V304" s="11"/>
      <c r="W304" s="11"/>
      <c r="X304" s="11"/>
      <c r="Y304" s="11"/>
      <c r="Z304" s="11"/>
      <c r="AA304" s="11"/>
      <c r="AB304" s="11"/>
      <c r="AC304" s="11"/>
      <c r="AD304" s="11"/>
    </row>
    <row r="305">
      <c r="A305" s="47"/>
      <c r="B305" s="46"/>
      <c r="C305" s="46"/>
      <c r="D305" s="11"/>
      <c r="E305" s="11"/>
      <c r="F305" s="11"/>
      <c r="G305" s="11"/>
      <c r="H305" s="11"/>
      <c r="I305" s="11"/>
      <c r="J305" s="11"/>
      <c r="K305" s="11"/>
      <c r="L305" s="11"/>
      <c r="M305" s="11"/>
      <c r="N305" s="46"/>
      <c r="O305" s="11"/>
      <c r="P305" s="11"/>
      <c r="Q305" s="46"/>
      <c r="R305" s="11"/>
      <c r="S305" s="11"/>
      <c r="T305" s="11"/>
      <c r="U305" s="11"/>
      <c r="V305" s="11"/>
      <c r="W305" s="11"/>
      <c r="X305" s="11"/>
      <c r="Y305" s="11"/>
      <c r="Z305" s="11"/>
      <c r="AA305" s="11"/>
      <c r="AB305" s="11"/>
      <c r="AC305" s="11"/>
      <c r="AD305" s="11"/>
    </row>
    <row r="306">
      <c r="A306" s="47"/>
      <c r="B306" s="46"/>
      <c r="C306" s="46"/>
      <c r="D306" s="11"/>
      <c r="E306" s="11"/>
      <c r="F306" s="11"/>
      <c r="G306" s="11"/>
      <c r="H306" s="11"/>
      <c r="I306" s="11"/>
      <c r="J306" s="11"/>
      <c r="K306" s="11"/>
      <c r="L306" s="11"/>
      <c r="M306" s="11"/>
      <c r="N306" s="46"/>
      <c r="O306" s="11"/>
      <c r="P306" s="11"/>
      <c r="Q306" s="46"/>
      <c r="R306" s="11"/>
      <c r="S306" s="11"/>
      <c r="T306" s="11"/>
      <c r="U306" s="11"/>
      <c r="V306" s="11"/>
      <c r="W306" s="11"/>
      <c r="X306" s="11"/>
      <c r="Y306" s="11"/>
      <c r="Z306" s="11"/>
      <c r="AA306" s="11"/>
      <c r="AB306" s="11"/>
      <c r="AC306" s="11"/>
      <c r="AD306" s="11"/>
    </row>
    <row r="307">
      <c r="A307" s="47"/>
      <c r="B307" s="46"/>
      <c r="C307" s="46"/>
      <c r="D307" s="11"/>
      <c r="E307" s="11"/>
      <c r="F307" s="11"/>
      <c r="G307" s="11"/>
      <c r="H307" s="11"/>
      <c r="I307" s="11"/>
      <c r="J307" s="11"/>
      <c r="K307" s="11"/>
      <c r="L307" s="11"/>
      <c r="M307" s="11"/>
      <c r="N307" s="46"/>
      <c r="O307" s="11"/>
      <c r="P307" s="11"/>
      <c r="Q307" s="46"/>
      <c r="R307" s="11"/>
      <c r="S307" s="11"/>
      <c r="T307" s="11"/>
      <c r="U307" s="11"/>
      <c r="V307" s="11"/>
      <c r="W307" s="11"/>
      <c r="X307" s="11"/>
      <c r="Y307" s="11"/>
      <c r="Z307" s="11"/>
      <c r="AA307" s="11"/>
      <c r="AB307" s="11"/>
      <c r="AC307" s="11"/>
      <c r="AD307" s="11"/>
    </row>
    <row r="308">
      <c r="A308" s="47"/>
      <c r="B308" s="46"/>
      <c r="C308" s="46"/>
      <c r="D308" s="11"/>
      <c r="E308" s="11"/>
      <c r="F308" s="11"/>
      <c r="G308" s="11"/>
      <c r="H308" s="11"/>
      <c r="I308" s="11"/>
      <c r="J308" s="11"/>
      <c r="K308" s="11"/>
      <c r="L308" s="11"/>
      <c r="M308" s="11"/>
      <c r="N308" s="46"/>
      <c r="O308" s="11"/>
      <c r="P308" s="11"/>
      <c r="Q308" s="46"/>
      <c r="R308" s="11"/>
      <c r="S308" s="11"/>
      <c r="T308" s="11"/>
      <c r="U308" s="11"/>
      <c r="V308" s="11"/>
      <c r="W308" s="11"/>
      <c r="X308" s="11"/>
      <c r="Y308" s="11"/>
      <c r="Z308" s="11"/>
      <c r="AA308" s="11"/>
      <c r="AB308" s="11"/>
      <c r="AC308" s="11"/>
      <c r="AD308" s="11"/>
    </row>
    <row r="309">
      <c r="A309" s="47"/>
      <c r="B309" s="46"/>
      <c r="C309" s="46"/>
      <c r="D309" s="11"/>
      <c r="E309" s="11"/>
      <c r="F309" s="11"/>
      <c r="G309" s="11"/>
      <c r="H309" s="11"/>
      <c r="I309" s="11"/>
      <c r="J309" s="11"/>
      <c r="K309" s="11"/>
      <c r="L309" s="11"/>
      <c r="M309" s="11"/>
      <c r="N309" s="46"/>
      <c r="O309" s="11"/>
      <c r="P309" s="11"/>
      <c r="Q309" s="46"/>
      <c r="R309" s="11"/>
      <c r="S309" s="11"/>
      <c r="T309" s="11"/>
      <c r="U309" s="11"/>
      <c r="V309" s="11"/>
      <c r="W309" s="11"/>
      <c r="X309" s="11"/>
      <c r="Y309" s="11"/>
      <c r="Z309" s="11"/>
      <c r="AA309" s="11"/>
      <c r="AB309" s="11"/>
      <c r="AC309" s="11"/>
      <c r="AD309" s="11"/>
    </row>
    <row r="310">
      <c r="A310" s="47"/>
      <c r="B310" s="46"/>
      <c r="C310" s="46"/>
      <c r="D310" s="11"/>
      <c r="E310" s="11"/>
      <c r="F310" s="11"/>
      <c r="G310" s="11"/>
      <c r="H310" s="11"/>
      <c r="I310" s="11"/>
      <c r="J310" s="11"/>
      <c r="K310" s="11"/>
      <c r="L310" s="11"/>
      <c r="M310" s="11"/>
      <c r="N310" s="46"/>
      <c r="O310" s="11"/>
      <c r="P310" s="11"/>
      <c r="Q310" s="46"/>
      <c r="R310" s="11"/>
      <c r="S310" s="11"/>
      <c r="T310" s="11"/>
      <c r="U310" s="11"/>
      <c r="V310" s="11"/>
      <c r="W310" s="11"/>
      <c r="X310" s="11"/>
      <c r="Y310" s="11"/>
      <c r="Z310" s="11"/>
      <c r="AA310" s="11"/>
      <c r="AB310" s="11"/>
      <c r="AC310" s="11"/>
      <c r="AD310" s="11"/>
    </row>
    <row r="311">
      <c r="A311" s="47"/>
      <c r="B311" s="46"/>
      <c r="C311" s="46"/>
      <c r="D311" s="11"/>
      <c r="E311" s="11"/>
      <c r="F311" s="11"/>
      <c r="G311" s="11"/>
      <c r="H311" s="11"/>
      <c r="I311" s="11"/>
      <c r="J311" s="11"/>
      <c r="K311" s="11"/>
      <c r="L311" s="11"/>
      <c r="M311" s="11"/>
      <c r="N311" s="46"/>
      <c r="O311" s="11"/>
      <c r="P311" s="11"/>
      <c r="Q311" s="46"/>
      <c r="R311" s="11"/>
      <c r="S311" s="11"/>
      <c r="T311" s="11"/>
      <c r="U311" s="11"/>
      <c r="V311" s="11"/>
      <c r="W311" s="11"/>
      <c r="X311" s="11"/>
      <c r="Y311" s="11"/>
      <c r="Z311" s="11"/>
      <c r="AA311" s="11"/>
      <c r="AB311" s="11"/>
      <c r="AC311" s="11"/>
      <c r="AD311" s="11"/>
    </row>
    <row r="312">
      <c r="A312" s="47"/>
      <c r="B312" s="46"/>
      <c r="C312" s="46"/>
      <c r="D312" s="11"/>
      <c r="E312" s="11"/>
      <c r="F312" s="11"/>
      <c r="G312" s="11"/>
      <c r="H312" s="11"/>
      <c r="I312" s="11"/>
      <c r="J312" s="11"/>
      <c r="K312" s="11"/>
      <c r="L312" s="11"/>
      <c r="M312" s="11"/>
      <c r="N312" s="46"/>
      <c r="O312" s="11"/>
      <c r="P312" s="11"/>
      <c r="Q312" s="46"/>
      <c r="R312" s="11"/>
      <c r="S312" s="11"/>
      <c r="T312" s="11"/>
      <c r="U312" s="11"/>
      <c r="V312" s="11"/>
      <c r="W312" s="11"/>
      <c r="X312" s="11"/>
      <c r="Y312" s="11"/>
      <c r="Z312" s="11"/>
      <c r="AA312" s="11"/>
      <c r="AB312" s="11"/>
      <c r="AC312" s="11"/>
      <c r="AD312" s="11"/>
    </row>
    <row r="313">
      <c r="A313" s="47"/>
      <c r="B313" s="46"/>
      <c r="C313" s="46"/>
      <c r="D313" s="11"/>
      <c r="E313" s="11"/>
      <c r="F313" s="11"/>
      <c r="G313" s="11"/>
      <c r="H313" s="11"/>
      <c r="I313" s="11"/>
      <c r="J313" s="11"/>
      <c r="K313" s="11"/>
      <c r="L313" s="11"/>
      <c r="M313" s="11"/>
      <c r="N313" s="46"/>
      <c r="O313" s="11"/>
      <c r="P313" s="11"/>
      <c r="Q313" s="46"/>
      <c r="R313" s="11"/>
      <c r="S313" s="11"/>
      <c r="T313" s="11"/>
      <c r="U313" s="11"/>
      <c r="V313" s="11"/>
      <c r="W313" s="11"/>
      <c r="X313" s="11"/>
      <c r="Y313" s="11"/>
      <c r="Z313" s="11"/>
      <c r="AA313" s="11"/>
      <c r="AB313" s="11"/>
      <c r="AC313" s="11"/>
      <c r="AD313" s="11"/>
    </row>
    <row r="314">
      <c r="A314" s="47"/>
      <c r="B314" s="46"/>
      <c r="C314" s="46"/>
      <c r="D314" s="11"/>
      <c r="E314" s="11"/>
      <c r="F314" s="11"/>
      <c r="G314" s="11"/>
      <c r="H314" s="11"/>
      <c r="I314" s="11"/>
      <c r="J314" s="11"/>
      <c r="K314" s="11"/>
      <c r="L314" s="11"/>
      <c r="M314" s="11"/>
      <c r="N314" s="46"/>
      <c r="O314" s="11"/>
      <c r="P314" s="11"/>
      <c r="Q314" s="46"/>
      <c r="R314" s="11"/>
      <c r="S314" s="11"/>
      <c r="T314" s="11"/>
      <c r="U314" s="11"/>
      <c r="V314" s="11"/>
      <c r="W314" s="11"/>
      <c r="X314" s="11"/>
      <c r="Y314" s="11"/>
      <c r="Z314" s="11"/>
      <c r="AA314" s="11"/>
      <c r="AB314" s="11"/>
      <c r="AC314" s="11"/>
      <c r="AD314" s="11"/>
    </row>
    <row r="315">
      <c r="A315" s="47"/>
      <c r="B315" s="46"/>
      <c r="C315" s="46"/>
      <c r="D315" s="11"/>
      <c r="E315" s="11"/>
      <c r="F315" s="11"/>
      <c r="G315" s="11"/>
      <c r="H315" s="11"/>
      <c r="I315" s="11"/>
      <c r="J315" s="11"/>
      <c r="K315" s="11"/>
      <c r="L315" s="11"/>
      <c r="M315" s="11"/>
      <c r="N315" s="46"/>
      <c r="O315" s="11"/>
      <c r="P315" s="11"/>
      <c r="Q315" s="46"/>
      <c r="R315" s="11"/>
      <c r="S315" s="11"/>
      <c r="T315" s="11"/>
      <c r="U315" s="11"/>
      <c r="V315" s="11"/>
      <c r="W315" s="11"/>
      <c r="X315" s="11"/>
      <c r="Y315" s="11"/>
      <c r="Z315" s="11"/>
      <c r="AA315" s="11"/>
      <c r="AB315" s="11"/>
      <c r="AC315" s="11"/>
      <c r="AD315" s="11"/>
    </row>
    <row r="316">
      <c r="A316" s="47"/>
      <c r="B316" s="46"/>
      <c r="C316" s="46"/>
      <c r="D316" s="11"/>
      <c r="E316" s="11"/>
      <c r="F316" s="11"/>
      <c r="G316" s="11"/>
      <c r="H316" s="11"/>
      <c r="I316" s="11"/>
      <c r="J316" s="11"/>
      <c r="K316" s="11"/>
      <c r="L316" s="11"/>
      <c r="M316" s="11"/>
      <c r="N316" s="46"/>
      <c r="O316" s="11"/>
      <c r="P316" s="11"/>
      <c r="Q316" s="46"/>
      <c r="R316" s="11"/>
      <c r="S316" s="11"/>
      <c r="T316" s="11"/>
      <c r="U316" s="11"/>
      <c r="V316" s="11"/>
      <c r="W316" s="11"/>
      <c r="X316" s="11"/>
      <c r="Y316" s="11"/>
      <c r="Z316" s="11"/>
      <c r="AA316" s="11"/>
      <c r="AB316" s="11"/>
      <c r="AC316" s="11"/>
      <c r="AD316" s="11"/>
    </row>
    <row r="317">
      <c r="A317" s="47"/>
      <c r="B317" s="46"/>
      <c r="C317" s="46"/>
      <c r="D317" s="11"/>
      <c r="E317" s="11"/>
      <c r="F317" s="11"/>
      <c r="G317" s="11"/>
      <c r="H317" s="11"/>
      <c r="I317" s="11"/>
      <c r="J317" s="11"/>
      <c r="K317" s="11"/>
      <c r="L317" s="11"/>
      <c r="M317" s="11"/>
      <c r="N317" s="46"/>
      <c r="O317" s="11"/>
      <c r="P317" s="11"/>
      <c r="Q317" s="46"/>
      <c r="R317" s="11"/>
      <c r="S317" s="11"/>
      <c r="T317" s="11"/>
      <c r="U317" s="11"/>
      <c r="V317" s="11"/>
      <c r="W317" s="11"/>
      <c r="X317" s="11"/>
      <c r="Y317" s="11"/>
      <c r="Z317" s="11"/>
      <c r="AA317" s="11"/>
      <c r="AB317" s="11"/>
      <c r="AC317" s="11"/>
      <c r="AD317" s="11"/>
    </row>
    <row r="318">
      <c r="A318" s="47"/>
      <c r="B318" s="46"/>
      <c r="C318" s="46"/>
      <c r="D318" s="11"/>
      <c r="E318" s="11"/>
      <c r="F318" s="11"/>
      <c r="G318" s="11"/>
      <c r="H318" s="11"/>
      <c r="I318" s="11"/>
      <c r="J318" s="11"/>
      <c r="K318" s="11"/>
      <c r="L318" s="11"/>
      <c r="M318" s="11"/>
      <c r="N318" s="46"/>
      <c r="O318" s="11"/>
      <c r="P318" s="11"/>
      <c r="Q318" s="46"/>
      <c r="R318" s="11"/>
      <c r="S318" s="11"/>
      <c r="T318" s="11"/>
      <c r="U318" s="11"/>
      <c r="V318" s="11"/>
      <c r="W318" s="11"/>
      <c r="X318" s="11"/>
      <c r="Y318" s="11"/>
      <c r="Z318" s="11"/>
      <c r="AA318" s="11"/>
      <c r="AB318" s="11"/>
      <c r="AC318" s="11"/>
      <c r="AD318" s="11"/>
    </row>
    <row r="319">
      <c r="A319" s="47"/>
      <c r="B319" s="46"/>
      <c r="C319" s="46"/>
      <c r="D319" s="11"/>
      <c r="E319" s="11"/>
      <c r="F319" s="11"/>
      <c r="G319" s="11"/>
      <c r="H319" s="11"/>
      <c r="I319" s="11"/>
      <c r="J319" s="11"/>
      <c r="K319" s="11"/>
      <c r="L319" s="11"/>
      <c r="M319" s="11"/>
      <c r="N319" s="46"/>
      <c r="O319" s="11"/>
      <c r="P319" s="11"/>
      <c r="Q319" s="46"/>
      <c r="R319" s="11"/>
      <c r="S319" s="11"/>
      <c r="T319" s="11"/>
      <c r="U319" s="11"/>
      <c r="V319" s="11"/>
      <c r="W319" s="11"/>
      <c r="X319" s="11"/>
      <c r="Y319" s="11"/>
      <c r="Z319" s="11"/>
      <c r="AA319" s="11"/>
      <c r="AB319" s="11"/>
      <c r="AC319" s="11"/>
      <c r="AD319" s="11"/>
    </row>
    <row r="320">
      <c r="A320" s="47"/>
      <c r="B320" s="46"/>
      <c r="C320" s="46"/>
      <c r="D320" s="11"/>
      <c r="E320" s="11"/>
      <c r="F320" s="11"/>
      <c r="G320" s="11"/>
      <c r="H320" s="11"/>
      <c r="I320" s="11"/>
      <c r="J320" s="11"/>
      <c r="K320" s="11"/>
      <c r="L320" s="11"/>
      <c r="M320" s="11"/>
      <c r="N320" s="46"/>
      <c r="O320" s="11"/>
      <c r="P320" s="11"/>
      <c r="Q320" s="46"/>
      <c r="R320" s="11"/>
      <c r="S320" s="11"/>
      <c r="T320" s="11"/>
      <c r="U320" s="11"/>
      <c r="V320" s="11"/>
      <c r="W320" s="11"/>
      <c r="X320" s="11"/>
      <c r="Y320" s="11"/>
      <c r="Z320" s="11"/>
      <c r="AA320" s="11"/>
      <c r="AB320" s="11"/>
      <c r="AC320" s="11"/>
      <c r="AD320" s="11"/>
    </row>
    <row r="321">
      <c r="A321" s="47"/>
      <c r="B321" s="46"/>
      <c r="C321" s="46"/>
      <c r="D321" s="11"/>
      <c r="E321" s="11"/>
      <c r="F321" s="11"/>
      <c r="G321" s="11"/>
      <c r="H321" s="11"/>
      <c r="I321" s="11"/>
      <c r="J321" s="11"/>
      <c r="K321" s="11"/>
      <c r="L321" s="11"/>
      <c r="M321" s="11"/>
      <c r="N321" s="46"/>
      <c r="O321" s="11"/>
      <c r="P321" s="11"/>
      <c r="Q321" s="46"/>
      <c r="R321" s="11"/>
      <c r="S321" s="11"/>
      <c r="T321" s="11"/>
      <c r="U321" s="11"/>
      <c r="V321" s="11"/>
      <c r="W321" s="11"/>
      <c r="X321" s="11"/>
      <c r="Y321" s="11"/>
      <c r="Z321" s="11"/>
      <c r="AA321" s="11"/>
      <c r="AB321" s="11"/>
      <c r="AC321" s="11"/>
      <c r="AD321" s="11"/>
    </row>
    <row r="322">
      <c r="A322" s="47"/>
      <c r="B322" s="46"/>
      <c r="C322" s="46"/>
      <c r="D322" s="11"/>
      <c r="E322" s="11"/>
      <c r="F322" s="11"/>
      <c r="G322" s="11"/>
      <c r="H322" s="11"/>
      <c r="I322" s="11"/>
      <c r="J322" s="11"/>
      <c r="K322" s="11"/>
      <c r="L322" s="11"/>
      <c r="M322" s="11"/>
      <c r="N322" s="46"/>
      <c r="O322" s="11"/>
      <c r="P322" s="11"/>
      <c r="Q322" s="46"/>
      <c r="R322" s="11"/>
      <c r="S322" s="11"/>
      <c r="T322" s="11"/>
      <c r="U322" s="11"/>
      <c r="V322" s="11"/>
      <c r="W322" s="11"/>
      <c r="X322" s="11"/>
      <c r="Y322" s="11"/>
      <c r="Z322" s="11"/>
      <c r="AA322" s="11"/>
      <c r="AB322" s="11"/>
      <c r="AC322" s="11"/>
      <c r="AD322" s="11"/>
    </row>
    <row r="323">
      <c r="A323" s="47"/>
      <c r="B323" s="46"/>
      <c r="C323" s="46"/>
      <c r="D323" s="11"/>
      <c r="E323" s="11"/>
      <c r="F323" s="11"/>
      <c r="G323" s="11"/>
      <c r="H323" s="11"/>
      <c r="I323" s="11"/>
      <c r="J323" s="11"/>
      <c r="K323" s="11"/>
      <c r="L323" s="11"/>
      <c r="M323" s="11"/>
      <c r="N323" s="46"/>
      <c r="O323" s="11"/>
      <c r="P323" s="11"/>
      <c r="Q323" s="46"/>
      <c r="R323" s="11"/>
      <c r="S323" s="11"/>
      <c r="T323" s="11"/>
      <c r="U323" s="11"/>
      <c r="V323" s="11"/>
      <c r="W323" s="11"/>
      <c r="X323" s="11"/>
      <c r="Y323" s="11"/>
      <c r="Z323" s="11"/>
      <c r="AA323" s="11"/>
      <c r="AB323" s="11"/>
      <c r="AC323" s="11"/>
      <c r="AD323" s="11"/>
    </row>
    <row r="324">
      <c r="A324" s="47"/>
      <c r="B324" s="46"/>
      <c r="C324" s="46"/>
      <c r="D324" s="11"/>
      <c r="E324" s="11"/>
      <c r="F324" s="11"/>
      <c r="G324" s="11"/>
      <c r="H324" s="11"/>
      <c r="I324" s="11"/>
      <c r="J324" s="11"/>
      <c r="K324" s="11"/>
      <c r="L324" s="11"/>
      <c r="M324" s="11"/>
      <c r="N324" s="46"/>
      <c r="O324" s="11"/>
      <c r="P324" s="11"/>
      <c r="Q324" s="46"/>
      <c r="R324" s="11"/>
      <c r="S324" s="11"/>
      <c r="T324" s="11"/>
      <c r="U324" s="11"/>
      <c r="V324" s="11"/>
      <c r="W324" s="11"/>
      <c r="X324" s="11"/>
      <c r="Y324" s="11"/>
      <c r="Z324" s="11"/>
      <c r="AA324" s="11"/>
      <c r="AB324" s="11"/>
      <c r="AC324" s="11"/>
      <c r="AD324" s="11"/>
    </row>
    <row r="325">
      <c r="A325" s="47"/>
      <c r="B325" s="46"/>
      <c r="C325" s="46"/>
      <c r="D325" s="11"/>
      <c r="E325" s="11"/>
      <c r="F325" s="11"/>
      <c r="G325" s="11"/>
      <c r="H325" s="11"/>
      <c r="I325" s="11"/>
      <c r="J325" s="11"/>
      <c r="K325" s="11"/>
      <c r="L325" s="11"/>
      <c r="M325" s="11"/>
      <c r="N325" s="46"/>
      <c r="O325" s="11"/>
      <c r="P325" s="11"/>
      <c r="Q325" s="46"/>
      <c r="R325" s="11"/>
      <c r="S325" s="11"/>
      <c r="T325" s="11"/>
      <c r="U325" s="11"/>
      <c r="V325" s="11"/>
      <c r="W325" s="11"/>
      <c r="X325" s="11"/>
      <c r="Y325" s="11"/>
      <c r="Z325" s="11"/>
      <c r="AA325" s="11"/>
      <c r="AB325" s="11"/>
      <c r="AC325" s="11"/>
      <c r="AD325" s="11"/>
    </row>
    <row r="326">
      <c r="A326" s="47"/>
      <c r="B326" s="46"/>
      <c r="C326" s="46"/>
      <c r="D326" s="11"/>
      <c r="E326" s="11"/>
      <c r="F326" s="11"/>
      <c r="G326" s="11"/>
      <c r="H326" s="11"/>
      <c r="I326" s="11"/>
      <c r="J326" s="11"/>
      <c r="K326" s="11"/>
      <c r="L326" s="11"/>
      <c r="M326" s="11"/>
      <c r="N326" s="46"/>
      <c r="O326" s="11"/>
      <c r="P326" s="11"/>
      <c r="Q326" s="46"/>
      <c r="R326" s="11"/>
      <c r="S326" s="11"/>
      <c r="T326" s="11"/>
      <c r="U326" s="11"/>
      <c r="V326" s="11"/>
      <c r="W326" s="11"/>
      <c r="X326" s="11"/>
      <c r="Y326" s="11"/>
      <c r="Z326" s="11"/>
      <c r="AA326" s="11"/>
      <c r="AB326" s="11"/>
      <c r="AC326" s="11"/>
      <c r="AD326" s="11"/>
    </row>
    <row r="327">
      <c r="A327" s="47"/>
      <c r="B327" s="46"/>
      <c r="C327" s="46"/>
      <c r="D327" s="11"/>
      <c r="E327" s="11"/>
      <c r="F327" s="11"/>
      <c r="G327" s="11"/>
      <c r="H327" s="11"/>
      <c r="I327" s="11"/>
      <c r="J327" s="11"/>
      <c r="K327" s="11"/>
      <c r="L327" s="11"/>
      <c r="M327" s="11"/>
      <c r="N327" s="46"/>
      <c r="O327" s="11"/>
      <c r="P327" s="11"/>
      <c r="Q327" s="46"/>
      <c r="R327" s="11"/>
      <c r="S327" s="11"/>
      <c r="T327" s="11"/>
      <c r="U327" s="11"/>
      <c r="V327" s="11"/>
      <c r="W327" s="11"/>
      <c r="X327" s="11"/>
      <c r="Y327" s="11"/>
      <c r="Z327" s="11"/>
      <c r="AA327" s="11"/>
      <c r="AB327" s="11"/>
      <c r="AC327" s="11"/>
      <c r="AD327" s="11"/>
    </row>
    <row r="328">
      <c r="A328" s="47"/>
      <c r="B328" s="46"/>
      <c r="C328" s="46"/>
      <c r="D328" s="11"/>
      <c r="E328" s="11"/>
      <c r="F328" s="11"/>
      <c r="G328" s="11"/>
      <c r="H328" s="11"/>
      <c r="I328" s="11"/>
      <c r="J328" s="11"/>
      <c r="K328" s="11"/>
      <c r="L328" s="11"/>
      <c r="M328" s="11"/>
      <c r="N328" s="46"/>
      <c r="O328" s="11"/>
      <c r="P328" s="11"/>
      <c r="Q328" s="46"/>
      <c r="R328" s="11"/>
      <c r="S328" s="11"/>
      <c r="T328" s="11"/>
      <c r="U328" s="11"/>
      <c r="V328" s="11"/>
      <c r="W328" s="11"/>
      <c r="X328" s="11"/>
      <c r="Y328" s="11"/>
      <c r="Z328" s="11"/>
      <c r="AA328" s="11"/>
      <c r="AB328" s="11"/>
      <c r="AC328" s="11"/>
      <c r="AD328" s="11"/>
    </row>
    <row r="329">
      <c r="A329" s="47"/>
      <c r="B329" s="46"/>
      <c r="C329" s="46"/>
      <c r="D329" s="11"/>
      <c r="E329" s="11"/>
      <c r="F329" s="11"/>
      <c r="G329" s="11"/>
      <c r="H329" s="11"/>
      <c r="I329" s="11"/>
      <c r="J329" s="11"/>
      <c r="K329" s="11"/>
      <c r="L329" s="11"/>
      <c r="M329" s="11"/>
      <c r="N329" s="46"/>
      <c r="O329" s="11"/>
      <c r="P329" s="11"/>
      <c r="Q329" s="46"/>
      <c r="R329" s="11"/>
      <c r="S329" s="11"/>
      <c r="T329" s="11"/>
      <c r="U329" s="11"/>
      <c r="V329" s="11"/>
      <c r="W329" s="11"/>
      <c r="X329" s="11"/>
      <c r="Y329" s="11"/>
      <c r="Z329" s="11"/>
      <c r="AA329" s="11"/>
      <c r="AB329" s="11"/>
      <c r="AC329" s="11"/>
      <c r="AD329" s="11"/>
    </row>
    <row r="330">
      <c r="A330" s="47"/>
      <c r="B330" s="46"/>
      <c r="C330" s="46"/>
      <c r="D330" s="11"/>
      <c r="E330" s="11"/>
      <c r="F330" s="11"/>
      <c r="G330" s="11"/>
      <c r="H330" s="11"/>
      <c r="I330" s="11"/>
      <c r="J330" s="11"/>
      <c r="K330" s="11"/>
      <c r="L330" s="11"/>
      <c r="M330" s="11"/>
      <c r="N330" s="46"/>
      <c r="O330" s="11"/>
      <c r="P330" s="11"/>
      <c r="Q330" s="46"/>
      <c r="R330" s="11"/>
      <c r="S330" s="11"/>
      <c r="T330" s="11"/>
      <c r="U330" s="11"/>
      <c r="V330" s="11"/>
      <c r="W330" s="11"/>
      <c r="X330" s="11"/>
      <c r="Y330" s="11"/>
      <c r="Z330" s="11"/>
      <c r="AA330" s="11"/>
      <c r="AB330" s="11"/>
      <c r="AC330" s="11"/>
      <c r="AD330" s="11"/>
    </row>
    <row r="331">
      <c r="A331" s="47"/>
      <c r="B331" s="46"/>
      <c r="C331" s="46"/>
      <c r="D331" s="11"/>
      <c r="E331" s="11"/>
      <c r="F331" s="11"/>
      <c r="G331" s="11"/>
      <c r="H331" s="11"/>
      <c r="I331" s="11"/>
      <c r="J331" s="11"/>
      <c r="K331" s="11"/>
      <c r="L331" s="11"/>
      <c r="M331" s="11"/>
      <c r="N331" s="46"/>
      <c r="O331" s="11"/>
      <c r="P331" s="11"/>
      <c r="Q331" s="46"/>
      <c r="R331" s="11"/>
      <c r="S331" s="11"/>
      <c r="T331" s="11"/>
      <c r="U331" s="11"/>
      <c r="V331" s="11"/>
      <c r="W331" s="11"/>
      <c r="X331" s="11"/>
      <c r="Y331" s="11"/>
      <c r="Z331" s="11"/>
      <c r="AA331" s="11"/>
      <c r="AB331" s="11"/>
      <c r="AC331" s="11"/>
      <c r="AD331" s="11"/>
    </row>
    <row r="332">
      <c r="A332" s="47"/>
      <c r="B332" s="46"/>
      <c r="C332" s="46"/>
      <c r="D332" s="11"/>
      <c r="E332" s="11"/>
      <c r="F332" s="11"/>
      <c r="G332" s="11"/>
      <c r="H332" s="11"/>
      <c r="I332" s="11"/>
      <c r="J332" s="11"/>
      <c r="K332" s="11"/>
      <c r="L332" s="11"/>
      <c r="M332" s="11"/>
      <c r="N332" s="46"/>
      <c r="O332" s="11"/>
      <c r="P332" s="11"/>
      <c r="Q332" s="46"/>
      <c r="R332" s="11"/>
      <c r="S332" s="11"/>
      <c r="T332" s="11"/>
      <c r="U332" s="11"/>
      <c r="V332" s="11"/>
      <c r="W332" s="11"/>
      <c r="X332" s="11"/>
      <c r="Y332" s="11"/>
      <c r="Z332" s="11"/>
      <c r="AA332" s="11"/>
      <c r="AB332" s="11"/>
      <c r="AC332" s="11"/>
      <c r="AD332" s="11"/>
    </row>
    <row r="333">
      <c r="A333" s="47"/>
      <c r="B333" s="46"/>
      <c r="C333" s="46"/>
      <c r="D333" s="11"/>
      <c r="E333" s="11"/>
      <c r="F333" s="11"/>
      <c r="G333" s="11"/>
      <c r="H333" s="11"/>
      <c r="I333" s="11"/>
      <c r="J333" s="11"/>
      <c r="K333" s="11"/>
      <c r="L333" s="11"/>
      <c r="M333" s="11"/>
      <c r="N333" s="46"/>
      <c r="O333" s="11"/>
      <c r="P333" s="11"/>
      <c r="Q333" s="46"/>
      <c r="R333" s="11"/>
      <c r="S333" s="11"/>
      <c r="T333" s="11"/>
      <c r="U333" s="11"/>
      <c r="V333" s="11"/>
      <c r="W333" s="11"/>
      <c r="X333" s="11"/>
      <c r="Y333" s="11"/>
      <c r="Z333" s="11"/>
      <c r="AA333" s="11"/>
      <c r="AB333" s="11"/>
      <c r="AC333" s="11"/>
      <c r="AD333" s="11"/>
    </row>
    <row r="334">
      <c r="A334" s="47"/>
      <c r="B334" s="46"/>
      <c r="C334" s="46"/>
      <c r="D334" s="11"/>
      <c r="E334" s="11"/>
      <c r="F334" s="11"/>
      <c r="G334" s="11"/>
      <c r="H334" s="11"/>
      <c r="I334" s="11"/>
      <c r="J334" s="11"/>
      <c r="K334" s="11"/>
      <c r="L334" s="11"/>
      <c r="M334" s="11"/>
      <c r="N334" s="46"/>
      <c r="O334" s="11"/>
      <c r="P334" s="11"/>
      <c r="Q334" s="46"/>
      <c r="R334" s="11"/>
      <c r="S334" s="11"/>
      <c r="T334" s="11"/>
      <c r="U334" s="11"/>
      <c r="V334" s="11"/>
      <c r="W334" s="11"/>
      <c r="X334" s="11"/>
      <c r="Y334" s="11"/>
      <c r="Z334" s="11"/>
      <c r="AA334" s="11"/>
      <c r="AB334" s="11"/>
      <c r="AC334" s="11"/>
      <c r="AD334" s="11"/>
    </row>
    <row r="335">
      <c r="A335" s="47"/>
      <c r="B335" s="46"/>
      <c r="C335" s="46"/>
      <c r="D335" s="11"/>
      <c r="E335" s="11"/>
      <c r="F335" s="11"/>
      <c r="G335" s="11"/>
      <c r="H335" s="11"/>
      <c r="I335" s="11"/>
      <c r="J335" s="11"/>
      <c r="K335" s="11"/>
      <c r="L335" s="11"/>
      <c r="M335" s="11"/>
      <c r="N335" s="46"/>
      <c r="O335" s="11"/>
      <c r="P335" s="11"/>
      <c r="Q335" s="46"/>
      <c r="R335" s="11"/>
      <c r="S335" s="11"/>
      <c r="T335" s="11"/>
      <c r="U335" s="11"/>
      <c r="V335" s="11"/>
      <c r="W335" s="11"/>
      <c r="X335" s="11"/>
      <c r="Y335" s="11"/>
      <c r="Z335" s="11"/>
      <c r="AA335" s="11"/>
      <c r="AB335" s="11"/>
      <c r="AC335" s="11"/>
      <c r="AD335" s="11"/>
    </row>
    <row r="336">
      <c r="A336" s="47"/>
      <c r="B336" s="46"/>
      <c r="C336" s="46"/>
      <c r="D336" s="11"/>
      <c r="E336" s="11"/>
      <c r="F336" s="11"/>
      <c r="G336" s="11"/>
      <c r="H336" s="11"/>
      <c r="I336" s="11"/>
      <c r="J336" s="11"/>
      <c r="K336" s="11"/>
      <c r="L336" s="11"/>
      <c r="M336" s="11"/>
      <c r="N336" s="46"/>
      <c r="O336" s="11"/>
      <c r="P336" s="11"/>
      <c r="Q336" s="46"/>
      <c r="R336" s="11"/>
      <c r="S336" s="11"/>
      <c r="T336" s="11"/>
      <c r="U336" s="11"/>
      <c r="V336" s="11"/>
      <c r="W336" s="11"/>
      <c r="X336" s="11"/>
      <c r="Y336" s="11"/>
      <c r="Z336" s="11"/>
      <c r="AA336" s="11"/>
      <c r="AB336" s="11"/>
      <c r="AC336" s="11"/>
      <c r="AD336" s="11"/>
    </row>
    <row r="337">
      <c r="A337" s="47"/>
      <c r="B337" s="46"/>
      <c r="C337" s="46"/>
      <c r="D337" s="11"/>
      <c r="E337" s="11"/>
      <c r="F337" s="11"/>
      <c r="G337" s="11"/>
      <c r="H337" s="11"/>
      <c r="I337" s="11"/>
      <c r="J337" s="11"/>
      <c r="K337" s="11"/>
      <c r="L337" s="11"/>
      <c r="M337" s="11"/>
      <c r="N337" s="46"/>
      <c r="O337" s="11"/>
      <c r="P337" s="11"/>
      <c r="Q337" s="46"/>
      <c r="R337" s="11"/>
      <c r="S337" s="11"/>
      <c r="T337" s="11"/>
      <c r="U337" s="11"/>
      <c r="V337" s="11"/>
      <c r="W337" s="11"/>
      <c r="X337" s="11"/>
      <c r="Y337" s="11"/>
      <c r="Z337" s="11"/>
      <c r="AA337" s="11"/>
      <c r="AB337" s="11"/>
      <c r="AC337" s="11"/>
      <c r="AD337" s="11"/>
    </row>
    <row r="338">
      <c r="A338" s="47"/>
      <c r="B338" s="46"/>
      <c r="C338" s="46"/>
      <c r="D338" s="11"/>
      <c r="E338" s="11"/>
      <c r="F338" s="11"/>
      <c r="G338" s="11"/>
      <c r="H338" s="11"/>
      <c r="I338" s="11"/>
      <c r="J338" s="11"/>
      <c r="K338" s="11"/>
      <c r="L338" s="11"/>
      <c r="M338" s="11"/>
      <c r="N338" s="46"/>
      <c r="O338" s="11"/>
      <c r="P338" s="11"/>
      <c r="Q338" s="46"/>
      <c r="R338" s="11"/>
      <c r="S338" s="11"/>
      <c r="T338" s="11"/>
      <c r="U338" s="11"/>
      <c r="V338" s="11"/>
      <c r="W338" s="11"/>
      <c r="X338" s="11"/>
      <c r="Y338" s="11"/>
      <c r="Z338" s="11"/>
      <c r="AA338" s="11"/>
      <c r="AB338" s="11"/>
      <c r="AC338" s="11"/>
      <c r="AD338" s="11"/>
    </row>
    <row r="339">
      <c r="A339" s="47"/>
      <c r="B339" s="46"/>
      <c r="C339" s="46"/>
      <c r="D339" s="11"/>
      <c r="E339" s="11"/>
      <c r="F339" s="11"/>
      <c r="G339" s="11"/>
      <c r="H339" s="11"/>
      <c r="I339" s="11"/>
      <c r="J339" s="11"/>
      <c r="K339" s="11"/>
      <c r="L339" s="11"/>
      <c r="M339" s="11"/>
      <c r="N339" s="46"/>
      <c r="O339" s="11"/>
      <c r="P339" s="11"/>
      <c r="Q339" s="46"/>
      <c r="R339" s="11"/>
      <c r="S339" s="11"/>
      <c r="T339" s="11"/>
      <c r="U339" s="11"/>
      <c r="V339" s="11"/>
      <c r="W339" s="11"/>
      <c r="X339" s="11"/>
      <c r="Y339" s="11"/>
      <c r="Z339" s="11"/>
      <c r="AA339" s="11"/>
      <c r="AB339" s="11"/>
      <c r="AC339" s="11"/>
      <c r="AD339" s="11"/>
    </row>
    <row r="340">
      <c r="A340" s="47"/>
      <c r="B340" s="46"/>
      <c r="C340" s="46"/>
      <c r="D340" s="11"/>
      <c r="E340" s="11"/>
      <c r="F340" s="11"/>
      <c r="G340" s="11"/>
      <c r="H340" s="11"/>
      <c r="I340" s="11"/>
      <c r="J340" s="11"/>
      <c r="K340" s="11"/>
      <c r="L340" s="11"/>
      <c r="M340" s="11"/>
      <c r="N340" s="46"/>
      <c r="O340" s="11"/>
      <c r="P340" s="11"/>
      <c r="Q340" s="46"/>
      <c r="R340" s="11"/>
      <c r="S340" s="11"/>
      <c r="T340" s="11"/>
      <c r="U340" s="11"/>
      <c r="V340" s="11"/>
      <c r="W340" s="11"/>
      <c r="X340" s="11"/>
      <c r="Y340" s="11"/>
      <c r="Z340" s="11"/>
      <c r="AA340" s="11"/>
      <c r="AB340" s="11"/>
      <c r="AC340" s="11"/>
      <c r="AD340" s="11"/>
    </row>
    <row r="341">
      <c r="A341" s="47"/>
      <c r="B341" s="46"/>
      <c r="C341" s="46"/>
      <c r="D341" s="11"/>
      <c r="E341" s="11"/>
      <c r="F341" s="11"/>
      <c r="G341" s="11"/>
      <c r="H341" s="11"/>
      <c r="I341" s="11"/>
      <c r="J341" s="11"/>
      <c r="K341" s="11"/>
      <c r="L341" s="11"/>
      <c r="M341" s="11"/>
      <c r="N341" s="46"/>
      <c r="O341" s="11"/>
      <c r="P341" s="11"/>
      <c r="Q341" s="46"/>
      <c r="R341" s="11"/>
      <c r="S341" s="11"/>
      <c r="T341" s="11"/>
      <c r="U341" s="11"/>
      <c r="V341" s="11"/>
      <c r="W341" s="11"/>
      <c r="X341" s="11"/>
      <c r="Y341" s="11"/>
      <c r="Z341" s="11"/>
      <c r="AA341" s="11"/>
      <c r="AB341" s="11"/>
      <c r="AC341" s="11"/>
      <c r="AD341" s="11"/>
    </row>
    <row r="342">
      <c r="A342" s="47"/>
      <c r="B342" s="46"/>
      <c r="C342" s="46"/>
      <c r="D342" s="11"/>
      <c r="E342" s="11"/>
      <c r="F342" s="11"/>
      <c r="G342" s="11"/>
      <c r="H342" s="11"/>
      <c r="I342" s="11"/>
      <c r="J342" s="11"/>
      <c r="K342" s="11"/>
      <c r="L342" s="11"/>
      <c r="M342" s="11"/>
      <c r="N342" s="46"/>
      <c r="O342" s="11"/>
      <c r="P342" s="11"/>
      <c r="Q342" s="46"/>
      <c r="R342" s="11"/>
      <c r="S342" s="11"/>
      <c r="T342" s="11"/>
      <c r="U342" s="11"/>
      <c r="V342" s="11"/>
      <c r="W342" s="11"/>
      <c r="X342" s="11"/>
      <c r="Y342" s="11"/>
      <c r="Z342" s="11"/>
      <c r="AA342" s="11"/>
      <c r="AB342" s="11"/>
      <c r="AC342" s="11"/>
      <c r="AD342" s="11"/>
    </row>
    <row r="343">
      <c r="A343" s="47"/>
      <c r="B343" s="46"/>
      <c r="C343" s="46"/>
      <c r="D343" s="11"/>
      <c r="E343" s="11"/>
      <c r="F343" s="11"/>
      <c r="G343" s="11"/>
      <c r="H343" s="11"/>
      <c r="I343" s="11"/>
      <c r="J343" s="11"/>
      <c r="K343" s="11"/>
      <c r="L343" s="11"/>
      <c r="M343" s="11"/>
      <c r="N343" s="46"/>
      <c r="O343" s="11"/>
      <c r="P343" s="11"/>
      <c r="Q343" s="46"/>
      <c r="R343" s="11"/>
      <c r="S343" s="11"/>
      <c r="T343" s="11"/>
      <c r="U343" s="11"/>
      <c r="V343" s="11"/>
      <c r="W343" s="11"/>
      <c r="X343" s="11"/>
      <c r="Y343" s="11"/>
      <c r="Z343" s="11"/>
      <c r="AA343" s="11"/>
      <c r="AB343" s="11"/>
      <c r="AC343" s="11"/>
      <c r="AD343" s="11"/>
    </row>
    <row r="344">
      <c r="A344" s="47"/>
      <c r="B344" s="46"/>
      <c r="C344" s="46"/>
      <c r="D344" s="11"/>
      <c r="E344" s="11"/>
      <c r="F344" s="11"/>
      <c r="G344" s="11"/>
      <c r="H344" s="11"/>
      <c r="I344" s="11"/>
      <c r="J344" s="11"/>
      <c r="K344" s="11"/>
      <c r="L344" s="11"/>
      <c r="M344" s="11"/>
      <c r="N344" s="46"/>
      <c r="O344" s="11"/>
      <c r="P344" s="11"/>
      <c r="Q344" s="46"/>
      <c r="R344" s="11"/>
      <c r="S344" s="11"/>
      <c r="T344" s="11"/>
      <c r="U344" s="11"/>
      <c r="V344" s="11"/>
      <c r="W344" s="11"/>
      <c r="X344" s="11"/>
      <c r="Y344" s="11"/>
      <c r="Z344" s="11"/>
      <c r="AA344" s="11"/>
      <c r="AB344" s="11"/>
      <c r="AC344" s="11"/>
      <c r="AD344" s="11"/>
    </row>
    <row r="345">
      <c r="A345" s="47"/>
      <c r="B345" s="46"/>
      <c r="C345" s="46"/>
      <c r="D345" s="11"/>
      <c r="E345" s="11"/>
      <c r="F345" s="11"/>
      <c r="G345" s="11"/>
      <c r="H345" s="11"/>
      <c r="I345" s="11"/>
      <c r="J345" s="11"/>
      <c r="K345" s="11"/>
      <c r="L345" s="11"/>
      <c r="M345" s="11"/>
      <c r="N345" s="46"/>
      <c r="O345" s="11"/>
      <c r="P345" s="11"/>
      <c r="Q345" s="46"/>
      <c r="R345" s="11"/>
      <c r="S345" s="11"/>
      <c r="T345" s="11"/>
      <c r="U345" s="11"/>
      <c r="V345" s="11"/>
      <c r="W345" s="11"/>
      <c r="X345" s="11"/>
      <c r="Y345" s="11"/>
      <c r="Z345" s="11"/>
      <c r="AA345" s="11"/>
      <c r="AB345" s="11"/>
      <c r="AC345" s="11"/>
      <c r="AD345" s="11"/>
    </row>
    <row r="346">
      <c r="A346" s="47"/>
      <c r="B346" s="46"/>
      <c r="C346" s="46"/>
      <c r="D346" s="11"/>
      <c r="E346" s="11"/>
      <c r="F346" s="11"/>
      <c r="G346" s="11"/>
      <c r="H346" s="11"/>
      <c r="I346" s="11"/>
      <c r="J346" s="11"/>
      <c r="K346" s="11"/>
      <c r="L346" s="11"/>
      <c r="M346" s="11"/>
      <c r="N346" s="46"/>
      <c r="O346" s="11"/>
      <c r="P346" s="11"/>
      <c r="Q346" s="46"/>
      <c r="R346" s="11"/>
      <c r="S346" s="11"/>
      <c r="T346" s="11"/>
      <c r="U346" s="11"/>
      <c r="V346" s="11"/>
      <c r="W346" s="11"/>
      <c r="X346" s="11"/>
      <c r="Y346" s="11"/>
      <c r="Z346" s="11"/>
      <c r="AA346" s="11"/>
      <c r="AB346" s="11"/>
      <c r="AC346" s="11"/>
      <c r="AD346" s="11"/>
    </row>
    <row r="347">
      <c r="A347" s="47"/>
      <c r="B347" s="46"/>
      <c r="C347" s="46"/>
      <c r="D347" s="11"/>
      <c r="E347" s="11"/>
      <c r="F347" s="11"/>
      <c r="G347" s="11"/>
      <c r="H347" s="11"/>
      <c r="I347" s="11"/>
      <c r="J347" s="11"/>
      <c r="K347" s="11"/>
      <c r="L347" s="11"/>
      <c r="M347" s="11"/>
      <c r="N347" s="46"/>
      <c r="O347" s="11"/>
      <c r="P347" s="11"/>
      <c r="Q347" s="46"/>
      <c r="R347" s="11"/>
      <c r="S347" s="11"/>
      <c r="T347" s="11"/>
      <c r="U347" s="11"/>
      <c r="V347" s="11"/>
      <c r="W347" s="11"/>
      <c r="X347" s="11"/>
      <c r="Y347" s="11"/>
      <c r="Z347" s="11"/>
      <c r="AA347" s="11"/>
      <c r="AB347" s="11"/>
      <c r="AC347" s="11"/>
      <c r="AD347" s="11"/>
    </row>
    <row r="348">
      <c r="A348" s="47"/>
      <c r="B348" s="46"/>
      <c r="C348" s="46"/>
      <c r="D348" s="11"/>
      <c r="E348" s="11"/>
      <c r="F348" s="11"/>
      <c r="G348" s="11"/>
      <c r="H348" s="11"/>
      <c r="I348" s="11"/>
      <c r="J348" s="11"/>
      <c r="K348" s="11"/>
      <c r="L348" s="11"/>
      <c r="M348" s="11"/>
      <c r="N348" s="46"/>
      <c r="O348" s="11"/>
      <c r="P348" s="11"/>
      <c r="Q348" s="46"/>
      <c r="R348" s="11"/>
      <c r="S348" s="11"/>
      <c r="T348" s="11"/>
      <c r="U348" s="11"/>
      <c r="V348" s="11"/>
      <c r="W348" s="11"/>
      <c r="X348" s="11"/>
      <c r="Y348" s="11"/>
      <c r="Z348" s="11"/>
      <c r="AA348" s="11"/>
      <c r="AB348" s="11"/>
      <c r="AC348" s="11"/>
      <c r="AD348" s="11"/>
    </row>
    <row r="349">
      <c r="A349" s="47"/>
      <c r="B349" s="46"/>
      <c r="C349" s="46"/>
      <c r="D349" s="11"/>
      <c r="E349" s="11"/>
      <c r="F349" s="11"/>
      <c r="G349" s="11"/>
      <c r="H349" s="11"/>
      <c r="I349" s="11"/>
      <c r="J349" s="11"/>
      <c r="K349" s="11"/>
      <c r="L349" s="11"/>
      <c r="M349" s="11"/>
      <c r="N349" s="46"/>
      <c r="O349" s="11"/>
      <c r="P349" s="11"/>
      <c r="Q349" s="46"/>
      <c r="R349" s="11"/>
      <c r="S349" s="11"/>
      <c r="T349" s="11"/>
      <c r="U349" s="11"/>
      <c r="V349" s="11"/>
      <c r="W349" s="11"/>
      <c r="X349" s="11"/>
      <c r="Y349" s="11"/>
      <c r="Z349" s="11"/>
      <c r="AA349" s="11"/>
      <c r="AB349" s="11"/>
      <c r="AC349" s="11"/>
      <c r="AD349" s="11"/>
    </row>
    <row r="350">
      <c r="A350" s="47"/>
      <c r="B350" s="46"/>
      <c r="C350" s="46"/>
      <c r="D350" s="11"/>
      <c r="E350" s="11"/>
      <c r="F350" s="11"/>
      <c r="G350" s="11"/>
      <c r="H350" s="11"/>
      <c r="I350" s="11"/>
      <c r="J350" s="11"/>
      <c r="K350" s="11"/>
      <c r="L350" s="11"/>
      <c r="M350" s="11"/>
      <c r="N350" s="46"/>
      <c r="O350" s="11"/>
      <c r="P350" s="11"/>
      <c r="Q350" s="46"/>
      <c r="R350" s="11"/>
      <c r="S350" s="11"/>
      <c r="T350" s="11"/>
      <c r="U350" s="11"/>
      <c r="V350" s="11"/>
      <c r="W350" s="11"/>
      <c r="X350" s="11"/>
      <c r="Y350" s="11"/>
      <c r="Z350" s="11"/>
      <c r="AA350" s="11"/>
      <c r="AB350" s="11"/>
      <c r="AC350" s="11"/>
      <c r="AD350" s="11"/>
    </row>
    <row r="351">
      <c r="A351" s="47"/>
      <c r="B351" s="46"/>
      <c r="C351" s="46"/>
      <c r="D351" s="11"/>
      <c r="E351" s="11"/>
      <c r="F351" s="11"/>
      <c r="G351" s="11"/>
      <c r="H351" s="11"/>
      <c r="I351" s="11"/>
      <c r="J351" s="11"/>
      <c r="K351" s="11"/>
      <c r="L351" s="11"/>
      <c r="M351" s="11"/>
      <c r="N351" s="46"/>
      <c r="O351" s="11"/>
      <c r="P351" s="11"/>
      <c r="Q351" s="46"/>
      <c r="R351" s="11"/>
      <c r="S351" s="11"/>
      <c r="T351" s="11"/>
      <c r="U351" s="11"/>
      <c r="V351" s="11"/>
      <c r="W351" s="11"/>
      <c r="X351" s="11"/>
      <c r="Y351" s="11"/>
      <c r="Z351" s="11"/>
      <c r="AA351" s="11"/>
      <c r="AB351" s="11"/>
      <c r="AC351" s="11"/>
      <c r="AD351" s="11"/>
    </row>
    <row r="352">
      <c r="A352" s="47"/>
      <c r="B352" s="46"/>
      <c r="C352" s="46"/>
      <c r="D352" s="11"/>
      <c r="E352" s="11"/>
      <c r="F352" s="11"/>
      <c r="G352" s="11"/>
      <c r="H352" s="11"/>
      <c r="I352" s="11"/>
      <c r="J352" s="11"/>
      <c r="K352" s="11"/>
      <c r="L352" s="11"/>
      <c r="M352" s="11"/>
      <c r="N352" s="46"/>
      <c r="O352" s="11"/>
      <c r="P352" s="11"/>
      <c r="Q352" s="46"/>
      <c r="R352" s="11"/>
      <c r="S352" s="11"/>
      <c r="T352" s="11"/>
      <c r="U352" s="11"/>
      <c r="V352" s="11"/>
      <c r="W352" s="11"/>
      <c r="X352" s="11"/>
      <c r="Y352" s="11"/>
      <c r="Z352" s="11"/>
      <c r="AA352" s="11"/>
      <c r="AB352" s="11"/>
      <c r="AC352" s="11"/>
      <c r="AD352" s="11"/>
    </row>
    <row r="353">
      <c r="A353" s="47"/>
      <c r="B353" s="46"/>
      <c r="C353" s="46"/>
      <c r="D353" s="11"/>
      <c r="E353" s="11"/>
      <c r="F353" s="11"/>
      <c r="G353" s="11"/>
      <c r="H353" s="11"/>
      <c r="I353" s="11"/>
      <c r="J353" s="11"/>
      <c r="K353" s="11"/>
      <c r="L353" s="11"/>
      <c r="M353" s="11"/>
      <c r="N353" s="46"/>
      <c r="O353" s="11"/>
      <c r="P353" s="11"/>
      <c r="Q353" s="46"/>
      <c r="R353" s="11"/>
      <c r="S353" s="11"/>
      <c r="T353" s="11"/>
      <c r="U353" s="11"/>
      <c r="V353" s="11"/>
      <c r="W353" s="11"/>
      <c r="X353" s="11"/>
      <c r="Y353" s="11"/>
      <c r="Z353" s="11"/>
      <c r="AA353" s="11"/>
      <c r="AB353" s="11"/>
      <c r="AC353" s="11"/>
      <c r="AD353" s="11"/>
    </row>
    <row r="354">
      <c r="A354" s="47"/>
      <c r="B354" s="46"/>
      <c r="C354" s="46"/>
      <c r="D354" s="11"/>
      <c r="E354" s="11"/>
      <c r="F354" s="11"/>
      <c r="G354" s="11"/>
      <c r="H354" s="11"/>
      <c r="I354" s="11"/>
      <c r="J354" s="11"/>
      <c r="K354" s="11"/>
      <c r="L354" s="11"/>
      <c r="M354" s="11"/>
      <c r="N354" s="46"/>
      <c r="O354" s="11"/>
      <c r="P354" s="11"/>
      <c r="Q354" s="46"/>
      <c r="R354" s="11"/>
      <c r="S354" s="11"/>
      <c r="T354" s="11"/>
      <c r="U354" s="11"/>
      <c r="V354" s="11"/>
      <c r="W354" s="11"/>
      <c r="X354" s="11"/>
      <c r="Y354" s="11"/>
      <c r="Z354" s="11"/>
      <c r="AA354" s="11"/>
      <c r="AB354" s="11"/>
      <c r="AC354" s="11"/>
      <c r="AD354" s="11"/>
    </row>
    <row r="355">
      <c r="A355" s="47"/>
      <c r="B355" s="46"/>
      <c r="C355" s="46"/>
      <c r="D355" s="11"/>
      <c r="E355" s="11"/>
      <c r="F355" s="11"/>
      <c r="G355" s="11"/>
      <c r="H355" s="11"/>
      <c r="I355" s="11"/>
      <c r="J355" s="11"/>
      <c r="K355" s="11"/>
      <c r="L355" s="11"/>
      <c r="M355" s="11"/>
      <c r="N355" s="46"/>
      <c r="O355" s="11"/>
      <c r="P355" s="11"/>
      <c r="Q355" s="46"/>
      <c r="R355" s="11"/>
      <c r="S355" s="11"/>
      <c r="T355" s="11"/>
      <c r="U355" s="11"/>
      <c r="V355" s="11"/>
      <c r="W355" s="11"/>
      <c r="X355" s="11"/>
      <c r="Y355" s="11"/>
      <c r="Z355" s="11"/>
      <c r="AA355" s="11"/>
      <c r="AB355" s="11"/>
      <c r="AC355" s="11"/>
      <c r="AD355" s="11"/>
    </row>
    <row r="356" ht="15.75" customHeight="1">
      <c r="A356" s="47"/>
      <c r="B356" s="46"/>
      <c r="C356" s="46"/>
      <c r="D356" s="11"/>
      <c r="E356" s="11"/>
      <c r="F356" s="11"/>
      <c r="G356" s="11"/>
      <c r="H356" s="11"/>
      <c r="I356" s="11"/>
      <c r="J356" s="11"/>
      <c r="K356" s="11"/>
      <c r="L356" s="11"/>
      <c r="M356" s="11"/>
      <c r="N356" s="46"/>
      <c r="O356" s="11"/>
      <c r="P356" s="11"/>
      <c r="Q356" s="46"/>
      <c r="R356" s="11"/>
      <c r="S356" s="11"/>
      <c r="T356" s="11"/>
      <c r="U356" s="11"/>
      <c r="V356" s="11"/>
      <c r="W356" s="11"/>
      <c r="X356" s="11"/>
      <c r="Y356" s="11"/>
      <c r="Z356" s="11"/>
      <c r="AA356" s="11"/>
      <c r="AB356" s="11"/>
      <c r="AC356" s="11"/>
      <c r="AD356" s="11"/>
    </row>
    <row r="357" ht="15.75" customHeight="1">
      <c r="A357" s="47"/>
      <c r="B357" s="46"/>
      <c r="C357" s="46"/>
      <c r="D357" s="11"/>
      <c r="E357" s="11"/>
      <c r="F357" s="11"/>
      <c r="G357" s="11"/>
      <c r="H357" s="11"/>
      <c r="I357" s="11"/>
      <c r="J357" s="11"/>
      <c r="K357" s="11"/>
      <c r="L357" s="11"/>
      <c r="M357" s="11"/>
      <c r="N357" s="46"/>
      <c r="O357" s="11"/>
      <c r="P357" s="11"/>
      <c r="Q357" s="46"/>
      <c r="R357" s="11"/>
      <c r="S357" s="11"/>
      <c r="T357" s="11"/>
      <c r="U357" s="11"/>
      <c r="V357" s="11"/>
      <c r="W357" s="11"/>
      <c r="X357" s="11"/>
      <c r="Y357" s="11"/>
      <c r="Z357" s="11"/>
      <c r="AA357" s="11"/>
      <c r="AB357" s="11"/>
      <c r="AC357" s="11"/>
      <c r="AD357" s="11"/>
    </row>
    <row r="358" ht="15.75" customHeight="1">
      <c r="A358" s="47"/>
      <c r="B358" s="46"/>
      <c r="C358" s="46"/>
      <c r="D358" s="11"/>
      <c r="E358" s="11"/>
      <c r="F358" s="11"/>
      <c r="G358" s="11"/>
      <c r="H358" s="11"/>
      <c r="I358" s="11"/>
      <c r="J358" s="11"/>
      <c r="K358" s="11"/>
      <c r="L358" s="11"/>
      <c r="M358" s="11"/>
      <c r="N358" s="46"/>
      <c r="O358" s="11"/>
      <c r="P358" s="11"/>
      <c r="Q358" s="46"/>
      <c r="R358" s="11"/>
      <c r="S358" s="11"/>
      <c r="T358" s="11"/>
      <c r="U358" s="11"/>
      <c r="V358" s="11"/>
      <c r="W358" s="11"/>
      <c r="X358" s="11"/>
      <c r="Y358" s="11"/>
      <c r="Z358" s="11"/>
      <c r="AA358" s="11"/>
      <c r="AB358" s="11"/>
      <c r="AC358" s="11"/>
      <c r="AD358" s="11"/>
    </row>
    <row r="359" ht="15.75" customHeight="1">
      <c r="A359" s="47"/>
      <c r="B359" s="46"/>
      <c r="C359" s="46"/>
      <c r="D359" s="11"/>
      <c r="E359" s="11"/>
      <c r="F359" s="11"/>
      <c r="G359" s="11"/>
      <c r="H359" s="11"/>
      <c r="I359" s="11"/>
      <c r="J359" s="11"/>
      <c r="K359" s="11"/>
      <c r="L359" s="11"/>
      <c r="M359" s="11"/>
      <c r="N359" s="46"/>
      <c r="O359" s="11"/>
      <c r="P359" s="11"/>
      <c r="Q359" s="46"/>
      <c r="R359" s="11"/>
      <c r="S359" s="11"/>
      <c r="T359" s="11"/>
      <c r="U359" s="11"/>
      <c r="V359" s="11"/>
      <c r="W359" s="11"/>
      <c r="X359" s="11"/>
      <c r="Y359" s="11"/>
      <c r="Z359" s="11"/>
      <c r="AA359" s="11"/>
      <c r="AB359" s="11"/>
      <c r="AC359" s="11"/>
      <c r="AD359" s="11"/>
    </row>
    <row r="360" ht="15.75" customHeight="1">
      <c r="A360" s="47"/>
      <c r="B360" s="46"/>
      <c r="C360" s="46"/>
      <c r="D360" s="11"/>
      <c r="E360" s="11"/>
      <c r="F360" s="11"/>
      <c r="G360" s="11"/>
      <c r="H360" s="11"/>
      <c r="I360" s="11"/>
      <c r="J360" s="11"/>
      <c r="K360" s="11"/>
      <c r="L360" s="11"/>
      <c r="M360" s="11"/>
      <c r="N360" s="46"/>
      <c r="O360" s="11"/>
      <c r="P360" s="11"/>
      <c r="Q360" s="46"/>
      <c r="R360" s="11"/>
      <c r="S360" s="11"/>
      <c r="T360" s="11"/>
      <c r="U360" s="11"/>
      <c r="V360" s="11"/>
      <c r="W360" s="11"/>
      <c r="X360" s="11"/>
      <c r="Y360" s="11"/>
      <c r="Z360" s="11"/>
      <c r="AA360" s="11"/>
      <c r="AB360" s="11"/>
      <c r="AC360" s="11"/>
      <c r="AD360" s="11"/>
    </row>
    <row r="361" ht="15.75" customHeight="1">
      <c r="A361" s="47"/>
      <c r="B361" s="46"/>
      <c r="C361" s="46"/>
      <c r="D361" s="11"/>
      <c r="E361" s="11"/>
      <c r="F361" s="11"/>
      <c r="G361" s="11"/>
      <c r="H361" s="11"/>
      <c r="I361" s="11"/>
      <c r="J361" s="11"/>
      <c r="K361" s="11"/>
      <c r="L361" s="11"/>
      <c r="M361" s="11"/>
      <c r="N361" s="46"/>
      <c r="O361" s="11"/>
      <c r="P361" s="11"/>
      <c r="Q361" s="46"/>
      <c r="R361" s="11"/>
      <c r="S361" s="11"/>
      <c r="T361" s="11"/>
      <c r="U361" s="11"/>
      <c r="V361" s="11"/>
      <c r="W361" s="11"/>
      <c r="X361" s="11"/>
      <c r="Y361" s="11"/>
      <c r="Z361" s="11"/>
      <c r="AA361" s="11"/>
      <c r="AB361" s="11"/>
      <c r="AC361" s="11"/>
      <c r="AD361" s="11"/>
    </row>
    <row r="362" ht="15.75" customHeight="1">
      <c r="A362" s="47"/>
      <c r="B362" s="46"/>
      <c r="C362" s="46"/>
      <c r="D362" s="11"/>
      <c r="E362" s="11"/>
      <c r="F362" s="11"/>
      <c r="G362" s="11"/>
      <c r="H362" s="11"/>
      <c r="I362" s="11"/>
      <c r="J362" s="11"/>
      <c r="K362" s="11"/>
      <c r="L362" s="11"/>
      <c r="M362" s="11"/>
      <c r="N362" s="46"/>
      <c r="O362" s="11"/>
      <c r="P362" s="11"/>
      <c r="Q362" s="46"/>
      <c r="R362" s="11"/>
      <c r="S362" s="11"/>
      <c r="T362" s="11"/>
      <c r="U362" s="11"/>
      <c r="V362" s="11"/>
      <c r="W362" s="11"/>
      <c r="X362" s="11"/>
      <c r="Y362" s="11"/>
      <c r="Z362" s="11"/>
      <c r="AA362" s="11"/>
      <c r="AB362" s="11"/>
      <c r="AC362" s="11"/>
      <c r="AD362" s="11"/>
    </row>
    <row r="363" ht="15.75" customHeight="1">
      <c r="A363" s="47"/>
      <c r="B363" s="46"/>
      <c r="C363" s="46"/>
      <c r="D363" s="11"/>
      <c r="E363" s="11"/>
      <c r="F363" s="11"/>
      <c r="G363" s="11"/>
      <c r="H363" s="11"/>
      <c r="I363" s="11"/>
      <c r="J363" s="11"/>
      <c r="K363" s="11"/>
      <c r="L363" s="11"/>
      <c r="M363" s="11"/>
      <c r="N363" s="46"/>
      <c r="O363" s="11"/>
      <c r="P363" s="11"/>
      <c r="Q363" s="46"/>
      <c r="R363" s="11"/>
      <c r="S363" s="11"/>
      <c r="T363" s="11"/>
      <c r="U363" s="11"/>
      <c r="V363" s="11"/>
      <c r="W363" s="11"/>
      <c r="X363" s="11"/>
      <c r="Y363" s="11"/>
      <c r="Z363" s="11"/>
      <c r="AA363" s="11"/>
      <c r="AB363" s="11"/>
      <c r="AC363" s="11"/>
      <c r="AD363" s="11"/>
    </row>
    <row r="364" ht="15.75" customHeight="1">
      <c r="A364" s="47"/>
      <c r="B364" s="46"/>
      <c r="C364" s="46"/>
      <c r="D364" s="11"/>
      <c r="E364" s="11"/>
      <c r="F364" s="11"/>
      <c r="G364" s="11"/>
      <c r="H364" s="11"/>
      <c r="I364" s="11"/>
      <c r="J364" s="11"/>
      <c r="K364" s="11"/>
      <c r="L364" s="11"/>
      <c r="M364" s="11"/>
      <c r="N364" s="46"/>
      <c r="O364" s="11"/>
      <c r="P364" s="11"/>
      <c r="Q364" s="46"/>
      <c r="R364" s="11"/>
      <c r="S364" s="11"/>
      <c r="T364" s="11"/>
      <c r="U364" s="11"/>
      <c r="V364" s="11"/>
      <c r="W364" s="11"/>
      <c r="X364" s="11"/>
      <c r="Y364" s="11"/>
      <c r="Z364" s="11"/>
      <c r="AA364" s="11"/>
      <c r="AB364" s="11"/>
      <c r="AC364" s="11"/>
      <c r="AD364" s="11"/>
    </row>
    <row r="365" ht="15.75" customHeight="1">
      <c r="A365" s="47"/>
      <c r="B365" s="46"/>
      <c r="C365" s="46"/>
      <c r="D365" s="11"/>
      <c r="E365" s="11"/>
      <c r="F365" s="11"/>
      <c r="G365" s="11"/>
      <c r="H365" s="11"/>
      <c r="I365" s="11"/>
      <c r="J365" s="11"/>
      <c r="K365" s="11"/>
      <c r="L365" s="11"/>
      <c r="M365" s="11"/>
      <c r="N365" s="46"/>
      <c r="O365" s="11"/>
      <c r="P365" s="11"/>
      <c r="Q365" s="46"/>
      <c r="R365" s="11"/>
      <c r="S365" s="11"/>
      <c r="T365" s="11"/>
      <c r="U365" s="11"/>
      <c r="V365" s="11"/>
      <c r="W365" s="11"/>
      <c r="X365" s="11"/>
      <c r="Y365" s="11"/>
      <c r="Z365" s="11"/>
      <c r="AA365" s="11"/>
      <c r="AB365" s="11"/>
      <c r="AC365" s="11"/>
      <c r="AD365" s="11"/>
    </row>
    <row r="366" ht="15.75" customHeight="1">
      <c r="A366" s="47"/>
      <c r="B366" s="46"/>
      <c r="C366" s="46"/>
      <c r="D366" s="11"/>
      <c r="E366" s="11"/>
      <c r="F366" s="11"/>
      <c r="G366" s="11"/>
      <c r="H366" s="11"/>
      <c r="I366" s="11"/>
      <c r="J366" s="11"/>
      <c r="K366" s="11"/>
      <c r="L366" s="11"/>
      <c r="M366" s="11"/>
      <c r="N366" s="46"/>
      <c r="O366" s="11"/>
      <c r="P366" s="11"/>
      <c r="Q366" s="46"/>
      <c r="R366" s="11"/>
      <c r="S366" s="11"/>
      <c r="T366" s="11"/>
      <c r="U366" s="11"/>
      <c r="V366" s="11"/>
      <c r="W366" s="11"/>
      <c r="X366" s="11"/>
      <c r="Y366" s="11"/>
      <c r="Z366" s="11"/>
      <c r="AA366" s="11"/>
      <c r="AB366" s="11"/>
      <c r="AC366" s="11"/>
      <c r="AD366" s="11"/>
    </row>
    <row r="367" ht="15.75" customHeight="1">
      <c r="A367" s="47"/>
      <c r="B367" s="46"/>
      <c r="C367" s="46"/>
      <c r="D367" s="11"/>
      <c r="E367" s="11"/>
      <c r="F367" s="11"/>
      <c r="G367" s="11"/>
      <c r="H367" s="11"/>
      <c r="I367" s="11"/>
      <c r="J367" s="11"/>
      <c r="K367" s="11"/>
      <c r="L367" s="11"/>
      <c r="M367" s="11"/>
      <c r="N367" s="46"/>
      <c r="O367" s="11"/>
      <c r="P367" s="11"/>
      <c r="Q367" s="46"/>
      <c r="R367" s="11"/>
      <c r="S367" s="11"/>
      <c r="T367" s="11"/>
      <c r="U367" s="11"/>
      <c r="V367" s="11"/>
      <c r="W367" s="11"/>
      <c r="X367" s="11"/>
      <c r="Y367" s="11"/>
      <c r="Z367" s="11"/>
      <c r="AA367" s="11"/>
      <c r="AB367" s="11"/>
      <c r="AC367" s="11"/>
      <c r="AD367" s="11"/>
    </row>
    <row r="368" ht="15.75" customHeight="1">
      <c r="A368" s="47"/>
      <c r="B368" s="46"/>
      <c r="C368" s="46"/>
      <c r="D368" s="11"/>
      <c r="E368" s="11"/>
      <c r="F368" s="11"/>
      <c r="G368" s="11"/>
      <c r="H368" s="11"/>
      <c r="I368" s="11"/>
      <c r="J368" s="11"/>
      <c r="K368" s="11"/>
      <c r="L368" s="11"/>
      <c r="M368" s="11"/>
      <c r="N368" s="46"/>
      <c r="O368" s="11"/>
      <c r="P368" s="11"/>
      <c r="Q368" s="46"/>
      <c r="R368" s="11"/>
      <c r="S368" s="11"/>
      <c r="T368" s="11"/>
      <c r="U368" s="11"/>
      <c r="V368" s="11"/>
      <c r="W368" s="11"/>
      <c r="X368" s="11"/>
      <c r="Y368" s="11"/>
      <c r="Z368" s="11"/>
      <c r="AA368" s="11"/>
      <c r="AB368" s="11"/>
      <c r="AC368" s="11"/>
      <c r="AD368" s="11"/>
    </row>
    <row r="369" ht="15.75" customHeight="1">
      <c r="A369" s="47"/>
      <c r="B369" s="46"/>
      <c r="C369" s="46"/>
      <c r="D369" s="11"/>
      <c r="E369" s="11"/>
      <c r="F369" s="11"/>
      <c r="G369" s="11"/>
      <c r="H369" s="11"/>
      <c r="I369" s="11"/>
      <c r="J369" s="11"/>
      <c r="K369" s="11"/>
      <c r="L369" s="11"/>
      <c r="M369" s="11"/>
      <c r="N369" s="46"/>
      <c r="O369" s="11"/>
      <c r="P369" s="11"/>
      <c r="Q369" s="46"/>
      <c r="R369" s="11"/>
      <c r="S369" s="11"/>
      <c r="T369" s="11"/>
      <c r="U369" s="11"/>
      <c r="V369" s="11"/>
      <c r="W369" s="11"/>
      <c r="X369" s="11"/>
      <c r="Y369" s="11"/>
      <c r="Z369" s="11"/>
      <c r="AA369" s="11"/>
      <c r="AB369" s="11"/>
      <c r="AC369" s="11"/>
      <c r="AD369" s="11"/>
    </row>
    <row r="370" ht="15.75" customHeight="1">
      <c r="A370" s="47"/>
      <c r="B370" s="46"/>
      <c r="C370" s="46"/>
      <c r="D370" s="11"/>
      <c r="E370" s="11"/>
      <c r="F370" s="11"/>
      <c r="G370" s="11"/>
      <c r="H370" s="11"/>
      <c r="I370" s="11"/>
      <c r="J370" s="11"/>
      <c r="K370" s="11"/>
      <c r="L370" s="11"/>
      <c r="M370" s="11"/>
      <c r="N370" s="46"/>
      <c r="O370" s="11"/>
      <c r="P370" s="11"/>
      <c r="Q370" s="46"/>
      <c r="R370" s="11"/>
      <c r="S370" s="11"/>
      <c r="T370" s="11"/>
      <c r="U370" s="11"/>
      <c r="V370" s="11"/>
      <c r="W370" s="11"/>
      <c r="X370" s="11"/>
      <c r="Y370" s="11"/>
      <c r="Z370" s="11"/>
      <c r="AA370" s="11"/>
      <c r="AB370" s="11"/>
      <c r="AC370" s="11"/>
      <c r="AD370" s="11"/>
    </row>
    <row r="371" ht="15.75" customHeight="1">
      <c r="A371" s="47"/>
      <c r="B371" s="46"/>
      <c r="C371" s="46"/>
      <c r="D371" s="11"/>
      <c r="E371" s="11"/>
      <c r="F371" s="11"/>
      <c r="G371" s="11"/>
      <c r="H371" s="11"/>
      <c r="I371" s="11"/>
      <c r="J371" s="11"/>
      <c r="K371" s="11"/>
      <c r="L371" s="11"/>
      <c r="M371" s="11"/>
      <c r="N371" s="46"/>
      <c r="O371" s="11"/>
      <c r="P371" s="11"/>
      <c r="Q371" s="46"/>
      <c r="R371" s="11"/>
      <c r="S371" s="11"/>
      <c r="T371" s="11"/>
      <c r="U371" s="11"/>
      <c r="V371" s="11"/>
      <c r="W371" s="11"/>
      <c r="X371" s="11"/>
      <c r="Y371" s="11"/>
      <c r="Z371" s="11"/>
      <c r="AA371" s="11"/>
      <c r="AB371" s="11"/>
      <c r="AC371" s="11"/>
      <c r="AD371" s="11"/>
    </row>
    <row r="372" ht="15.75" customHeight="1">
      <c r="A372" s="47"/>
      <c r="B372" s="46"/>
      <c r="C372" s="46"/>
      <c r="D372" s="11"/>
      <c r="E372" s="11"/>
      <c r="F372" s="11"/>
      <c r="G372" s="11"/>
      <c r="H372" s="11"/>
      <c r="I372" s="11"/>
      <c r="J372" s="11"/>
      <c r="K372" s="11"/>
      <c r="L372" s="11"/>
      <c r="M372" s="11"/>
      <c r="N372" s="46"/>
      <c r="O372" s="11"/>
      <c r="P372" s="11"/>
      <c r="Q372" s="46"/>
      <c r="R372" s="11"/>
      <c r="S372" s="11"/>
      <c r="T372" s="11"/>
      <c r="U372" s="11"/>
      <c r="V372" s="11"/>
      <c r="W372" s="11"/>
      <c r="X372" s="11"/>
      <c r="Y372" s="11"/>
      <c r="Z372" s="11"/>
      <c r="AA372" s="11"/>
      <c r="AB372" s="11"/>
      <c r="AC372" s="11"/>
      <c r="AD372" s="11"/>
    </row>
    <row r="373" ht="15.75" customHeight="1">
      <c r="A373" s="47"/>
      <c r="B373" s="46"/>
      <c r="C373" s="46"/>
      <c r="D373" s="11"/>
      <c r="E373" s="11"/>
      <c r="F373" s="11"/>
      <c r="G373" s="11"/>
      <c r="H373" s="11"/>
      <c r="I373" s="11"/>
      <c r="J373" s="11"/>
      <c r="K373" s="11"/>
      <c r="L373" s="11"/>
      <c r="M373" s="11"/>
      <c r="N373" s="46"/>
      <c r="O373" s="11"/>
      <c r="P373" s="11"/>
      <c r="Q373" s="46"/>
      <c r="R373" s="11"/>
      <c r="S373" s="11"/>
      <c r="T373" s="11"/>
      <c r="U373" s="11"/>
      <c r="V373" s="11"/>
      <c r="W373" s="11"/>
      <c r="X373" s="11"/>
      <c r="Y373" s="11"/>
      <c r="Z373" s="11"/>
      <c r="AA373" s="11"/>
      <c r="AB373" s="11"/>
      <c r="AC373" s="11"/>
      <c r="AD373" s="11"/>
    </row>
    <row r="374" ht="15.75" customHeight="1">
      <c r="A374" s="47"/>
      <c r="B374" s="46"/>
      <c r="C374" s="46"/>
      <c r="D374" s="11"/>
      <c r="E374" s="11"/>
      <c r="F374" s="11"/>
      <c r="G374" s="11"/>
      <c r="H374" s="11"/>
      <c r="I374" s="11"/>
      <c r="J374" s="11"/>
      <c r="K374" s="11"/>
      <c r="L374" s="11"/>
      <c r="M374" s="11"/>
      <c r="N374" s="46"/>
      <c r="O374" s="11"/>
      <c r="P374" s="11"/>
      <c r="Q374" s="46"/>
      <c r="R374" s="11"/>
      <c r="S374" s="11"/>
      <c r="T374" s="11"/>
      <c r="U374" s="11"/>
      <c r="V374" s="11"/>
      <c r="W374" s="11"/>
      <c r="X374" s="11"/>
      <c r="Y374" s="11"/>
      <c r="Z374" s="11"/>
      <c r="AA374" s="11"/>
      <c r="AB374" s="11"/>
      <c r="AC374" s="11"/>
      <c r="AD374" s="11"/>
    </row>
    <row r="375" ht="15.75" customHeight="1">
      <c r="A375" s="47"/>
      <c r="B375" s="46"/>
      <c r="C375" s="46"/>
      <c r="D375" s="11"/>
      <c r="E375" s="11"/>
      <c r="F375" s="11"/>
      <c r="G375" s="11"/>
      <c r="H375" s="11"/>
      <c r="I375" s="11"/>
      <c r="J375" s="11"/>
      <c r="K375" s="11"/>
      <c r="L375" s="11"/>
      <c r="M375" s="11"/>
      <c r="N375" s="46"/>
      <c r="O375" s="11"/>
      <c r="P375" s="11"/>
      <c r="Q375" s="46"/>
      <c r="R375" s="11"/>
      <c r="S375" s="11"/>
      <c r="T375" s="11"/>
      <c r="U375" s="11"/>
      <c r="V375" s="11"/>
      <c r="W375" s="11"/>
      <c r="X375" s="11"/>
      <c r="Y375" s="11"/>
      <c r="Z375" s="11"/>
      <c r="AA375" s="11"/>
      <c r="AB375" s="11"/>
      <c r="AC375" s="11"/>
      <c r="AD375" s="11"/>
    </row>
    <row r="376" ht="15.75" customHeight="1">
      <c r="A376" s="47"/>
      <c r="B376" s="46"/>
      <c r="C376" s="46"/>
      <c r="D376" s="11"/>
      <c r="E376" s="11"/>
      <c r="F376" s="11"/>
      <c r="G376" s="11"/>
      <c r="H376" s="11"/>
      <c r="I376" s="11"/>
      <c r="J376" s="11"/>
      <c r="K376" s="11"/>
      <c r="L376" s="11"/>
      <c r="M376" s="11"/>
      <c r="N376" s="46"/>
      <c r="O376" s="11"/>
      <c r="P376" s="11"/>
      <c r="Q376" s="46"/>
      <c r="R376" s="11"/>
      <c r="S376" s="11"/>
      <c r="T376" s="11"/>
      <c r="U376" s="11"/>
      <c r="V376" s="11"/>
      <c r="W376" s="11"/>
      <c r="X376" s="11"/>
      <c r="Y376" s="11"/>
      <c r="Z376" s="11"/>
      <c r="AA376" s="11"/>
      <c r="AB376" s="11"/>
      <c r="AC376" s="11"/>
      <c r="AD376" s="11"/>
    </row>
    <row r="377" ht="15.75" customHeight="1">
      <c r="A377" s="47"/>
      <c r="B377" s="46"/>
      <c r="C377" s="46"/>
      <c r="D377" s="11"/>
      <c r="E377" s="11"/>
      <c r="F377" s="11"/>
      <c r="G377" s="11"/>
      <c r="H377" s="11"/>
      <c r="I377" s="11"/>
      <c r="J377" s="11"/>
      <c r="K377" s="11"/>
      <c r="L377" s="11"/>
      <c r="M377" s="11"/>
      <c r="N377" s="46"/>
      <c r="O377" s="11"/>
      <c r="P377" s="11"/>
      <c r="Q377" s="46"/>
      <c r="R377" s="11"/>
      <c r="S377" s="11"/>
      <c r="T377" s="11"/>
      <c r="U377" s="11"/>
      <c r="V377" s="11"/>
      <c r="W377" s="11"/>
      <c r="X377" s="11"/>
      <c r="Y377" s="11"/>
      <c r="Z377" s="11"/>
      <c r="AA377" s="11"/>
      <c r="AB377" s="11"/>
      <c r="AC377" s="11"/>
      <c r="AD377" s="11"/>
    </row>
    <row r="378" ht="15.75" customHeight="1">
      <c r="A378" s="47"/>
      <c r="B378" s="46"/>
      <c r="C378" s="46"/>
      <c r="D378" s="11"/>
      <c r="E378" s="11"/>
      <c r="F378" s="11"/>
      <c r="G378" s="11"/>
      <c r="H378" s="11"/>
      <c r="I378" s="11"/>
      <c r="J378" s="11"/>
      <c r="K378" s="11"/>
      <c r="L378" s="11"/>
      <c r="M378" s="11"/>
      <c r="N378" s="46"/>
      <c r="O378" s="11"/>
      <c r="P378" s="11"/>
      <c r="Q378" s="46"/>
      <c r="R378" s="11"/>
      <c r="S378" s="11"/>
      <c r="T378" s="11"/>
      <c r="U378" s="11"/>
      <c r="V378" s="11"/>
      <c r="W378" s="11"/>
      <c r="X378" s="11"/>
      <c r="Y378" s="11"/>
      <c r="Z378" s="11"/>
      <c r="AA378" s="11"/>
      <c r="AB378" s="11"/>
      <c r="AC378" s="11"/>
      <c r="AD378" s="11"/>
    </row>
    <row r="379" ht="15.75" customHeight="1">
      <c r="A379" s="47"/>
      <c r="B379" s="46"/>
      <c r="C379" s="46"/>
      <c r="D379" s="11"/>
      <c r="E379" s="11"/>
      <c r="F379" s="11"/>
      <c r="G379" s="11"/>
      <c r="H379" s="11"/>
      <c r="I379" s="11"/>
      <c r="J379" s="11"/>
      <c r="K379" s="11"/>
      <c r="L379" s="11"/>
      <c r="M379" s="11"/>
      <c r="N379" s="46"/>
      <c r="O379" s="11"/>
      <c r="P379" s="11"/>
      <c r="Q379" s="46"/>
      <c r="R379" s="11"/>
      <c r="S379" s="11"/>
      <c r="T379" s="11"/>
      <c r="U379" s="11"/>
      <c r="V379" s="11"/>
      <c r="W379" s="11"/>
      <c r="X379" s="11"/>
      <c r="Y379" s="11"/>
      <c r="Z379" s="11"/>
      <c r="AA379" s="11"/>
      <c r="AB379" s="11"/>
      <c r="AC379" s="11"/>
      <c r="AD379" s="11"/>
    </row>
    <row r="380" ht="15.75" customHeight="1">
      <c r="A380" s="47"/>
      <c r="B380" s="46"/>
      <c r="C380" s="46"/>
      <c r="D380" s="11"/>
      <c r="E380" s="11"/>
      <c r="F380" s="11"/>
      <c r="G380" s="11"/>
      <c r="H380" s="11"/>
      <c r="I380" s="11"/>
      <c r="J380" s="11"/>
      <c r="K380" s="11"/>
      <c r="L380" s="11"/>
      <c r="M380" s="11"/>
      <c r="N380" s="46"/>
      <c r="O380" s="11"/>
      <c r="P380" s="11"/>
      <c r="Q380" s="46"/>
      <c r="R380" s="11"/>
      <c r="S380" s="11"/>
      <c r="T380" s="11"/>
      <c r="U380" s="11"/>
      <c r="V380" s="11"/>
      <c r="W380" s="11"/>
      <c r="X380" s="11"/>
      <c r="Y380" s="11"/>
      <c r="Z380" s="11"/>
      <c r="AA380" s="11"/>
      <c r="AB380" s="11"/>
      <c r="AC380" s="11"/>
      <c r="AD380" s="11"/>
    </row>
    <row r="381" ht="15.75" customHeight="1">
      <c r="A381" s="47"/>
      <c r="B381" s="46"/>
      <c r="C381" s="46"/>
      <c r="D381" s="11"/>
      <c r="E381" s="11"/>
      <c r="F381" s="11"/>
      <c r="G381" s="11"/>
      <c r="H381" s="11"/>
      <c r="I381" s="11"/>
      <c r="J381" s="11"/>
      <c r="K381" s="11"/>
      <c r="L381" s="11"/>
      <c r="M381" s="11"/>
      <c r="N381" s="46"/>
      <c r="O381" s="11"/>
      <c r="P381" s="11"/>
      <c r="Q381" s="46"/>
      <c r="R381" s="11"/>
      <c r="S381" s="11"/>
      <c r="T381" s="11"/>
      <c r="U381" s="11"/>
      <c r="V381" s="11"/>
      <c r="W381" s="11"/>
      <c r="X381" s="11"/>
      <c r="Y381" s="11"/>
      <c r="Z381" s="11"/>
      <c r="AA381" s="11"/>
      <c r="AB381" s="11"/>
      <c r="AC381" s="11"/>
      <c r="AD381" s="11"/>
    </row>
    <row r="382" ht="15.75" customHeight="1">
      <c r="A382" s="47"/>
      <c r="B382" s="46"/>
      <c r="C382" s="46"/>
      <c r="D382" s="11"/>
      <c r="E382" s="11"/>
      <c r="F382" s="11"/>
      <c r="G382" s="11"/>
      <c r="H382" s="11"/>
      <c r="I382" s="11"/>
      <c r="J382" s="11"/>
      <c r="K382" s="11"/>
      <c r="L382" s="11"/>
      <c r="M382" s="11"/>
      <c r="N382" s="46"/>
      <c r="O382" s="11"/>
      <c r="P382" s="11"/>
      <c r="Q382" s="46"/>
      <c r="R382" s="11"/>
      <c r="S382" s="11"/>
      <c r="T382" s="11"/>
      <c r="U382" s="11"/>
      <c r="V382" s="11"/>
      <c r="W382" s="11"/>
      <c r="X382" s="11"/>
      <c r="Y382" s="11"/>
      <c r="Z382" s="11"/>
      <c r="AA382" s="11"/>
      <c r="AB382" s="11"/>
      <c r="AC382" s="11"/>
      <c r="AD382" s="11"/>
    </row>
    <row r="383" ht="15.75" customHeight="1">
      <c r="A383" s="47"/>
      <c r="B383" s="46"/>
      <c r="C383" s="46"/>
      <c r="D383" s="11"/>
      <c r="E383" s="11"/>
      <c r="F383" s="11"/>
      <c r="G383" s="11"/>
      <c r="H383" s="11"/>
      <c r="I383" s="11"/>
      <c r="J383" s="11"/>
      <c r="K383" s="11"/>
      <c r="L383" s="11"/>
      <c r="M383" s="11"/>
      <c r="N383" s="46"/>
      <c r="O383" s="11"/>
      <c r="P383" s="11"/>
      <c r="Q383" s="46"/>
      <c r="R383" s="11"/>
      <c r="S383" s="11"/>
      <c r="T383" s="11"/>
      <c r="U383" s="11"/>
      <c r="V383" s="11"/>
      <c r="W383" s="11"/>
      <c r="X383" s="11"/>
      <c r="Y383" s="11"/>
      <c r="Z383" s="11"/>
      <c r="AA383" s="11"/>
      <c r="AB383" s="11"/>
      <c r="AC383" s="11"/>
      <c r="AD383" s="11"/>
    </row>
    <row r="384" ht="15.75" customHeight="1">
      <c r="A384" s="47"/>
      <c r="B384" s="46"/>
      <c r="C384" s="46"/>
      <c r="D384" s="11"/>
      <c r="E384" s="11"/>
      <c r="F384" s="11"/>
      <c r="G384" s="11"/>
      <c r="H384" s="11"/>
      <c r="I384" s="11"/>
      <c r="J384" s="11"/>
      <c r="K384" s="11"/>
      <c r="L384" s="11"/>
      <c r="M384" s="11"/>
      <c r="N384" s="46"/>
      <c r="O384" s="11"/>
      <c r="P384" s="11"/>
      <c r="Q384" s="46"/>
      <c r="R384" s="11"/>
      <c r="S384" s="11"/>
      <c r="T384" s="11"/>
      <c r="U384" s="11"/>
      <c r="V384" s="11"/>
      <c r="W384" s="11"/>
      <c r="X384" s="11"/>
      <c r="Y384" s="11"/>
      <c r="Z384" s="11"/>
      <c r="AA384" s="11"/>
      <c r="AB384" s="11"/>
      <c r="AC384" s="11"/>
      <c r="AD384" s="11"/>
    </row>
    <row r="385" ht="15.75" customHeight="1">
      <c r="A385" s="47"/>
      <c r="B385" s="46"/>
      <c r="C385" s="46"/>
      <c r="D385" s="11"/>
      <c r="E385" s="11"/>
      <c r="F385" s="11"/>
      <c r="G385" s="11"/>
      <c r="H385" s="11"/>
      <c r="I385" s="11"/>
      <c r="J385" s="11"/>
      <c r="K385" s="11"/>
      <c r="L385" s="11"/>
      <c r="M385" s="11"/>
      <c r="N385" s="46"/>
      <c r="O385" s="11"/>
      <c r="P385" s="11"/>
      <c r="Q385" s="46"/>
      <c r="R385" s="11"/>
      <c r="S385" s="11"/>
      <c r="T385" s="11"/>
      <c r="U385" s="11"/>
      <c r="V385" s="11"/>
      <c r="W385" s="11"/>
      <c r="X385" s="11"/>
      <c r="Y385" s="11"/>
      <c r="Z385" s="11"/>
      <c r="AA385" s="11"/>
      <c r="AB385" s="11"/>
      <c r="AC385" s="11"/>
      <c r="AD385" s="11"/>
    </row>
    <row r="386" ht="15.75" customHeight="1">
      <c r="A386" s="47"/>
      <c r="B386" s="46"/>
      <c r="C386" s="46"/>
      <c r="D386" s="11"/>
      <c r="E386" s="11"/>
      <c r="F386" s="11"/>
      <c r="G386" s="11"/>
      <c r="H386" s="11"/>
      <c r="I386" s="11"/>
      <c r="J386" s="11"/>
      <c r="K386" s="11"/>
      <c r="L386" s="11"/>
      <c r="M386" s="11"/>
      <c r="N386" s="46"/>
      <c r="O386" s="11"/>
      <c r="P386" s="11"/>
      <c r="Q386" s="46"/>
      <c r="R386" s="11"/>
      <c r="S386" s="11"/>
      <c r="T386" s="11"/>
      <c r="U386" s="11"/>
      <c r="V386" s="11"/>
      <c r="W386" s="11"/>
      <c r="X386" s="11"/>
      <c r="Y386" s="11"/>
      <c r="Z386" s="11"/>
      <c r="AA386" s="11"/>
      <c r="AB386" s="11"/>
      <c r="AC386" s="11"/>
      <c r="AD386" s="11"/>
    </row>
    <row r="387" ht="15.75" customHeight="1">
      <c r="A387" s="47"/>
      <c r="B387" s="46"/>
      <c r="C387" s="46"/>
      <c r="D387" s="11"/>
      <c r="E387" s="11"/>
      <c r="F387" s="11"/>
      <c r="G387" s="11"/>
      <c r="H387" s="11"/>
      <c r="I387" s="11"/>
      <c r="J387" s="11"/>
      <c r="K387" s="11"/>
      <c r="L387" s="11"/>
      <c r="M387" s="11"/>
      <c r="N387" s="46"/>
      <c r="O387" s="11"/>
      <c r="P387" s="11"/>
      <c r="Q387" s="46"/>
      <c r="R387" s="11"/>
      <c r="S387" s="11"/>
      <c r="T387" s="11"/>
      <c r="U387" s="11"/>
      <c r="V387" s="11"/>
      <c r="W387" s="11"/>
      <c r="X387" s="11"/>
      <c r="Y387" s="11"/>
      <c r="Z387" s="11"/>
      <c r="AA387" s="11"/>
      <c r="AB387" s="11"/>
      <c r="AC387" s="11"/>
      <c r="AD387" s="11"/>
    </row>
    <row r="388" ht="15.75" customHeight="1">
      <c r="A388" s="47"/>
      <c r="B388" s="46"/>
      <c r="C388" s="46"/>
      <c r="D388" s="11"/>
      <c r="E388" s="11"/>
      <c r="F388" s="11"/>
      <c r="G388" s="11"/>
      <c r="H388" s="11"/>
      <c r="I388" s="11"/>
      <c r="J388" s="11"/>
      <c r="K388" s="11"/>
      <c r="L388" s="11"/>
      <c r="M388" s="11"/>
      <c r="N388" s="46"/>
      <c r="O388" s="11"/>
      <c r="P388" s="11"/>
      <c r="Q388" s="46"/>
      <c r="R388" s="11"/>
      <c r="S388" s="11"/>
      <c r="T388" s="11"/>
      <c r="U388" s="11"/>
      <c r="V388" s="11"/>
      <c r="W388" s="11"/>
      <c r="X388" s="11"/>
      <c r="Y388" s="11"/>
      <c r="Z388" s="11"/>
      <c r="AA388" s="11"/>
      <c r="AB388" s="11"/>
      <c r="AC388" s="11"/>
      <c r="AD388" s="11"/>
    </row>
    <row r="389" ht="15.75" customHeight="1">
      <c r="A389" s="47"/>
      <c r="B389" s="46"/>
      <c r="C389" s="46"/>
      <c r="D389" s="11"/>
      <c r="E389" s="11"/>
      <c r="F389" s="11"/>
      <c r="G389" s="11"/>
      <c r="H389" s="11"/>
      <c r="I389" s="11"/>
      <c r="J389" s="11"/>
      <c r="K389" s="11"/>
      <c r="L389" s="11"/>
      <c r="M389" s="11"/>
      <c r="N389" s="46"/>
      <c r="O389" s="11"/>
      <c r="P389" s="11"/>
      <c r="Q389" s="46"/>
      <c r="R389" s="11"/>
      <c r="S389" s="11"/>
      <c r="T389" s="11"/>
      <c r="U389" s="11"/>
      <c r="V389" s="11"/>
      <c r="W389" s="11"/>
      <c r="X389" s="11"/>
      <c r="Y389" s="11"/>
      <c r="Z389" s="11"/>
      <c r="AA389" s="11"/>
      <c r="AB389" s="11"/>
      <c r="AC389" s="11"/>
      <c r="AD389" s="11"/>
    </row>
    <row r="390" ht="15.75" customHeight="1">
      <c r="A390" s="47"/>
      <c r="B390" s="46"/>
      <c r="C390" s="46"/>
      <c r="D390" s="11"/>
      <c r="E390" s="11"/>
      <c r="F390" s="11"/>
      <c r="G390" s="11"/>
      <c r="H390" s="11"/>
      <c r="I390" s="11"/>
      <c r="J390" s="11"/>
      <c r="K390" s="11"/>
      <c r="L390" s="11"/>
      <c r="M390" s="11"/>
      <c r="N390" s="46"/>
      <c r="O390" s="11"/>
      <c r="P390" s="11"/>
      <c r="Q390" s="46"/>
      <c r="R390" s="11"/>
      <c r="S390" s="11"/>
      <c r="T390" s="11"/>
      <c r="U390" s="11"/>
      <c r="V390" s="11"/>
      <c r="W390" s="11"/>
      <c r="X390" s="11"/>
      <c r="Y390" s="11"/>
      <c r="Z390" s="11"/>
      <c r="AA390" s="11"/>
      <c r="AB390" s="11"/>
      <c r="AC390" s="11"/>
      <c r="AD390" s="11"/>
    </row>
    <row r="391" ht="15.75" customHeight="1">
      <c r="A391" s="47"/>
      <c r="B391" s="46"/>
      <c r="C391" s="46"/>
      <c r="D391" s="11"/>
      <c r="E391" s="11"/>
      <c r="F391" s="11"/>
      <c r="G391" s="11"/>
      <c r="H391" s="11"/>
      <c r="I391" s="11"/>
      <c r="J391" s="11"/>
      <c r="K391" s="11"/>
      <c r="L391" s="11"/>
      <c r="M391" s="11"/>
      <c r="N391" s="46"/>
      <c r="O391" s="11"/>
      <c r="P391" s="11"/>
      <c r="Q391" s="46"/>
      <c r="R391" s="11"/>
      <c r="S391" s="11"/>
      <c r="T391" s="11"/>
      <c r="U391" s="11"/>
      <c r="V391" s="11"/>
      <c r="W391" s="11"/>
      <c r="X391" s="11"/>
      <c r="Y391" s="11"/>
      <c r="Z391" s="11"/>
      <c r="AA391" s="11"/>
      <c r="AB391" s="11"/>
      <c r="AC391" s="11"/>
      <c r="AD391" s="11"/>
    </row>
    <row r="392" ht="15.75" customHeight="1">
      <c r="A392" s="47"/>
      <c r="B392" s="46"/>
      <c r="C392" s="46"/>
      <c r="D392" s="11"/>
      <c r="E392" s="11"/>
      <c r="F392" s="11"/>
      <c r="G392" s="11"/>
      <c r="H392" s="11"/>
      <c r="I392" s="11"/>
      <c r="J392" s="11"/>
      <c r="K392" s="11"/>
      <c r="L392" s="11"/>
      <c r="M392" s="11"/>
      <c r="N392" s="46"/>
      <c r="O392" s="11"/>
      <c r="P392" s="11"/>
      <c r="Q392" s="46"/>
      <c r="R392" s="11"/>
      <c r="S392" s="11"/>
      <c r="T392" s="11"/>
      <c r="U392" s="11"/>
      <c r="V392" s="11"/>
      <c r="W392" s="11"/>
      <c r="X392" s="11"/>
      <c r="Y392" s="11"/>
      <c r="Z392" s="11"/>
      <c r="AA392" s="11"/>
      <c r="AB392" s="11"/>
      <c r="AC392" s="11"/>
      <c r="AD392" s="11"/>
    </row>
    <row r="393" ht="15.75" customHeight="1">
      <c r="A393" s="47"/>
      <c r="B393" s="46"/>
      <c r="C393" s="46"/>
      <c r="D393" s="11"/>
      <c r="E393" s="11"/>
      <c r="F393" s="11"/>
      <c r="G393" s="11"/>
      <c r="H393" s="11"/>
      <c r="I393" s="11"/>
      <c r="J393" s="11"/>
      <c r="K393" s="11"/>
      <c r="L393" s="11"/>
      <c r="M393" s="11"/>
      <c r="N393" s="46"/>
      <c r="O393" s="11"/>
      <c r="P393" s="11"/>
      <c r="Q393" s="46"/>
      <c r="R393" s="11"/>
      <c r="S393" s="11"/>
      <c r="T393" s="11"/>
      <c r="U393" s="11"/>
      <c r="V393" s="11"/>
      <c r="W393" s="11"/>
      <c r="X393" s="11"/>
      <c r="Y393" s="11"/>
      <c r="Z393" s="11"/>
      <c r="AA393" s="11"/>
      <c r="AB393" s="11"/>
      <c r="AC393" s="11"/>
      <c r="AD393" s="11"/>
    </row>
    <row r="394" ht="15.75" customHeight="1">
      <c r="A394" s="47"/>
      <c r="B394" s="46"/>
      <c r="C394" s="46"/>
      <c r="D394" s="11"/>
      <c r="E394" s="11"/>
      <c r="F394" s="11"/>
      <c r="G394" s="11"/>
      <c r="H394" s="11"/>
      <c r="I394" s="11"/>
      <c r="J394" s="11"/>
      <c r="K394" s="11"/>
      <c r="L394" s="11"/>
      <c r="M394" s="11"/>
      <c r="N394" s="46"/>
      <c r="O394" s="11"/>
      <c r="P394" s="11"/>
      <c r="Q394" s="46"/>
      <c r="R394" s="11"/>
      <c r="S394" s="11"/>
      <c r="T394" s="11"/>
      <c r="U394" s="11"/>
      <c r="V394" s="11"/>
      <c r="W394" s="11"/>
      <c r="X394" s="11"/>
      <c r="Y394" s="11"/>
      <c r="Z394" s="11"/>
      <c r="AA394" s="11"/>
      <c r="AB394" s="11"/>
      <c r="AC394" s="11"/>
      <c r="AD394" s="11"/>
    </row>
    <row r="395" ht="15.75" customHeight="1">
      <c r="A395" s="47"/>
      <c r="B395" s="46"/>
      <c r="C395" s="46"/>
      <c r="D395" s="11"/>
      <c r="E395" s="11"/>
      <c r="F395" s="11"/>
      <c r="G395" s="11"/>
      <c r="H395" s="11"/>
      <c r="I395" s="11"/>
      <c r="J395" s="11"/>
      <c r="K395" s="11"/>
      <c r="L395" s="11"/>
      <c r="M395" s="11"/>
      <c r="N395" s="46"/>
      <c r="O395" s="11"/>
      <c r="P395" s="11"/>
      <c r="Q395" s="46"/>
      <c r="R395" s="11"/>
      <c r="S395" s="11"/>
      <c r="T395" s="11"/>
      <c r="U395" s="11"/>
      <c r="V395" s="11"/>
      <c r="W395" s="11"/>
      <c r="X395" s="11"/>
      <c r="Y395" s="11"/>
      <c r="Z395" s="11"/>
      <c r="AA395" s="11"/>
      <c r="AB395" s="11"/>
      <c r="AC395" s="11"/>
      <c r="AD395" s="11"/>
    </row>
    <row r="396" ht="15.75" customHeight="1">
      <c r="A396" s="47"/>
      <c r="B396" s="46"/>
      <c r="C396" s="46"/>
      <c r="D396" s="11"/>
      <c r="E396" s="11"/>
      <c r="F396" s="11"/>
      <c r="G396" s="11"/>
      <c r="H396" s="11"/>
      <c r="I396" s="11"/>
      <c r="J396" s="11"/>
      <c r="K396" s="11"/>
      <c r="L396" s="11"/>
      <c r="M396" s="11"/>
      <c r="N396" s="46"/>
      <c r="O396" s="11"/>
      <c r="P396" s="11"/>
      <c r="Q396" s="46"/>
      <c r="R396" s="11"/>
      <c r="S396" s="11"/>
      <c r="T396" s="11"/>
      <c r="U396" s="11"/>
      <c r="V396" s="11"/>
      <c r="W396" s="11"/>
      <c r="X396" s="11"/>
      <c r="Y396" s="11"/>
      <c r="Z396" s="11"/>
      <c r="AA396" s="11"/>
      <c r="AB396" s="11"/>
      <c r="AC396" s="11"/>
      <c r="AD396" s="11"/>
    </row>
    <row r="397" ht="15.75" customHeight="1">
      <c r="A397" s="47"/>
      <c r="B397" s="46"/>
      <c r="C397" s="46"/>
      <c r="D397" s="11"/>
      <c r="E397" s="11"/>
      <c r="F397" s="11"/>
      <c r="G397" s="11"/>
      <c r="H397" s="11"/>
      <c r="I397" s="11"/>
      <c r="J397" s="11"/>
      <c r="K397" s="11"/>
      <c r="L397" s="11"/>
      <c r="M397" s="11"/>
      <c r="N397" s="46"/>
      <c r="O397" s="11"/>
      <c r="P397" s="11"/>
      <c r="Q397" s="46"/>
      <c r="R397" s="11"/>
      <c r="S397" s="11"/>
      <c r="T397" s="11"/>
      <c r="U397" s="11"/>
      <c r="V397" s="11"/>
      <c r="W397" s="11"/>
      <c r="X397" s="11"/>
      <c r="Y397" s="11"/>
      <c r="Z397" s="11"/>
      <c r="AA397" s="11"/>
      <c r="AB397" s="11"/>
      <c r="AC397" s="11"/>
      <c r="AD397" s="11"/>
    </row>
    <row r="398" ht="15.75" customHeight="1">
      <c r="A398" s="47"/>
      <c r="B398" s="46"/>
      <c r="C398" s="46"/>
      <c r="D398" s="11"/>
      <c r="E398" s="11"/>
      <c r="F398" s="11"/>
      <c r="G398" s="11"/>
      <c r="H398" s="11"/>
      <c r="I398" s="11"/>
      <c r="J398" s="11"/>
      <c r="K398" s="11"/>
      <c r="L398" s="11"/>
      <c r="M398" s="11"/>
      <c r="N398" s="46"/>
      <c r="O398" s="11"/>
      <c r="P398" s="11"/>
      <c r="Q398" s="46"/>
      <c r="R398" s="11"/>
      <c r="S398" s="11"/>
      <c r="T398" s="11"/>
      <c r="U398" s="11"/>
      <c r="V398" s="11"/>
      <c r="W398" s="11"/>
      <c r="X398" s="11"/>
      <c r="Y398" s="11"/>
      <c r="Z398" s="11"/>
      <c r="AA398" s="11"/>
      <c r="AB398" s="11"/>
      <c r="AC398" s="11"/>
      <c r="AD398" s="11"/>
    </row>
    <row r="399" ht="15.75" customHeight="1">
      <c r="A399" s="47"/>
      <c r="B399" s="46"/>
      <c r="C399" s="46"/>
      <c r="D399" s="11"/>
      <c r="E399" s="11"/>
      <c r="F399" s="11"/>
      <c r="G399" s="11"/>
      <c r="H399" s="11"/>
      <c r="I399" s="11"/>
      <c r="J399" s="11"/>
      <c r="K399" s="11"/>
      <c r="L399" s="11"/>
      <c r="M399" s="11"/>
      <c r="N399" s="46"/>
      <c r="O399" s="11"/>
      <c r="P399" s="11"/>
      <c r="Q399" s="46"/>
      <c r="R399" s="11"/>
      <c r="S399" s="11"/>
      <c r="T399" s="11"/>
      <c r="U399" s="11"/>
      <c r="V399" s="11"/>
      <c r="W399" s="11"/>
      <c r="X399" s="11"/>
      <c r="Y399" s="11"/>
      <c r="Z399" s="11"/>
      <c r="AA399" s="11"/>
      <c r="AB399" s="11"/>
      <c r="AC399" s="11"/>
      <c r="AD399" s="11"/>
    </row>
    <row r="400" ht="15.75" customHeight="1">
      <c r="A400" s="47"/>
      <c r="B400" s="46"/>
      <c r="C400" s="46"/>
      <c r="D400" s="11"/>
      <c r="E400" s="11"/>
      <c r="F400" s="11"/>
      <c r="G400" s="11"/>
      <c r="H400" s="11"/>
      <c r="I400" s="11"/>
      <c r="J400" s="11"/>
      <c r="K400" s="11"/>
      <c r="L400" s="11"/>
      <c r="M400" s="11"/>
      <c r="N400" s="46"/>
      <c r="O400" s="11"/>
      <c r="P400" s="11"/>
      <c r="Q400" s="46"/>
      <c r="R400" s="11"/>
      <c r="S400" s="11"/>
      <c r="T400" s="11"/>
      <c r="U400" s="11"/>
      <c r="V400" s="11"/>
      <c r="W400" s="11"/>
      <c r="X400" s="11"/>
      <c r="Y400" s="11"/>
      <c r="Z400" s="11"/>
      <c r="AA400" s="11"/>
      <c r="AB400" s="11"/>
      <c r="AC400" s="11"/>
      <c r="AD400" s="11"/>
    </row>
    <row r="401" ht="15.75" customHeight="1">
      <c r="A401" s="47"/>
      <c r="B401" s="46"/>
      <c r="C401" s="46"/>
      <c r="D401" s="11"/>
      <c r="E401" s="11"/>
      <c r="F401" s="11"/>
      <c r="G401" s="11"/>
      <c r="H401" s="11"/>
      <c r="I401" s="11"/>
      <c r="J401" s="11"/>
      <c r="K401" s="11"/>
      <c r="L401" s="11"/>
      <c r="M401" s="11"/>
      <c r="N401" s="46"/>
      <c r="O401" s="11"/>
      <c r="P401" s="11"/>
      <c r="Q401" s="46"/>
      <c r="R401" s="11"/>
      <c r="S401" s="11"/>
      <c r="T401" s="11"/>
      <c r="U401" s="11"/>
      <c r="V401" s="11"/>
      <c r="W401" s="11"/>
      <c r="X401" s="11"/>
      <c r="Y401" s="11"/>
      <c r="Z401" s="11"/>
      <c r="AA401" s="11"/>
      <c r="AB401" s="11"/>
      <c r="AC401" s="11"/>
      <c r="AD401" s="11"/>
    </row>
    <row r="402" ht="15.75" customHeight="1">
      <c r="A402" s="47"/>
      <c r="B402" s="46"/>
      <c r="C402" s="46"/>
      <c r="D402" s="11"/>
      <c r="E402" s="11"/>
      <c r="F402" s="11"/>
      <c r="G402" s="11"/>
      <c r="H402" s="11"/>
      <c r="I402" s="11"/>
      <c r="J402" s="11"/>
      <c r="K402" s="11"/>
      <c r="L402" s="11"/>
      <c r="M402" s="11"/>
      <c r="N402" s="46"/>
      <c r="O402" s="11"/>
      <c r="P402" s="11"/>
      <c r="Q402" s="46"/>
      <c r="R402" s="11"/>
      <c r="S402" s="11"/>
      <c r="T402" s="11"/>
      <c r="U402" s="11"/>
      <c r="V402" s="11"/>
      <c r="W402" s="11"/>
      <c r="X402" s="11"/>
      <c r="Y402" s="11"/>
      <c r="Z402" s="11"/>
      <c r="AA402" s="11"/>
      <c r="AB402" s="11"/>
      <c r="AC402" s="11"/>
      <c r="AD402" s="11"/>
    </row>
    <row r="403" ht="15.75" customHeight="1">
      <c r="A403" s="47"/>
      <c r="B403" s="46"/>
      <c r="C403" s="46"/>
      <c r="D403" s="11"/>
      <c r="E403" s="11"/>
      <c r="F403" s="11"/>
      <c r="G403" s="11"/>
      <c r="H403" s="11"/>
      <c r="I403" s="11"/>
      <c r="J403" s="11"/>
      <c r="K403" s="11"/>
      <c r="L403" s="11"/>
      <c r="M403" s="11"/>
      <c r="N403" s="46"/>
      <c r="O403" s="11"/>
      <c r="P403" s="11"/>
      <c r="Q403" s="46"/>
      <c r="R403" s="11"/>
      <c r="S403" s="11"/>
      <c r="T403" s="11"/>
      <c r="U403" s="11"/>
      <c r="V403" s="11"/>
      <c r="W403" s="11"/>
      <c r="X403" s="11"/>
      <c r="Y403" s="11"/>
      <c r="Z403" s="11"/>
      <c r="AA403" s="11"/>
      <c r="AB403" s="11"/>
      <c r="AC403" s="11"/>
      <c r="AD403" s="11"/>
    </row>
    <row r="404" ht="15.75" customHeight="1">
      <c r="A404" s="47"/>
      <c r="B404" s="46"/>
      <c r="C404" s="46"/>
      <c r="D404" s="11"/>
      <c r="E404" s="11"/>
      <c r="F404" s="11"/>
      <c r="G404" s="11"/>
      <c r="H404" s="11"/>
      <c r="I404" s="11"/>
      <c r="J404" s="11"/>
      <c r="K404" s="11"/>
      <c r="L404" s="11"/>
      <c r="M404" s="11"/>
      <c r="N404" s="46"/>
      <c r="O404" s="11"/>
      <c r="P404" s="11"/>
      <c r="Q404" s="46"/>
      <c r="R404" s="11"/>
      <c r="S404" s="11"/>
      <c r="T404" s="11"/>
      <c r="U404" s="11"/>
      <c r="V404" s="11"/>
      <c r="W404" s="11"/>
      <c r="X404" s="11"/>
      <c r="Y404" s="11"/>
      <c r="Z404" s="11"/>
      <c r="AA404" s="11"/>
      <c r="AB404" s="11"/>
      <c r="AC404" s="11"/>
      <c r="AD404" s="11"/>
    </row>
    <row r="405" ht="15.75" customHeight="1">
      <c r="A405" s="47"/>
      <c r="B405" s="46"/>
      <c r="C405" s="46"/>
      <c r="D405" s="11"/>
      <c r="E405" s="11"/>
      <c r="F405" s="11"/>
      <c r="G405" s="11"/>
      <c r="H405" s="11"/>
      <c r="I405" s="11"/>
      <c r="J405" s="11"/>
      <c r="K405" s="11"/>
      <c r="L405" s="11"/>
      <c r="M405" s="11"/>
      <c r="N405" s="46"/>
      <c r="O405" s="11"/>
      <c r="P405" s="11"/>
      <c r="Q405" s="46"/>
      <c r="R405" s="11"/>
      <c r="S405" s="11"/>
      <c r="T405" s="11"/>
      <c r="U405" s="11"/>
      <c r="V405" s="11"/>
      <c r="W405" s="11"/>
      <c r="X405" s="11"/>
      <c r="Y405" s="11"/>
      <c r="Z405" s="11"/>
      <c r="AA405" s="11"/>
      <c r="AB405" s="11"/>
      <c r="AC405" s="11"/>
      <c r="AD405" s="11"/>
    </row>
    <row r="406" ht="15.75" customHeight="1">
      <c r="A406" s="47"/>
      <c r="B406" s="46"/>
      <c r="C406" s="46"/>
      <c r="D406" s="11"/>
      <c r="E406" s="11"/>
      <c r="F406" s="11"/>
      <c r="G406" s="11"/>
      <c r="H406" s="11"/>
      <c r="I406" s="11"/>
      <c r="J406" s="11"/>
      <c r="K406" s="11"/>
      <c r="L406" s="11"/>
      <c r="M406" s="11"/>
      <c r="N406" s="46"/>
      <c r="O406" s="11"/>
      <c r="P406" s="11"/>
      <c r="Q406" s="46"/>
      <c r="R406" s="11"/>
      <c r="S406" s="11"/>
      <c r="T406" s="11"/>
      <c r="U406" s="11"/>
      <c r="V406" s="11"/>
      <c r="W406" s="11"/>
      <c r="X406" s="11"/>
      <c r="Y406" s="11"/>
      <c r="Z406" s="11"/>
      <c r="AA406" s="11"/>
      <c r="AB406" s="11"/>
      <c r="AC406" s="11"/>
      <c r="AD406" s="11"/>
    </row>
    <row r="407" ht="15.75" customHeight="1">
      <c r="A407" s="47"/>
      <c r="B407" s="46"/>
      <c r="C407" s="46"/>
      <c r="D407" s="11"/>
      <c r="E407" s="11"/>
      <c r="F407" s="11"/>
      <c r="G407" s="11"/>
      <c r="H407" s="11"/>
      <c r="I407" s="11"/>
      <c r="J407" s="11"/>
      <c r="K407" s="11"/>
      <c r="L407" s="11"/>
      <c r="M407" s="11"/>
      <c r="N407" s="46"/>
      <c r="O407" s="11"/>
      <c r="P407" s="11"/>
      <c r="Q407" s="46"/>
      <c r="R407" s="11"/>
      <c r="S407" s="11"/>
      <c r="T407" s="11"/>
      <c r="U407" s="11"/>
      <c r="V407" s="11"/>
      <c r="W407" s="11"/>
      <c r="X407" s="11"/>
      <c r="Y407" s="11"/>
      <c r="Z407" s="11"/>
      <c r="AA407" s="11"/>
      <c r="AB407" s="11"/>
      <c r="AC407" s="11"/>
      <c r="AD407" s="11"/>
    </row>
    <row r="408" ht="15.75" customHeight="1">
      <c r="A408" s="47"/>
      <c r="B408" s="46"/>
      <c r="C408" s="46"/>
      <c r="D408" s="11"/>
      <c r="E408" s="11"/>
      <c r="F408" s="11"/>
      <c r="G408" s="11"/>
      <c r="H408" s="11"/>
      <c r="I408" s="11"/>
      <c r="J408" s="11"/>
      <c r="K408" s="11"/>
      <c r="L408" s="11"/>
      <c r="M408" s="11"/>
      <c r="N408" s="46"/>
      <c r="O408" s="11"/>
      <c r="P408" s="11"/>
      <c r="Q408" s="46"/>
      <c r="R408" s="11"/>
      <c r="S408" s="11"/>
      <c r="T408" s="11"/>
      <c r="U408" s="11"/>
      <c r="V408" s="11"/>
      <c r="W408" s="11"/>
      <c r="X408" s="11"/>
      <c r="Y408" s="11"/>
      <c r="Z408" s="11"/>
      <c r="AA408" s="11"/>
      <c r="AB408" s="11"/>
      <c r="AC408" s="11"/>
      <c r="AD408" s="11"/>
    </row>
    <row r="409" ht="15.75" customHeight="1">
      <c r="A409" s="47"/>
      <c r="B409" s="46"/>
      <c r="C409" s="46"/>
      <c r="D409" s="11"/>
      <c r="E409" s="11"/>
      <c r="F409" s="11"/>
      <c r="G409" s="11"/>
      <c r="H409" s="11"/>
      <c r="I409" s="11"/>
      <c r="J409" s="11"/>
      <c r="K409" s="11"/>
      <c r="L409" s="11"/>
      <c r="M409" s="11"/>
      <c r="N409" s="46"/>
      <c r="O409" s="11"/>
      <c r="P409" s="11"/>
      <c r="Q409" s="46"/>
      <c r="R409" s="11"/>
      <c r="S409" s="11"/>
      <c r="T409" s="11"/>
      <c r="U409" s="11"/>
      <c r="V409" s="11"/>
      <c r="W409" s="11"/>
      <c r="X409" s="11"/>
      <c r="Y409" s="11"/>
      <c r="Z409" s="11"/>
      <c r="AA409" s="11"/>
      <c r="AB409" s="11"/>
      <c r="AC409" s="11"/>
      <c r="AD409" s="11"/>
    </row>
    <row r="410" ht="15.75" customHeight="1">
      <c r="A410" s="47"/>
      <c r="B410" s="46"/>
      <c r="C410" s="46"/>
      <c r="D410" s="11"/>
      <c r="E410" s="11"/>
      <c r="F410" s="11"/>
      <c r="G410" s="11"/>
      <c r="H410" s="11"/>
      <c r="I410" s="11"/>
      <c r="J410" s="11"/>
      <c r="K410" s="11"/>
      <c r="L410" s="11"/>
      <c r="M410" s="11"/>
      <c r="N410" s="46"/>
      <c r="O410" s="11"/>
      <c r="P410" s="11"/>
      <c r="Q410" s="46"/>
      <c r="R410" s="11"/>
      <c r="S410" s="11"/>
      <c r="T410" s="11"/>
      <c r="U410" s="11"/>
      <c r="V410" s="11"/>
      <c r="W410" s="11"/>
      <c r="X410" s="11"/>
      <c r="Y410" s="11"/>
      <c r="Z410" s="11"/>
      <c r="AA410" s="11"/>
      <c r="AB410" s="11"/>
      <c r="AC410" s="11"/>
      <c r="AD410" s="11"/>
    </row>
    <row r="411" ht="15.75" customHeight="1">
      <c r="A411" s="47"/>
      <c r="B411" s="46"/>
      <c r="C411" s="46"/>
      <c r="D411" s="11"/>
      <c r="E411" s="11"/>
      <c r="F411" s="11"/>
      <c r="G411" s="11"/>
      <c r="H411" s="11"/>
      <c r="I411" s="11"/>
      <c r="J411" s="11"/>
      <c r="K411" s="11"/>
      <c r="L411" s="11"/>
      <c r="M411" s="11"/>
      <c r="N411" s="46"/>
      <c r="O411" s="11"/>
      <c r="P411" s="11"/>
      <c r="Q411" s="46"/>
      <c r="R411" s="11"/>
      <c r="S411" s="11"/>
      <c r="T411" s="11"/>
      <c r="U411" s="11"/>
      <c r="V411" s="11"/>
      <c r="W411" s="11"/>
      <c r="X411" s="11"/>
      <c r="Y411" s="11"/>
      <c r="Z411" s="11"/>
      <c r="AA411" s="11"/>
      <c r="AB411" s="11"/>
      <c r="AC411" s="11"/>
      <c r="AD411" s="11"/>
    </row>
    <row r="412" ht="15.75" customHeight="1">
      <c r="A412" s="47"/>
      <c r="B412" s="46"/>
      <c r="C412" s="46"/>
      <c r="D412" s="11"/>
      <c r="E412" s="11"/>
      <c r="F412" s="11"/>
      <c r="G412" s="11"/>
      <c r="H412" s="11"/>
      <c r="I412" s="11"/>
      <c r="J412" s="11"/>
      <c r="K412" s="11"/>
      <c r="L412" s="11"/>
      <c r="M412" s="11"/>
      <c r="N412" s="46"/>
      <c r="O412" s="11"/>
      <c r="P412" s="11"/>
      <c r="Q412" s="46"/>
      <c r="R412" s="11"/>
      <c r="S412" s="11"/>
      <c r="T412" s="11"/>
      <c r="U412" s="11"/>
      <c r="V412" s="11"/>
      <c r="W412" s="11"/>
      <c r="X412" s="11"/>
      <c r="Y412" s="11"/>
      <c r="Z412" s="11"/>
      <c r="AA412" s="11"/>
      <c r="AB412" s="11"/>
      <c r="AC412" s="11"/>
      <c r="AD412" s="11"/>
    </row>
    <row r="413" ht="15.75" customHeight="1">
      <c r="A413" s="47"/>
      <c r="B413" s="46"/>
      <c r="C413" s="46"/>
      <c r="D413" s="11"/>
      <c r="E413" s="11"/>
      <c r="F413" s="11"/>
      <c r="G413" s="11"/>
      <c r="H413" s="11"/>
      <c r="I413" s="11"/>
      <c r="J413" s="11"/>
      <c r="K413" s="11"/>
      <c r="L413" s="11"/>
      <c r="M413" s="11"/>
      <c r="N413" s="46"/>
      <c r="O413" s="11"/>
      <c r="P413" s="11"/>
      <c r="Q413" s="46"/>
      <c r="R413" s="11"/>
      <c r="S413" s="11"/>
      <c r="T413" s="11"/>
      <c r="U413" s="11"/>
      <c r="V413" s="11"/>
      <c r="W413" s="11"/>
      <c r="X413" s="11"/>
      <c r="Y413" s="11"/>
      <c r="Z413" s="11"/>
      <c r="AA413" s="11"/>
      <c r="AB413" s="11"/>
      <c r="AC413" s="11"/>
      <c r="AD413" s="11"/>
    </row>
    <row r="414" ht="15.75" customHeight="1">
      <c r="A414" s="47"/>
      <c r="B414" s="46"/>
      <c r="C414" s="46"/>
      <c r="D414" s="11"/>
      <c r="E414" s="11"/>
      <c r="F414" s="11"/>
      <c r="G414" s="11"/>
      <c r="H414" s="11"/>
      <c r="I414" s="11"/>
      <c r="J414" s="11"/>
      <c r="K414" s="11"/>
      <c r="L414" s="11"/>
      <c r="M414" s="11"/>
      <c r="N414" s="46"/>
      <c r="O414" s="11"/>
      <c r="P414" s="11"/>
      <c r="Q414" s="46"/>
      <c r="R414" s="11"/>
      <c r="S414" s="11"/>
      <c r="T414" s="11"/>
      <c r="U414" s="11"/>
      <c r="V414" s="11"/>
      <c r="W414" s="11"/>
      <c r="X414" s="11"/>
      <c r="Y414" s="11"/>
      <c r="Z414" s="11"/>
      <c r="AA414" s="11"/>
      <c r="AB414" s="11"/>
      <c r="AC414" s="11"/>
      <c r="AD414" s="11"/>
    </row>
    <row r="415" ht="15.75" customHeight="1">
      <c r="A415" s="47"/>
      <c r="B415" s="46"/>
      <c r="C415" s="46"/>
      <c r="D415" s="11"/>
      <c r="E415" s="11"/>
      <c r="F415" s="11"/>
      <c r="G415" s="11"/>
      <c r="H415" s="11"/>
      <c r="I415" s="11"/>
      <c r="J415" s="11"/>
      <c r="K415" s="11"/>
      <c r="L415" s="11"/>
      <c r="M415" s="11"/>
      <c r="N415" s="46"/>
      <c r="O415" s="11"/>
      <c r="P415" s="11"/>
      <c r="Q415" s="46"/>
      <c r="R415" s="11"/>
      <c r="S415" s="11"/>
      <c r="T415" s="11"/>
      <c r="U415" s="11"/>
      <c r="V415" s="11"/>
      <c r="W415" s="11"/>
      <c r="X415" s="11"/>
      <c r="Y415" s="11"/>
      <c r="Z415" s="11"/>
      <c r="AA415" s="11"/>
      <c r="AB415" s="11"/>
      <c r="AC415" s="11"/>
      <c r="AD415" s="11"/>
    </row>
    <row r="416" ht="15.75" customHeight="1">
      <c r="A416" s="47"/>
      <c r="B416" s="46"/>
      <c r="C416" s="46"/>
      <c r="D416" s="11"/>
      <c r="E416" s="11"/>
      <c r="F416" s="11"/>
      <c r="G416" s="11"/>
      <c r="H416" s="11"/>
      <c r="I416" s="11"/>
      <c r="J416" s="11"/>
      <c r="K416" s="11"/>
      <c r="L416" s="11"/>
      <c r="M416" s="11"/>
      <c r="N416" s="46"/>
      <c r="O416" s="11"/>
      <c r="P416" s="11"/>
      <c r="Q416" s="46"/>
      <c r="R416" s="11"/>
      <c r="S416" s="11"/>
      <c r="T416" s="11"/>
      <c r="U416" s="11"/>
      <c r="V416" s="11"/>
      <c r="W416" s="11"/>
      <c r="X416" s="11"/>
      <c r="Y416" s="11"/>
      <c r="Z416" s="11"/>
      <c r="AA416" s="11"/>
      <c r="AB416" s="11"/>
      <c r="AC416" s="11"/>
      <c r="AD416" s="11"/>
    </row>
    <row r="417" ht="15.75" customHeight="1">
      <c r="A417" s="47"/>
      <c r="B417" s="46"/>
      <c r="C417" s="46"/>
      <c r="D417" s="11"/>
      <c r="E417" s="11"/>
      <c r="F417" s="11"/>
      <c r="G417" s="11"/>
      <c r="H417" s="11"/>
      <c r="I417" s="11"/>
      <c r="J417" s="11"/>
      <c r="K417" s="11"/>
      <c r="L417" s="11"/>
      <c r="M417" s="11"/>
      <c r="N417" s="46"/>
      <c r="O417" s="11"/>
      <c r="P417" s="11"/>
      <c r="Q417" s="46"/>
      <c r="R417" s="11"/>
      <c r="S417" s="11"/>
      <c r="T417" s="11"/>
      <c r="U417" s="11"/>
      <c r="V417" s="11"/>
      <c r="W417" s="11"/>
      <c r="X417" s="11"/>
      <c r="Y417" s="11"/>
      <c r="Z417" s="11"/>
      <c r="AA417" s="11"/>
      <c r="AB417" s="11"/>
      <c r="AC417" s="11"/>
      <c r="AD417" s="11"/>
    </row>
    <row r="418" ht="15.75" customHeight="1">
      <c r="A418" s="47"/>
      <c r="B418" s="46"/>
      <c r="C418" s="46"/>
      <c r="D418" s="11"/>
      <c r="E418" s="11"/>
      <c r="F418" s="11"/>
      <c r="G418" s="11"/>
      <c r="H418" s="11"/>
      <c r="I418" s="11"/>
      <c r="J418" s="11"/>
      <c r="K418" s="11"/>
      <c r="L418" s="11"/>
      <c r="M418" s="11"/>
      <c r="N418" s="46"/>
      <c r="O418" s="11"/>
      <c r="P418" s="11"/>
      <c r="Q418" s="46"/>
      <c r="R418" s="11"/>
      <c r="S418" s="11"/>
      <c r="T418" s="11"/>
      <c r="U418" s="11"/>
      <c r="V418" s="11"/>
      <c r="W418" s="11"/>
      <c r="X418" s="11"/>
      <c r="Y418" s="11"/>
      <c r="Z418" s="11"/>
      <c r="AA418" s="11"/>
      <c r="AB418" s="11"/>
      <c r="AC418" s="11"/>
      <c r="AD418" s="11"/>
    </row>
    <row r="419" ht="15.75" customHeight="1">
      <c r="A419" s="47"/>
      <c r="B419" s="46"/>
      <c r="C419" s="46"/>
      <c r="D419" s="11"/>
      <c r="E419" s="11"/>
      <c r="F419" s="11"/>
      <c r="G419" s="11"/>
      <c r="H419" s="11"/>
      <c r="I419" s="11"/>
      <c r="J419" s="11"/>
      <c r="K419" s="11"/>
      <c r="L419" s="11"/>
      <c r="M419" s="11"/>
      <c r="N419" s="46"/>
      <c r="O419" s="11"/>
      <c r="P419" s="11"/>
      <c r="Q419" s="46"/>
      <c r="R419" s="11"/>
      <c r="S419" s="11"/>
      <c r="T419" s="11"/>
      <c r="U419" s="11"/>
      <c r="V419" s="11"/>
      <c r="W419" s="11"/>
      <c r="X419" s="11"/>
      <c r="Y419" s="11"/>
      <c r="Z419" s="11"/>
      <c r="AA419" s="11"/>
      <c r="AB419" s="11"/>
      <c r="AC419" s="11"/>
      <c r="AD419" s="11"/>
    </row>
    <row r="420" ht="15.75" customHeight="1">
      <c r="A420" s="47"/>
      <c r="B420" s="46"/>
      <c r="C420" s="46"/>
      <c r="D420" s="11"/>
      <c r="E420" s="11"/>
      <c r="F420" s="11"/>
      <c r="G420" s="11"/>
      <c r="H420" s="11"/>
      <c r="I420" s="11"/>
      <c r="J420" s="11"/>
      <c r="K420" s="11"/>
      <c r="L420" s="11"/>
      <c r="M420" s="11"/>
      <c r="N420" s="46"/>
      <c r="O420" s="11"/>
      <c r="P420" s="11"/>
      <c r="Q420" s="46"/>
      <c r="R420" s="11"/>
      <c r="S420" s="11"/>
      <c r="T420" s="11"/>
      <c r="U420" s="11"/>
      <c r="V420" s="11"/>
      <c r="W420" s="11"/>
      <c r="X420" s="11"/>
      <c r="Y420" s="11"/>
      <c r="Z420" s="11"/>
      <c r="AA420" s="11"/>
      <c r="AB420" s="11"/>
      <c r="AC420" s="11"/>
      <c r="AD420" s="11"/>
    </row>
    <row r="421" ht="15.75" customHeight="1">
      <c r="A421" s="47"/>
      <c r="B421" s="46"/>
      <c r="C421" s="46"/>
      <c r="D421" s="11"/>
      <c r="E421" s="11"/>
      <c r="F421" s="11"/>
      <c r="G421" s="11"/>
      <c r="H421" s="11"/>
      <c r="I421" s="11"/>
      <c r="J421" s="11"/>
      <c r="K421" s="11"/>
      <c r="L421" s="11"/>
      <c r="M421" s="11"/>
      <c r="N421" s="46"/>
      <c r="O421" s="11"/>
      <c r="P421" s="11"/>
      <c r="Q421" s="46"/>
      <c r="R421" s="11"/>
      <c r="S421" s="11"/>
      <c r="T421" s="11"/>
      <c r="U421" s="11"/>
      <c r="V421" s="11"/>
      <c r="W421" s="11"/>
      <c r="X421" s="11"/>
      <c r="Y421" s="11"/>
      <c r="Z421" s="11"/>
      <c r="AA421" s="11"/>
      <c r="AB421" s="11"/>
      <c r="AC421" s="11"/>
      <c r="AD421" s="11"/>
    </row>
    <row r="422" ht="15.75" customHeight="1">
      <c r="A422" s="47"/>
      <c r="B422" s="46"/>
      <c r="C422" s="46"/>
      <c r="D422" s="11"/>
      <c r="E422" s="11"/>
      <c r="F422" s="11"/>
      <c r="G422" s="11"/>
      <c r="H422" s="11"/>
      <c r="I422" s="11"/>
      <c r="J422" s="11"/>
      <c r="K422" s="11"/>
      <c r="L422" s="11"/>
      <c r="M422" s="11"/>
      <c r="N422" s="46"/>
      <c r="O422" s="11"/>
      <c r="P422" s="11"/>
      <c r="Q422" s="46"/>
      <c r="R422" s="11"/>
      <c r="S422" s="11"/>
      <c r="T422" s="11"/>
      <c r="U422" s="11"/>
      <c r="V422" s="11"/>
      <c r="W422" s="11"/>
      <c r="X422" s="11"/>
      <c r="Y422" s="11"/>
      <c r="Z422" s="11"/>
      <c r="AA422" s="11"/>
      <c r="AB422" s="11"/>
      <c r="AC422" s="11"/>
      <c r="AD422" s="11"/>
    </row>
    <row r="423" ht="15.75" customHeight="1">
      <c r="A423" s="47"/>
      <c r="B423" s="46"/>
      <c r="C423" s="46"/>
      <c r="D423" s="11"/>
      <c r="E423" s="11"/>
      <c r="F423" s="11"/>
      <c r="G423" s="11"/>
      <c r="H423" s="11"/>
      <c r="I423" s="11"/>
      <c r="J423" s="11"/>
      <c r="K423" s="11"/>
      <c r="L423" s="11"/>
      <c r="M423" s="11"/>
      <c r="N423" s="46"/>
      <c r="O423" s="11"/>
      <c r="P423" s="11"/>
      <c r="Q423" s="46"/>
      <c r="R423" s="11"/>
      <c r="S423" s="11"/>
      <c r="T423" s="11"/>
      <c r="U423" s="11"/>
      <c r="V423" s="11"/>
      <c r="W423" s="11"/>
      <c r="X423" s="11"/>
      <c r="Y423" s="11"/>
      <c r="Z423" s="11"/>
      <c r="AA423" s="11"/>
      <c r="AB423" s="11"/>
      <c r="AC423" s="11"/>
      <c r="AD423" s="11"/>
    </row>
    <row r="424" ht="15.75" customHeight="1">
      <c r="A424" s="47"/>
      <c r="B424" s="46"/>
      <c r="C424" s="46"/>
      <c r="D424" s="11"/>
      <c r="E424" s="11"/>
      <c r="F424" s="11"/>
      <c r="G424" s="11"/>
      <c r="H424" s="11"/>
      <c r="I424" s="11"/>
      <c r="J424" s="11"/>
      <c r="K424" s="11"/>
      <c r="L424" s="11"/>
      <c r="M424" s="11"/>
      <c r="N424" s="46"/>
      <c r="O424" s="11"/>
      <c r="P424" s="11"/>
      <c r="Q424" s="46"/>
      <c r="R424" s="11"/>
      <c r="S424" s="11"/>
      <c r="T424" s="11"/>
      <c r="U424" s="11"/>
      <c r="V424" s="11"/>
      <c r="W424" s="11"/>
      <c r="X424" s="11"/>
      <c r="Y424" s="11"/>
      <c r="Z424" s="11"/>
      <c r="AA424" s="11"/>
      <c r="AB424" s="11"/>
      <c r="AC424" s="11"/>
      <c r="AD424" s="11"/>
    </row>
    <row r="425" ht="15.75" customHeight="1">
      <c r="A425" s="47"/>
      <c r="B425" s="46"/>
      <c r="C425" s="46"/>
      <c r="D425" s="11"/>
      <c r="E425" s="11"/>
      <c r="F425" s="11"/>
      <c r="G425" s="11"/>
      <c r="H425" s="11"/>
      <c r="I425" s="11"/>
      <c r="J425" s="11"/>
      <c r="K425" s="11"/>
      <c r="L425" s="11"/>
      <c r="M425" s="11"/>
      <c r="N425" s="46"/>
      <c r="O425" s="11"/>
      <c r="P425" s="11"/>
      <c r="Q425" s="46"/>
      <c r="R425" s="11"/>
      <c r="S425" s="11"/>
      <c r="T425" s="11"/>
      <c r="U425" s="11"/>
      <c r="V425" s="11"/>
      <c r="W425" s="11"/>
      <c r="X425" s="11"/>
      <c r="Y425" s="11"/>
      <c r="Z425" s="11"/>
      <c r="AA425" s="11"/>
      <c r="AB425" s="11"/>
      <c r="AC425" s="11"/>
      <c r="AD425" s="11"/>
    </row>
    <row r="426" ht="15.75" customHeight="1">
      <c r="A426" s="47"/>
      <c r="B426" s="46"/>
      <c r="C426" s="46"/>
      <c r="D426" s="11"/>
      <c r="E426" s="11"/>
      <c r="F426" s="11"/>
      <c r="G426" s="11"/>
      <c r="H426" s="11"/>
      <c r="I426" s="11"/>
      <c r="J426" s="11"/>
      <c r="K426" s="11"/>
      <c r="L426" s="11"/>
      <c r="M426" s="11"/>
      <c r="N426" s="46"/>
      <c r="O426" s="11"/>
      <c r="P426" s="11"/>
      <c r="Q426" s="46"/>
      <c r="R426" s="11"/>
      <c r="S426" s="11"/>
      <c r="T426" s="11"/>
      <c r="U426" s="11"/>
      <c r="V426" s="11"/>
      <c r="W426" s="11"/>
      <c r="X426" s="11"/>
      <c r="Y426" s="11"/>
      <c r="Z426" s="11"/>
      <c r="AA426" s="11"/>
      <c r="AB426" s="11"/>
      <c r="AC426" s="11"/>
      <c r="AD426" s="11"/>
    </row>
    <row r="427" ht="15.75" customHeight="1">
      <c r="A427" s="47"/>
      <c r="B427" s="46"/>
      <c r="C427" s="46"/>
      <c r="D427" s="11"/>
      <c r="E427" s="11"/>
      <c r="F427" s="11"/>
      <c r="G427" s="11"/>
      <c r="H427" s="11"/>
      <c r="I427" s="11"/>
      <c r="J427" s="11"/>
      <c r="K427" s="11"/>
      <c r="L427" s="11"/>
      <c r="M427" s="11"/>
      <c r="N427" s="46"/>
      <c r="O427" s="11"/>
      <c r="P427" s="11"/>
      <c r="Q427" s="46"/>
      <c r="R427" s="11"/>
      <c r="S427" s="11"/>
      <c r="T427" s="11"/>
      <c r="U427" s="11"/>
      <c r="V427" s="11"/>
      <c r="W427" s="11"/>
      <c r="X427" s="11"/>
      <c r="Y427" s="11"/>
      <c r="Z427" s="11"/>
      <c r="AA427" s="11"/>
      <c r="AB427" s="11"/>
      <c r="AC427" s="11"/>
      <c r="AD427" s="11"/>
    </row>
    <row r="428" ht="15.75" customHeight="1">
      <c r="A428" s="47"/>
      <c r="B428" s="46"/>
      <c r="C428" s="46"/>
      <c r="D428" s="11"/>
      <c r="E428" s="11"/>
      <c r="F428" s="11"/>
      <c r="G428" s="11"/>
      <c r="H428" s="11"/>
      <c r="I428" s="11"/>
      <c r="J428" s="11"/>
      <c r="K428" s="11"/>
      <c r="L428" s="11"/>
      <c r="M428" s="11"/>
      <c r="N428" s="46"/>
      <c r="O428" s="11"/>
      <c r="P428" s="11"/>
      <c r="Q428" s="46"/>
      <c r="R428" s="11"/>
      <c r="S428" s="11"/>
      <c r="T428" s="11"/>
      <c r="U428" s="11"/>
      <c r="V428" s="11"/>
      <c r="W428" s="11"/>
      <c r="X428" s="11"/>
      <c r="Y428" s="11"/>
      <c r="Z428" s="11"/>
      <c r="AA428" s="11"/>
      <c r="AB428" s="11"/>
      <c r="AC428" s="11"/>
      <c r="AD428" s="11"/>
    </row>
    <row r="429" ht="15.75" customHeight="1">
      <c r="A429" s="47"/>
      <c r="B429" s="46"/>
      <c r="C429" s="46"/>
      <c r="D429" s="11"/>
      <c r="E429" s="11"/>
      <c r="F429" s="11"/>
      <c r="G429" s="11"/>
      <c r="H429" s="11"/>
      <c r="I429" s="11"/>
      <c r="J429" s="11"/>
      <c r="K429" s="11"/>
      <c r="L429" s="11"/>
      <c r="M429" s="11"/>
      <c r="N429" s="46"/>
      <c r="O429" s="11"/>
      <c r="P429" s="11"/>
      <c r="Q429" s="46"/>
      <c r="R429" s="11"/>
      <c r="S429" s="11"/>
      <c r="T429" s="11"/>
      <c r="U429" s="11"/>
      <c r="V429" s="11"/>
      <c r="W429" s="11"/>
      <c r="X429" s="11"/>
      <c r="Y429" s="11"/>
      <c r="Z429" s="11"/>
      <c r="AA429" s="11"/>
      <c r="AB429" s="11"/>
      <c r="AC429" s="11"/>
      <c r="AD429" s="11"/>
    </row>
    <row r="430" ht="15.75" customHeight="1">
      <c r="A430" s="47"/>
      <c r="B430" s="46"/>
      <c r="C430" s="46"/>
      <c r="D430" s="11"/>
      <c r="E430" s="11"/>
      <c r="F430" s="11"/>
      <c r="G430" s="11"/>
      <c r="H430" s="11"/>
      <c r="I430" s="11"/>
      <c r="J430" s="11"/>
      <c r="K430" s="11"/>
      <c r="L430" s="11"/>
      <c r="M430" s="11"/>
      <c r="N430" s="46"/>
      <c r="O430" s="11"/>
      <c r="P430" s="11"/>
      <c r="Q430" s="46"/>
      <c r="R430" s="11"/>
      <c r="S430" s="11"/>
      <c r="T430" s="11"/>
      <c r="U430" s="11"/>
      <c r="V430" s="11"/>
      <c r="W430" s="11"/>
      <c r="X430" s="11"/>
      <c r="Y430" s="11"/>
      <c r="Z430" s="11"/>
      <c r="AA430" s="11"/>
      <c r="AB430" s="11"/>
      <c r="AC430" s="11"/>
      <c r="AD430" s="11"/>
    </row>
    <row r="431" ht="15.75" customHeight="1">
      <c r="A431" s="47"/>
      <c r="B431" s="46"/>
      <c r="C431" s="46"/>
      <c r="D431" s="11"/>
      <c r="E431" s="11"/>
      <c r="F431" s="11"/>
      <c r="G431" s="11"/>
      <c r="H431" s="11"/>
      <c r="I431" s="11"/>
      <c r="J431" s="11"/>
      <c r="K431" s="11"/>
      <c r="L431" s="11"/>
      <c r="M431" s="11"/>
      <c r="N431" s="46"/>
      <c r="O431" s="11"/>
      <c r="P431" s="11"/>
      <c r="Q431" s="46"/>
      <c r="R431" s="11"/>
      <c r="S431" s="11"/>
      <c r="T431" s="11"/>
      <c r="U431" s="11"/>
      <c r="V431" s="11"/>
      <c r="W431" s="11"/>
      <c r="X431" s="11"/>
      <c r="Y431" s="11"/>
      <c r="Z431" s="11"/>
      <c r="AA431" s="11"/>
      <c r="AB431" s="11"/>
      <c r="AC431" s="11"/>
      <c r="AD431" s="11"/>
    </row>
    <row r="432" ht="15.75" customHeight="1">
      <c r="A432" s="47"/>
      <c r="B432" s="46"/>
      <c r="C432" s="46"/>
      <c r="D432" s="11"/>
      <c r="E432" s="11"/>
      <c r="F432" s="11"/>
      <c r="G432" s="11"/>
      <c r="H432" s="11"/>
      <c r="I432" s="11"/>
      <c r="J432" s="11"/>
      <c r="K432" s="11"/>
      <c r="L432" s="11"/>
      <c r="M432" s="11"/>
      <c r="N432" s="46"/>
      <c r="O432" s="11"/>
      <c r="P432" s="11"/>
      <c r="Q432" s="46"/>
      <c r="R432" s="11"/>
      <c r="S432" s="11"/>
      <c r="T432" s="11"/>
      <c r="U432" s="11"/>
      <c r="V432" s="11"/>
      <c r="W432" s="11"/>
      <c r="X432" s="11"/>
      <c r="Y432" s="11"/>
      <c r="Z432" s="11"/>
      <c r="AA432" s="11"/>
      <c r="AB432" s="11"/>
      <c r="AC432" s="11"/>
      <c r="AD432" s="11"/>
    </row>
    <row r="433" ht="15.75" customHeight="1">
      <c r="A433" s="47"/>
      <c r="B433" s="46"/>
      <c r="C433" s="46"/>
      <c r="D433" s="11"/>
      <c r="E433" s="11"/>
      <c r="F433" s="11"/>
      <c r="G433" s="11"/>
      <c r="H433" s="11"/>
      <c r="I433" s="11"/>
      <c r="J433" s="11"/>
      <c r="K433" s="11"/>
      <c r="L433" s="11"/>
      <c r="M433" s="11"/>
      <c r="N433" s="46"/>
      <c r="O433" s="11"/>
      <c r="P433" s="11"/>
      <c r="Q433" s="46"/>
      <c r="R433" s="11"/>
      <c r="S433" s="11"/>
      <c r="T433" s="11"/>
      <c r="U433" s="11"/>
      <c r="V433" s="11"/>
      <c r="W433" s="11"/>
      <c r="X433" s="11"/>
      <c r="Y433" s="11"/>
      <c r="Z433" s="11"/>
      <c r="AA433" s="11"/>
      <c r="AB433" s="11"/>
      <c r="AC433" s="11"/>
      <c r="AD433" s="11"/>
    </row>
    <row r="434" ht="15.75" customHeight="1">
      <c r="A434" s="47"/>
      <c r="B434" s="46"/>
      <c r="C434" s="46"/>
      <c r="D434" s="11"/>
      <c r="E434" s="11"/>
      <c r="F434" s="11"/>
      <c r="G434" s="11"/>
      <c r="H434" s="11"/>
      <c r="I434" s="11"/>
      <c r="J434" s="11"/>
      <c r="K434" s="11"/>
      <c r="L434" s="11"/>
      <c r="M434" s="11"/>
      <c r="N434" s="46"/>
      <c r="O434" s="11"/>
      <c r="P434" s="11"/>
      <c r="Q434" s="46"/>
      <c r="R434" s="11"/>
      <c r="S434" s="11"/>
      <c r="T434" s="11"/>
      <c r="U434" s="11"/>
      <c r="V434" s="11"/>
      <c r="W434" s="11"/>
      <c r="X434" s="11"/>
      <c r="Y434" s="11"/>
      <c r="Z434" s="11"/>
      <c r="AA434" s="11"/>
      <c r="AB434" s="11"/>
      <c r="AC434" s="11"/>
      <c r="AD434" s="11"/>
    </row>
    <row r="435" ht="15.75" customHeight="1">
      <c r="A435" s="47"/>
      <c r="B435" s="46"/>
      <c r="C435" s="46"/>
      <c r="D435" s="11"/>
      <c r="E435" s="11"/>
      <c r="F435" s="11"/>
      <c r="G435" s="11"/>
      <c r="H435" s="11"/>
      <c r="I435" s="11"/>
      <c r="J435" s="11"/>
      <c r="K435" s="11"/>
      <c r="L435" s="11"/>
      <c r="M435" s="11"/>
      <c r="N435" s="46"/>
      <c r="O435" s="11"/>
      <c r="P435" s="11"/>
      <c r="Q435" s="46"/>
      <c r="R435" s="11"/>
      <c r="S435" s="11"/>
      <c r="T435" s="11"/>
      <c r="U435" s="11"/>
      <c r="V435" s="11"/>
      <c r="W435" s="11"/>
      <c r="X435" s="11"/>
      <c r="Y435" s="11"/>
      <c r="Z435" s="11"/>
      <c r="AA435" s="11"/>
      <c r="AB435" s="11"/>
      <c r="AC435" s="11"/>
      <c r="AD435" s="11"/>
    </row>
    <row r="436" ht="15.75" customHeight="1">
      <c r="A436" s="47"/>
      <c r="B436" s="46"/>
      <c r="C436" s="46"/>
      <c r="D436" s="11"/>
      <c r="E436" s="11"/>
      <c r="F436" s="11"/>
      <c r="G436" s="11"/>
      <c r="H436" s="11"/>
      <c r="I436" s="11"/>
      <c r="J436" s="11"/>
      <c r="K436" s="11"/>
      <c r="L436" s="11"/>
      <c r="M436" s="11"/>
      <c r="N436" s="46"/>
      <c r="O436" s="11"/>
      <c r="P436" s="11"/>
      <c r="Q436" s="46"/>
      <c r="R436" s="11"/>
      <c r="S436" s="11"/>
      <c r="T436" s="11"/>
      <c r="U436" s="11"/>
      <c r="V436" s="11"/>
      <c r="W436" s="11"/>
      <c r="X436" s="11"/>
      <c r="Y436" s="11"/>
      <c r="Z436" s="11"/>
      <c r="AA436" s="11"/>
      <c r="AB436" s="11"/>
      <c r="AC436" s="11"/>
      <c r="AD436" s="11"/>
    </row>
    <row r="437" ht="15.75" customHeight="1">
      <c r="A437" s="47"/>
      <c r="B437" s="46"/>
      <c r="C437" s="46"/>
      <c r="D437" s="11"/>
      <c r="E437" s="11"/>
      <c r="F437" s="11"/>
      <c r="G437" s="11"/>
      <c r="H437" s="11"/>
      <c r="I437" s="11"/>
      <c r="J437" s="11"/>
      <c r="K437" s="11"/>
      <c r="L437" s="11"/>
      <c r="M437" s="11"/>
      <c r="N437" s="46"/>
      <c r="O437" s="11"/>
      <c r="P437" s="11"/>
      <c r="Q437" s="46"/>
      <c r="R437" s="11"/>
      <c r="S437" s="11"/>
      <c r="T437" s="11"/>
      <c r="U437" s="11"/>
      <c r="V437" s="11"/>
      <c r="W437" s="11"/>
      <c r="X437" s="11"/>
      <c r="Y437" s="11"/>
      <c r="Z437" s="11"/>
      <c r="AA437" s="11"/>
      <c r="AB437" s="11"/>
      <c r="AC437" s="11"/>
      <c r="AD437" s="11"/>
    </row>
    <row r="438" ht="15.75" customHeight="1">
      <c r="A438" s="47"/>
      <c r="B438" s="46"/>
      <c r="C438" s="46"/>
      <c r="D438" s="11"/>
      <c r="E438" s="11"/>
      <c r="F438" s="11"/>
      <c r="G438" s="11"/>
      <c r="H438" s="11"/>
      <c r="I438" s="11"/>
      <c r="J438" s="11"/>
      <c r="K438" s="11"/>
      <c r="L438" s="11"/>
      <c r="M438" s="11"/>
      <c r="N438" s="46"/>
      <c r="O438" s="11"/>
      <c r="P438" s="11"/>
      <c r="Q438" s="46"/>
      <c r="R438" s="11"/>
      <c r="S438" s="11"/>
      <c r="T438" s="11"/>
      <c r="U438" s="11"/>
      <c r="V438" s="11"/>
      <c r="W438" s="11"/>
      <c r="X438" s="11"/>
      <c r="Y438" s="11"/>
      <c r="Z438" s="11"/>
      <c r="AA438" s="11"/>
      <c r="AB438" s="11"/>
      <c r="AC438" s="11"/>
      <c r="AD438" s="11"/>
    </row>
    <row r="439" ht="15.75" customHeight="1">
      <c r="A439" s="47"/>
      <c r="B439" s="46"/>
      <c r="C439" s="46"/>
      <c r="D439" s="11"/>
      <c r="E439" s="11"/>
      <c r="F439" s="11"/>
      <c r="G439" s="11"/>
      <c r="H439" s="11"/>
      <c r="I439" s="11"/>
      <c r="J439" s="11"/>
      <c r="K439" s="11"/>
      <c r="L439" s="11"/>
      <c r="M439" s="11"/>
      <c r="N439" s="46"/>
      <c r="O439" s="11"/>
      <c r="P439" s="11"/>
      <c r="Q439" s="46"/>
      <c r="R439" s="11"/>
      <c r="S439" s="11"/>
      <c r="T439" s="11"/>
      <c r="U439" s="11"/>
      <c r="V439" s="11"/>
      <c r="W439" s="11"/>
      <c r="X439" s="11"/>
      <c r="Y439" s="11"/>
      <c r="Z439" s="11"/>
      <c r="AA439" s="11"/>
      <c r="AB439" s="11"/>
      <c r="AC439" s="11"/>
      <c r="AD439" s="11"/>
    </row>
    <row r="440" ht="15.75" customHeight="1">
      <c r="A440" s="47"/>
      <c r="B440" s="46"/>
      <c r="C440" s="46"/>
      <c r="D440" s="11"/>
      <c r="E440" s="11"/>
      <c r="F440" s="11"/>
      <c r="G440" s="11"/>
      <c r="H440" s="11"/>
      <c r="I440" s="11"/>
      <c r="J440" s="11"/>
      <c r="K440" s="11"/>
      <c r="L440" s="11"/>
      <c r="M440" s="11"/>
      <c r="N440" s="46"/>
      <c r="O440" s="11"/>
      <c r="P440" s="11"/>
      <c r="Q440" s="46"/>
      <c r="R440" s="11"/>
      <c r="S440" s="11"/>
      <c r="T440" s="11"/>
      <c r="U440" s="11"/>
      <c r="V440" s="11"/>
      <c r="W440" s="11"/>
      <c r="X440" s="11"/>
      <c r="Y440" s="11"/>
      <c r="Z440" s="11"/>
      <c r="AA440" s="11"/>
      <c r="AB440" s="11"/>
      <c r="AC440" s="11"/>
      <c r="AD440" s="11"/>
    </row>
    <row r="441" ht="15.75" customHeight="1">
      <c r="A441" s="47"/>
      <c r="B441" s="46"/>
      <c r="C441" s="46"/>
      <c r="D441" s="11"/>
      <c r="E441" s="11"/>
      <c r="F441" s="11"/>
      <c r="G441" s="11"/>
      <c r="H441" s="11"/>
      <c r="I441" s="11"/>
      <c r="J441" s="11"/>
      <c r="K441" s="11"/>
      <c r="L441" s="11"/>
      <c r="M441" s="11"/>
      <c r="N441" s="46"/>
      <c r="O441" s="11"/>
      <c r="P441" s="11"/>
      <c r="Q441" s="46"/>
      <c r="R441" s="11"/>
      <c r="S441" s="11"/>
      <c r="T441" s="11"/>
      <c r="U441" s="11"/>
      <c r="V441" s="11"/>
      <c r="W441" s="11"/>
      <c r="X441" s="11"/>
      <c r="Y441" s="11"/>
      <c r="Z441" s="11"/>
      <c r="AA441" s="11"/>
      <c r="AB441" s="11"/>
      <c r="AC441" s="11"/>
      <c r="AD441" s="11"/>
    </row>
    <row r="442" ht="15.75" customHeight="1">
      <c r="A442" s="47"/>
      <c r="B442" s="46"/>
      <c r="C442" s="46"/>
      <c r="D442" s="11"/>
      <c r="E442" s="11"/>
      <c r="F442" s="11"/>
      <c r="G442" s="11"/>
      <c r="H442" s="11"/>
      <c r="I442" s="11"/>
      <c r="J442" s="11"/>
      <c r="K442" s="11"/>
      <c r="L442" s="11"/>
      <c r="M442" s="11"/>
      <c r="N442" s="46"/>
      <c r="O442" s="11"/>
      <c r="P442" s="11"/>
      <c r="Q442" s="46"/>
      <c r="R442" s="11"/>
      <c r="S442" s="11"/>
      <c r="T442" s="11"/>
      <c r="U442" s="11"/>
      <c r="V442" s="11"/>
      <c r="W442" s="11"/>
      <c r="X442" s="11"/>
      <c r="Y442" s="11"/>
      <c r="Z442" s="11"/>
      <c r="AA442" s="11"/>
      <c r="AB442" s="11"/>
      <c r="AC442" s="11"/>
      <c r="AD442" s="11"/>
    </row>
    <row r="443" ht="15.75" customHeight="1">
      <c r="A443" s="47"/>
      <c r="B443" s="46"/>
      <c r="C443" s="46"/>
      <c r="D443" s="11"/>
      <c r="E443" s="11"/>
      <c r="F443" s="11"/>
      <c r="G443" s="11"/>
      <c r="H443" s="11"/>
      <c r="I443" s="11"/>
      <c r="J443" s="11"/>
      <c r="K443" s="11"/>
      <c r="L443" s="11"/>
      <c r="M443" s="11"/>
      <c r="N443" s="46"/>
      <c r="O443" s="11"/>
      <c r="P443" s="11"/>
      <c r="Q443" s="46"/>
      <c r="R443" s="11"/>
      <c r="S443" s="11"/>
      <c r="T443" s="11"/>
      <c r="U443" s="11"/>
      <c r="V443" s="11"/>
      <c r="W443" s="11"/>
      <c r="X443" s="11"/>
      <c r="Y443" s="11"/>
      <c r="Z443" s="11"/>
      <c r="AA443" s="11"/>
      <c r="AB443" s="11"/>
      <c r="AC443" s="11"/>
      <c r="AD443" s="11"/>
    </row>
    <row r="444" ht="15.75" customHeight="1">
      <c r="A444" s="47"/>
      <c r="B444" s="46"/>
      <c r="C444" s="46"/>
      <c r="D444" s="11"/>
      <c r="E444" s="11"/>
      <c r="F444" s="11"/>
      <c r="G444" s="11"/>
      <c r="H444" s="11"/>
      <c r="I444" s="11"/>
      <c r="J444" s="11"/>
      <c r="K444" s="11"/>
      <c r="L444" s="11"/>
      <c r="M444" s="11"/>
      <c r="N444" s="46"/>
      <c r="O444" s="11"/>
      <c r="P444" s="11"/>
      <c r="Q444" s="46"/>
      <c r="R444" s="11"/>
      <c r="S444" s="11"/>
      <c r="T444" s="11"/>
      <c r="U444" s="11"/>
      <c r="V444" s="11"/>
      <c r="W444" s="11"/>
      <c r="X444" s="11"/>
      <c r="Y444" s="11"/>
      <c r="Z444" s="11"/>
      <c r="AA444" s="11"/>
      <c r="AB444" s="11"/>
      <c r="AC444" s="11"/>
      <c r="AD444" s="11"/>
    </row>
    <row r="445" ht="15.75" customHeight="1">
      <c r="A445" s="47"/>
      <c r="B445" s="46"/>
      <c r="C445" s="46"/>
      <c r="D445" s="11"/>
      <c r="E445" s="11"/>
      <c r="F445" s="11"/>
      <c r="G445" s="11"/>
      <c r="H445" s="11"/>
      <c r="I445" s="11"/>
      <c r="J445" s="11"/>
      <c r="K445" s="11"/>
      <c r="L445" s="11"/>
      <c r="M445" s="11"/>
      <c r="N445" s="46"/>
      <c r="O445" s="11"/>
      <c r="P445" s="11"/>
      <c r="Q445" s="46"/>
      <c r="R445" s="11"/>
      <c r="S445" s="11"/>
      <c r="T445" s="11"/>
      <c r="U445" s="11"/>
      <c r="V445" s="11"/>
      <c r="W445" s="11"/>
      <c r="X445" s="11"/>
      <c r="Y445" s="11"/>
      <c r="Z445" s="11"/>
      <c r="AA445" s="11"/>
      <c r="AB445" s="11"/>
      <c r="AC445" s="11"/>
      <c r="AD445" s="11"/>
    </row>
    <row r="446" ht="15.75" customHeight="1">
      <c r="A446" s="47"/>
      <c r="B446" s="46"/>
      <c r="C446" s="46"/>
      <c r="D446" s="11"/>
      <c r="E446" s="11"/>
      <c r="F446" s="11"/>
      <c r="G446" s="11"/>
      <c r="H446" s="11"/>
      <c r="I446" s="11"/>
      <c r="J446" s="11"/>
      <c r="K446" s="11"/>
      <c r="L446" s="11"/>
      <c r="M446" s="11"/>
      <c r="N446" s="46"/>
      <c r="O446" s="11"/>
      <c r="P446" s="11"/>
      <c r="Q446" s="46"/>
      <c r="R446" s="11"/>
      <c r="S446" s="11"/>
      <c r="T446" s="11"/>
      <c r="U446" s="11"/>
      <c r="V446" s="11"/>
      <c r="W446" s="11"/>
      <c r="X446" s="11"/>
      <c r="Y446" s="11"/>
      <c r="Z446" s="11"/>
      <c r="AA446" s="11"/>
      <c r="AB446" s="11"/>
      <c r="AC446" s="11"/>
      <c r="AD446" s="11"/>
    </row>
    <row r="447" ht="15.75" customHeight="1">
      <c r="A447" s="47"/>
      <c r="B447" s="46"/>
      <c r="C447" s="46"/>
      <c r="D447" s="11"/>
      <c r="E447" s="11"/>
      <c r="F447" s="11"/>
      <c r="G447" s="11"/>
      <c r="H447" s="11"/>
      <c r="I447" s="11"/>
      <c r="J447" s="11"/>
      <c r="K447" s="11"/>
      <c r="L447" s="11"/>
      <c r="M447" s="11"/>
      <c r="N447" s="46"/>
      <c r="O447" s="11"/>
      <c r="P447" s="11"/>
      <c r="Q447" s="46"/>
      <c r="R447" s="11"/>
      <c r="S447" s="11"/>
      <c r="T447" s="11"/>
      <c r="U447" s="11"/>
      <c r="V447" s="11"/>
      <c r="W447" s="11"/>
      <c r="X447" s="11"/>
      <c r="Y447" s="11"/>
      <c r="Z447" s="11"/>
      <c r="AA447" s="11"/>
      <c r="AB447" s="11"/>
      <c r="AC447" s="11"/>
      <c r="AD447" s="11"/>
    </row>
  </sheetData>
  <autoFilter ref="$A$1:$X$275">
    <filterColumn colId="13">
      <filters>
        <filter val="Fail"/>
      </filters>
    </filterColumn>
  </autoFilter>
  <customSheetViews>
    <customSheetView guid="{FF5EA53E-E769-44DF-A820-DCF312DD565F}" filter="1" showAutoFilter="1">
      <autoFilter ref="$A$1:$X$275">
        <filterColumn colId="13">
          <filters>
            <filter val="Fail"/>
          </filters>
        </filterColumn>
      </autoFilter>
    </customSheetView>
    <customSheetView guid="{29A43B39-9DC5-49BD-A6E8-6B79FBAA3080}" filter="1" showAutoFilter="1">
      <autoFilter ref="$A$1:$X$275"/>
    </customSheetView>
  </customSheetViews>
  <dataValidations>
    <dataValidation type="list" allowBlank="1" showErrorMessage="1" sqref="P2:Q276 W2:W276">
      <formula1>"BA confirm,Reopen,InProcess,Pass,Reject,dev done"</formula1>
    </dataValidation>
    <dataValidation type="list" allowBlank="1" sqref="C2:C275">
      <formula1>"Tuần 1,Tuần 2,Tuần 3,Tuần 4"</formula1>
    </dataValidation>
    <dataValidation type="list" allowBlank="1" showErrorMessage="1" sqref="N2:N276 U2:U276">
      <formula1>"Pass,Fail,N/R"</formula1>
    </dataValidation>
  </dataValidations>
  <hyperlinks>
    <hyperlink r:id="rId1" ref="G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46"/>
    <hyperlink r:id="rId38" ref="M47"/>
    <hyperlink r:id="rId39" ref="M98"/>
    <hyperlink r:id="rId40" ref="M99"/>
    <hyperlink r:id="rId41" ref="M100"/>
    <hyperlink r:id="rId42" ref="M101"/>
    <hyperlink r:id="rId43" ref="M102"/>
    <hyperlink r:id="rId44" ref="M103"/>
    <hyperlink r:id="rId45" ref="M104"/>
    <hyperlink r:id="rId46" ref="M105"/>
    <hyperlink r:id="rId47" ref="M106"/>
    <hyperlink r:id="rId48" ref="M107"/>
    <hyperlink r:id="rId49" ref="M108"/>
    <hyperlink r:id="rId50" ref="M109"/>
    <hyperlink r:id="rId51" ref="M110"/>
    <hyperlink r:id="rId52" ref="M111"/>
    <hyperlink r:id="rId53" ref="M112"/>
    <hyperlink r:id="rId54" ref="M113"/>
    <hyperlink r:id="rId55" ref="M114"/>
    <hyperlink r:id="rId56" ref="M115"/>
    <hyperlink r:id="rId57" ref="M116"/>
    <hyperlink r:id="rId58" ref="M117"/>
    <hyperlink r:id="rId59" ref="M118"/>
    <hyperlink r:id="rId60" ref="M119"/>
    <hyperlink r:id="rId61" ref="M120"/>
    <hyperlink r:id="rId62" ref="M121"/>
    <hyperlink r:id="rId63" ref="M122"/>
    <hyperlink r:id="rId64" ref="M123"/>
    <hyperlink r:id="rId65" ref="M124"/>
    <hyperlink r:id="rId66" ref="M125"/>
    <hyperlink r:id="rId67" ref="M126"/>
    <hyperlink r:id="rId68" ref="M127"/>
    <hyperlink r:id="rId69" ref="M128"/>
    <hyperlink r:id="rId70" ref="M129"/>
    <hyperlink r:id="rId71" ref="M131"/>
    <hyperlink r:id="rId72" ref="M132"/>
    <hyperlink r:id="rId73" ref="M133"/>
    <hyperlink r:id="rId74" ref="M134"/>
    <hyperlink r:id="rId75" ref="M135"/>
    <hyperlink r:id="rId76" ref="M136"/>
    <hyperlink r:id="rId77" ref="M138"/>
    <hyperlink r:id="rId78" ref="M139"/>
    <hyperlink r:id="rId79" ref="M140"/>
    <hyperlink r:id="rId80" ref="M141"/>
    <hyperlink r:id="rId81" ref="M142"/>
    <hyperlink r:id="rId82" ref="M143"/>
    <hyperlink r:id="rId83" ref="M144"/>
    <hyperlink r:id="rId84" ref="M145"/>
    <hyperlink r:id="rId85" ref="M146"/>
    <hyperlink r:id="rId86" ref="M148"/>
    <hyperlink r:id="rId87" ref="M149"/>
    <hyperlink r:id="rId88" ref="M150"/>
    <hyperlink r:id="rId89" ref="M151"/>
    <hyperlink r:id="rId90" ref="M152"/>
    <hyperlink r:id="rId91" ref="M153"/>
    <hyperlink r:id="rId92" ref="M154"/>
    <hyperlink r:id="rId93" ref="M155"/>
    <hyperlink r:id="rId94" ref="M156"/>
    <hyperlink r:id="rId95" ref="M157"/>
    <hyperlink r:id="rId96" ref="M158"/>
    <hyperlink r:id="rId97" ref="M159"/>
    <hyperlink r:id="rId98" ref="M161"/>
    <hyperlink r:id="rId99" ref="M162"/>
    <hyperlink r:id="rId100" ref="M163"/>
    <hyperlink r:id="rId101" ref="M164"/>
    <hyperlink r:id="rId102" ref="M165"/>
    <hyperlink r:id="rId103" ref="M166"/>
    <hyperlink r:id="rId104" ref="M167"/>
    <hyperlink r:id="rId105" ref="M168"/>
    <hyperlink r:id="rId106" ref="M170"/>
    <hyperlink r:id="rId107" ref="M171"/>
    <hyperlink r:id="rId108" ref="M172"/>
    <hyperlink r:id="rId109" ref="M173"/>
    <hyperlink r:id="rId110" ref="M174"/>
    <hyperlink r:id="rId111" ref="M175"/>
    <hyperlink r:id="rId112" ref="M176"/>
    <hyperlink r:id="rId113" ref="M177"/>
    <hyperlink r:id="rId114" ref="M178"/>
    <hyperlink r:id="rId115" ref="M179"/>
    <hyperlink r:id="rId116" ref="M180"/>
    <hyperlink r:id="rId117" ref="M181"/>
    <hyperlink r:id="rId118" ref="M183"/>
    <hyperlink r:id="rId119" ref="M184"/>
    <hyperlink r:id="rId120" ref="M185"/>
    <hyperlink r:id="rId121" ref="M186"/>
    <hyperlink r:id="rId122" ref="M187"/>
    <hyperlink r:id="rId123" ref="M188"/>
    <hyperlink r:id="rId124" ref="M189"/>
    <hyperlink r:id="rId125" ref="M190"/>
    <hyperlink r:id="rId126" ref="M191"/>
    <hyperlink r:id="rId127" ref="M192"/>
    <hyperlink r:id="rId128" ref="M193"/>
    <hyperlink r:id="rId129" ref="M196"/>
    <hyperlink r:id="rId130" ref="M197"/>
    <hyperlink r:id="rId131" ref="M198"/>
    <hyperlink r:id="rId132" ref="M199"/>
    <hyperlink r:id="rId133" ref="M200"/>
    <hyperlink r:id="rId134" ref="M201"/>
    <hyperlink r:id="rId135" ref="M202"/>
    <hyperlink r:id="rId136" ref="M203"/>
    <hyperlink r:id="rId137" ref="M204"/>
    <hyperlink r:id="rId138" ref="M205"/>
    <hyperlink r:id="rId139" ref="M207"/>
    <hyperlink r:id="rId140" ref="M208"/>
    <hyperlink r:id="rId141" ref="M209"/>
    <hyperlink r:id="rId142" ref="M210"/>
    <hyperlink r:id="rId143" ref="M211"/>
    <hyperlink r:id="rId144" ref="M212"/>
    <hyperlink r:id="rId145" ref="M213"/>
    <hyperlink r:id="rId146" ref="M214"/>
    <hyperlink r:id="rId147" ref="M215"/>
    <hyperlink r:id="rId148" ref="M216"/>
    <hyperlink r:id="rId149" ref="M217"/>
    <hyperlink r:id="rId150" ref="M218"/>
    <hyperlink r:id="rId151" ref="M221"/>
    <hyperlink r:id="rId152" ref="M222"/>
    <hyperlink r:id="rId153" ref="M223"/>
    <hyperlink r:id="rId154" ref="M224"/>
    <hyperlink r:id="rId155" ref="M225"/>
    <hyperlink r:id="rId156" ref="M226"/>
    <hyperlink r:id="rId157" ref="M227"/>
    <hyperlink r:id="rId158" ref="M228"/>
    <hyperlink r:id="rId159" ref="M229"/>
    <hyperlink r:id="rId160" ref="M230"/>
    <hyperlink r:id="rId161" ref="M231"/>
    <hyperlink r:id="rId162" ref="M232"/>
    <hyperlink r:id="rId163" ref="M233"/>
    <hyperlink r:id="rId164" ref="M234"/>
    <hyperlink r:id="rId165" ref="M235"/>
    <hyperlink r:id="rId166" ref="M238"/>
    <hyperlink r:id="rId167" ref="M239"/>
    <hyperlink r:id="rId168" ref="M240"/>
    <hyperlink r:id="rId169" ref="M241"/>
    <hyperlink r:id="rId170" ref="M242"/>
    <hyperlink r:id="rId171" ref="M243"/>
    <hyperlink r:id="rId172" ref="M245"/>
    <hyperlink r:id="rId173" ref="M246"/>
    <hyperlink r:id="rId174" ref="M247"/>
    <hyperlink r:id="rId175" ref="M248"/>
    <hyperlink r:id="rId176" ref="M249"/>
    <hyperlink r:id="rId177" ref="M250"/>
    <hyperlink r:id="rId178" ref="M251"/>
    <hyperlink r:id="rId179" ref="M252"/>
    <hyperlink r:id="rId180" ref="M253"/>
    <hyperlink r:id="rId181" ref="M254"/>
    <hyperlink r:id="rId182" ref="M255"/>
    <hyperlink r:id="rId183" ref="M256"/>
    <hyperlink r:id="rId184" ref="M257"/>
    <hyperlink r:id="rId185" ref="M258"/>
    <hyperlink r:id="rId186" ref="M259"/>
    <hyperlink r:id="rId187" ref="M260"/>
    <hyperlink r:id="rId188" ref="M261"/>
    <hyperlink r:id="rId189" ref="M262"/>
    <hyperlink r:id="rId190" ref="M263"/>
    <hyperlink r:id="rId191" ref="M264"/>
    <hyperlink r:id="rId192" ref="M265"/>
    <hyperlink r:id="rId193" ref="M267"/>
    <hyperlink r:id="rId194" ref="M268"/>
    <hyperlink r:id="rId195" ref="M269"/>
    <hyperlink r:id="rId196" ref="M270"/>
    <hyperlink r:id="rId197" ref="M273"/>
    <hyperlink r:id="rId198" ref="M275"/>
  </hyperlinks>
  <drawing r:id="rId1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25"/>
    <col customWidth="1" min="2" max="2" width="12.0"/>
    <col customWidth="1" min="4" max="4" width="17.75"/>
    <col customWidth="1" min="6" max="6" width="28.25"/>
    <col customWidth="1" min="7" max="7" width="23.25"/>
    <col customWidth="1" min="8" max="8" width="33.88"/>
    <col customWidth="1" min="9" max="9" width="21.13"/>
    <col customWidth="1" min="10" max="10" width="33.88"/>
    <col customWidth="1" min="11" max="12" width="34.5"/>
    <col customWidth="1" min="13" max="13" width="26.63"/>
    <col customWidth="1" min="15" max="15" width="17.0"/>
    <col customWidth="1" min="16" max="16" width="15.13"/>
    <col customWidth="1" min="17" max="17" width="14.38"/>
    <col customWidth="1" min="18" max="18" width="26.5"/>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3"/>
      <c r="Z1" s="3"/>
      <c r="AA1" s="3"/>
      <c r="AB1" s="3"/>
      <c r="AC1" s="3"/>
      <c r="AD1" s="3"/>
    </row>
    <row r="2">
      <c r="A2" s="48"/>
      <c r="B2" s="37">
        <v>46209.0</v>
      </c>
      <c r="C2" s="49" t="s">
        <v>1046</v>
      </c>
      <c r="D2" s="22" t="s">
        <v>1047</v>
      </c>
      <c r="E2" s="50"/>
      <c r="F2" s="50"/>
      <c r="G2" s="51" t="s">
        <v>1048</v>
      </c>
      <c r="H2" s="52" t="s">
        <v>1049</v>
      </c>
      <c r="I2" s="53"/>
      <c r="J2" s="52" t="s">
        <v>1050</v>
      </c>
      <c r="K2" s="52" t="s">
        <v>1051</v>
      </c>
      <c r="L2" s="52" t="s">
        <v>1052</v>
      </c>
      <c r="M2" s="54" t="s">
        <v>1053</v>
      </c>
      <c r="N2" s="52" t="s">
        <v>64</v>
      </c>
      <c r="O2" s="53"/>
      <c r="P2" s="55"/>
      <c r="Q2" s="56"/>
    </row>
    <row r="3">
      <c r="A3" s="48"/>
      <c r="B3" s="37">
        <v>46209.0</v>
      </c>
      <c r="C3" s="49" t="s">
        <v>1046</v>
      </c>
      <c r="D3" s="22" t="s">
        <v>1054</v>
      </c>
      <c r="E3" s="50"/>
      <c r="F3" s="50"/>
      <c r="G3" s="51" t="s">
        <v>1055</v>
      </c>
      <c r="H3" s="52" t="s">
        <v>1049</v>
      </c>
      <c r="I3" s="53"/>
      <c r="J3" s="52" t="s">
        <v>1056</v>
      </c>
      <c r="K3" s="52" t="s">
        <v>1057</v>
      </c>
      <c r="L3" s="52" t="s">
        <v>1058</v>
      </c>
      <c r="M3" s="57" t="s">
        <v>1059</v>
      </c>
      <c r="N3" s="52" t="s">
        <v>64</v>
      </c>
      <c r="O3" s="53"/>
      <c r="P3" s="55"/>
      <c r="Q3" s="56"/>
    </row>
    <row r="4">
      <c r="A4" s="58"/>
      <c r="B4" s="59">
        <v>24.0</v>
      </c>
      <c r="C4" s="49" t="s">
        <v>1046</v>
      </c>
      <c r="D4" s="60" t="s">
        <v>1060</v>
      </c>
      <c r="E4" s="61" t="s">
        <v>1061</v>
      </c>
      <c r="F4" s="61" t="s">
        <v>30</v>
      </c>
      <c r="G4" s="62" t="s">
        <v>1062</v>
      </c>
      <c r="H4" s="52" t="s">
        <v>1063</v>
      </c>
      <c r="I4" s="53"/>
      <c r="J4" s="52" t="s">
        <v>1064</v>
      </c>
      <c r="K4" s="52" t="s">
        <v>1065</v>
      </c>
      <c r="L4" s="52" t="s">
        <v>1066</v>
      </c>
      <c r="M4" s="54" t="s">
        <v>1067</v>
      </c>
      <c r="N4" s="52" t="s">
        <v>64</v>
      </c>
      <c r="O4" s="53"/>
      <c r="P4" s="55"/>
      <c r="Q4" s="56"/>
    </row>
    <row r="5">
      <c r="A5" s="48"/>
      <c r="B5" s="37">
        <v>46209.0</v>
      </c>
      <c r="C5" s="49" t="s">
        <v>1046</v>
      </c>
      <c r="D5" s="22" t="s">
        <v>1068</v>
      </c>
      <c r="E5" s="50"/>
      <c r="F5" s="50"/>
      <c r="G5" s="51" t="s">
        <v>1069</v>
      </c>
      <c r="H5" s="52" t="s">
        <v>1070</v>
      </c>
      <c r="I5" s="53"/>
      <c r="J5" s="52" t="s">
        <v>1071</v>
      </c>
      <c r="K5" s="52" t="s">
        <v>1072</v>
      </c>
      <c r="L5" s="52" t="s">
        <v>1073</v>
      </c>
      <c r="M5" s="54" t="s">
        <v>1074</v>
      </c>
      <c r="N5" s="52" t="s">
        <v>64</v>
      </c>
      <c r="O5" s="53"/>
      <c r="P5" s="55"/>
      <c r="Q5" s="56"/>
    </row>
    <row r="6">
      <c r="A6" s="48"/>
      <c r="B6" s="37">
        <v>46209.0</v>
      </c>
      <c r="C6" s="49" t="s">
        <v>1046</v>
      </c>
      <c r="D6" s="22" t="s">
        <v>1075</v>
      </c>
      <c r="E6" s="50"/>
      <c r="F6" s="50"/>
      <c r="G6" s="51" t="s">
        <v>1076</v>
      </c>
      <c r="H6" s="52" t="s">
        <v>1077</v>
      </c>
      <c r="I6" s="53"/>
      <c r="J6" s="52" t="s">
        <v>1078</v>
      </c>
      <c r="K6" s="52" t="s">
        <v>1079</v>
      </c>
      <c r="L6" s="52" t="s">
        <v>1080</v>
      </c>
      <c r="M6" s="54" t="s">
        <v>1081</v>
      </c>
      <c r="N6" s="52" t="s">
        <v>64</v>
      </c>
      <c r="O6" s="53"/>
      <c r="P6" s="55"/>
      <c r="Q6" s="56"/>
    </row>
    <row r="7">
      <c r="A7" s="58"/>
      <c r="B7" s="59">
        <v>25.0</v>
      </c>
      <c r="C7" s="49" t="s">
        <v>1046</v>
      </c>
      <c r="D7" s="63" t="s">
        <v>1082</v>
      </c>
      <c r="E7" s="61" t="s">
        <v>1083</v>
      </c>
      <c r="F7" s="61" t="s">
        <v>30</v>
      </c>
      <c r="G7" s="62" t="s">
        <v>1084</v>
      </c>
      <c r="H7" s="52" t="s">
        <v>1085</v>
      </c>
      <c r="I7" s="53"/>
      <c r="J7" s="52" t="s">
        <v>1086</v>
      </c>
      <c r="K7" s="52" t="s">
        <v>1084</v>
      </c>
      <c r="L7" s="52" t="s">
        <v>1087</v>
      </c>
      <c r="M7" s="54" t="s">
        <v>1088</v>
      </c>
      <c r="N7" s="52" t="s">
        <v>64</v>
      </c>
      <c r="O7" s="53"/>
      <c r="P7" s="55"/>
      <c r="Q7" s="56"/>
    </row>
    <row r="8">
      <c r="A8" s="48"/>
      <c r="B8" s="37">
        <v>46209.0</v>
      </c>
      <c r="C8" s="49" t="s">
        <v>1046</v>
      </c>
      <c r="D8" s="23" t="s">
        <v>1089</v>
      </c>
      <c r="E8" s="50"/>
      <c r="F8" s="50"/>
      <c r="G8" s="51" t="s">
        <v>1090</v>
      </c>
      <c r="H8" s="52" t="s">
        <v>1085</v>
      </c>
      <c r="I8" s="53"/>
      <c r="J8" s="52" t="s">
        <v>1091</v>
      </c>
      <c r="K8" s="52" t="s">
        <v>1092</v>
      </c>
      <c r="L8" s="52" t="s">
        <v>1093</v>
      </c>
      <c r="M8" s="57" t="s">
        <v>1094</v>
      </c>
      <c r="N8" s="52" t="s">
        <v>64</v>
      </c>
      <c r="O8" s="53"/>
      <c r="P8" s="55"/>
      <c r="Q8" s="56"/>
    </row>
    <row r="9">
      <c r="A9" s="48"/>
      <c r="B9" s="37">
        <v>46209.0</v>
      </c>
      <c r="C9" s="49" t="s">
        <v>1046</v>
      </c>
      <c r="D9" s="23" t="s">
        <v>1095</v>
      </c>
      <c r="E9" s="50"/>
      <c r="F9" s="50"/>
      <c r="G9" s="51" t="s">
        <v>1096</v>
      </c>
      <c r="H9" s="52" t="s">
        <v>1085</v>
      </c>
      <c r="I9" s="53"/>
      <c r="J9" s="52" t="s">
        <v>1097</v>
      </c>
      <c r="K9" s="52" t="s">
        <v>1098</v>
      </c>
      <c r="L9" s="52" t="s">
        <v>1099</v>
      </c>
      <c r="M9" s="57" t="s">
        <v>1100</v>
      </c>
      <c r="N9" s="52" t="s">
        <v>64</v>
      </c>
      <c r="O9" s="53"/>
      <c r="P9" s="55"/>
      <c r="Q9" s="56"/>
    </row>
    <row r="10">
      <c r="A10" s="48"/>
      <c r="B10" s="37">
        <v>46209.0</v>
      </c>
      <c r="C10" s="49" t="s">
        <v>1046</v>
      </c>
      <c r="D10" s="23" t="s">
        <v>1101</v>
      </c>
      <c r="E10" s="50"/>
      <c r="F10" s="50"/>
      <c r="G10" s="51" t="s">
        <v>1102</v>
      </c>
      <c r="H10" s="52" t="s">
        <v>1085</v>
      </c>
      <c r="I10" s="53"/>
      <c r="J10" s="52" t="s">
        <v>1103</v>
      </c>
      <c r="K10" s="52" t="s">
        <v>1104</v>
      </c>
      <c r="L10" s="52" t="s">
        <v>1105</v>
      </c>
      <c r="M10" s="57" t="s">
        <v>1106</v>
      </c>
      <c r="N10" s="52" t="s">
        <v>64</v>
      </c>
      <c r="O10" s="53"/>
      <c r="P10" s="55"/>
      <c r="Q10" s="56"/>
    </row>
    <row r="11">
      <c r="A11" s="58"/>
      <c r="B11" s="59">
        <v>27.0</v>
      </c>
      <c r="C11" s="49" t="s">
        <v>1046</v>
      </c>
      <c r="D11" s="63" t="s">
        <v>1107</v>
      </c>
      <c r="E11" s="61" t="s">
        <v>1108</v>
      </c>
      <c r="F11" s="61" t="s">
        <v>30</v>
      </c>
      <c r="G11" s="62" t="s">
        <v>1109</v>
      </c>
      <c r="H11" s="52" t="s">
        <v>1110</v>
      </c>
      <c r="I11" s="53"/>
      <c r="J11" s="52" t="s">
        <v>1111</v>
      </c>
      <c r="K11" s="52" t="s">
        <v>1112</v>
      </c>
      <c r="L11" s="52" t="s">
        <v>1093</v>
      </c>
      <c r="M11" s="54" t="s">
        <v>1113</v>
      </c>
      <c r="N11" s="52" t="s">
        <v>64</v>
      </c>
      <c r="O11" s="53"/>
      <c r="P11" s="55"/>
      <c r="Q11" s="56"/>
    </row>
    <row r="12">
      <c r="A12" s="48"/>
      <c r="B12" s="37">
        <v>46209.0</v>
      </c>
      <c r="C12" s="49" t="s">
        <v>1046</v>
      </c>
      <c r="D12" s="23" t="s">
        <v>1114</v>
      </c>
      <c r="E12" s="50"/>
      <c r="F12" s="50"/>
      <c r="G12" s="51" t="s">
        <v>1115</v>
      </c>
      <c r="H12" s="52" t="s">
        <v>1085</v>
      </c>
      <c r="I12" s="53"/>
      <c r="J12" s="52" t="s">
        <v>1116</v>
      </c>
      <c r="K12" s="52" t="s">
        <v>1117</v>
      </c>
      <c r="L12" s="52" t="s">
        <v>1118</v>
      </c>
      <c r="M12" s="54" t="s">
        <v>1119</v>
      </c>
      <c r="N12" s="52" t="s">
        <v>64</v>
      </c>
      <c r="O12" s="53"/>
      <c r="P12" s="55"/>
      <c r="Q12" s="56"/>
    </row>
    <row r="13">
      <c r="A13" s="48"/>
      <c r="B13" s="37">
        <v>46209.0</v>
      </c>
      <c r="C13" s="49" t="s">
        <v>1046</v>
      </c>
      <c r="D13" s="23" t="s">
        <v>1120</v>
      </c>
      <c r="E13" s="50"/>
      <c r="F13" s="50"/>
      <c r="G13" s="51" t="s">
        <v>1121</v>
      </c>
      <c r="H13" s="52" t="s">
        <v>1085</v>
      </c>
      <c r="I13" s="53"/>
      <c r="J13" s="52" t="s">
        <v>1122</v>
      </c>
      <c r="K13" s="52" t="s">
        <v>1123</v>
      </c>
      <c r="L13" s="52" t="s">
        <v>1124</v>
      </c>
      <c r="M13" s="57" t="s">
        <v>1125</v>
      </c>
      <c r="N13" s="52" t="s">
        <v>64</v>
      </c>
      <c r="O13" s="53"/>
      <c r="P13" s="55"/>
      <c r="Q13" s="56"/>
    </row>
    <row r="14">
      <c r="A14" s="48"/>
      <c r="B14" s="37">
        <v>46209.0</v>
      </c>
      <c r="C14" s="49" t="s">
        <v>1046</v>
      </c>
      <c r="D14" s="23" t="s">
        <v>1126</v>
      </c>
      <c r="E14" s="50"/>
      <c r="F14" s="50"/>
      <c r="G14" s="51" t="s">
        <v>1096</v>
      </c>
      <c r="H14" s="52" t="s">
        <v>1085</v>
      </c>
      <c r="I14" s="53"/>
      <c r="J14" s="52" t="s">
        <v>1127</v>
      </c>
      <c r="K14" s="52" t="s">
        <v>1128</v>
      </c>
      <c r="L14" s="52" t="s">
        <v>1129</v>
      </c>
      <c r="M14" s="57" t="s">
        <v>1130</v>
      </c>
      <c r="N14" s="52" t="s">
        <v>64</v>
      </c>
      <c r="O14" s="53"/>
      <c r="P14" s="55"/>
      <c r="Q14" s="56"/>
    </row>
    <row r="15">
      <c r="A15" s="48"/>
      <c r="B15" s="37">
        <v>46209.0</v>
      </c>
      <c r="C15" s="49" t="s">
        <v>1046</v>
      </c>
      <c r="D15" s="23" t="s">
        <v>1131</v>
      </c>
      <c r="E15" s="50"/>
      <c r="F15" s="50"/>
      <c r="G15" s="51" t="s">
        <v>1132</v>
      </c>
      <c r="H15" s="52" t="s">
        <v>1085</v>
      </c>
      <c r="I15" s="53"/>
      <c r="J15" s="52" t="s">
        <v>1133</v>
      </c>
      <c r="K15" s="52" t="s">
        <v>1134</v>
      </c>
      <c r="L15" s="52" t="s">
        <v>1135</v>
      </c>
      <c r="M15" s="57" t="s">
        <v>1136</v>
      </c>
      <c r="N15" s="52" t="s">
        <v>64</v>
      </c>
      <c r="O15" s="53"/>
      <c r="P15" s="55"/>
      <c r="Q15" s="56"/>
    </row>
    <row r="16">
      <c r="A16" s="48"/>
      <c r="B16" s="37">
        <v>46209.0</v>
      </c>
      <c r="C16" s="49" t="s">
        <v>1046</v>
      </c>
      <c r="D16" s="23" t="s">
        <v>1137</v>
      </c>
      <c r="E16" s="50"/>
      <c r="F16" s="50"/>
      <c r="G16" s="51" t="s">
        <v>1138</v>
      </c>
      <c r="H16" s="52" t="s">
        <v>1085</v>
      </c>
      <c r="I16" s="53"/>
      <c r="J16" s="52" t="s">
        <v>1139</v>
      </c>
      <c r="K16" s="52" t="s">
        <v>1140</v>
      </c>
      <c r="L16" s="52" t="s">
        <v>1141</v>
      </c>
      <c r="M16" s="57" t="s">
        <v>1142</v>
      </c>
      <c r="N16" s="52" t="s">
        <v>64</v>
      </c>
      <c r="O16" s="53"/>
      <c r="P16" s="55"/>
      <c r="Q16" s="56"/>
    </row>
    <row r="17">
      <c r="A17" s="48"/>
      <c r="B17" s="37">
        <v>46209.0</v>
      </c>
      <c r="C17" s="49" t="s">
        <v>1046</v>
      </c>
      <c r="D17" s="22" t="s">
        <v>1143</v>
      </c>
      <c r="E17" s="50"/>
      <c r="F17" s="50"/>
      <c r="G17" s="51" t="s">
        <v>1144</v>
      </c>
      <c r="H17" s="52" t="s">
        <v>1145</v>
      </c>
      <c r="I17" s="53"/>
      <c r="J17" s="52" t="s">
        <v>1146</v>
      </c>
      <c r="K17" s="52" t="s">
        <v>1147</v>
      </c>
      <c r="L17" s="52" t="s">
        <v>1148</v>
      </c>
      <c r="M17" s="57" t="s">
        <v>1149</v>
      </c>
      <c r="N17" s="52" t="s">
        <v>64</v>
      </c>
      <c r="O17" s="53"/>
      <c r="P17" s="55"/>
      <c r="Q17" s="56"/>
    </row>
    <row r="18">
      <c r="A18" s="48"/>
      <c r="B18" s="37">
        <v>46209.0</v>
      </c>
      <c r="C18" s="49" t="s">
        <v>1046</v>
      </c>
      <c r="D18" s="22" t="s">
        <v>1150</v>
      </c>
      <c r="E18" s="50"/>
      <c r="F18" s="50"/>
      <c r="G18" s="51" t="s">
        <v>1090</v>
      </c>
      <c r="H18" s="52" t="s">
        <v>1085</v>
      </c>
      <c r="I18" s="53"/>
      <c r="J18" s="52" t="s">
        <v>1151</v>
      </c>
      <c r="K18" s="52" t="s">
        <v>1152</v>
      </c>
      <c r="L18" s="52" t="s">
        <v>1153</v>
      </c>
      <c r="M18" s="64" t="s">
        <v>1154</v>
      </c>
      <c r="N18" s="52" t="s">
        <v>64</v>
      </c>
      <c r="O18" s="53"/>
      <c r="P18" s="55"/>
      <c r="Q18" s="56"/>
    </row>
    <row r="19">
      <c r="A19" s="48"/>
      <c r="B19" s="37">
        <v>46209.0</v>
      </c>
      <c r="C19" s="49" t="s">
        <v>1046</v>
      </c>
      <c r="D19" s="22" t="s">
        <v>1155</v>
      </c>
      <c r="E19" s="50"/>
      <c r="F19" s="50"/>
      <c r="G19" s="51" t="s">
        <v>1096</v>
      </c>
      <c r="H19" s="52" t="s">
        <v>1085</v>
      </c>
      <c r="I19" s="53"/>
      <c r="J19" s="52" t="s">
        <v>1156</v>
      </c>
      <c r="K19" s="52" t="s">
        <v>1128</v>
      </c>
      <c r="L19" s="52" t="s">
        <v>1157</v>
      </c>
      <c r="M19" s="64" t="s">
        <v>1158</v>
      </c>
      <c r="N19" s="52" t="s">
        <v>64</v>
      </c>
      <c r="O19" s="53"/>
      <c r="P19" s="55"/>
      <c r="Q19" s="56"/>
    </row>
    <row r="20">
      <c r="A20" s="48"/>
      <c r="B20" s="37">
        <v>46209.0</v>
      </c>
      <c r="C20" s="49" t="s">
        <v>1046</v>
      </c>
      <c r="D20" s="22" t="s">
        <v>1159</v>
      </c>
      <c r="E20" s="50"/>
      <c r="F20" s="50"/>
      <c r="G20" s="51" t="s">
        <v>1160</v>
      </c>
      <c r="H20" s="52" t="s">
        <v>1085</v>
      </c>
      <c r="I20" s="53"/>
      <c r="J20" s="52" t="s">
        <v>1161</v>
      </c>
      <c r="K20" s="52" t="s">
        <v>1162</v>
      </c>
      <c r="L20" s="52" t="s">
        <v>1163</v>
      </c>
      <c r="M20" s="64" t="s">
        <v>1164</v>
      </c>
      <c r="N20" s="52" t="s">
        <v>64</v>
      </c>
      <c r="O20" s="53"/>
      <c r="P20" s="55"/>
      <c r="Q20" s="56"/>
    </row>
    <row r="21">
      <c r="A21" s="48"/>
      <c r="B21" s="37">
        <v>46209.0</v>
      </c>
      <c r="C21" s="49" t="s">
        <v>1046</v>
      </c>
      <c r="D21" s="22" t="s">
        <v>1165</v>
      </c>
      <c r="E21" s="50"/>
      <c r="F21" s="50"/>
      <c r="G21" s="51" t="s">
        <v>1102</v>
      </c>
      <c r="H21" s="52" t="s">
        <v>1085</v>
      </c>
      <c r="I21" s="53"/>
      <c r="J21" s="52" t="s">
        <v>1166</v>
      </c>
      <c r="K21" s="52" t="s">
        <v>1167</v>
      </c>
      <c r="L21" s="52" t="s">
        <v>1168</v>
      </c>
      <c r="M21" s="64" t="s">
        <v>1169</v>
      </c>
      <c r="N21" s="52" t="s">
        <v>64</v>
      </c>
      <c r="O21" s="53"/>
      <c r="P21" s="55"/>
      <c r="Q21" s="56"/>
    </row>
    <row r="22">
      <c r="A22" s="48"/>
      <c r="B22" s="37">
        <v>46209.0</v>
      </c>
      <c r="C22" s="49" t="s">
        <v>1046</v>
      </c>
      <c r="D22" s="22" t="s">
        <v>1170</v>
      </c>
      <c r="E22" s="50"/>
      <c r="F22" s="50"/>
      <c r="G22" s="51" t="s">
        <v>1132</v>
      </c>
      <c r="H22" s="52" t="s">
        <v>1085</v>
      </c>
      <c r="I22" s="53"/>
      <c r="J22" s="52" t="s">
        <v>1171</v>
      </c>
      <c r="K22" s="52" t="s">
        <v>1172</v>
      </c>
      <c r="L22" s="52" t="s">
        <v>1173</v>
      </c>
      <c r="M22" s="64" t="s">
        <v>1174</v>
      </c>
      <c r="N22" s="52" t="s">
        <v>64</v>
      </c>
      <c r="O22" s="53"/>
      <c r="P22" s="55"/>
      <c r="Q22" s="56"/>
    </row>
    <row r="23">
      <c r="A23" s="48"/>
      <c r="B23" s="37">
        <v>46209.0</v>
      </c>
      <c r="C23" s="49" t="s">
        <v>1046</v>
      </c>
      <c r="D23" s="22" t="s">
        <v>1175</v>
      </c>
      <c r="E23" s="50"/>
      <c r="F23" s="50"/>
      <c r="G23" s="51" t="s">
        <v>1176</v>
      </c>
      <c r="H23" s="52" t="s">
        <v>1085</v>
      </c>
      <c r="I23" s="53"/>
      <c r="J23" s="52" t="s">
        <v>1177</v>
      </c>
      <c r="K23" s="52" t="s">
        <v>1178</v>
      </c>
      <c r="L23" s="52" t="s">
        <v>1179</v>
      </c>
      <c r="M23" s="64" t="s">
        <v>1180</v>
      </c>
      <c r="N23" s="52" t="s">
        <v>64</v>
      </c>
      <c r="O23" s="53"/>
      <c r="P23" s="55"/>
      <c r="Q23" s="56"/>
    </row>
    <row r="24">
      <c r="A24" s="48"/>
      <c r="B24" s="37">
        <v>46209.0</v>
      </c>
      <c r="C24" s="49" t="s">
        <v>1046</v>
      </c>
      <c r="D24" s="22" t="s">
        <v>1181</v>
      </c>
      <c r="E24" s="50"/>
      <c r="F24" s="50"/>
      <c r="G24" s="51" t="s">
        <v>1182</v>
      </c>
      <c r="H24" s="52" t="s">
        <v>1085</v>
      </c>
      <c r="I24" s="53"/>
      <c r="J24" s="52" t="s">
        <v>1183</v>
      </c>
      <c r="K24" s="52" t="s">
        <v>1162</v>
      </c>
      <c r="L24" s="52" t="s">
        <v>1184</v>
      </c>
      <c r="M24" s="64" t="s">
        <v>1185</v>
      </c>
      <c r="N24" s="52" t="s">
        <v>64</v>
      </c>
      <c r="O24" s="53"/>
      <c r="P24" s="55"/>
      <c r="Q24" s="56"/>
    </row>
    <row r="25">
      <c r="A25" s="48"/>
      <c r="B25" s="37">
        <v>46209.0</v>
      </c>
      <c r="C25" s="49" t="s">
        <v>1046</v>
      </c>
      <c r="D25" s="22" t="s">
        <v>1186</v>
      </c>
      <c r="E25" s="50"/>
      <c r="F25" s="50"/>
      <c r="G25" s="51" t="s">
        <v>1187</v>
      </c>
      <c r="H25" s="52" t="s">
        <v>1188</v>
      </c>
      <c r="I25" s="53"/>
      <c r="J25" s="52" t="s">
        <v>1189</v>
      </c>
      <c r="K25" s="52" t="s">
        <v>1190</v>
      </c>
      <c r="L25" s="52" t="s">
        <v>1191</v>
      </c>
      <c r="M25" s="64" t="s">
        <v>1192</v>
      </c>
      <c r="N25" s="52" t="s">
        <v>64</v>
      </c>
      <c r="O25" s="53"/>
      <c r="P25" s="55"/>
      <c r="Q25" s="56"/>
    </row>
    <row r="26">
      <c r="A26" s="48"/>
      <c r="B26" s="37">
        <v>46209.0</v>
      </c>
      <c r="C26" s="49" t="s">
        <v>1046</v>
      </c>
      <c r="D26" s="22" t="s">
        <v>1193</v>
      </c>
      <c r="E26" s="50"/>
      <c r="F26" s="50"/>
      <c r="G26" s="51" t="s">
        <v>1115</v>
      </c>
      <c r="H26" s="52" t="s">
        <v>1085</v>
      </c>
      <c r="I26" s="53"/>
      <c r="J26" s="52" t="s">
        <v>1194</v>
      </c>
      <c r="K26" s="52" t="s">
        <v>1117</v>
      </c>
      <c r="L26" s="52" t="s">
        <v>1195</v>
      </c>
      <c r="M26" s="65" t="s">
        <v>1196</v>
      </c>
      <c r="N26" s="52" t="s">
        <v>64</v>
      </c>
      <c r="O26" s="53"/>
      <c r="P26" s="55"/>
      <c r="Q26" s="56"/>
    </row>
    <row r="27">
      <c r="A27" s="48"/>
      <c r="B27" s="37">
        <v>46209.0</v>
      </c>
      <c r="C27" s="49" t="s">
        <v>1046</v>
      </c>
      <c r="D27" s="22" t="s">
        <v>1197</v>
      </c>
      <c r="E27" s="50"/>
      <c r="F27" s="50"/>
      <c r="G27" s="51" t="s">
        <v>1198</v>
      </c>
      <c r="H27" s="52" t="s">
        <v>1085</v>
      </c>
      <c r="I27" s="53"/>
      <c r="J27" s="52" t="s">
        <v>1199</v>
      </c>
      <c r="K27" s="52" t="s">
        <v>1200</v>
      </c>
      <c r="L27" s="52" t="s">
        <v>1201</v>
      </c>
      <c r="M27" s="65" t="s">
        <v>1202</v>
      </c>
      <c r="N27" s="52" t="s">
        <v>64</v>
      </c>
      <c r="O27" s="53"/>
      <c r="P27" s="55"/>
      <c r="Q27" s="56"/>
    </row>
    <row r="28">
      <c r="A28" s="48"/>
      <c r="B28" s="37">
        <v>46209.0</v>
      </c>
      <c r="C28" s="49" t="s">
        <v>1046</v>
      </c>
      <c r="D28" s="22" t="s">
        <v>1203</v>
      </c>
      <c r="E28" s="50"/>
      <c r="F28" s="50"/>
      <c r="G28" s="51" t="s">
        <v>1204</v>
      </c>
      <c r="H28" s="52" t="s">
        <v>1085</v>
      </c>
      <c r="I28" s="53"/>
      <c r="J28" s="52" t="s">
        <v>1205</v>
      </c>
      <c r="K28" s="52" t="s">
        <v>1206</v>
      </c>
      <c r="L28" s="52" t="s">
        <v>1207</v>
      </c>
      <c r="M28" s="65" t="s">
        <v>1208</v>
      </c>
      <c r="N28" s="52" t="s">
        <v>64</v>
      </c>
      <c r="O28" s="53"/>
      <c r="P28" s="55"/>
      <c r="Q28" s="56"/>
    </row>
    <row r="29">
      <c r="A29" s="48"/>
      <c r="B29" s="37">
        <v>46209.0</v>
      </c>
      <c r="C29" s="49" t="s">
        <v>1046</v>
      </c>
      <c r="D29" s="22" t="s">
        <v>1209</v>
      </c>
      <c r="E29" s="50"/>
      <c r="F29" s="50"/>
      <c r="G29" s="51" t="s">
        <v>1210</v>
      </c>
      <c r="H29" s="52" t="s">
        <v>1211</v>
      </c>
      <c r="I29" s="53"/>
      <c r="J29" s="52" t="s">
        <v>1212</v>
      </c>
      <c r="K29" s="52" t="s">
        <v>1213</v>
      </c>
      <c r="L29" s="52" t="s">
        <v>1214</v>
      </c>
      <c r="M29" s="65" t="s">
        <v>1215</v>
      </c>
      <c r="N29" s="52" t="s">
        <v>64</v>
      </c>
      <c r="O29" s="53"/>
      <c r="P29" s="55"/>
      <c r="Q29" s="56"/>
    </row>
    <row r="30">
      <c r="A30" s="48"/>
      <c r="B30" s="37">
        <v>46209.0</v>
      </c>
      <c r="C30" s="49" t="s">
        <v>1046</v>
      </c>
      <c r="D30" s="22" t="s">
        <v>1216</v>
      </c>
      <c r="E30" s="50"/>
      <c r="F30" s="50"/>
      <c r="G30" s="51" t="s">
        <v>1217</v>
      </c>
      <c r="H30" s="52" t="s">
        <v>1218</v>
      </c>
      <c r="I30" s="53"/>
      <c r="J30" s="52" t="s">
        <v>1219</v>
      </c>
      <c r="K30" s="52" t="s">
        <v>1220</v>
      </c>
      <c r="L30" s="52" t="s">
        <v>1221</v>
      </c>
      <c r="M30" s="65" t="s">
        <v>1222</v>
      </c>
      <c r="N30" s="52" t="s">
        <v>64</v>
      </c>
      <c r="O30" s="53"/>
      <c r="P30" s="55"/>
      <c r="Q30" s="56"/>
    </row>
    <row r="31">
      <c r="A31" s="48"/>
      <c r="B31" s="37">
        <v>46209.0</v>
      </c>
      <c r="C31" s="49" t="s">
        <v>1046</v>
      </c>
      <c r="D31" s="22" t="s">
        <v>1223</v>
      </c>
      <c r="E31" s="50"/>
      <c r="F31" s="50"/>
      <c r="G31" s="51" t="s">
        <v>1090</v>
      </c>
      <c r="H31" s="52" t="s">
        <v>1085</v>
      </c>
      <c r="I31" s="53"/>
      <c r="J31" s="52" t="s">
        <v>1224</v>
      </c>
      <c r="K31" s="52" t="s">
        <v>1152</v>
      </c>
      <c r="L31" s="52" t="s">
        <v>1093</v>
      </c>
      <c r="M31" s="65" t="s">
        <v>1225</v>
      </c>
      <c r="N31" s="52" t="s">
        <v>64</v>
      </c>
      <c r="O31" s="53"/>
      <c r="P31" s="55"/>
      <c r="Q31" s="56"/>
    </row>
    <row r="32">
      <c r="A32" s="48"/>
      <c r="B32" s="37">
        <v>46209.0</v>
      </c>
      <c r="C32" s="49" t="s">
        <v>1046</v>
      </c>
      <c r="D32" s="22" t="s">
        <v>1226</v>
      </c>
      <c r="E32" s="50"/>
      <c r="F32" s="50"/>
      <c r="G32" s="51" t="s">
        <v>1102</v>
      </c>
      <c r="H32" s="52" t="s">
        <v>1085</v>
      </c>
      <c r="I32" s="53"/>
      <c r="J32" s="52" t="s">
        <v>1227</v>
      </c>
      <c r="K32" s="52" t="s">
        <v>1228</v>
      </c>
      <c r="L32" s="52" t="s">
        <v>1229</v>
      </c>
      <c r="M32" s="65" t="s">
        <v>1230</v>
      </c>
      <c r="N32" s="52" t="s">
        <v>64</v>
      </c>
      <c r="O32" s="53"/>
      <c r="P32" s="55"/>
      <c r="Q32" s="56"/>
    </row>
    <row r="33">
      <c r="A33" s="58"/>
      <c r="B33" s="59">
        <v>37.0</v>
      </c>
      <c r="C33" s="49" t="s">
        <v>1046</v>
      </c>
      <c r="D33" s="60" t="s">
        <v>1231</v>
      </c>
      <c r="E33" s="61" t="s">
        <v>1232</v>
      </c>
      <c r="F33" s="61" t="s">
        <v>287</v>
      </c>
      <c r="G33" s="62" t="s">
        <v>1233</v>
      </c>
      <c r="H33" s="52" t="s">
        <v>1234</v>
      </c>
      <c r="I33" s="53"/>
      <c r="J33" s="52" t="s">
        <v>1235</v>
      </c>
      <c r="K33" s="52" t="s">
        <v>1236</v>
      </c>
      <c r="L33" s="52" t="s">
        <v>1237</v>
      </c>
      <c r="M33" s="54" t="s">
        <v>1238</v>
      </c>
      <c r="N33" s="52" t="s">
        <v>64</v>
      </c>
      <c r="O33" s="53"/>
      <c r="P33" s="55"/>
      <c r="Q33" s="56"/>
    </row>
    <row r="34">
      <c r="A34" s="66"/>
      <c r="B34" s="37">
        <v>46209.0</v>
      </c>
      <c r="C34" s="49" t="s">
        <v>1046</v>
      </c>
      <c r="D34" s="22" t="s">
        <v>1239</v>
      </c>
      <c r="E34" s="53"/>
      <c r="F34" s="53"/>
      <c r="G34" s="52" t="s">
        <v>1240</v>
      </c>
      <c r="H34" s="52" t="s">
        <v>1241</v>
      </c>
      <c r="I34" s="53"/>
      <c r="J34" s="52" t="s">
        <v>1242</v>
      </c>
      <c r="K34" s="52" t="s">
        <v>1243</v>
      </c>
      <c r="L34" s="52" t="s">
        <v>1237</v>
      </c>
      <c r="M34" s="54" t="s">
        <v>1244</v>
      </c>
      <c r="N34" s="52" t="s">
        <v>64</v>
      </c>
      <c r="O34" s="53"/>
      <c r="P34" s="55"/>
      <c r="Q34" s="56"/>
    </row>
    <row r="35">
      <c r="A35" s="58"/>
      <c r="B35" s="59">
        <v>38.0</v>
      </c>
      <c r="C35" s="49" t="s">
        <v>1046</v>
      </c>
      <c r="D35" s="60" t="s">
        <v>1245</v>
      </c>
      <c r="E35" s="61" t="s">
        <v>1246</v>
      </c>
      <c r="F35" s="61" t="s">
        <v>287</v>
      </c>
      <c r="G35" s="62" t="s">
        <v>1247</v>
      </c>
      <c r="H35" s="52" t="s">
        <v>1248</v>
      </c>
      <c r="I35" s="53"/>
      <c r="J35" s="52" t="s">
        <v>1249</v>
      </c>
      <c r="K35" s="52" t="s">
        <v>1250</v>
      </c>
      <c r="L35" s="52" t="s">
        <v>1251</v>
      </c>
      <c r="M35" s="54" t="s">
        <v>1252</v>
      </c>
      <c r="N35" s="52" t="s">
        <v>64</v>
      </c>
      <c r="O35" s="53"/>
      <c r="P35" s="55"/>
      <c r="Q35" s="56"/>
    </row>
    <row r="36">
      <c r="A36" s="48"/>
      <c r="B36" s="37">
        <v>46210.0</v>
      </c>
      <c r="C36" s="49" t="s">
        <v>1046</v>
      </c>
      <c r="D36" s="22" t="s">
        <v>1253</v>
      </c>
      <c r="E36" s="50"/>
      <c r="F36" s="50"/>
      <c r="G36" s="51" t="s">
        <v>1090</v>
      </c>
      <c r="H36" s="52" t="s">
        <v>1085</v>
      </c>
      <c r="I36" s="53"/>
      <c r="J36" s="52" t="s">
        <v>1254</v>
      </c>
      <c r="K36" s="52" t="s">
        <v>1255</v>
      </c>
      <c r="L36" s="52" t="s">
        <v>1256</v>
      </c>
      <c r="M36" s="65" t="s">
        <v>1257</v>
      </c>
      <c r="N36" s="52" t="s">
        <v>64</v>
      </c>
      <c r="O36" s="53"/>
      <c r="P36" s="55"/>
      <c r="Q36" s="56"/>
    </row>
    <row r="37">
      <c r="A37" s="48"/>
      <c r="B37" s="37">
        <v>46210.0</v>
      </c>
      <c r="C37" s="49" t="s">
        <v>1046</v>
      </c>
      <c r="D37" s="22" t="s">
        <v>1258</v>
      </c>
      <c r="E37" s="50"/>
      <c r="F37" s="50"/>
      <c r="G37" s="51" t="s">
        <v>1132</v>
      </c>
      <c r="H37" s="52" t="s">
        <v>1085</v>
      </c>
      <c r="I37" s="53"/>
      <c r="J37" s="52" t="s">
        <v>1259</v>
      </c>
      <c r="K37" s="52" t="s">
        <v>1260</v>
      </c>
      <c r="L37" s="52" t="s">
        <v>1261</v>
      </c>
      <c r="M37" s="65" t="s">
        <v>1262</v>
      </c>
      <c r="N37" s="52" t="s">
        <v>64</v>
      </c>
      <c r="O37" s="53"/>
      <c r="P37" s="55"/>
      <c r="Q37" s="56"/>
    </row>
    <row r="38">
      <c r="A38" s="48"/>
      <c r="B38" s="37">
        <v>46210.0</v>
      </c>
      <c r="C38" s="49" t="s">
        <v>1046</v>
      </c>
      <c r="D38" s="22" t="s">
        <v>1263</v>
      </c>
      <c r="E38" s="50"/>
      <c r="F38" s="50"/>
      <c r="G38" s="51" t="s">
        <v>1264</v>
      </c>
      <c r="H38" s="52" t="s">
        <v>1085</v>
      </c>
      <c r="I38" s="53"/>
      <c r="J38" s="52" t="s">
        <v>1265</v>
      </c>
      <c r="K38" s="52" t="s">
        <v>1266</v>
      </c>
      <c r="L38" s="52" t="s">
        <v>1267</v>
      </c>
      <c r="M38" s="65" t="s">
        <v>1268</v>
      </c>
      <c r="N38" s="52" t="s">
        <v>64</v>
      </c>
      <c r="O38" s="53"/>
      <c r="P38" s="55"/>
      <c r="Q38" s="56"/>
    </row>
    <row r="39">
      <c r="A39" s="48"/>
      <c r="B39" s="37">
        <v>46210.0</v>
      </c>
      <c r="C39" s="49" t="s">
        <v>1046</v>
      </c>
      <c r="D39" s="22" t="s">
        <v>1269</v>
      </c>
      <c r="E39" s="50"/>
      <c r="F39" s="50"/>
      <c r="G39" s="51" t="s">
        <v>1270</v>
      </c>
      <c r="H39" s="52" t="s">
        <v>1271</v>
      </c>
      <c r="I39" s="53"/>
      <c r="J39" s="52" t="s">
        <v>1272</v>
      </c>
      <c r="K39" s="52" t="s">
        <v>1273</v>
      </c>
      <c r="L39" s="52" t="s">
        <v>1274</v>
      </c>
      <c r="M39" s="65" t="s">
        <v>1275</v>
      </c>
      <c r="N39" s="52" t="s">
        <v>64</v>
      </c>
      <c r="O39" s="53"/>
      <c r="P39" s="55"/>
      <c r="Q39" s="56"/>
    </row>
    <row r="40">
      <c r="A40" s="48"/>
      <c r="B40" s="37">
        <v>46210.0</v>
      </c>
      <c r="C40" s="49" t="s">
        <v>1046</v>
      </c>
      <c r="D40" s="22" t="s">
        <v>1276</v>
      </c>
      <c r="E40" s="50"/>
      <c r="F40" s="50"/>
      <c r="G40" s="51" t="s">
        <v>1277</v>
      </c>
      <c r="H40" s="52" t="s">
        <v>1271</v>
      </c>
      <c r="I40" s="53"/>
      <c r="J40" s="52" t="s">
        <v>1278</v>
      </c>
      <c r="K40" s="52" t="s">
        <v>1279</v>
      </c>
      <c r="L40" s="52" t="s">
        <v>1274</v>
      </c>
      <c r="M40" s="65" t="s">
        <v>1280</v>
      </c>
      <c r="N40" s="52" t="s">
        <v>64</v>
      </c>
      <c r="O40" s="53"/>
      <c r="P40" s="55"/>
      <c r="Q40" s="56"/>
    </row>
    <row r="41">
      <c r="A41" s="48"/>
      <c r="B41" s="37">
        <v>46210.0</v>
      </c>
      <c r="C41" s="49" t="s">
        <v>1046</v>
      </c>
      <c r="D41" s="22" t="s">
        <v>1281</v>
      </c>
      <c r="E41" s="50"/>
      <c r="F41" s="50"/>
      <c r="G41" s="51" t="s">
        <v>1282</v>
      </c>
      <c r="H41" s="52" t="s">
        <v>1085</v>
      </c>
      <c r="I41" s="53"/>
      <c r="J41" s="52" t="s">
        <v>1283</v>
      </c>
      <c r="K41" s="52" t="s">
        <v>1284</v>
      </c>
      <c r="L41" s="52" t="s">
        <v>1285</v>
      </c>
      <c r="M41" s="53"/>
      <c r="N41" s="52" t="s">
        <v>64</v>
      </c>
      <c r="O41" s="53"/>
      <c r="P41" s="55"/>
      <c r="Q41" s="56"/>
    </row>
    <row r="42">
      <c r="A42" s="48"/>
      <c r="B42" s="37">
        <v>46210.0</v>
      </c>
      <c r="C42" s="49" t="s">
        <v>1046</v>
      </c>
      <c r="D42" s="22" t="s">
        <v>1286</v>
      </c>
      <c r="E42" s="50"/>
      <c r="F42" s="50"/>
      <c r="G42" s="51" t="s">
        <v>1287</v>
      </c>
      <c r="H42" s="52" t="s">
        <v>1085</v>
      </c>
      <c r="I42" s="53"/>
      <c r="J42" s="52" t="s">
        <v>1288</v>
      </c>
      <c r="K42" s="52" t="s">
        <v>1289</v>
      </c>
      <c r="L42" s="52" t="s">
        <v>1290</v>
      </c>
      <c r="M42" s="65" t="s">
        <v>1291</v>
      </c>
      <c r="N42" s="52" t="s">
        <v>64</v>
      </c>
      <c r="O42" s="66"/>
      <c r="P42" s="55"/>
      <c r="Q42" s="56"/>
    </row>
    <row r="43">
      <c r="A43" s="48"/>
      <c r="B43" s="37">
        <v>46210.0</v>
      </c>
      <c r="C43" s="49" t="s">
        <v>1046</v>
      </c>
      <c r="D43" s="22" t="s">
        <v>1292</v>
      </c>
      <c r="E43" s="50"/>
      <c r="F43" s="50"/>
      <c r="G43" s="51" t="s">
        <v>1293</v>
      </c>
      <c r="H43" s="52" t="s">
        <v>1085</v>
      </c>
      <c r="I43" s="53"/>
      <c r="J43" s="52" t="s">
        <v>1294</v>
      </c>
      <c r="K43" s="52" t="s">
        <v>1295</v>
      </c>
      <c r="L43" s="52" t="s">
        <v>1296</v>
      </c>
      <c r="M43" s="65" t="s">
        <v>1297</v>
      </c>
      <c r="N43" s="52" t="s">
        <v>64</v>
      </c>
      <c r="O43" s="53"/>
      <c r="P43" s="55"/>
      <c r="Q43" s="56"/>
    </row>
    <row r="44">
      <c r="A44" s="48"/>
      <c r="B44" s="37">
        <v>46210.0</v>
      </c>
      <c r="C44" s="49" t="s">
        <v>1046</v>
      </c>
      <c r="D44" s="22" t="s">
        <v>1298</v>
      </c>
      <c r="E44" s="50"/>
      <c r="F44" s="50"/>
      <c r="G44" s="51" t="s">
        <v>1299</v>
      </c>
      <c r="H44" s="52" t="s">
        <v>1085</v>
      </c>
      <c r="I44" s="53"/>
      <c r="J44" s="52" t="s">
        <v>1300</v>
      </c>
      <c r="K44" s="52" t="s">
        <v>1301</v>
      </c>
      <c r="L44" s="52" t="s">
        <v>1302</v>
      </c>
      <c r="M44" s="65" t="s">
        <v>1303</v>
      </c>
      <c r="N44" s="52" t="s">
        <v>64</v>
      </c>
      <c r="O44" s="53"/>
      <c r="P44" s="55"/>
      <c r="Q44" s="56"/>
    </row>
    <row r="45">
      <c r="A45" s="48"/>
      <c r="B45" s="37">
        <v>46210.0</v>
      </c>
      <c r="C45" s="49" t="s">
        <v>1046</v>
      </c>
      <c r="D45" s="22" t="s">
        <v>1304</v>
      </c>
      <c r="E45" s="50"/>
      <c r="F45" s="50"/>
      <c r="G45" s="51" t="s">
        <v>1305</v>
      </c>
      <c r="H45" s="52" t="s">
        <v>1085</v>
      </c>
      <c r="I45" s="53"/>
      <c r="J45" s="52" t="s">
        <v>1306</v>
      </c>
      <c r="K45" s="52" t="s">
        <v>1307</v>
      </c>
      <c r="L45" s="52" t="s">
        <v>1308</v>
      </c>
      <c r="M45" s="65" t="s">
        <v>1309</v>
      </c>
      <c r="N45" s="52" t="s">
        <v>64</v>
      </c>
      <c r="O45" s="53"/>
      <c r="P45" s="55"/>
      <c r="Q45" s="56"/>
    </row>
    <row r="46">
      <c r="A46" s="48"/>
      <c r="B46" s="37">
        <v>46210.0</v>
      </c>
      <c r="C46" s="49" t="s">
        <v>1046</v>
      </c>
      <c r="D46" s="22" t="s">
        <v>1310</v>
      </c>
      <c r="E46" s="50"/>
      <c r="F46" s="50"/>
      <c r="G46" s="51" t="s">
        <v>1311</v>
      </c>
      <c r="H46" s="52" t="s">
        <v>1312</v>
      </c>
      <c r="I46" s="53"/>
      <c r="J46" s="52" t="s">
        <v>1313</v>
      </c>
      <c r="K46" s="52" t="s">
        <v>1314</v>
      </c>
      <c r="L46" s="52" t="s">
        <v>1315</v>
      </c>
      <c r="M46" s="65" t="s">
        <v>1316</v>
      </c>
      <c r="N46" s="52" t="s">
        <v>64</v>
      </c>
      <c r="O46" s="53"/>
      <c r="P46" s="55"/>
      <c r="Q46" s="56"/>
    </row>
    <row r="47">
      <c r="A47" s="48"/>
      <c r="B47" s="37">
        <v>46210.0</v>
      </c>
      <c r="C47" s="49" t="s">
        <v>1046</v>
      </c>
      <c r="D47" s="22" t="s">
        <v>1317</v>
      </c>
      <c r="E47" s="50"/>
      <c r="F47" s="50"/>
      <c r="G47" s="51" t="s">
        <v>1318</v>
      </c>
      <c r="H47" s="52" t="s">
        <v>1312</v>
      </c>
      <c r="I47" s="53"/>
      <c r="J47" s="52" t="s">
        <v>1319</v>
      </c>
      <c r="K47" s="52" t="s">
        <v>1320</v>
      </c>
      <c r="L47" s="52" t="s">
        <v>1321</v>
      </c>
      <c r="M47" s="65" t="s">
        <v>1322</v>
      </c>
      <c r="N47" s="52" t="s">
        <v>64</v>
      </c>
      <c r="O47" s="53"/>
      <c r="P47" s="55"/>
      <c r="Q47" s="56"/>
    </row>
    <row r="48">
      <c r="A48" s="48"/>
      <c r="B48" s="37">
        <v>46210.0</v>
      </c>
      <c r="C48" s="49" t="s">
        <v>1046</v>
      </c>
      <c r="D48" s="22" t="s">
        <v>1323</v>
      </c>
      <c r="E48" s="50"/>
      <c r="F48" s="50"/>
      <c r="G48" s="51" t="s">
        <v>1324</v>
      </c>
      <c r="H48" s="52" t="s">
        <v>1325</v>
      </c>
      <c r="I48" s="53"/>
      <c r="J48" s="52" t="s">
        <v>1326</v>
      </c>
      <c r="K48" s="52" t="s">
        <v>1327</v>
      </c>
      <c r="L48" s="52" t="s">
        <v>1328</v>
      </c>
      <c r="M48" s="65" t="s">
        <v>1329</v>
      </c>
      <c r="N48" s="52" t="s">
        <v>64</v>
      </c>
      <c r="O48" s="53"/>
      <c r="P48" s="55"/>
      <c r="Q48" s="56"/>
    </row>
    <row r="49">
      <c r="A49" s="48"/>
      <c r="B49" s="37">
        <v>46210.0</v>
      </c>
      <c r="C49" s="49" t="s">
        <v>1046</v>
      </c>
      <c r="D49" s="22" t="s">
        <v>1330</v>
      </c>
      <c r="E49" s="50"/>
      <c r="F49" s="50"/>
      <c r="G49" s="51" t="s">
        <v>1331</v>
      </c>
      <c r="H49" s="52" t="s">
        <v>1085</v>
      </c>
      <c r="I49" s="53"/>
      <c r="J49" s="52" t="s">
        <v>1332</v>
      </c>
      <c r="K49" s="52" t="s">
        <v>1333</v>
      </c>
      <c r="L49" s="52" t="s">
        <v>1334</v>
      </c>
      <c r="M49" s="65" t="s">
        <v>1335</v>
      </c>
      <c r="N49" s="52" t="s">
        <v>64</v>
      </c>
      <c r="O49" s="53"/>
      <c r="P49" s="55"/>
      <c r="Q49" s="56"/>
    </row>
    <row r="50">
      <c r="A50" s="48"/>
      <c r="B50" s="37">
        <v>46210.0</v>
      </c>
      <c r="C50" s="49" t="s">
        <v>1046</v>
      </c>
      <c r="D50" s="22" t="s">
        <v>1336</v>
      </c>
      <c r="E50" s="50"/>
      <c r="F50" s="50"/>
      <c r="G50" s="51" t="s">
        <v>1337</v>
      </c>
      <c r="H50" s="52" t="s">
        <v>1110</v>
      </c>
      <c r="I50" s="53"/>
      <c r="J50" s="52" t="s">
        <v>1338</v>
      </c>
      <c r="K50" s="52" t="s">
        <v>1339</v>
      </c>
      <c r="L50" s="52" t="s">
        <v>1340</v>
      </c>
      <c r="M50" s="65" t="s">
        <v>1341</v>
      </c>
      <c r="N50" s="52" t="s">
        <v>64</v>
      </c>
      <c r="O50" s="53"/>
      <c r="P50" s="55"/>
      <c r="Q50" s="56"/>
    </row>
    <row r="51">
      <c r="A51" s="48"/>
      <c r="B51" s="37">
        <v>46210.0</v>
      </c>
      <c r="C51" s="49" t="s">
        <v>1046</v>
      </c>
      <c r="D51" s="22" t="s">
        <v>1342</v>
      </c>
      <c r="E51" s="50"/>
      <c r="F51" s="50"/>
      <c r="G51" s="51" t="s">
        <v>1198</v>
      </c>
      <c r="H51" s="52" t="s">
        <v>1110</v>
      </c>
      <c r="I51" s="53"/>
      <c r="J51" s="52" t="s">
        <v>1343</v>
      </c>
      <c r="K51" s="52" t="s">
        <v>1200</v>
      </c>
      <c r="L51" s="52" t="s">
        <v>1344</v>
      </c>
      <c r="M51" s="65" t="s">
        <v>1345</v>
      </c>
      <c r="N51" s="52" t="s">
        <v>64</v>
      </c>
      <c r="O51" s="53"/>
      <c r="P51" s="55"/>
      <c r="Q51" s="56"/>
    </row>
    <row r="52">
      <c r="A52" s="48"/>
      <c r="B52" s="37">
        <v>46211.0</v>
      </c>
      <c r="C52" s="49" t="s">
        <v>1046</v>
      </c>
      <c r="D52" s="22" t="s">
        <v>1346</v>
      </c>
      <c r="E52" s="50"/>
      <c r="F52" s="50"/>
      <c r="G52" s="51" t="s">
        <v>1347</v>
      </c>
      <c r="H52" s="52" t="s">
        <v>1063</v>
      </c>
      <c r="I52" s="53"/>
      <c r="J52" s="52" t="s">
        <v>1348</v>
      </c>
      <c r="K52" s="52" t="s">
        <v>1349</v>
      </c>
      <c r="L52" s="52" t="s">
        <v>1350</v>
      </c>
      <c r="M52" s="65" t="s">
        <v>1351</v>
      </c>
      <c r="N52" s="52" t="s">
        <v>64</v>
      </c>
      <c r="O52" s="53"/>
      <c r="P52" s="55"/>
      <c r="Q52" s="56"/>
    </row>
    <row r="53">
      <c r="A53" s="48"/>
      <c r="B53" s="37">
        <v>46211.0</v>
      </c>
      <c r="C53" s="49" t="s">
        <v>1046</v>
      </c>
      <c r="D53" s="22" t="s">
        <v>1352</v>
      </c>
      <c r="E53" s="50"/>
      <c r="F53" s="50"/>
      <c r="G53" s="51" t="s">
        <v>1353</v>
      </c>
      <c r="H53" s="52" t="s">
        <v>1063</v>
      </c>
      <c r="I53" s="53"/>
      <c r="J53" s="52" t="s">
        <v>1348</v>
      </c>
      <c r="K53" s="52" t="s">
        <v>1349</v>
      </c>
      <c r="L53" s="52" t="s">
        <v>1354</v>
      </c>
      <c r="M53" s="65" t="s">
        <v>1355</v>
      </c>
      <c r="N53" s="52" t="s">
        <v>64</v>
      </c>
      <c r="O53" s="53"/>
      <c r="P53" s="55"/>
      <c r="Q53" s="56"/>
    </row>
    <row r="54">
      <c r="A54" s="48"/>
      <c r="B54" s="37">
        <v>46211.0</v>
      </c>
      <c r="C54" s="49" t="s">
        <v>1046</v>
      </c>
      <c r="D54" s="22" t="s">
        <v>1356</v>
      </c>
      <c r="E54" s="50"/>
      <c r="F54" s="50"/>
      <c r="G54" s="51" t="s">
        <v>1357</v>
      </c>
      <c r="H54" s="52" t="s">
        <v>1085</v>
      </c>
      <c r="I54" s="53"/>
      <c r="J54" s="52" t="s">
        <v>1358</v>
      </c>
      <c r="K54" s="52" t="s">
        <v>1289</v>
      </c>
      <c r="L54" s="52" t="s">
        <v>1359</v>
      </c>
      <c r="M54" s="65" t="s">
        <v>1360</v>
      </c>
      <c r="N54" s="52" t="s">
        <v>64</v>
      </c>
      <c r="O54" s="53"/>
      <c r="P54" s="55"/>
      <c r="Q54" s="56"/>
    </row>
    <row r="55">
      <c r="A55" s="48"/>
      <c r="B55" s="37">
        <v>46211.0</v>
      </c>
      <c r="C55" s="49" t="s">
        <v>1046</v>
      </c>
      <c r="D55" s="22" t="s">
        <v>1361</v>
      </c>
      <c r="E55" s="50"/>
      <c r="F55" s="50"/>
      <c r="G55" s="51" t="s">
        <v>1362</v>
      </c>
      <c r="H55" s="52" t="s">
        <v>1085</v>
      </c>
      <c r="I55" s="53"/>
      <c r="J55" s="52" t="s">
        <v>1363</v>
      </c>
      <c r="K55" s="52" t="s">
        <v>1364</v>
      </c>
      <c r="L55" s="52" t="s">
        <v>1365</v>
      </c>
      <c r="M55" s="65" t="s">
        <v>1366</v>
      </c>
      <c r="N55" s="52" t="s">
        <v>64</v>
      </c>
      <c r="O55" s="53"/>
      <c r="P55" s="55"/>
      <c r="Q55" s="56"/>
    </row>
    <row r="56">
      <c r="A56" s="48"/>
      <c r="B56" s="37">
        <v>46211.0</v>
      </c>
      <c r="C56" s="49" t="s">
        <v>1046</v>
      </c>
      <c r="D56" s="22" t="s">
        <v>1367</v>
      </c>
      <c r="E56" s="50"/>
      <c r="F56" s="50"/>
      <c r="G56" s="51" t="s">
        <v>1368</v>
      </c>
      <c r="H56" s="52" t="s">
        <v>1085</v>
      </c>
      <c r="I56" s="53"/>
      <c r="J56" s="52" t="s">
        <v>1369</v>
      </c>
      <c r="K56" s="52" t="s">
        <v>1370</v>
      </c>
      <c r="L56" s="52" t="s">
        <v>1371</v>
      </c>
      <c r="M56" s="65" t="s">
        <v>1372</v>
      </c>
      <c r="N56" s="52" t="s">
        <v>64</v>
      </c>
      <c r="O56" s="53"/>
      <c r="P56" s="55"/>
      <c r="Q56" s="56"/>
    </row>
    <row r="57">
      <c r="A57" s="48"/>
      <c r="B57" s="37">
        <v>46210.0</v>
      </c>
      <c r="C57" s="49" t="s">
        <v>1046</v>
      </c>
      <c r="D57" s="22" t="s">
        <v>1373</v>
      </c>
      <c r="E57" s="50"/>
      <c r="F57" s="50"/>
      <c r="G57" s="51" t="s">
        <v>1374</v>
      </c>
      <c r="H57" s="52" t="s">
        <v>1110</v>
      </c>
      <c r="I57" s="53"/>
      <c r="J57" s="52" t="s">
        <v>1375</v>
      </c>
      <c r="K57" s="52" t="s">
        <v>1376</v>
      </c>
      <c r="L57" s="52" t="s">
        <v>1377</v>
      </c>
      <c r="M57" s="65" t="s">
        <v>1378</v>
      </c>
      <c r="N57" s="52" t="s">
        <v>64</v>
      </c>
      <c r="O57" s="53"/>
      <c r="P57" s="55"/>
      <c r="Q57" s="56"/>
    </row>
    <row r="58">
      <c r="A58" s="48"/>
      <c r="B58" s="37">
        <v>46210.0</v>
      </c>
      <c r="C58" s="49" t="s">
        <v>1046</v>
      </c>
      <c r="D58" s="22" t="s">
        <v>1379</v>
      </c>
      <c r="E58" s="50"/>
      <c r="F58" s="50"/>
      <c r="G58" s="51" t="s">
        <v>1380</v>
      </c>
      <c r="H58" s="52" t="s">
        <v>1110</v>
      </c>
      <c r="I58" s="53"/>
      <c r="J58" s="52" t="s">
        <v>1375</v>
      </c>
      <c r="K58" s="52" t="s">
        <v>1381</v>
      </c>
      <c r="L58" s="52" t="s">
        <v>1382</v>
      </c>
      <c r="M58" s="65" t="s">
        <v>1383</v>
      </c>
      <c r="N58" s="52" t="s">
        <v>64</v>
      </c>
      <c r="O58" s="53"/>
      <c r="P58" s="55"/>
      <c r="Q58" s="56"/>
    </row>
    <row r="59">
      <c r="A59" s="48"/>
      <c r="B59" s="37">
        <v>46210.0</v>
      </c>
      <c r="C59" s="49" t="s">
        <v>1046</v>
      </c>
      <c r="D59" s="22" t="s">
        <v>1384</v>
      </c>
      <c r="E59" s="50"/>
      <c r="F59" s="50"/>
      <c r="G59" s="51" t="s">
        <v>1385</v>
      </c>
      <c r="H59" s="52" t="s">
        <v>1110</v>
      </c>
      <c r="I59" s="53"/>
      <c r="J59" s="52" t="s">
        <v>1386</v>
      </c>
      <c r="K59" s="52" t="s">
        <v>1387</v>
      </c>
      <c r="L59" s="52" t="s">
        <v>1388</v>
      </c>
      <c r="M59" s="65" t="s">
        <v>1389</v>
      </c>
      <c r="N59" s="52" t="s">
        <v>64</v>
      </c>
      <c r="O59" s="53"/>
      <c r="P59" s="55"/>
      <c r="Q59" s="56"/>
    </row>
    <row r="60">
      <c r="A60" s="48"/>
      <c r="B60" s="37">
        <v>46211.0</v>
      </c>
      <c r="C60" s="49" t="s">
        <v>1046</v>
      </c>
      <c r="D60" s="22" t="s">
        <v>1390</v>
      </c>
      <c r="E60" s="50"/>
      <c r="F60" s="50"/>
      <c r="G60" s="51" t="s">
        <v>1391</v>
      </c>
      <c r="H60" s="52" t="s">
        <v>1392</v>
      </c>
      <c r="I60" s="53"/>
      <c r="J60" s="52" t="s">
        <v>1393</v>
      </c>
      <c r="K60" s="52" t="s">
        <v>1394</v>
      </c>
      <c r="L60" s="52" t="s">
        <v>1395</v>
      </c>
      <c r="M60" s="54" t="s">
        <v>1396</v>
      </c>
      <c r="N60" s="52" t="s">
        <v>64</v>
      </c>
      <c r="O60" s="53"/>
      <c r="P60" s="55"/>
      <c r="Q60" s="56"/>
    </row>
    <row r="61">
      <c r="A61" s="48"/>
      <c r="B61" s="37">
        <v>46210.0</v>
      </c>
      <c r="C61" s="49" t="s">
        <v>1046</v>
      </c>
      <c r="D61" s="22" t="s">
        <v>1397</v>
      </c>
      <c r="E61" s="50"/>
      <c r="F61" s="50"/>
      <c r="G61" s="51" t="s">
        <v>1398</v>
      </c>
      <c r="H61" s="52" t="s">
        <v>1110</v>
      </c>
      <c r="I61" s="53"/>
      <c r="J61" s="52" t="s">
        <v>1399</v>
      </c>
      <c r="K61" s="52" t="s">
        <v>1400</v>
      </c>
      <c r="L61" s="52" t="s">
        <v>1401</v>
      </c>
      <c r="M61" s="65" t="s">
        <v>1402</v>
      </c>
      <c r="N61" s="52" t="s">
        <v>64</v>
      </c>
      <c r="O61" s="53"/>
      <c r="P61" s="55"/>
      <c r="Q61" s="56"/>
    </row>
    <row r="62">
      <c r="A62" s="48"/>
      <c r="B62" s="37">
        <v>46210.0</v>
      </c>
      <c r="C62" s="49" t="s">
        <v>1046</v>
      </c>
      <c r="D62" s="22" t="s">
        <v>1403</v>
      </c>
      <c r="E62" s="50"/>
      <c r="F62" s="50"/>
      <c r="G62" s="51" t="s">
        <v>1404</v>
      </c>
      <c r="H62" s="52" t="s">
        <v>1063</v>
      </c>
      <c r="I62" s="53"/>
      <c r="J62" s="52" t="s">
        <v>1405</v>
      </c>
      <c r="K62" s="52" t="s">
        <v>1349</v>
      </c>
      <c r="L62" s="52" t="s">
        <v>1406</v>
      </c>
      <c r="M62" s="65" t="s">
        <v>1407</v>
      </c>
      <c r="N62" s="52" t="s">
        <v>64</v>
      </c>
      <c r="O62" s="53"/>
      <c r="P62" s="55"/>
      <c r="Q62" s="56"/>
    </row>
    <row r="63">
      <c r="A63" s="48"/>
      <c r="B63" s="37">
        <v>46210.0</v>
      </c>
      <c r="C63" s="49" t="s">
        <v>1046</v>
      </c>
      <c r="D63" s="22" t="s">
        <v>1408</v>
      </c>
      <c r="E63" s="50"/>
      <c r="F63" s="50"/>
      <c r="G63" s="51" t="s">
        <v>1409</v>
      </c>
      <c r="H63" s="52" t="s">
        <v>1063</v>
      </c>
      <c r="I63" s="53"/>
      <c r="J63" s="52" t="s">
        <v>1405</v>
      </c>
      <c r="K63" s="52" t="s">
        <v>1349</v>
      </c>
      <c r="L63" s="52" t="s">
        <v>1410</v>
      </c>
      <c r="M63" s="65" t="s">
        <v>1411</v>
      </c>
      <c r="N63" s="52" t="s">
        <v>64</v>
      </c>
      <c r="O63" s="53"/>
      <c r="P63" s="55"/>
      <c r="Q63" s="56"/>
    </row>
    <row r="64">
      <c r="A64" s="48"/>
      <c r="B64" s="37">
        <v>46210.0</v>
      </c>
      <c r="C64" s="49" t="s">
        <v>1046</v>
      </c>
      <c r="D64" s="22" t="s">
        <v>1412</v>
      </c>
      <c r="E64" s="50"/>
      <c r="F64" s="50"/>
      <c r="G64" s="51" t="s">
        <v>1413</v>
      </c>
      <c r="H64" s="52" t="s">
        <v>1414</v>
      </c>
      <c r="I64" s="53"/>
      <c r="J64" s="52" t="s">
        <v>1415</v>
      </c>
      <c r="K64" s="52" t="s">
        <v>1416</v>
      </c>
      <c r="L64" s="52" t="s">
        <v>1417</v>
      </c>
      <c r="M64" s="65" t="s">
        <v>1418</v>
      </c>
      <c r="N64" s="52" t="s">
        <v>64</v>
      </c>
      <c r="O64" s="53"/>
      <c r="P64" s="55"/>
      <c r="Q64" s="56"/>
    </row>
    <row r="65">
      <c r="A65" s="48"/>
      <c r="B65" s="37">
        <v>46210.0</v>
      </c>
      <c r="C65" s="49" t="s">
        <v>1046</v>
      </c>
      <c r="D65" s="22" t="s">
        <v>1419</v>
      </c>
      <c r="E65" s="50"/>
      <c r="F65" s="50"/>
      <c r="G65" s="51" t="s">
        <v>1420</v>
      </c>
      <c r="H65" s="52" t="s">
        <v>1421</v>
      </c>
      <c r="I65" s="53"/>
      <c r="J65" s="52" t="s">
        <v>1415</v>
      </c>
      <c r="K65" s="52" t="s">
        <v>1422</v>
      </c>
      <c r="L65" s="52" t="s">
        <v>1290</v>
      </c>
      <c r="M65" s="65" t="s">
        <v>1423</v>
      </c>
      <c r="N65" s="52" t="s">
        <v>64</v>
      </c>
      <c r="O65" s="53"/>
      <c r="P65" s="55"/>
      <c r="Q65" s="56"/>
    </row>
    <row r="66">
      <c r="A66" s="48"/>
      <c r="B66" s="37">
        <v>46210.0</v>
      </c>
      <c r="C66" s="49" t="s">
        <v>1046</v>
      </c>
      <c r="D66" s="22" t="s">
        <v>1424</v>
      </c>
      <c r="E66" s="50"/>
      <c r="F66" s="50"/>
      <c r="G66" s="51" t="s">
        <v>1425</v>
      </c>
      <c r="H66" s="52" t="s">
        <v>1426</v>
      </c>
      <c r="I66" s="53"/>
      <c r="J66" s="52" t="s">
        <v>1427</v>
      </c>
      <c r="K66" s="52" t="s">
        <v>1428</v>
      </c>
      <c r="L66" s="52" t="s">
        <v>1429</v>
      </c>
      <c r="M66" s="65" t="s">
        <v>1430</v>
      </c>
      <c r="N66" s="52" t="s">
        <v>64</v>
      </c>
      <c r="O66" s="53"/>
      <c r="P66" s="55"/>
      <c r="Q66" s="56"/>
    </row>
    <row r="67">
      <c r="A67" s="48"/>
      <c r="B67" s="37">
        <v>46210.0</v>
      </c>
      <c r="C67" s="49" t="s">
        <v>1046</v>
      </c>
      <c r="D67" s="22" t="s">
        <v>1431</v>
      </c>
      <c r="E67" s="50"/>
      <c r="F67" s="50"/>
      <c r="G67" s="51" t="s">
        <v>1432</v>
      </c>
      <c r="H67" s="52" t="s">
        <v>1426</v>
      </c>
      <c r="I67" s="53"/>
      <c r="J67" s="52" t="s">
        <v>1433</v>
      </c>
      <c r="K67" s="52" t="s">
        <v>1434</v>
      </c>
      <c r="L67" s="52" t="s">
        <v>1435</v>
      </c>
      <c r="M67" s="65" t="s">
        <v>1436</v>
      </c>
      <c r="N67" s="52" t="s">
        <v>64</v>
      </c>
      <c r="O67" s="53"/>
      <c r="P67" s="55"/>
      <c r="Q67" s="56"/>
    </row>
    <row r="68">
      <c r="A68" s="48"/>
      <c r="B68" s="37">
        <v>46211.0</v>
      </c>
      <c r="C68" s="49" t="s">
        <v>1046</v>
      </c>
      <c r="D68" s="22" t="s">
        <v>1437</v>
      </c>
      <c r="E68" s="50"/>
      <c r="F68" s="50"/>
      <c r="G68" s="51" t="s">
        <v>1438</v>
      </c>
      <c r="H68" s="52" t="s">
        <v>1426</v>
      </c>
      <c r="I68" s="53"/>
      <c r="J68" s="52" t="s">
        <v>1439</v>
      </c>
      <c r="K68" s="52" t="s">
        <v>1440</v>
      </c>
      <c r="L68" s="52" t="s">
        <v>1441</v>
      </c>
      <c r="M68" s="65" t="s">
        <v>1442</v>
      </c>
      <c r="N68" s="52" t="s">
        <v>64</v>
      </c>
      <c r="O68" s="53"/>
      <c r="P68" s="55"/>
      <c r="Q68" s="56"/>
    </row>
    <row r="69">
      <c r="A69" s="48"/>
      <c r="B69" s="37">
        <v>46211.0</v>
      </c>
      <c r="C69" s="49" t="s">
        <v>1046</v>
      </c>
      <c r="D69" s="22" t="s">
        <v>1443</v>
      </c>
      <c r="E69" s="50"/>
      <c r="F69" s="50"/>
      <c r="G69" s="51" t="s">
        <v>1444</v>
      </c>
      <c r="H69" s="52" t="s">
        <v>1445</v>
      </c>
      <c r="I69" s="53"/>
      <c r="J69" s="52" t="s">
        <v>1446</v>
      </c>
      <c r="K69" s="52" t="s">
        <v>1447</v>
      </c>
      <c r="L69" s="52" t="s">
        <v>1448</v>
      </c>
      <c r="M69" s="65" t="s">
        <v>1449</v>
      </c>
      <c r="N69" s="52" t="s">
        <v>64</v>
      </c>
      <c r="O69" s="53"/>
      <c r="P69" s="55"/>
      <c r="Q69" s="56"/>
    </row>
    <row r="70">
      <c r="A70" s="48"/>
      <c r="B70" s="37">
        <v>46211.0</v>
      </c>
      <c r="C70" s="49" t="s">
        <v>1046</v>
      </c>
      <c r="D70" s="22" t="s">
        <v>1450</v>
      </c>
      <c r="E70" s="50"/>
      <c r="F70" s="50"/>
      <c r="G70" s="51" t="s">
        <v>1451</v>
      </c>
      <c r="H70" s="52" t="s">
        <v>1445</v>
      </c>
      <c r="I70" s="53"/>
      <c r="J70" s="52" t="s">
        <v>1446</v>
      </c>
      <c r="K70" s="52" t="s">
        <v>1452</v>
      </c>
      <c r="L70" s="52" t="s">
        <v>1453</v>
      </c>
      <c r="M70" s="65" t="s">
        <v>1454</v>
      </c>
      <c r="N70" s="52" t="s">
        <v>64</v>
      </c>
      <c r="O70" s="53"/>
      <c r="P70" s="55"/>
      <c r="Q70" s="56"/>
    </row>
    <row r="71">
      <c r="A71" s="48"/>
      <c r="B71" s="37">
        <v>46211.0</v>
      </c>
      <c r="C71" s="49" t="s">
        <v>1046</v>
      </c>
      <c r="D71" s="22" t="s">
        <v>1455</v>
      </c>
      <c r="E71" s="50"/>
      <c r="F71" s="50"/>
      <c r="G71" s="51" t="s">
        <v>1368</v>
      </c>
      <c r="H71" s="52" t="s">
        <v>1456</v>
      </c>
      <c r="I71" s="53"/>
      <c r="J71" s="52" t="s">
        <v>1393</v>
      </c>
      <c r="K71" s="52" t="s">
        <v>1349</v>
      </c>
      <c r="L71" s="52" t="s">
        <v>1457</v>
      </c>
      <c r="M71" s="65" t="s">
        <v>1458</v>
      </c>
      <c r="N71" s="52" t="s">
        <v>64</v>
      </c>
      <c r="O71" s="53"/>
      <c r="P71" s="55"/>
      <c r="Q71" s="56"/>
    </row>
    <row r="72">
      <c r="A72" s="48"/>
      <c r="B72" s="37">
        <v>46211.0</v>
      </c>
      <c r="C72" s="49" t="s">
        <v>1046</v>
      </c>
      <c r="D72" s="22" t="s">
        <v>1459</v>
      </c>
      <c r="E72" s="50"/>
      <c r="F72" s="50"/>
      <c r="G72" s="51" t="s">
        <v>1460</v>
      </c>
      <c r="H72" s="52" t="s">
        <v>1456</v>
      </c>
      <c r="I72" s="53"/>
      <c r="J72" s="52" t="s">
        <v>1461</v>
      </c>
      <c r="K72" s="52" t="s">
        <v>1462</v>
      </c>
      <c r="L72" s="52" t="s">
        <v>1463</v>
      </c>
      <c r="M72" s="65" t="s">
        <v>1464</v>
      </c>
      <c r="N72" s="52" t="s">
        <v>64</v>
      </c>
      <c r="O72" s="53"/>
      <c r="P72" s="55"/>
      <c r="Q72" s="56"/>
    </row>
    <row r="73">
      <c r="A73" s="48"/>
      <c r="B73" s="37">
        <v>46211.0</v>
      </c>
      <c r="C73" s="49" t="s">
        <v>1046</v>
      </c>
      <c r="D73" s="22" t="s">
        <v>1465</v>
      </c>
      <c r="E73" s="50"/>
      <c r="F73" s="50"/>
      <c r="G73" s="51" t="s">
        <v>1466</v>
      </c>
      <c r="H73" s="52" t="s">
        <v>1456</v>
      </c>
      <c r="I73" s="53"/>
      <c r="J73" s="52" t="s">
        <v>1467</v>
      </c>
      <c r="K73" s="52" t="s">
        <v>1468</v>
      </c>
      <c r="L73" s="52" t="s">
        <v>1469</v>
      </c>
      <c r="M73" s="65" t="s">
        <v>1470</v>
      </c>
      <c r="N73" s="52" t="s">
        <v>64</v>
      </c>
      <c r="O73" s="53"/>
      <c r="P73" s="55"/>
      <c r="Q73" s="56"/>
    </row>
    <row r="74">
      <c r="A74" s="48"/>
      <c r="B74" s="37">
        <v>46211.0</v>
      </c>
      <c r="C74" s="49" t="s">
        <v>1046</v>
      </c>
      <c r="D74" s="22" t="s">
        <v>1471</v>
      </c>
      <c r="E74" s="50"/>
      <c r="F74" s="50"/>
      <c r="G74" s="51" t="s">
        <v>1472</v>
      </c>
      <c r="H74" s="52" t="s">
        <v>1456</v>
      </c>
      <c r="I74" s="53"/>
      <c r="J74" s="52" t="s">
        <v>1473</v>
      </c>
      <c r="K74" s="52" t="s">
        <v>1474</v>
      </c>
      <c r="L74" s="52" t="s">
        <v>1475</v>
      </c>
      <c r="M74" s="65" t="s">
        <v>1476</v>
      </c>
      <c r="N74" s="52" t="s">
        <v>64</v>
      </c>
      <c r="O74" s="53"/>
      <c r="P74" s="55"/>
      <c r="Q74" s="56"/>
    </row>
    <row r="75">
      <c r="A75" s="66"/>
      <c r="B75" s="37">
        <v>46211.0</v>
      </c>
      <c r="C75" s="49" t="s">
        <v>1046</v>
      </c>
      <c r="D75" s="22" t="s">
        <v>1477</v>
      </c>
      <c r="E75" s="53"/>
      <c r="F75" s="53"/>
      <c r="G75" s="52" t="s">
        <v>1478</v>
      </c>
      <c r="H75" s="52" t="s">
        <v>1456</v>
      </c>
      <c r="I75" s="53"/>
      <c r="J75" s="52" t="s">
        <v>1479</v>
      </c>
      <c r="K75" s="52" t="s">
        <v>1480</v>
      </c>
      <c r="L75" s="52" t="s">
        <v>1481</v>
      </c>
      <c r="M75" s="65" t="s">
        <v>1482</v>
      </c>
      <c r="N75" s="52" t="s">
        <v>64</v>
      </c>
      <c r="O75" s="53"/>
      <c r="P75" s="55"/>
      <c r="Q75" s="56"/>
    </row>
    <row r="76">
      <c r="A76" s="66"/>
      <c r="B76" s="37">
        <v>46211.0</v>
      </c>
      <c r="C76" s="49" t="s">
        <v>1046</v>
      </c>
      <c r="D76" s="22" t="s">
        <v>1483</v>
      </c>
      <c r="E76" s="53"/>
      <c r="F76" s="53"/>
      <c r="G76" s="52" t="s">
        <v>1484</v>
      </c>
      <c r="H76" s="52" t="s">
        <v>1485</v>
      </c>
      <c r="I76" s="53"/>
      <c r="J76" s="52" t="s">
        <v>1486</v>
      </c>
      <c r="K76" s="52" t="s">
        <v>1468</v>
      </c>
      <c r="L76" s="52" t="s">
        <v>1487</v>
      </c>
      <c r="M76" s="65" t="s">
        <v>1488</v>
      </c>
      <c r="N76" s="52" t="s">
        <v>64</v>
      </c>
      <c r="O76" s="53"/>
      <c r="P76" s="55"/>
      <c r="Q76" s="56"/>
    </row>
    <row r="77">
      <c r="A77" s="66"/>
      <c r="B77" s="37">
        <v>46211.0</v>
      </c>
      <c r="C77" s="49" t="s">
        <v>1046</v>
      </c>
      <c r="D77" s="22" t="s">
        <v>1489</v>
      </c>
      <c r="E77" s="53"/>
      <c r="F77" s="53"/>
      <c r="G77" s="52" t="s">
        <v>1490</v>
      </c>
      <c r="H77" s="52" t="s">
        <v>1491</v>
      </c>
      <c r="I77" s="53"/>
      <c r="J77" s="52" t="s">
        <v>1492</v>
      </c>
      <c r="K77" s="52" t="s">
        <v>1493</v>
      </c>
      <c r="L77" s="52" t="s">
        <v>1494</v>
      </c>
      <c r="M77" s="65" t="s">
        <v>1495</v>
      </c>
      <c r="N77" s="52" t="s">
        <v>64</v>
      </c>
      <c r="O77" s="53"/>
      <c r="P77" s="55"/>
      <c r="Q77" s="56"/>
    </row>
    <row r="78">
      <c r="A78" s="66"/>
      <c r="B78" s="37">
        <v>46211.0</v>
      </c>
      <c r="C78" s="49" t="s">
        <v>1046</v>
      </c>
      <c r="D78" s="22" t="s">
        <v>1496</v>
      </c>
      <c r="E78" s="53"/>
      <c r="F78" s="53"/>
      <c r="G78" s="52" t="s">
        <v>1497</v>
      </c>
      <c r="H78" s="52" t="s">
        <v>1498</v>
      </c>
      <c r="I78" s="53"/>
      <c r="J78" s="52" t="s">
        <v>1499</v>
      </c>
      <c r="K78" s="52" t="s">
        <v>1349</v>
      </c>
      <c r="L78" s="52" t="s">
        <v>1500</v>
      </c>
      <c r="M78" s="65" t="s">
        <v>1501</v>
      </c>
      <c r="N78" s="52" t="s">
        <v>64</v>
      </c>
      <c r="O78" s="53"/>
      <c r="P78" s="55"/>
      <c r="Q78" s="56"/>
    </row>
    <row r="79">
      <c r="A79" s="66"/>
      <c r="B79" s="37">
        <v>46211.0</v>
      </c>
      <c r="C79" s="49" t="s">
        <v>1046</v>
      </c>
      <c r="D79" s="22" t="s">
        <v>1502</v>
      </c>
      <c r="E79" s="53"/>
      <c r="F79" s="53"/>
      <c r="G79" s="52" t="s">
        <v>1503</v>
      </c>
      <c r="H79" s="52" t="s">
        <v>1498</v>
      </c>
      <c r="I79" s="53"/>
      <c r="J79" s="52" t="s">
        <v>1504</v>
      </c>
      <c r="K79" s="52" t="s">
        <v>1349</v>
      </c>
      <c r="L79" s="52" t="s">
        <v>1505</v>
      </c>
      <c r="M79" s="65" t="s">
        <v>1506</v>
      </c>
      <c r="N79" s="52" t="s">
        <v>64</v>
      </c>
      <c r="O79" s="53"/>
      <c r="P79" s="55"/>
      <c r="Q79" s="56"/>
    </row>
    <row r="80">
      <c r="A80" s="66"/>
      <c r="B80" s="37">
        <v>46211.0</v>
      </c>
      <c r="C80" s="49" t="s">
        <v>1046</v>
      </c>
      <c r="D80" s="22" t="s">
        <v>1507</v>
      </c>
      <c r="E80" s="53"/>
      <c r="F80" s="53"/>
      <c r="G80" s="52" t="s">
        <v>1508</v>
      </c>
      <c r="H80" s="52" t="s">
        <v>1498</v>
      </c>
      <c r="I80" s="53"/>
      <c r="J80" s="52" t="s">
        <v>1509</v>
      </c>
      <c r="K80" s="52" t="s">
        <v>1468</v>
      </c>
      <c r="L80" s="52" t="s">
        <v>1510</v>
      </c>
      <c r="M80" s="65" t="s">
        <v>1511</v>
      </c>
      <c r="N80" s="52" t="s">
        <v>64</v>
      </c>
      <c r="O80" s="53"/>
      <c r="P80" s="55"/>
      <c r="Q80" s="56"/>
    </row>
    <row r="81">
      <c r="A81" s="58"/>
      <c r="B81" s="59">
        <v>48.0</v>
      </c>
      <c r="C81" s="49" t="s">
        <v>1046</v>
      </c>
      <c r="D81" s="60" t="s">
        <v>1512</v>
      </c>
      <c r="E81" s="61" t="s">
        <v>1513</v>
      </c>
      <c r="F81" s="61" t="s">
        <v>797</v>
      </c>
      <c r="G81" s="62" t="s">
        <v>1514</v>
      </c>
      <c r="H81" s="52" t="s">
        <v>1498</v>
      </c>
      <c r="I81" s="53"/>
      <c r="J81" s="52" t="s">
        <v>1515</v>
      </c>
      <c r="K81" s="52" t="s">
        <v>1514</v>
      </c>
      <c r="L81" s="52" t="s">
        <v>1516</v>
      </c>
      <c r="M81" s="54" t="s">
        <v>1517</v>
      </c>
      <c r="N81" s="52" t="s">
        <v>64</v>
      </c>
      <c r="O81" s="53"/>
      <c r="P81" s="55"/>
      <c r="Q81" s="56"/>
    </row>
    <row r="82">
      <c r="A82" s="48"/>
      <c r="B82" s="37">
        <v>46211.0</v>
      </c>
      <c r="C82" s="49" t="s">
        <v>1046</v>
      </c>
      <c r="D82" s="22" t="s">
        <v>1518</v>
      </c>
      <c r="E82" s="50"/>
      <c r="F82" s="50"/>
      <c r="G82" s="51" t="s">
        <v>1519</v>
      </c>
      <c r="H82" s="52" t="s">
        <v>1520</v>
      </c>
      <c r="I82" s="53"/>
      <c r="J82" s="52" t="s">
        <v>1521</v>
      </c>
      <c r="K82" s="52" t="s">
        <v>1522</v>
      </c>
      <c r="L82" s="52" t="s">
        <v>1523</v>
      </c>
      <c r="M82" s="65" t="s">
        <v>1524</v>
      </c>
      <c r="N82" s="52" t="s">
        <v>64</v>
      </c>
      <c r="O82" s="53"/>
      <c r="P82" s="55"/>
      <c r="Q82" s="56"/>
    </row>
    <row r="83">
      <c r="A83" s="48"/>
      <c r="B83" s="37">
        <v>46211.0</v>
      </c>
      <c r="C83" s="49" t="s">
        <v>1046</v>
      </c>
      <c r="D83" s="22" t="s">
        <v>1525</v>
      </c>
      <c r="E83" s="50"/>
      <c r="F83" s="50"/>
      <c r="G83" s="51" t="s">
        <v>1526</v>
      </c>
      <c r="H83" s="52" t="s">
        <v>1520</v>
      </c>
      <c r="I83" s="53"/>
      <c r="J83" s="52" t="s">
        <v>1527</v>
      </c>
      <c r="K83" s="52" t="s">
        <v>1528</v>
      </c>
      <c r="L83" s="52" t="s">
        <v>1529</v>
      </c>
      <c r="M83" s="65" t="s">
        <v>1530</v>
      </c>
      <c r="N83" s="52" t="s">
        <v>64</v>
      </c>
      <c r="O83" s="53"/>
      <c r="P83" s="55"/>
      <c r="Q83" s="56"/>
    </row>
    <row r="84">
      <c r="A84" s="48"/>
      <c r="B84" s="37">
        <v>46211.0</v>
      </c>
      <c r="C84" s="49" t="s">
        <v>1046</v>
      </c>
      <c r="D84" s="22" t="s">
        <v>1531</v>
      </c>
      <c r="E84" s="50"/>
      <c r="F84" s="50"/>
      <c r="G84" s="51" t="s">
        <v>1532</v>
      </c>
      <c r="H84" s="52" t="s">
        <v>1533</v>
      </c>
      <c r="I84" s="53"/>
      <c r="J84" s="52" t="s">
        <v>1534</v>
      </c>
      <c r="K84" s="52" t="s">
        <v>1535</v>
      </c>
      <c r="L84" s="52" t="s">
        <v>1536</v>
      </c>
      <c r="M84" s="65" t="s">
        <v>1537</v>
      </c>
      <c r="N84" s="52" t="s">
        <v>64</v>
      </c>
      <c r="O84" s="53"/>
      <c r="P84" s="55"/>
      <c r="Q84" s="56"/>
    </row>
    <row r="85">
      <c r="A85" s="48"/>
      <c r="B85" s="37">
        <v>46212.0</v>
      </c>
      <c r="C85" s="49" t="s">
        <v>1046</v>
      </c>
      <c r="D85" s="22" t="s">
        <v>1538</v>
      </c>
      <c r="E85" s="50"/>
      <c r="F85" s="50"/>
      <c r="G85" s="51" t="s">
        <v>1090</v>
      </c>
      <c r="H85" s="52" t="s">
        <v>1539</v>
      </c>
      <c r="I85" s="53"/>
      <c r="J85" s="52" t="s">
        <v>1540</v>
      </c>
      <c r="K85" s="52" t="s">
        <v>1541</v>
      </c>
      <c r="L85" s="52" t="s">
        <v>1542</v>
      </c>
      <c r="M85" s="67" t="s">
        <v>1543</v>
      </c>
      <c r="N85" s="52" t="s">
        <v>64</v>
      </c>
      <c r="O85" s="52" t="s">
        <v>1544</v>
      </c>
      <c r="P85" s="55"/>
      <c r="Q85" s="56"/>
    </row>
    <row r="86">
      <c r="A86" s="48"/>
      <c r="B86" s="37">
        <v>46212.0</v>
      </c>
      <c r="C86" s="49" t="s">
        <v>1046</v>
      </c>
      <c r="D86" s="22" t="s">
        <v>1545</v>
      </c>
      <c r="E86" s="50"/>
      <c r="F86" s="50"/>
      <c r="G86" s="51" t="s">
        <v>1546</v>
      </c>
      <c r="H86" s="52" t="s">
        <v>1547</v>
      </c>
      <c r="I86" s="53"/>
      <c r="J86" s="52" t="s">
        <v>1548</v>
      </c>
      <c r="K86" s="52" t="s">
        <v>1549</v>
      </c>
      <c r="L86" s="52" t="s">
        <v>1550</v>
      </c>
      <c r="M86" s="67" t="s">
        <v>1551</v>
      </c>
      <c r="N86" s="52" t="s">
        <v>64</v>
      </c>
      <c r="O86" s="53"/>
      <c r="P86" s="55"/>
      <c r="Q86" s="56"/>
    </row>
    <row r="87">
      <c r="A87" s="48"/>
      <c r="B87" s="37">
        <v>46212.0</v>
      </c>
      <c r="C87" s="49" t="s">
        <v>1046</v>
      </c>
      <c r="D87" s="22" t="s">
        <v>1552</v>
      </c>
      <c r="E87" s="50"/>
      <c r="F87" s="50"/>
      <c r="G87" s="51" t="s">
        <v>1264</v>
      </c>
      <c r="H87" s="52" t="s">
        <v>1547</v>
      </c>
      <c r="I87" s="53"/>
      <c r="J87" s="52" t="s">
        <v>1553</v>
      </c>
      <c r="K87" s="52" t="s">
        <v>1554</v>
      </c>
      <c r="L87" s="52" t="s">
        <v>1555</v>
      </c>
      <c r="M87" s="67" t="s">
        <v>1556</v>
      </c>
      <c r="N87" s="52" t="s">
        <v>64</v>
      </c>
      <c r="O87" s="53"/>
      <c r="P87" s="55"/>
      <c r="Q87" s="56"/>
    </row>
    <row r="88">
      <c r="A88" s="48"/>
      <c r="B88" s="37">
        <v>46212.0</v>
      </c>
      <c r="C88" s="49" t="s">
        <v>1046</v>
      </c>
      <c r="D88" s="22" t="s">
        <v>1557</v>
      </c>
      <c r="E88" s="50"/>
      <c r="F88" s="50"/>
      <c r="G88" s="51" t="s">
        <v>1558</v>
      </c>
      <c r="H88" s="52" t="s">
        <v>1539</v>
      </c>
      <c r="I88" s="53"/>
      <c r="J88" s="52" t="s">
        <v>1559</v>
      </c>
      <c r="K88" s="52" t="s">
        <v>1560</v>
      </c>
      <c r="L88" s="52" t="s">
        <v>1561</v>
      </c>
      <c r="M88" s="65" t="s">
        <v>1562</v>
      </c>
      <c r="N88" s="52" t="s">
        <v>64</v>
      </c>
      <c r="O88" s="53"/>
      <c r="P88" s="55"/>
      <c r="Q88" s="56"/>
    </row>
    <row r="89">
      <c r="A89" s="66"/>
      <c r="B89" s="37">
        <v>46212.0</v>
      </c>
      <c r="C89" s="49" t="s">
        <v>1046</v>
      </c>
      <c r="D89" s="22" t="s">
        <v>1563</v>
      </c>
      <c r="E89" s="53"/>
      <c r="F89" s="53"/>
      <c r="G89" s="52" t="s">
        <v>1564</v>
      </c>
      <c r="H89" s="52" t="s">
        <v>1539</v>
      </c>
      <c r="I89" s="53"/>
      <c r="J89" s="52" t="s">
        <v>1565</v>
      </c>
      <c r="K89" s="52" t="s">
        <v>1566</v>
      </c>
      <c r="L89" s="52" t="s">
        <v>1567</v>
      </c>
      <c r="M89" s="65" t="s">
        <v>1568</v>
      </c>
      <c r="N89" s="52" t="s">
        <v>64</v>
      </c>
      <c r="O89" s="53"/>
      <c r="P89" s="55"/>
      <c r="Q89" s="56"/>
    </row>
    <row r="90">
      <c r="A90" s="66"/>
      <c r="B90" s="37">
        <v>46212.0</v>
      </c>
      <c r="C90" s="49" t="s">
        <v>1046</v>
      </c>
      <c r="D90" s="22" t="s">
        <v>1569</v>
      </c>
      <c r="E90" s="53"/>
      <c r="F90" s="53"/>
      <c r="G90" s="52" t="s">
        <v>1570</v>
      </c>
      <c r="H90" s="52" t="s">
        <v>1539</v>
      </c>
      <c r="I90" s="53"/>
      <c r="J90" s="52" t="s">
        <v>1571</v>
      </c>
      <c r="K90" s="52" t="s">
        <v>1572</v>
      </c>
      <c r="L90" s="52" t="s">
        <v>1573</v>
      </c>
      <c r="M90" s="65" t="s">
        <v>1574</v>
      </c>
      <c r="N90" s="52" t="s">
        <v>64</v>
      </c>
      <c r="O90" s="52" t="s">
        <v>1575</v>
      </c>
      <c r="P90" s="55"/>
      <c r="Q90" s="56"/>
    </row>
    <row r="91">
      <c r="A91" s="48"/>
      <c r="B91" s="37">
        <v>46212.0</v>
      </c>
      <c r="C91" s="49" t="s">
        <v>1046</v>
      </c>
      <c r="D91" s="22" t="s">
        <v>1576</v>
      </c>
      <c r="E91" s="50"/>
      <c r="F91" s="50"/>
      <c r="G91" s="51" t="s">
        <v>1577</v>
      </c>
      <c r="H91" s="52" t="s">
        <v>1539</v>
      </c>
      <c r="I91" s="53"/>
      <c r="J91" s="52" t="s">
        <v>1578</v>
      </c>
      <c r="K91" s="52" t="s">
        <v>1579</v>
      </c>
      <c r="L91" s="52" t="s">
        <v>1580</v>
      </c>
      <c r="M91" s="65" t="s">
        <v>1581</v>
      </c>
      <c r="N91" s="52" t="s">
        <v>64</v>
      </c>
      <c r="O91" s="53"/>
      <c r="P91" s="55"/>
      <c r="Q91" s="56"/>
    </row>
    <row r="92">
      <c r="A92" s="48"/>
      <c r="B92" s="37">
        <v>46212.0</v>
      </c>
      <c r="C92" s="49" t="s">
        <v>1046</v>
      </c>
      <c r="D92" s="22" t="s">
        <v>1582</v>
      </c>
      <c r="E92" s="50"/>
      <c r="F92" s="50"/>
      <c r="G92" s="51" t="s">
        <v>1583</v>
      </c>
      <c r="H92" s="52" t="s">
        <v>1539</v>
      </c>
      <c r="I92" s="53"/>
      <c r="J92" s="52" t="s">
        <v>1584</v>
      </c>
      <c r="K92" s="52" t="s">
        <v>1585</v>
      </c>
      <c r="L92" s="52" t="s">
        <v>1586</v>
      </c>
      <c r="M92" s="65" t="s">
        <v>1587</v>
      </c>
      <c r="N92" s="52" t="s">
        <v>64</v>
      </c>
      <c r="O92" s="53"/>
      <c r="P92" s="55"/>
      <c r="Q92" s="56"/>
    </row>
    <row r="93">
      <c r="A93" s="48"/>
      <c r="B93" s="37">
        <v>46212.0</v>
      </c>
      <c r="C93" s="49" t="s">
        <v>1046</v>
      </c>
      <c r="D93" s="22" t="s">
        <v>1588</v>
      </c>
      <c r="E93" s="50"/>
      <c r="F93" s="50"/>
      <c r="G93" s="51" t="s">
        <v>1589</v>
      </c>
      <c r="H93" s="52" t="s">
        <v>1590</v>
      </c>
      <c r="I93" s="53"/>
      <c r="J93" s="52" t="s">
        <v>1591</v>
      </c>
      <c r="K93" s="52" t="s">
        <v>1592</v>
      </c>
      <c r="L93" s="52" t="s">
        <v>1593</v>
      </c>
      <c r="M93" s="65" t="s">
        <v>1594</v>
      </c>
      <c r="N93" s="52" t="s">
        <v>64</v>
      </c>
      <c r="O93" s="51" t="s">
        <v>1595</v>
      </c>
      <c r="P93" s="55"/>
      <c r="Q93" s="56"/>
    </row>
    <row r="94">
      <c r="A94" s="48"/>
      <c r="B94" s="37">
        <v>46212.0</v>
      </c>
      <c r="C94" s="49" t="s">
        <v>1046</v>
      </c>
      <c r="D94" s="22" t="s">
        <v>1596</v>
      </c>
      <c r="E94" s="50"/>
      <c r="F94" s="50"/>
      <c r="G94" s="51" t="s">
        <v>1597</v>
      </c>
      <c r="H94" s="52" t="s">
        <v>1590</v>
      </c>
      <c r="I94" s="53"/>
      <c r="J94" s="52" t="s">
        <v>1591</v>
      </c>
      <c r="K94" s="52" t="s">
        <v>1598</v>
      </c>
      <c r="L94" s="52" t="s">
        <v>1599</v>
      </c>
      <c r="M94" s="65" t="s">
        <v>1600</v>
      </c>
      <c r="N94" s="52" t="s">
        <v>64</v>
      </c>
      <c r="O94" s="53"/>
      <c r="P94" s="55"/>
      <c r="Q94" s="56"/>
    </row>
    <row r="95">
      <c r="A95" s="48"/>
      <c r="B95" s="37">
        <v>46212.0</v>
      </c>
      <c r="C95" s="49" t="s">
        <v>1046</v>
      </c>
      <c r="D95" s="22" t="s">
        <v>1601</v>
      </c>
      <c r="E95" s="50"/>
      <c r="F95" s="50"/>
      <c r="G95" s="51" t="s">
        <v>1602</v>
      </c>
      <c r="H95" s="52" t="s">
        <v>1590</v>
      </c>
      <c r="I95" s="53"/>
      <c r="J95" s="52" t="s">
        <v>1591</v>
      </c>
      <c r="K95" s="52" t="s">
        <v>1598</v>
      </c>
      <c r="L95" s="52" t="s">
        <v>1603</v>
      </c>
      <c r="M95" s="65" t="s">
        <v>1604</v>
      </c>
      <c r="N95" s="52" t="s">
        <v>64</v>
      </c>
      <c r="O95" s="53"/>
      <c r="P95" s="55"/>
      <c r="Q95" s="56"/>
    </row>
    <row r="96">
      <c r="A96" s="48"/>
      <c r="B96" s="37">
        <v>46212.0</v>
      </c>
      <c r="C96" s="49" t="s">
        <v>1046</v>
      </c>
      <c r="D96" s="22" t="s">
        <v>1605</v>
      </c>
      <c r="E96" s="50"/>
      <c r="F96" s="50"/>
      <c r="G96" s="51" t="s">
        <v>1606</v>
      </c>
      <c r="H96" s="52" t="s">
        <v>1607</v>
      </c>
      <c r="I96" s="53"/>
      <c r="J96" s="52" t="s">
        <v>1608</v>
      </c>
      <c r="K96" s="52" t="s">
        <v>1609</v>
      </c>
      <c r="L96" s="52" t="s">
        <v>1610</v>
      </c>
      <c r="M96" s="65" t="s">
        <v>1611</v>
      </c>
      <c r="N96" s="52" t="s">
        <v>64</v>
      </c>
      <c r="O96" s="53"/>
      <c r="P96" s="55"/>
      <c r="Q96" s="56"/>
    </row>
    <row r="97">
      <c r="A97" s="48"/>
      <c r="B97" s="37">
        <v>46212.0</v>
      </c>
      <c r="C97" s="49" t="s">
        <v>1046</v>
      </c>
      <c r="D97" s="22" t="s">
        <v>1612</v>
      </c>
      <c r="E97" s="50"/>
      <c r="F97" s="50"/>
      <c r="G97" s="51" t="s">
        <v>1613</v>
      </c>
      <c r="H97" s="52" t="s">
        <v>1614</v>
      </c>
      <c r="I97" s="53"/>
      <c r="J97" s="52" t="s">
        <v>1615</v>
      </c>
      <c r="K97" s="52" t="s">
        <v>1616</v>
      </c>
      <c r="L97" s="52" t="s">
        <v>1617</v>
      </c>
      <c r="M97" s="65" t="s">
        <v>1618</v>
      </c>
      <c r="N97" s="52" t="s">
        <v>64</v>
      </c>
      <c r="O97" s="53"/>
      <c r="P97" s="55"/>
      <c r="Q97" s="56"/>
    </row>
    <row r="98">
      <c r="A98" s="48"/>
      <c r="B98" s="37">
        <v>46212.0</v>
      </c>
      <c r="C98" s="49" t="s">
        <v>1046</v>
      </c>
      <c r="D98" s="22" t="s">
        <v>1619</v>
      </c>
      <c r="E98" s="50"/>
      <c r="F98" s="50"/>
      <c r="G98" s="51" t="s">
        <v>1620</v>
      </c>
      <c r="H98" s="52" t="s">
        <v>1539</v>
      </c>
      <c r="I98" s="53"/>
      <c r="J98" s="52" t="s">
        <v>1621</v>
      </c>
      <c r="K98" s="52" t="s">
        <v>1622</v>
      </c>
      <c r="L98" s="52" t="s">
        <v>1623</v>
      </c>
      <c r="M98" s="65" t="s">
        <v>1624</v>
      </c>
      <c r="N98" s="52" t="s">
        <v>64</v>
      </c>
      <c r="O98" s="53"/>
      <c r="P98" s="55"/>
      <c r="Q98" s="56"/>
    </row>
    <row r="99">
      <c r="A99" s="48"/>
      <c r="B99" s="37">
        <v>46212.0</v>
      </c>
      <c r="C99" s="49" t="s">
        <v>1046</v>
      </c>
      <c r="D99" s="22" t="s">
        <v>1625</v>
      </c>
      <c r="E99" s="50"/>
      <c r="F99" s="50"/>
      <c r="G99" s="51" t="s">
        <v>1626</v>
      </c>
      <c r="H99" s="52" t="s">
        <v>1539</v>
      </c>
      <c r="I99" s="53"/>
      <c r="J99" s="52" t="s">
        <v>1621</v>
      </c>
      <c r="K99" s="52" t="s">
        <v>1627</v>
      </c>
      <c r="L99" s="52" t="s">
        <v>1628</v>
      </c>
      <c r="M99" s="65" t="s">
        <v>1629</v>
      </c>
      <c r="N99" s="52" t="s">
        <v>64</v>
      </c>
      <c r="O99" s="53"/>
      <c r="P99" s="55"/>
      <c r="Q99" s="56"/>
    </row>
    <row r="100">
      <c r="A100" s="48"/>
      <c r="B100" s="37">
        <v>46212.0</v>
      </c>
      <c r="C100" s="49" t="s">
        <v>1046</v>
      </c>
      <c r="D100" s="22" t="s">
        <v>1630</v>
      </c>
      <c r="E100" s="50"/>
      <c r="F100" s="50"/>
      <c r="G100" s="51" t="s">
        <v>1631</v>
      </c>
      <c r="H100" s="52" t="s">
        <v>1539</v>
      </c>
      <c r="I100" s="53"/>
      <c r="J100" s="52" t="s">
        <v>1621</v>
      </c>
      <c r="K100" s="52" t="s">
        <v>1632</v>
      </c>
      <c r="L100" s="52" t="s">
        <v>1633</v>
      </c>
      <c r="M100" s="65" t="s">
        <v>1634</v>
      </c>
      <c r="N100" s="52" t="s">
        <v>64</v>
      </c>
      <c r="O100" s="53"/>
      <c r="P100" s="55"/>
      <c r="Q100" s="56"/>
    </row>
    <row r="101">
      <c r="A101" s="48"/>
      <c r="B101" s="37">
        <v>46212.0</v>
      </c>
      <c r="C101" s="49" t="s">
        <v>1046</v>
      </c>
      <c r="D101" s="22" t="s">
        <v>1635</v>
      </c>
      <c r="E101" s="50"/>
      <c r="F101" s="50"/>
      <c r="G101" s="51" t="s">
        <v>1636</v>
      </c>
      <c r="H101" s="52" t="s">
        <v>1539</v>
      </c>
      <c r="I101" s="53"/>
      <c r="J101" s="52" t="s">
        <v>1621</v>
      </c>
      <c r="K101" s="52" t="s">
        <v>1637</v>
      </c>
      <c r="L101" s="52" t="s">
        <v>1638</v>
      </c>
      <c r="M101" s="65" t="s">
        <v>1639</v>
      </c>
      <c r="N101" s="52" t="s">
        <v>64</v>
      </c>
      <c r="O101" s="53"/>
      <c r="P101" s="55"/>
      <c r="Q101" s="56"/>
    </row>
    <row r="102">
      <c r="A102" s="48"/>
      <c r="B102" s="37">
        <v>46212.0</v>
      </c>
      <c r="C102" s="49" t="s">
        <v>1046</v>
      </c>
      <c r="D102" s="22" t="s">
        <v>1640</v>
      </c>
      <c r="E102" s="50"/>
      <c r="F102" s="50"/>
      <c r="G102" s="51" t="s">
        <v>1641</v>
      </c>
      <c r="H102" s="52" t="s">
        <v>1539</v>
      </c>
      <c r="I102" s="53"/>
      <c r="J102" s="52" t="s">
        <v>1642</v>
      </c>
      <c r="K102" s="52" t="s">
        <v>1643</v>
      </c>
      <c r="L102" s="52" t="s">
        <v>1644</v>
      </c>
      <c r="M102" s="65" t="s">
        <v>1645</v>
      </c>
      <c r="N102" s="52" t="s">
        <v>64</v>
      </c>
      <c r="O102" s="53"/>
      <c r="P102" s="55"/>
      <c r="Q102" s="56"/>
    </row>
    <row r="103">
      <c r="A103" s="48"/>
      <c r="B103" s="37">
        <v>46212.0</v>
      </c>
      <c r="C103" s="49" t="s">
        <v>1046</v>
      </c>
      <c r="D103" s="22" t="s">
        <v>1646</v>
      </c>
      <c r="E103" s="50"/>
      <c r="F103" s="50"/>
      <c r="G103" s="51" t="s">
        <v>1647</v>
      </c>
      <c r="H103" s="52" t="s">
        <v>1648</v>
      </c>
      <c r="I103" s="53"/>
      <c r="J103" s="52" t="s">
        <v>1649</v>
      </c>
      <c r="K103" s="52" t="s">
        <v>1650</v>
      </c>
      <c r="L103" s="52" t="s">
        <v>1651</v>
      </c>
      <c r="M103" s="65" t="s">
        <v>1652</v>
      </c>
      <c r="N103" s="52" t="s">
        <v>64</v>
      </c>
      <c r="O103" s="53"/>
      <c r="P103" s="55"/>
      <c r="Q103" s="56"/>
    </row>
    <row r="104">
      <c r="A104" s="48"/>
      <c r="B104" s="37">
        <v>46212.0</v>
      </c>
      <c r="C104" s="49" t="s">
        <v>1046</v>
      </c>
      <c r="D104" s="22" t="s">
        <v>1653</v>
      </c>
      <c r="E104" s="50"/>
      <c r="F104" s="50"/>
      <c r="G104" s="51" t="s">
        <v>1654</v>
      </c>
      <c r="H104" s="52" t="s">
        <v>1648</v>
      </c>
      <c r="I104" s="53"/>
      <c r="J104" s="52" t="s">
        <v>1655</v>
      </c>
      <c r="K104" s="52" t="s">
        <v>1656</v>
      </c>
      <c r="L104" s="52" t="s">
        <v>1657</v>
      </c>
      <c r="M104" s="54" t="s">
        <v>1658</v>
      </c>
      <c r="N104" s="52" t="s">
        <v>64</v>
      </c>
      <c r="O104" s="53"/>
      <c r="P104" s="55"/>
      <c r="Q104" s="56"/>
    </row>
    <row r="105">
      <c r="A105" s="48"/>
      <c r="B105" s="37">
        <v>46212.0</v>
      </c>
      <c r="C105" s="49" t="s">
        <v>1046</v>
      </c>
      <c r="D105" s="22" t="s">
        <v>1659</v>
      </c>
      <c r="E105" s="50"/>
      <c r="F105" s="50"/>
      <c r="G105" s="51" t="s">
        <v>1331</v>
      </c>
      <c r="H105" s="52" t="s">
        <v>1539</v>
      </c>
      <c r="I105" s="53"/>
      <c r="J105" s="52" t="s">
        <v>1660</v>
      </c>
      <c r="K105" s="52" t="s">
        <v>1661</v>
      </c>
      <c r="L105" s="52" t="s">
        <v>1662</v>
      </c>
      <c r="M105" s="65" t="s">
        <v>1663</v>
      </c>
      <c r="N105" s="52" t="s">
        <v>64</v>
      </c>
      <c r="O105" s="50"/>
      <c r="P105" s="55"/>
      <c r="Q105" s="56"/>
    </row>
    <row r="106">
      <c r="A106" s="48"/>
      <c r="B106" s="37">
        <v>46212.0</v>
      </c>
      <c r="C106" s="49" t="s">
        <v>1046</v>
      </c>
      <c r="D106" s="22" t="s">
        <v>1664</v>
      </c>
      <c r="E106" s="50"/>
      <c r="F106" s="50"/>
      <c r="G106" s="51" t="s">
        <v>1665</v>
      </c>
      <c r="H106" s="52" t="s">
        <v>1547</v>
      </c>
      <c r="I106" s="53"/>
      <c r="J106" s="52" t="s">
        <v>1666</v>
      </c>
      <c r="K106" s="52" t="s">
        <v>1667</v>
      </c>
      <c r="L106" s="52" t="s">
        <v>1668</v>
      </c>
      <c r="M106" s="65" t="s">
        <v>1669</v>
      </c>
      <c r="N106" s="52" t="s">
        <v>64</v>
      </c>
      <c r="O106" s="50"/>
      <c r="P106" s="55"/>
      <c r="Q106" s="56"/>
    </row>
    <row r="107">
      <c r="A107" s="48"/>
      <c r="B107" s="37">
        <v>46212.0</v>
      </c>
      <c r="C107" s="49" t="s">
        <v>1046</v>
      </c>
      <c r="D107" s="22" t="s">
        <v>1670</v>
      </c>
      <c r="E107" s="50"/>
      <c r="F107" s="50"/>
      <c r="G107" s="51" t="s">
        <v>1144</v>
      </c>
      <c r="H107" s="52" t="s">
        <v>1671</v>
      </c>
      <c r="I107" s="53"/>
      <c r="J107" s="52" t="s">
        <v>1672</v>
      </c>
      <c r="K107" s="52" t="s">
        <v>1673</v>
      </c>
      <c r="L107" s="52" t="s">
        <v>1674</v>
      </c>
      <c r="M107" s="65" t="s">
        <v>1675</v>
      </c>
      <c r="N107" s="52" t="s">
        <v>64</v>
      </c>
      <c r="O107" s="50"/>
      <c r="P107" s="55"/>
      <c r="Q107" s="56"/>
    </row>
    <row r="108">
      <c r="A108" s="48"/>
      <c r="B108" s="37">
        <v>46212.0</v>
      </c>
      <c r="C108" s="49" t="s">
        <v>1046</v>
      </c>
      <c r="D108" s="22" t="s">
        <v>1676</v>
      </c>
      <c r="E108" s="50"/>
      <c r="F108" s="50"/>
      <c r="G108" s="51" t="s">
        <v>1677</v>
      </c>
      <c r="H108" s="52" t="s">
        <v>1678</v>
      </c>
      <c r="I108" s="53"/>
      <c r="J108" s="52" t="s">
        <v>1679</v>
      </c>
      <c r="K108" s="51" t="s">
        <v>1680</v>
      </c>
      <c r="L108" s="51" t="s">
        <v>1681</v>
      </c>
      <c r="M108" s="65" t="s">
        <v>1682</v>
      </c>
      <c r="N108" s="52" t="s">
        <v>64</v>
      </c>
      <c r="O108" s="50"/>
      <c r="P108" s="55"/>
      <c r="Q108" s="56"/>
    </row>
    <row r="109">
      <c r="A109" s="48"/>
      <c r="B109" s="37">
        <v>46212.0</v>
      </c>
      <c r="C109" s="49" t="s">
        <v>1046</v>
      </c>
      <c r="D109" s="22" t="s">
        <v>1683</v>
      </c>
      <c r="E109" s="50"/>
      <c r="F109" s="50"/>
      <c r="G109" s="51" t="s">
        <v>1684</v>
      </c>
      <c r="H109" s="52" t="s">
        <v>1678</v>
      </c>
      <c r="I109" s="53"/>
      <c r="J109" s="52" t="s">
        <v>1685</v>
      </c>
      <c r="K109" s="51" t="s">
        <v>1686</v>
      </c>
      <c r="L109" s="51" t="s">
        <v>1687</v>
      </c>
      <c r="M109" s="65" t="s">
        <v>1688</v>
      </c>
      <c r="N109" s="52" t="s">
        <v>64</v>
      </c>
      <c r="O109" s="50"/>
      <c r="P109" s="55"/>
      <c r="Q109" s="56"/>
    </row>
    <row r="110">
      <c r="A110" s="48"/>
      <c r="B110" s="37">
        <v>46212.0</v>
      </c>
      <c r="C110" s="49" t="s">
        <v>1046</v>
      </c>
      <c r="D110" s="22" t="s">
        <v>1689</v>
      </c>
      <c r="E110" s="50"/>
      <c r="F110" s="50"/>
      <c r="G110" s="51" t="s">
        <v>1690</v>
      </c>
      <c r="H110" s="52" t="s">
        <v>1691</v>
      </c>
      <c r="I110" s="53"/>
      <c r="J110" s="52" t="s">
        <v>1685</v>
      </c>
      <c r="K110" s="51" t="s">
        <v>1692</v>
      </c>
      <c r="L110" s="51" t="s">
        <v>1693</v>
      </c>
      <c r="M110" s="65" t="s">
        <v>1694</v>
      </c>
      <c r="N110" s="52" t="s">
        <v>64</v>
      </c>
      <c r="O110" s="50"/>
      <c r="P110" s="55"/>
      <c r="Q110" s="56"/>
    </row>
    <row r="111">
      <c r="A111" s="48"/>
      <c r="B111" s="37">
        <v>46212.0</v>
      </c>
      <c r="C111" s="49" t="s">
        <v>1046</v>
      </c>
      <c r="D111" s="22" t="s">
        <v>1695</v>
      </c>
      <c r="E111" s="50"/>
      <c r="F111" s="50"/>
      <c r="G111" s="51" t="s">
        <v>1696</v>
      </c>
      <c r="H111" s="52" t="s">
        <v>1678</v>
      </c>
      <c r="I111" s="53"/>
      <c r="J111" s="52" t="s">
        <v>1685</v>
      </c>
      <c r="K111" s="51" t="s">
        <v>1697</v>
      </c>
      <c r="L111" s="51" t="s">
        <v>1698</v>
      </c>
      <c r="M111" s="65" t="s">
        <v>1699</v>
      </c>
      <c r="N111" s="52" t="s">
        <v>64</v>
      </c>
      <c r="O111" s="50"/>
      <c r="P111" s="55"/>
      <c r="Q111" s="56"/>
    </row>
  </sheetData>
  <autoFilter ref="$N$1:$N$111"/>
  <dataValidations>
    <dataValidation type="list" allowBlank="1" showErrorMessage="1" sqref="C2:C111">
      <formula1>"Tuần 1,Tuần 2,Tuần 3,Tuần 4"</formula1>
    </dataValidation>
    <dataValidation type="list" allowBlank="1" showErrorMessage="1" sqref="P2:Q111">
      <formula1>"BA confirm,Reopen,InProcess,Pass,Reject,dev done"</formula1>
    </dataValidation>
    <dataValidation type="list" allowBlank="1" showErrorMessage="1" sqref="N2:N111">
      <formula1>"Pass,Fail,N/R"</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2"/>
    <hyperlink r:id="rId41" ref="M43"/>
    <hyperlink r:id="rId42" ref="M44"/>
    <hyperlink r:id="rId43" ref="M45"/>
    <hyperlink r:id="rId44" ref="M46"/>
    <hyperlink r:id="rId45" ref="M47"/>
    <hyperlink r:id="rId46" ref="M48"/>
    <hyperlink r:id="rId47" ref="M49"/>
    <hyperlink r:id="rId48" ref="M50"/>
    <hyperlink r:id="rId49" ref="M51"/>
    <hyperlink r:id="rId50" ref="M52"/>
    <hyperlink r:id="rId51" ref="M53"/>
    <hyperlink r:id="rId52" ref="M54"/>
    <hyperlink r:id="rId53" ref="M55"/>
    <hyperlink r:id="rId54" ref="M56"/>
    <hyperlink r:id="rId55" ref="M57"/>
    <hyperlink r:id="rId56" ref="M58"/>
    <hyperlink r:id="rId57" ref="M59"/>
    <hyperlink r:id="rId58" ref="M60"/>
    <hyperlink r:id="rId59" ref="M61"/>
    <hyperlink r:id="rId60" ref="M62"/>
    <hyperlink r:id="rId61" ref="M63"/>
    <hyperlink r:id="rId62" ref="M64"/>
    <hyperlink r:id="rId63" ref="M65"/>
    <hyperlink r:id="rId64" ref="M66"/>
    <hyperlink r:id="rId65" ref="M67"/>
    <hyperlink r:id="rId66" ref="M68"/>
    <hyperlink r:id="rId67" ref="M69"/>
    <hyperlink r:id="rId68" ref="M70"/>
    <hyperlink r:id="rId69" ref="M71"/>
    <hyperlink r:id="rId70" ref="M72"/>
    <hyperlink r:id="rId71" ref="M73"/>
    <hyperlink r:id="rId72" ref="M74"/>
    <hyperlink r:id="rId73" ref="M75"/>
    <hyperlink r:id="rId74" ref="M76"/>
    <hyperlink r:id="rId75" ref="M77"/>
    <hyperlink r:id="rId76" ref="M78"/>
    <hyperlink r:id="rId77" ref="M79"/>
    <hyperlink r:id="rId78" ref="M80"/>
    <hyperlink r:id="rId79" ref="M81"/>
    <hyperlink r:id="rId80" ref="M82"/>
    <hyperlink r:id="rId81" ref="M83"/>
    <hyperlink r:id="rId82" ref="M84"/>
    <hyperlink r:id="rId83" ref="M85"/>
    <hyperlink r:id="rId84" ref="M86"/>
    <hyperlink r:id="rId85" ref="M87"/>
    <hyperlink r:id="rId86" ref="M88"/>
    <hyperlink r:id="rId87" ref="M89"/>
    <hyperlink r:id="rId88" ref="M90"/>
    <hyperlink r:id="rId89" ref="M91"/>
    <hyperlink r:id="rId90" ref="M92"/>
    <hyperlink r:id="rId91" ref="M93"/>
    <hyperlink r:id="rId92" ref="M94"/>
    <hyperlink r:id="rId93" ref="M95"/>
    <hyperlink r:id="rId94" ref="M96"/>
    <hyperlink r:id="rId95" ref="M97"/>
    <hyperlink r:id="rId96" ref="M98"/>
    <hyperlink r:id="rId97" ref="M99"/>
    <hyperlink r:id="rId98" ref="M100"/>
    <hyperlink r:id="rId99" ref="M101"/>
    <hyperlink r:id="rId100" ref="M102"/>
    <hyperlink r:id="rId101" ref="M103"/>
    <hyperlink r:id="rId102" ref="M104"/>
    <hyperlink r:id="rId103" ref="M105"/>
    <hyperlink r:id="rId104" ref="M106"/>
    <hyperlink r:id="rId105" ref="M107"/>
    <hyperlink r:id="rId106" ref="M108"/>
    <hyperlink r:id="rId107" ref="M109"/>
    <hyperlink r:id="rId108" ref="M110"/>
    <hyperlink r:id="rId109" ref="M111"/>
  </hyperlinks>
  <drawing r:id="rId110"/>
  <tableParts count="1">
    <tablePart r:id="rId1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6" width="12.63"/>
    <col customWidth="1" min="8" max="8" width="2.0"/>
  </cols>
  <sheetData>
    <row r="1" ht="15.75" customHeight="1">
      <c r="A1" s="68"/>
      <c r="B1" s="69"/>
      <c r="C1" s="70" t="s">
        <v>28</v>
      </c>
      <c r="D1" s="71"/>
      <c r="E1" s="71"/>
      <c r="F1" s="71"/>
      <c r="G1" s="69"/>
      <c r="H1" s="72"/>
      <c r="I1" s="70" t="s">
        <v>1046</v>
      </c>
      <c r="J1" s="71"/>
      <c r="K1" s="71"/>
      <c r="L1" s="71"/>
      <c r="M1" s="71"/>
      <c r="N1" s="69"/>
    </row>
    <row r="2" ht="15.75" customHeight="1">
      <c r="A2" s="73" t="s">
        <v>1700</v>
      </c>
      <c r="B2" s="73" t="s">
        <v>1701</v>
      </c>
      <c r="C2" s="74">
        <v>46171.0</v>
      </c>
      <c r="D2" s="74">
        <v>46203.0</v>
      </c>
      <c r="E2" s="74">
        <v>46204.0</v>
      </c>
      <c r="F2" s="74">
        <v>46205.0</v>
      </c>
      <c r="G2" s="74">
        <v>46206.0</v>
      </c>
      <c r="H2" s="75"/>
      <c r="I2" s="74">
        <v>46209.0</v>
      </c>
      <c r="J2" s="74">
        <v>46210.0</v>
      </c>
      <c r="K2" s="74">
        <v>46211.0</v>
      </c>
      <c r="L2" s="74">
        <v>46212.0</v>
      </c>
      <c r="M2" s="74">
        <v>46213.0</v>
      </c>
      <c r="N2" s="74">
        <v>46214.0</v>
      </c>
    </row>
    <row r="3" ht="15.75" customHeight="1">
      <c r="A3" s="76" t="s">
        <v>1702</v>
      </c>
      <c r="B3" s="77"/>
      <c r="C3" s="77"/>
      <c r="D3" s="77"/>
      <c r="E3" s="77"/>
      <c r="F3" s="77"/>
      <c r="G3" s="77"/>
      <c r="H3" s="78"/>
      <c r="I3" s="78"/>
      <c r="J3" s="78"/>
      <c r="K3" s="78"/>
      <c r="L3" s="78"/>
      <c r="M3" s="78"/>
      <c r="N3" s="78"/>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G1"/>
    <mergeCell ref="I1:N1"/>
  </mergeCells>
  <drawing r:id="rId1"/>
</worksheet>
</file>