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AT_TGPL Doanh Nghiệp-tuần 1" sheetId="1" r:id="rId5"/>
    <sheet state="visible" name="UAT_TGPL Doanh Nghiệp-tuần 2" sheetId="2" r:id="rId6"/>
    <sheet state="visible" name="UAT_TGPL Doanh Nghiệp-tuần 3" sheetId="3" r:id="rId7"/>
    <sheet state="visible" name="UAT_TGPL Doanh Nghiệp-tuần 4" sheetId="4" r:id="rId8"/>
    <sheet state="visible" name="Tổng hợp tiến độ" sheetId="5" r:id="rId9"/>
  </sheets>
  <definedNames>
    <definedName name="A1P2P20000">#REF!</definedName>
    <definedName hidden="1" localSheetId="0" name="_xlnm._FilterDatabase">'UAT_TGPL Doanh Nghiệp-tuần 1'!$A$1:$X$275</definedName>
    <definedName hidden="1" localSheetId="1" name="_xlnm._FilterDatabase">'UAT_TGPL Doanh Nghiệp-tuần 2'!$A$1:$X$115</definedName>
    <definedName hidden="1" localSheetId="3" name="_xlnm._FilterDatabase">'UAT_TGPL Doanh Nghiệp-tuần 4'!$A$1:$AD$35</definedName>
    <definedName hidden="1" localSheetId="0" name="Z_5F9F2D68_78F4_4BA8_A55B_8298C3D27DAD_.wvu.FilterData">'UAT_TGPL Doanh Nghiệp-tuần 1'!$A$1:$X$275</definedName>
    <definedName hidden="1" localSheetId="0" name="Z_7563665D_901B_4B88_85D3_05E7BCD7A9B8_.wvu.FilterData">'UAT_TGPL Doanh Nghiệp-tuần 1'!$A$1:$X$275</definedName>
  </definedNames>
  <calcPr/>
  <customWorkbookViews>
    <customWorkbookView activeSheetId="0" maximized="1" windowHeight="0" windowWidth="0" guid="{5F9F2D68-78F4-4BA8-A55B-8298C3D27DAD}" name="Dopai_Linh"/>
    <customWorkbookView activeSheetId="0" maximized="1" windowHeight="0" windowWidth="0" guid="{7563665D-901B-4B88-85D3-05E7BCD7A9B8}" name="Bộ lọc 1"/>
  </customWorkbookViews>
</workbook>
</file>

<file path=xl/sharedStrings.xml><?xml version="1.0" encoding="utf-8"?>
<sst xmlns="http://schemas.openxmlformats.org/spreadsheetml/2006/main" count="7764" uniqueCount="3724">
  <si>
    <t>Tên</t>
  </si>
  <si>
    <t>STT</t>
  </si>
  <si>
    <t>Tuần</t>
  </si>
  <si>
    <t>Mã TC</t>
  </si>
  <si>
    <t>Tên chức năng</t>
  </si>
  <si>
    <t>Tác nhân
"cbnv_tw        Test@1234
cbnv_bn        Test@1234
cbnv_dp Test@1234
cbpd_tw Test@1234
cbpd_bn Test@1234
cbpd_dp Test@1234"</t>
  </si>
  <si>
    <t>Mô tả</t>
  </si>
  <si>
    <t>Điều kiện</t>
  </si>
  <si>
    <t>Dữ liệu đầu vào</t>
  </si>
  <si>
    <t>Các bước thực hiện</t>
  </si>
  <si>
    <t>Kết quả mong đợi</t>
  </si>
  <si>
    <t>Kết quả thực tế</t>
  </si>
  <si>
    <t>Ảnh/vieo 1</t>
  </si>
  <si>
    <t>Trạng thái 1</t>
  </si>
  <si>
    <t>TKM phản hồi lần 1</t>
  </si>
  <si>
    <t>Trạng thái dev fix 1</t>
  </si>
  <si>
    <t>Verify</t>
  </si>
  <si>
    <t>DEV phản hồi lần 1</t>
  </si>
  <si>
    <t>Kết quả thực tế lần 2</t>
  </si>
  <si>
    <t>Ảnh/video 2</t>
  </si>
  <si>
    <t>Trạng thái 2</t>
  </si>
  <si>
    <t>TKM phản hồi lần 2</t>
  </si>
  <si>
    <t>Trạng thái dev fix 2</t>
  </si>
  <si>
    <t>DEV phản hồi lần 2</t>
  </si>
  <si>
    <t>I</t>
  </si>
  <si>
    <t>Tuần 3</t>
  </si>
  <si>
    <t>Tuần 4</t>
  </si>
  <si>
    <t>XNTGHTVV_03</t>
  </si>
  <si>
    <t>Tuần 2</t>
  </si>
  <si>
    <t>QLKCHTV_02</t>
  </si>
  <si>
    <t>Dashboard</t>
  </si>
  <si>
    <t>DKTGKH_07</t>
  </si>
  <si>
    <t>cbnv_tw        Test@1234
cbnv_bn        Test@1234
cbnv_dp Test@1234
cbpd_tw Test@1234
cbpd_bn Test@1234
cbpd_dp Test@1234</t>
  </si>
  <si>
    <t>Điều kiện tìm kiếm / bộ lọc</t>
  </si>
  <si>
    <t>Từ chối thành công</t>
  </si>
  <si>
    <t>https://htpldn-uat.ospgroup.vn/login</t>
  </si>
  <si>
    <t>Nhập đăng ký thủ công</t>
  </si>
  <si>
    <t xml:space="preserve">1. Đăng nhập hệ thống thành công
</t>
  </si>
  <si>
    <t>1. Đăng nhập tài khoản 
2. Hồ sơ ở trạng thái "Đã phân công"</t>
  </si>
  <si>
    <t>1. Đăng nhập tài khoản Cán bộ nghiệp vụ
2. Khóa học còn mở đăng ký</t>
  </si>
  <si>
    <t>1. Chọn menu "Tư vấn" =&gt; "Kho câu hỏi"</t>
  </si>
  <si>
    <t>- Từ khóa
- Danh sách chọn: Lĩnh vực pháp lý, Nguồn, Trạng thái. Giá trị mặc định là Tất cả
- 3 giá trị nguồn nhập kho: "Tự động", "Thủ công", "Nhập Excel".
- 5 giá trị trạng thái xử lý: "Nháp", "Chờ duyệt", "Đã duyệt", "Đã công khai", "Hết hiệu lực".</t>
  </si>
  <si>
    <t>- Danh sách chọn giá trị mặc định là rỗng
- Nguồn nhập "Nhập excel" hệ thống hiển thị là "Import"
- Trạng thái xử lý thiếu trạng thái "Nháp", SRS không có trạng thái "Bị từ chối" nhưng hệ thống có trạng thái đó</t>
  </si>
  <si>
    <t>1. Chọn menu "Đào tạo, tập huấn" -&gt; "Khóa học"
2. Nhấn xem chi tiết khóa học
3. Chọn tab "Học viên"
4. Thêm mới thủ công</t>
  </si>
  <si>
    <t xml:space="preserve"> QLKCHTV_02.webm</t>
  </si>
  <si>
    <t>Dữ liệu hợp lệ, hệ thống tạo hồ sơ đăng ký ở trạng thái "Chờ duyệt" với nguồn đăng ký là "Nhập thủ công" và hiển thị thông báo "Đã tạo đăng ký thành công".</t>
  </si>
  <si>
    <t>1. Chọn menu "Vụ việc HTPL"
2. Tìm kiếm và nhấn Xem chi tiết
3. Bấm nút "Từ chối", nhập lý do hợp lệ và nhấn Xác nhận</t>
  </si>
  <si>
    <t>Hệ thống hiển thị thông báo thêm mới thành công nhưng lỗi hiển thị dữ liệu của bản ghi được thêm mới lên màn hình danh sách</t>
  </si>
  <si>
    <t xml:space="preserve">- Hệ thống hiển thị thông báo "Đã từ chối tham gia vụ việc" và chuyển về màn hình danh sách.
- Cập nhật bản ghi phân công: trạng thái "Từ chối", thời điểm từ chối, lý do từ chối.
+ Chuyển trạng thái hồ sơ: "Đã phân công" → "Đã tiếp nhận" 
+ Gửi thông báo cho cán bộ nghiệp vụ phụ trách kèm lý do từ chối.
+ Lưu vết thao tác theo quy định.
</t>
  </si>
  <si>
    <t xml:space="preserve"> DKTGKH_07.webm</t>
  </si>
  <si>
    <t>Hệ thống chuyển hướng đến màn hình thông báo lỗi 403 "Vụ việc không được phân công cho bạn" mặc dù vụ việc được phân công cho tư vấn viên, sau đó hệ thống cập nhật trạng thái của bản ghi là "Chờ phê duyệt"</t>
  </si>
  <si>
    <r>
      <rPr>
        <rFont val="Times New Roman"/>
        <color rgb="FF1155CC"/>
        <sz val="12.0"/>
        <u/>
      </rPr>
      <t>XNTGHTVV_03.webm</t>
    </r>
  </si>
  <si>
    <t>Fail</t>
  </si>
  <si>
    <t>dev done</t>
  </si>
  <si>
    <t>Pass</t>
  </si>
  <si>
    <t>Reject</t>
  </si>
  <si>
    <t>✅ Bug ĐÚNG – chuyển dev.
- Web sai: Tư vấn viên được phân công bấm "Từ chối" và nhập lý do hợp lệ thì thao tác CÓ thành công (vụ việc chuyển đúng về "Đã tiếp nhận", có thông báo "Đã từ chối phân công"), nhưng ngay sau đó màn hình lại nhảy sang trang báo lỗi 403 "Vụ việc không được phân công cho bạn" thay vì quay về danh sách. Người dùng tưởng thao tác thất bại.
- Đúng theo đặc tả: FR-V.I-10 (UC 60) §Processing bước 3 (srs-fr-05-vu-viec.md dòng 822) và §Acceptance Criteria (dòng 845) — người được phân công từ chối kèm lý do thì vụ việc quay về "Đã tiếp nhận" để phân công lại, và người dùng phải được đưa về màn hình danh sách kèm thông báo đã từ chối. Thông báo "Bạn không được phân công cho vụ việc này" (§Error Handling E1, dòng 839) chỉ dành cho trường hợp tài khoản KHÔNG phải người được phân công.
- Đã verify đúng vai trò và trạng thái của đối tác: tài khoản Tư vấn viên kiêm Chuyên gia tư vấn (TVV · CG), cấp Trung ương, là người được phân công; vụ việc ở trạng thái "Đã phân công". Tái hiện 2/2 trên 2 vụ việc.
- Về ý "trạng thái bản ghi chuyển thành Chờ phê duyệt": không tái hiện được. Sau khi từ chối, vụ việc chuyển đúng về "Đã tiếp nhận" và không có bản ghi nào ở "Chờ phê duyệt".
- Bug ID: BUG-XNTGHTVV_03</t>
  </si>
  <si>
    <r>
      <rPr>
        <rFont val="Arial"/>
        <color theme="1"/>
      </rPr>
      <t xml:space="preserve">❌ Không phải bug.
• Thêm học viên thủ công (CB_NV_TW): hệ thống báo "Đã thêm học viên", bản ghi tạo ở trạng thái "Chờ duyệt", nguồn "Nhập tay".
• Danh sách tab "Học viên" hiển thị đủ các cột Họ tên / Email / SĐT / Đơn vị của bản ghi vừa thêm — đã tái hiện bằng thao tác thêm mới, dữ liệu lên đúng.
• Theo đặc tả Đăng ký tham gia khóa học (UC23), danh sách học viên hiển thị các cột này; hệ thống đáp ứng đúng.
→ Đối tác kiểm tra lại.
— Cập nhật (đã kiểm tra lại trên cả 2 môi trường dev và UAT):
- Môi trường dev: danh sách học viên nhập tay hiển thị đầy đủ Họ tên / Email / SĐT / Đơn vị, đúng thiết kế.
- Môi trường UAT: 4 cột này vẫn hiển thị "-" đúng như đối tác phản ánh.
- Nguyên nhân: backend 2 môi trường trả về cấu trúc dữ liệu khác nhau — backend UAT trả thông tin học viên lồng trong nhóm con nên màn hình đọc chưa đúng chỗ; backend dev đã trả đúng.
</t>
    </r>
    <r>
      <rPr>
        <rFont val="Arial"/>
        <b/>
        <color rgb="FFCC0000"/>
      </rPr>
      <t>→ Đề nghị dev đồng bộ bản build môi trường UAT theo môi trường dev, sau đó kiểm tra lại.</t>
    </r>
  </si>
  <si>
    <t>QLKCHTV_03</t>
  </si>
  <si>
    <t>Cột dữ liệu trong bảng kết quả</t>
  </si>
  <si>
    <t>XNTGHTVV_04</t>
  </si>
  <si>
    <t>DKTGKH_12</t>
  </si>
  <si>
    <t xml:space="preserve">1. Chọn menu "Tư vấn" =&gt; "Kho câu hỏi"
</t>
  </si>
  <si>
    <t>Xác nhận thành công</t>
  </si>
  <si>
    <t>- Hệ thống hiển thị các trường thông tin giống với thiết kế
- Dữ liệu hiển thị đúng định dạng và trường thông tin
- Dữ liệu hiển thị không bị tràn/đè lên nhau, đồng nhất ngôn ngữ hiển thị</t>
  </si>
  <si>
    <t>Tải lên tệp Excel</t>
  </si>
  <si>
    <t xml:space="preserve">- Thiết cột thông tin: Ô chọn hàng loạt, Câu trả lời
- Cột "Điểm trung bình" hệ thống hiển thị là "Đánh giá" </t>
  </si>
  <si>
    <r>
      <rPr>
        <rFont val="Times New Roman"/>
        <color rgb="FF1155CC"/>
        <sz val="12.0"/>
        <u/>
      </rPr>
      <t>QLKCHTV_03.jpg</t>
    </r>
  </si>
  <si>
    <t>1. Chọn menu "Đào tạo, tập huấn" -&gt; "Khóa học"
2. Nhấn xem chi tiết khóa học
3. Chọn tab "Học viên"
4. Tải lên tệp Excel</t>
  </si>
  <si>
    <t>1. Chọn menu "Vụ việc HTPL"
2. Tìm kiếm và nhấn Xem chi tiết
3. Bấm nút "Chấp nhận tham gia" và nhấn Xác nhận thành công</t>
  </si>
  <si>
    <t>- Hệ thống hiển thị hộp thoại yêu cầu chọn tệp Excel (XLS, XLSX) theo mẫu chuẩn của hệ thống
- Hiển thị bản xem trước kết quả (số dòng hợp lệ, số dòng lỗi và lý do từng dòng lỗi).
- Khi xác nhận nạp dữ liệu, hệ thống tạo các hồ sơ đăng ký hợp lệ ở trạng thái "Chờ duyệt" với nguồn đăng ký là "Tải lên Excel".
- Nạp thành công, hệ thống hiển thị báo cáo kết quả "Đã nạp {số thành công} đăng ký thành công, {số lỗi} đăng ký không hợp lệ".</t>
  </si>
  <si>
    <t xml:space="preserve">- Hệ thống hiển thị thông báo "Bạn đã xác nhận tham gia vụ việc" và mở Nhóm 6 "Kết quả hỗ trợ" để người hỗ trợ bắt đầu cập nhật kết quả
- Chuyển trạng thái hồ sơ: "Đã phân công" → "Đang xử lý".
+ Cập nhật bản ghi phân công: trạng thái "Đã xác nhận", thời điểm xác nhận.
+ Gửi thông báo cho cán bộ nghiệp vụ phụ trách.
+ Lưu vết thao tác theo quy định.
</t>
  </si>
  <si>
    <t>Hệ thống không hiển thị bản xem trước kết quả (số dòng hợp lệ, số dòng lỗi và lý do từng dòng lỗi) theo thiết kế.</t>
  </si>
  <si>
    <t>Cán bộ nghiệp vụ phụ trách không nhận được thông báo</t>
  </si>
  <si>
    <t>DKTGKH_12.webm</t>
  </si>
  <si>
    <t>Tuần 1</t>
  </si>
  <si>
    <r>
      <rPr>
        <rFont val="Times New Roman"/>
        <color rgb="FF1155CC"/>
        <sz val="12.0"/>
        <u/>
      </rPr>
      <t>XNTGHTVV_04.webm</t>
    </r>
  </si>
  <si>
    <t>DB_01</t>
  </si>
  <si>
    <t>Cán bộ nghiệp vụ TW,BN,ĐP/Cán bộ phê duyệt TW,BN,ĐP</t>
  </si>
  <si>
    <t>Mở Dashboard thành công</t>
  </si>
  <si>
    <t>Đăng nhập hợp lệ</t>
  </si>
  <si>
    <t>Không có</t>
  </si>
  <si>
    <t>1. Đăng nhập
 2. Mở Tổng quan hệ thống</t>
  </si>
  <si>
    <t>Hiển thị Dashboard, loading các widget</t>
  </si>
  <si>
    <t>DB_01.png</t>
  </si>
  <si>
    <t>✅ Bug ĐÚNG – chuyển dev. Đã tái hiện đúng điều kiện đối tác (TVV·CG được phân công, VV ở "Đã phân công", CB NV phụ trách đúng là người ở trường Người tiếp nhận).
PHẦN CHẠY ĐÚNG: bấm Chấp nhận → VV chuyển "Đã phân công" → "Đang xử lý", bản ghi phân công thành "Chấp nhận", nhóm "Kết quả hỗ trợ" mở ra, người thao tác thấy thông báo "Đã chấp nhận phân công". Đo được đúng 1 request, 1 thông báo, không lặp.
PHẦN SAI (đúng như đối tác báo): cán bộ nghiệp vụ phụ trách hồ sơ KHÔNG nhận được thông báo. Trước thao tác tài khoản này có 117 thông báo (0 mục thuộc vụ việc); sau thao tác vẫn đúng 117, vẫn 0 mục thuộc vụ việc, và không có thông báo nào được tạo sau thời điểm chấp nhận. Hộp thư email cũng không phát sinh thư nào sau mốc đó.
SRS: FR-V.I-10 (UC 60) §Processing bước 5 "Gửi thông báo CB NV" (srs-fr-05-vu-viec.md:824) + §Postconditions "CB NV nhận thông báo" (dòng 833) + BR-NOTIF-01 (dòng 2455) yêu cầu gửi qua CẢ 2 kênh: trong hệ thống và email. Hiện thiếu cả 2.
ĐÃ LOẠI TRỪ 2 KHẢ NĂNG NHẦM: (1) sai người nhận — trường Người tiếp nhận của vụ việc trùng đúng tài khoản cán bộ nghiệp vụ đã kiểm tra; (2) hệ thống thông báo hỏng toàn cục — cùng phiên, sự kiện phân công vẫn gửi email thành công cho tư vấn viên, nên hạ tầng gửi thông báo vẫn chạy, chỉ riêng sự kiện xác nhận tham gia không phát.
PHÁT HIỆN THÊM ngoài phạm vi case này (đã log riêng, đề nghị dev xử cùng đợt): (a) vụ việc bị tư vấn viên từ chối quay về "Đã tiếp nhận" thì không phân công lại được — màn hình không có nút Phân công và máy chủ cũng chặn, trái bảng nút SCR-V.I-03 (dòng 1734); (b) yêu cầu phân công bị máy chủ từ chối vẫn được ghi vào Dòng thời gian như một lần phân công đã diễn ra, khiến hồ sơ hiện 14 mục "Phân công" trong khi chỉ 1 lần thành công.</t>
  </si>
  <si>
    <t>❌ BA chốt: KHÔNG phải lỗi — phần mềm đúng SRS.
- Import Excel đăng ký học viên theo FR-III-04 (UC23) là "kiểm tra → nạp từng dòng → báo cáo kết quả" (srs-fr-03:474, :485), không có bước xem trước tách riêng. Phần mềm đã hiện đủ báo cáo tổng / thành công / bỏ qua trùng / lỗi kèm lý do. Hệ thống đáp ứng đúng SRS.
- Nếu cần bước xem trước → là yêu cầu cải tiến, trao đổi BA. Đề nghị cập nhật lại Kết quả mong đợi của test case.</t>
  </si>
  <si>
    <t>Hệ thống thông báo "Email không hợp lệ" mặc dù dữ liệu hợp lệ</t>
  </si>
  <si>
    <t>QLKCHTV_04</t>
  </si>
  <si>
    <t>DKTGKH_12_v2.webm</t>
  </si>
  <si>
    <t>Kiểm tra khi nhấn nút chức năng Thêm câu hỏi</t>
  </si>
  <si>
    <t>1. Chọn menu "Tư vấn" =&gt; "Kho câu hỏi"
2. Bấm nút "+ Thêm câu hỏi"</t>
  </si>
  <si>
    <t>- Hệ thống mở cửa sổ "Thêm câu hỏi mới" cho NSD nhập đầy đủ nội dung câu hỏi, câu trả lời, lĩnh vực pháp lý, từ khóa.
- Các nút chức năng Lưu nháp, Gửi duyệt</t>
  </si>
  <si>
    <t>TPDHSVV_02</t>
  </si>
  <si>
    <t>- Nút chức năng "Gửi duyệt" hệ thống hiển thị là "Lưu"
- Không có nút chức năng "Lưu nháp"</t>
  </si>
  <si>
    <r>
      <rPr>
        <rFont val="Times New Roman"/>
        <color rgb="FF1155CC"/>
        <sz val="12.0"/>
        <u/>
      </rPr>
      <t>QLKCHTV_04.jpg</t>
    </r>
  </si>
  <si>
    <t>Reopen</t>
  </si>
  <si>
    <t>Kiểm tra hồ sơ chưa có kết quả hỗ trợ của người hỗ trợ</t>
  </si>
  <si>
    <t>1. Đăng nhập tài khoản 
2. Hồ sơ vụ việc đang ở trạng thái "Đang xử lý".
3. Hồ sơ chưa có kết quả hỗ trợ của người hỗ trợ</t>
  </si>
  <si>
    <t>1. Chọn menu "Vụ việc HTPL"
2. Tìm kiếm và nhấn Xem chi tiết
3. Bấm nút "Trình phê duyệt"</t>
  </si>
  <si>
    <t>Hệ thống hiển thị thông báo "Chưa có kết quả hỗ trợ từ người hỗ trợ, không thể trình phê duyệt".</t>
  </si>
  <si>
    <t>Thông báo bị duplicate</t>
  </si>
  <si>
    <r>
      <rPr>
        <rFont val="Times New Roman"/>
        <color rgb="FF1155CC"/>
        <sz val="12.0"/>
        <u/>
      </rPr>
      <t>TPDHSVV_02.jpg</t>
    </r>
  </si>
  <si>
    <t>KTDGKQHT_01</t>
  </si>
  <si>
    <t>Quản lý kiểm tra, đánh giá kết quả học tập</t>
  </si>
  <si>
    <t>Quản lý điểm danh, điểm kiểm tra/đánh giá cuối khóa của học viên.</t>
  </si>
  <si>
    <t>1. Đăng nhập tài khoản</t>
  </si>
  <si>
    <t>✅ Là bug — cần dev fix.
- Ý đối tác báo "thông báo bị lặp (duplicate)" KHÔNG tái hiện: đo lặp lại nhiều lần, thông báo luôn chỉ xuất hiện 1 lần; hệ thống chặn đúng khi vụ việc chưa có kết quả hỗ trợ (không cho trình phê duyệt, giữ "Đang xử lý").
- NHƯNG chính thông báo đó đang lộ mã lỗi kỹ thuật ra người dùng: "ERR-VAL-VI-TD-02: Chưa có kết quả xử lý từ tư vấn viên". Theo quy tắc chung: thông báo (toast) chỉ hiển thị nội dung văn bản dễ hiểu, KHÔNG kèm mã lỗi — áp dụng cho TOÀN BỘ hệ thống.
→ Đề nghị dev bỏ tiền tố mã lỗi khỏi mọi thông báo hiển thị cho người dùng. Bug: BUG-VV-MALOI-LO-UI.</t>
  </si>
  <si>
    <t>1. Chọn menu "Đào tạo, tập huấn" -&gt; "Khóa học"
2. Nhấn xem chi tiết khóa học
3. Chọn tab "Điểm danh", "Kết quả kiểm tra"</t>
  </si>
  <si>
    <t>QLKCHTV_10</t>
  </si>
  <si>
    <t>Hệ thống hiển thị màn hình mỗi tab giống với thiết kế</t>
  </si>
  <si>
    <t>TPDHSVV_04</t>
  </si>
  <si>
    <t>Hệ thống hiển thị màn hình các tab không giống với thiết kế</t>
  </si>
  <si>
    <t>Trình phê duyệt thành công</t>
  </si>
  <si>
    <t xml:space="preserve"> KTDGKQHT_01.webm</t>
  </si>
  <si>
    <t xml:space="preserve">1. Đăng nhập tài khoản 
2. Hồ sơ vụ việc đang ở trạng thái "Đang xử lý".
3. Người hỗ trợ đã cập nhật kết quả hỗ trợ </t>
  </si>
  <si>
    <t>Có dòng hợp lệ, NSD bấm "Xác nhận nhập"</t>
  </si>
  <si>
    <t>- Chuyển trạng thái hồ sơ: "Đang xử lý" → "Chờ phê duyệt" 
+ Ghi thời điểm trình phê duyệt.
+ Gửi thông báo cho Cán bộ phê duyệt cùng đơn vị 
+ Lưu vết thao tác theo quy định.
- Hệ thống hiển thị thông báo "Đã trình phê duyệt. Hồ sơ chuyển sang trạng thái Chờ phê duyệt" và làm mới màn hình chi tiết.</t>
  </si>
  <si>
    <t>- Cán bộ phê duyệt cùng đơn vị không nhận được thông báo</t>
  </si>
  <si>
    <t xml:space="preserve"> TPDHSVV_04.webm</t>
  </si>
  <si>
    <t>1. Chọn menu "Tư vấn" =&gt; "Kho câu hỏi"
2. Bấm nút Nhập Excel
3. NSD tải lên tệp Excel theo mẫu (định dạng .xlsx
4. Có dòng hợp lệ, NSD bấm "Xác nhận nhập"</t>
  </si>
  <si>
    <t>Hệ thống tạo các bản ghi tương ứng ở trạng thái "Chờ duyệt" với nguồn là "Nhập Excel", chuyển vào hàng đợi thẩm định của Cán bộ phê duyệt cùng đơn vị.</t>
  </si>
  <si>
    <t>DB_02</t>
  </si>
  <si>
    <t>Hệ thống hiển thị nguồn nhập là "Import"</t>
  </si>
  <si>
    <r>
      <rPr>
        <rFont val="Times New Roman"/>
        <color rgb="FF1155CC"/>
        <sz val="12.0"/>
        <u/>
      </rPr>
      <t xml:space="preserve">QLKCHTV_10.jpg
</t>
    </r>
    <r>
      <rPr>
        <rFont val="Times New Roman"/>
        <color rgb="FF1F1F1F"/>
        <sz val="12.0"/>
      </rPr>
      <t>QLKCHTV_10(1).jpg</t>
    </r>
  </si>
  <si>
    <t>✅ Bug đúng – chuyển dev.
• Tab "Kết quả" chỉ có cột Họ tên, Chuyên cần, Điểm kiểm tra, Kết quả → thiếu Email, Số điện thoại, Đơn vị, Xếp loại.
• Tab "Điểm danh" thiếu cột Email, Số điện thoại.
• SRS FR-III-05 (UC24) §Outputs (dòng 574–590): bắt buộc hiển thị Email/SĐT/Đơn vị (ghi rõ "Yêu cầu đối tác mục 05/05b") và Xếp loại.
• Verify: CB_NV_TW, khóa AAA-KH-TW. Bug ID: BUG-KTDGKQHT_01.</t>
  </si>
  <si>
    <t>Kiểm tra giá trị mặc định</t>
  </si>
  <si>
    <t>Có quyền xem</t>
  </si>
  <si>
    <t>KTDGKQHT_03</t>
  </si>
  <si>
    <t>Mở Dashboard</t>
  </si>
  <si>
    <t>Nhập điểm danh thủ công</t>
  </si>
  <si>
    <t>Năm hiện tại, phạm vi đúng quyền, đơn vị đúng theo vai trò</t>
  </si>
  <si>
    <t>1. Chọn menu "Đào tạo, tập huấn" -&gt; "Khóa học"
2. Nhấn xem chi tiết khóa học
3. Chọn tab "Điểm danh" 
4. Chọn buổi học từ danh sách và chọn trạng thái điểm danh cho từng học viên
5. Nhấn Lưu</t>
  </si>
  <si>
    <t>Hệ thống ghi nhận và hiển thị thông báo "Đã lưu điểm danh".</t>
  </si>
  <si>
    <t>✅ Bug ĐÚNG — xác nhận lỗi, chuyển dev.
Đã test đúng điều kiện đối tác nêu: đăng nhập Cán bộ Nghiệp vụ Trung ương, vụ việc "Đang xử lý" đã có kết quả hỗ trợ, bấm "Trình phê duyệt" và xác nhận.
- Phần chuyển trạng thái ĐẠT: vụ việc chuyển "Đang xử lý" → "Chờ phê duyệt", có thông báo "Đã trình phê duyệt", ghi thời điểm trình vào dòng thời gian.
- Phần thông báo THIẾU: đăng nhập lại Cán bộ Phê duyệt cùng đơn vị (cùng đơn vị BTP·TW, đúng người phải duyệt vụ việc này — vụ việc đã nằm trong danh sách "Chờ phê duyệt" của cán bộ đó, có nút Phê duyệt/Từ chối), mở chuông thông báo và kiểm email đều KHÔNG có thông báo nào về vụ việc vừa được trình. Số thông báo chưa đọc giữ nguyên, thông báo mới nhất vẫn là của mấy ngày trước.
- Loại trừ nhiễu: cùng cán bộ đó VẪN nhận được thông báo "chờ phê duyệt" cho khóa học và hồ sơ tư vấn viên → chức năng thông báo còn hoạt động, chỉ thiếu riêng thông báo khi trình phê duyệt vụ việc.
Theo đặc tả FR-V.I-11 "Trình phê duyệt" (bước xử lý số 3 và điều kiện sau khi hoàn tất), sau khi trình, hệ thống phải gửi thông báo cho Cán bộ Phê duyệt cùng cấp qua cả 2 kênh trong hệ thống và email. Đây là lỗi thiếu thông báo, cùng nhóm với case XNTGHTVV_04.
→ Đề nghị dev bổ sung gửi thông báo cho Cán bộ Phê duyệt khi vụ việc được trình phê duyệt.</t>
  </si>
  <si>
    <t>Hệ thống không hiển thị bảng danh sách học viên mặc dù tồn tại dữ liệu học viên</t>
  </si>
  <si>
    <t xml:space="preserve"> KTDGKQHT_03.webm</t>
  </si>
  <si>
    <t>TBKQTNHS_01</t>
  </si>
  <si>
    <t>QLKCHTV_12</t>
  </si>
  <si>
    <t>Thông báo kết quả tiếp nhận hồ sơ</t>
  </si>
  <si>
    <t>Cán  bộ  nghiệp 
 TW,BN,ĐP</t>
  </si>
  <si>
    <t>Xuất Excel</t>
  </si>
  <si>
    <t>Cung cấp chức năng gửi thông báo kết quả kiểm tra hồ sơ (Đạt/Không đạt) cho DNNVV.</t>
  </si>
  <si>
    <t>1. Đăng nhập hệ thống thành công
2. Tồn tại bản ghi phù hợp với tiêu chí tìm kiếm</t>
  </si>
  <si>
    <t>1. Đăng nhập tài khoản 
2. Hồ sơ vụ việc đã qua bước kiểm tra
3. Doanh nghiệp của hồ sơ có ít nhất một kênh nhận thông báo hợp lệ</t>
  </si>
  <si>
    <t>Verify lại 17/07/2026 (sau khi dev báo fix): ĐẠT 4/4 ý BA chốt → Pass.
Ý 4 — thứ duy nhất còn lại sau 2 vòng Reopen — ĐÃ FIX THẬT và fix đúng bài: khóa KH-SEED-0001 đang "Đã kết thúc" nay MẤT HẲN nút "Lưu điểm danh" và "Import Excel" (chỉ còn "Xuất Excel"); sau khi chọn buổi thì cả 3 ô trạng thái (Có mặt / Vắng có phép / Vắng không phép) và ô Ghi chú đều xám mờ, không sửa được; giá trị đã lưu vẫn hiển thị đúng. Máy chủ cũng chặn: gửi đúng yêu cầu ghi điểm danh mà màn hình từng gửi hồi trước thì bị từ chối với thông báo "Chỉ điểm danh được khi khóa học đang diễn ra" → chặn ở CẢ giao diện lẫn máy chủ, không phải chỉ ẩn nút.
Đúng FR-III-05 (UC24) PRE-03 (srs-fr-03-dao-tao.md dòng 533): "Nhập điểm danh: khóa học ở DANG_DIEN_RA. Khi khóa chuyển DA_KET_THUC thì điểm danh đóng"; và bảng chuyển trạng thái Khóa học (srs-v3.5.md dòng 5759) ghi tác động "Đóng điểm danh".
Ý 1, 2, 3 không hỏng ngược: vẫn có dòng "Vui lòng chọn buổi học để bắt đầu điểm danh"; bộ chọn vẫn là danh sách buổi học đủ Ngày · Khung giờ · Nội dung; 2 buổi cùng ngày vẫn lưu tách bạch (buổi sáng "Có mặt", buổi chiều chưa điểm danh — dữ liệu độc lập).
LƯU Ý — phát hiện 1 lỗi MỚI ở chính tab Điểm danh, đã mở dòng TC riêng QLKH_03: buổi học chưa hề điểm danh thì màn hình tự tick sẵn "Vắng không phép" dù dữ liệu lưu là rỗng. Đây là lỗi hỏng ngược do bản build mới (vòng verify trước hiển thị đúng). Không tính vào case này.
Bug ID: BUG-KTDGKQHT_03 (Closed). Tài khoản verify: cbnv_tw (CB_NV_TW). Dữ liệu: khóa KH-SEED-0001 "Đã kết thúc", 2 buổi ngày 20/02/2026, 1 học viên đã duyệt.</t>
  </si>
  <si>
    <t>1. Chọn menu "Tư vấn" =&gt; "Kho câu hỏi"
2. Tìm kiếm có kết quả
3. Bấm nút Xuất Excel</t>
  </si>
  <si>
    <t>1. Chọn menu "Vụ việc HTPL"
2. Tìm kiếm và nhấn Xem chi tiết
3. Bấm nút "Gửi thông báo kết quả"</t>
  </si>
  <si>
    <t>- Có dữ liệu, hệ thống tải tệp về máy người dùng với tên dạng "kho-cau-hoi-{YYYYMMDD-HHmm}.xlsx".
- Bao gồm toàn bộ cột đang hiển thị cộng thêm cột "Câu hỏi (đầy đủ)", "Câu trả lời (đầy đủ)" và "Ngày cập nhật" để phục vụ báo cáo.</t>
  </si>
  <si>
    <t>- Tên file thiếu thông tin thời gian xuất "HHmm"
- Thiếu cột thông tin "Ngày cập nhật"
- Thông tin Nguồn "Nhập excel", file excel hiển thị "Import"</t>
  </si>
  <si>
    <t>Màn hình không hiển thị/cung cấp chức năng</t>
  </si>
  <si>
    <r>
      <rPr>
        <rFont val="Times New Roman"/>
        <color rgb="FF1155CC"/>
        <sz val="12.0"/>
        <u/>
      </rPr>
      <t>QLKCHTV_12.jpg</t>
    </r>
  </si>
  <si>
    <t xml:space="preserve"> TBKQTNHS_01.webm</t>
  </si>
  <si>
    <t>KTDGKQHT_08</t>
  </si>
  <si>
    <t>Nhập điểm kiểm tra thủ công không hợp lệ</t>
  </si>
  <si>
    <t>1. Đăng nhập tài khoản
2. Khóa học ở trạng thái "Đang diễn ra" hoặc "Đã kết thúc".</t>
  </si>
  <si>
    <t>1. Chọn menu "Đào tạo, tập huấn" -&gt; "Khóa học"
2. Nhấn xem chi tiết khóa học
3. Chọn tab "Kết quả kiểm tra" 
4. Nhập điểm không hợp lệ
5. Nhấn Lưu</t>
  </si>
  <si>
    <t>Hệ thống từ chối và hiển thị thông báo "Điểm kiểm tra phải từ 0 đến 10".</t>
  </si>
  <si>
    <t>Hệ thống không hiển thị danh sách học viên mặc dù tồn tại dữ liệu</t>
  </si>
  <si>
    <t xml:space="preserve"> KTDGKQHT_08.webm</t>
  </si>
  <si>
    <t>DB_03</t>
  </si>
  <si>
    <t>❌ Không phải lỗi (BA xác nhận 24/07/2026).
- BA chốt: đặc tả hiện hành chốt cơ chế TỰ ĐỘNG, màn hình không bố trí nút gửi tay — srs-fr-05-vu-viec.md:906 (màn SCR-V.I-03 "Không có nút thao tác", tác nhân = Hệ thống), AC :956 ("hệ thống tự động gửi... không có thao tác thủ công"), :959 (chỉ phát khi kết luận Không đạt; kết luận Đạt thì FR không kích hoạt), bảng hành vi tự động :1769. Kỳ vọng có nút bấm dựa trên tiêu chí chấp nhận cũ, câu đó đã được gỡ khỏi đặc tả ngày 17/07/2026.
- Đề nghị đối tác cập nhật Kết quả mong đợi theo cơ chế tự động (không có nút gửi tay, chỉ phát khi Không đạt) và đưa nội dung này vào danh sách yêu cầu cải tiến.
- Việc thông báo tự động có thực đến doanh nghiệp hay không được kiểm chứng riêng ở luồng gửi tự động, không thuộc phạm vi trường hợp kiểm thử này.</t>
  </si>
  <si>
    <t/>
  </si>
  <si>
    <t>Người dùng TW xem toàn quốc</t>
  </si>
  <si>
    <t>QLKCHTV_13</t>
  </si>
  <si>
    <t>TK Trung ương</t>
  </si>
  <si>
    <t>PDHSVV_02</t>
  </si>
  <si>
    <t>Verify lại 17/07/2026 (sau khi dev báo fix): ĐẠT 4/5 ý BA chốt, cả 2 lỗi chính BA giao đều đã fix → Pass.
Ý 2 — thứ duy nhất còn lại sau 2 vòng Reopen — ĐÃ FIX THẬT: khóa DDD-KH-011 đang "Đang diễn ra" nay hiện khung cảnh báo màu vàng "Kết quả tạm tính" ở đầu tab Kết quả, kèm câu giải thích nguyên văn: "Khóa học đang diễn ra — kết quả bên dưới là tạm tính, chưa phải kết quả chính thức. Kết quả được chốt khi trình phê duyệt." Đo lại trên ĐÚNG khóa mà vòng trước đo ra "không có" nên so sánh trước/sau là 1:1. Phần này còn làm hơn yêu cầu: BA chỉ yêu cầu nhãn, dev bổ sung cả lý do và thời điểm kết quả được chốt.
Ý 1 và ý 3 không hỏng ngược: khóa "Đang diễn ra" vẫn mở được tab Kết quả và hiện đủ danh sách học viên, ô nhập điểm sửa được (đúng FR-III-05 (UC24) PRE-04, srs-fr-03-dao-tao.md dòng 534: "Nhập điểm kiểm tra: khóa học ở DANG_DIEN_RA hoặc DA_KET_THUC"). Gõ 15 thì ô vẫn giữ nguyên 15, không tự kéo về 10; bấm Lưu thì hệ thống từ chối, báo đúng nguyên văn "Điểm kiểm tra phải từ 0 đến 10" (ERR-KQ-01) và không ghi gì. Ý 5 (nhập điểm và gửi duyệt kết quả là 2 việc tách bạch) đã xác nhận ở vòng trước, không đổi phạm vi.
CÒN 1 Ý CẦN BA CHỐT — ý 4 (nhập điểm qua Excel): phần mềm vẫn không có đường nhập điểm từ file Excel (nút Import Excel chỉ có ở tab Học viên và tab Điểm danh, mẫu file không có cột điểm). Đây là câu hỏi đặc tả, KHÔNG phải lỗi dev còn tồn, nên không chặn kết quả Pass của case. Đề nghị BA xác nhận: bỏ ý 4, hoặc nếu thực sự cần nhập điểm từ Excel thì đây là chức năng chưa có, cần mở yêu cầu riêng cho Dev bổ sung.
Bug ID: BUG-KTDGKQHT_08 (Closed). Tài khoản verify: cbnv_tw (CB_NV_TW). Dữ liệu: khóa DDD-KH-011 "Đang diễn ra", 1 học viên.</t>
  </si>
  <si>
    <t>Xuất Excel Không có dữ liệu</t>
  </si>
  <si>
    <t>Phê duyệt thành công</t>
  </si>
  <si>
    <t>1. Đăng nhập tài khoản Cán bộ phê duyệt cùng đơn vị với đơn vị tạo hồ sơ.
2. Hồ sơ vụ việc đang ở trạng thái "Chờ phê duyệt".</t>
  </si>
  <si>
    <t>Xem được dữ liệu toàn quốc</t>
  </si>
  <si>
    <t>1. Đăng nhập hệ thống thành công
2. Không tồn tại bản ghi phù hợp với tiêu chí tìm kiếm</t>
  </si>
  <si>
    <t xml:space="preserve">1. Chọn menu "Vụ việc HTPL"
2. Tìm kiếm và nhấn Xem chi tiết
3. Bấm nút "Phê duyệt" </t>
  </si>
  <si>
    <t xml:space="preserve">- Hệ thống hiển thị thông báo "Đã phê duyệt hồ sơ" và làm mới màn hình chi tiết.
+ Chuyển trạng thái hồ sơ: "Chờ phê duyệt" → "Đã duyệt".
+ Ghi người phê duyệt và thời điểm phê duyệt.
+ Gửi thông báo cho cán bộ nghiệp vụ phụ trách hồ sơ 
+ Lưu vết thao tác theo quy định.
</t>
  </si>
  <si>
    <t>1. Chọn menu "Tư vấn" =&gt; "Kho câu hỏi"
2. Tìm kiếm không có kết quả
3. Bấm nút Xuất Excel</t>
  </si>
  <si>
    <t>- Hệ thống không gửi thông báo cho cán bộ nghiệp vụ phụ trách hồ sơ
- Lỗi hiển thị thông tin Người duyệt trong nhóm "Phê duyệt"</t>
  </si>
  <si>
    <t>PDHSVV_02.jpg
 PDHSVV_02.webm</t>
  </si>
  <si>
    <t>- Hệ thống thông báo "Không có dữ liệu để xuất".</t>
  </si>
  <si>
    <t>Hệ thống xuất file excel đã được xuất ở uc QLKCHTV_12</t>
  </si>
  <si>
    <r>
      <rPr>
        <rFont val="Times New Roman"/>
        <color rgb="FF1155CC"/>
        <sz val="12.0"/>
        <u/>
      </rPr>
      <t>QLKCHTV_13.webm</t>
    </r>
  </si>
  <si>
    <t>TTKTDGKQHT_01</t>
  </si>
  <si>
    <t>Tìm kiếm thông tin kiểm tra, đánh giá kết quả học tập</t>
  </si>
  <si>
    <t>Tìm kiếm kết quả học tập theo tên học viên, mã khóa học.</t>
  </si>
  <si>
    <t xml:space="preserve">1. Đăng nhập tài khoản
</t>
  </si>
  <si>
    <t>1. Chọn menu "Đào tạo, tập huấn" -&gt; "Khóa học"
2. Nhấn xem chi tiết khóa học
3. Chọn tab "Kết quả kiểm tra" 
4. Kiểm tra các tiêu chí và thực hiện tìm kiếm</t>
  </si>
  <si>
    <t>Hệ thống không hiển thị các trường thông tin tìm kiếm</t>
  </si>
  <si>
    <t>TTKTDGKQHT_01.jpg</t>
  </si>
  <si>
    <t>✅ Bug ĐÚNG — xác nhận cả 2 lỗi, chuyển dev.
Đã test đúng điều kiện đối tác nêu: đăng nhập Cán bộ Phê duyệt cùng đơn vị với đơn vị tạo hồ sơ, vụ việc ở "Chờ phê duyệt", bấm "Phê duyệt" và xác nhận.
- Phần đổi trạng thái ĐẠT: vụ việc chuyển "Chờ phê duyệt" → "Đã duyệt", có thông báo "Đã phê duyệt", ghi người duyệt và thời điểm duyệt (13:23).
- Lỗi 1 (thông báo): sau khi phê duyệt, Cán bộ Nghiệp vụ phụ trách hồ sơ KHÔNG nhận được thông báo nào về việc vụ việc đã được duyệt — cả chuông trong hệ thống lẫn email. Loại trừ nhiễu: tài khoản này vẫn nhận thông báo loại phê duyệt cho sự kiện khác (đăng ký khóa học) → cơ chế thông báo còn hoạt động, chỉ thiếu riêng thông báo khi phê duyệt vụ việc.
- Lỗi 2 (Người duyệt): nhóm "Phê duyệt" ở màn chi tiết hiển thị trường "Người duyệt" là mã định danh nội bộ dạng "ID: 4101cf26-..." thay vì tên người duyệt ("CB Phê duyệt - Trung ương"). Đây là lỗi hiển thị: hệ thống đổ thẳng mã định danh kỹ thuật ra giao diện thay vì tên.
Theo đặc tả FR-V.I-13 "Phê duyệt hồ sơ vụ việc" (bước xử lý 4 + điều kiện sau khi hoàn tất) và quy tắc gửi thông báo BR-NOTIF-01, khi phê duyệt phải gửi thông báo cho Cán bộ Nghiệp vụ phụ trách qua cả 2 kênh; và theo thiết kế màn chi tiết (nhóm Phê duyệt), trường Người duyệt phải hiển thị tên/chức danh người duyệt. Đây là 2 lỗi thật.
→ Đề nghị dev: (1) bổ sung gửi thông báo phê duyệt cho Cán bộ Nghiệp vụ phụ trách; (2) hiển thị tên người duyệt (không hiển thị mã định danh) ở trường Người duyệt.</t>
  </si>
  <si>
    <t>QLKCHTV_14</t>
  </si>
  <si>
    <t>PDHSVV_03</t>
  </si>
  <si>
    <t>Xem</t>
  </si>
  <si>
    <t>✅ Bug đúng – chuyển dev.
• Tab "Kết quả kiểm tra" trong chi tiết khóa học KHÔNG hiển thị trường tìm kiếm / bộ lọc nào (chỉ có nút Xuất DOCX, Hủy công bố, ô Ghi chú).
• SRS FR-III-06 (UC25) "Tìm kiếm kết quả" (dòng 616–635): tab phải có bộ lọc theo tên học viên, khóa học, kết quả (Đạt/Không đạt).
• Verify: CB_NV_TW, khóa trạng thái "Hoàn thành". Bug ID: BUG-TTKTDGKQHT_01.</t>
  </si>
  <si>
    <t>1. Chọn menu "Tư vấn" =&gt; "Kho câu hỏi"
2. Tìm kiếm có kết quả
3. Bấm nút Xem</t>
  </si>
  <si>
    <t>Cán bộ phê duyệt không cùng đơn vị với đơn vị hồ sơ</t>
  </si>
  <si>
    <t>Hệ thống mở bảng chi tiết câu hỏi bên phải hoặc cửa sổ nổi hiển thị đầy đủ câu hỏi, câu trả lời (nội dung định dạng), lĩnh vực pháp lý, từ khóa, nguồn, người tạo, thời điểm tạo và cập nhật, lịch sử thẩm định.</t>
  </si>
  <si>
    <t>DB_04</t>
  </si>
  <si>
    <t>- Màn hình chi tiết thiếu thông tin: Người tạo, từ khóa, lịch sử thẩm định</t>
  </si>
  <si>
    <t>1. Đăng nhập tài khoản Cán bộ phê duyệt không cùng đơn vị với đơn vị tạo hồ sơ.
2. Hồ sơ vụ việc đang ở trạng thái "Chờ phê duyệt".</t>
  </si>
  <si>
    <r>
      <rPr>
        <rFont val="Times New Roman"/>
        <color rgb="FF1155CC"/>
        <sz val="12.0"/>
        <u/>
      </rPr>
      <t>QLKCHTV_14.jpg</t>
    </r>
  </si>
  <si>
    <t>QLKTLBG_02</t>
  </si>
  <si>
    <t>Người dùng Bộ chỉ xem đơn vị mình</t>
  </si>
  <si>
    <t>- Hệ thống hiển thị thông báo "Bạn không có quyền phê duyệt vụ việc này (khác đơn vị)".</t>
  </si>
  <si>
    <t>TK Bộ</t>
  </si>
  <si>
    <t>Thông báo bị duplicate và thông báo không đúng với thiết kế</t>
  </si>
  <si>
    <t>Kiểm tra hiển thị bảng danh sách</t>
  </si>
  <si>
    <r>
      <rPr>
        <rFont val="Times New Roman"/>
        <color rgb="FF1155CC"/>
        <sz val="12.0"/>
        <u/>
      </rPr>
      <t>PDHSVV_03.jpg</t>
    </r>
  </si>
  <si>
    <t>1. Chọn menu "Đào tạo, tập huấn" -&gt; "Kho tài liệu / Bài giảng"</t>
  </si>
  <si>
    <t>Không xem dữ liệu đơn vị khác</t>
  </si>
  <si>
    <t>- Hệ thống hiển thị bảng danh sách giống với thiết kế thành công
- Dữ liệu hiển thị đúng định dạng và trường thông tin
- Dữ liệu hiển thị không bị tràn/đè lên nhau, đồng nhất ngôn ngữ hiển thị
- Mặc định: 20 bản ghi/trang.</t>
  </si>
  <si>
    <t>Hệ thống hiển thị thông báo lỗi "Lỗi hệ thống, vui lòng thử lại sau."</t>
  </si>
  <si>
    <t>DB_04.png</t>
  </si>
  <si>
    <r>
      <rPr>
        <rFont val="Times New Roman"/>
        <sz val="13.0"/>
        <u/>
      </rPr>
      <t>QLKTLBG_02.jpg</t>
    </r>
  </si>
  <si>
    <t>✅ Có lỗi wording — cần dev sửa. Đã test đúng điều kiện đối tác: Cán bộ Phê duyệt KHÁC đơn vị với đơn vị của vụ việc, bấm "Phê duyệt" vụ việc đang ở "Chờ phê duyệt".
- Chặn nghiệp vụ ĐÚNG: hệ thống không cho phê duyệt vụ việc thuộc đơn vị khác, vụ việc giữ nguyên "Chờ phê duyệt".
- Lỗi wording (cần sửa): thông báo hiển thị "Đơn vị của người phê duyệt khác đơn vị của bản ghi" — dùng từ kỹ thuật "bản ghi" và khác nội dung đặc tả. Theo đặc tả (mã ERR-PD-02), thông báo phải là "Bạn không có quyền phê duyệt vụ việc này". → Đề nghị dev sửa đúng nội dung thông báo, không để lộ từ kỹ thuật "bản ghi" ra giao diện.
- Phần thông báo lặp (duplicate) đối tác nêu: thao tác Phê duyệt chỉ gửi 1 lần và hiển thị đúng 1 thông báo (kiểm 3 lần bấm, không thấy lặp). → Chỉ cần sửa nội dung wording.</t>
  </si>
  <si>
    <t>QLKCHTV_16</t>
  </si>
  <si>
    <t>Kiểm tra chức năng Sửa</t>
  </si>
  <si>
    <t>PDHSVV_04</t>
  </si>
  <si>
    <t>Đã kiểm tra lại, không tái hiện được lỗi — chức năng hiển thị danh sách hoạt động bình thường.</t>
  </si>
  <si>
    <t>Hệ thống hiển thị thiếu các trường thông tin: Ảnh xem trước, Lĩnh vực, Người tạo</t>
  </si>
  <si>
    <t>QLKTLBG_02_v2.jpg</t>
  </si>
  <si>
    <t>Từ chối</t>
  </si>
  <si>
    <t>1. Chọn menu "Tư vấn" =&gt; "Kho câu hỏi"
2. Bấm nút Sửa</t>
  </si>
  <si>
    <t xml:space="preserve">1. Chọn menu "Vụ việc HTPL"
2. Tìm kiếm và nhấn Xem chi tiết
3. Bấm nút "Từ chối " </t>
  </si>
  <si>
    <t>- Hệ thống mở cửa sổ chỉnh sửa tương ứng với nội dung hiện tại.
- Sau khi chỉnh sửa, NSD có thể bấm "Gửi duyệt" để chuyển sang "Chờ duyệt" hoặc "Lưu nháp" để giữ ở trạng thái "Nháp".</t>
  </si>
  <si>
    <t xml:space="preserve">- Hệ thống mở cửa sổ "Từ chối hồ sơ" yêu cầu nhập lý do.
- Tối thiểu 10 ký tự, tối đa 2.000 ký tự. </t>
  </si>
  <si>
    <t>Hệ thống cho phép tối đa 1.000 ký tự</t>
  </si>
  <si>
    <r>
      <rPr>
        <rFont val="Times New Roman"/>
        <color rgb="FF1155CC"/>
        <sz val="12.0"/>
        <u/>
      </rPr>
      <t>PDHSVV_04.jpg</t>
    </r>
  </si>
  <si>
    <r>
      <rPr>
        <rFont val="Times New Roman"/>
        <color rgb="FF1155CC"/>
        <sz val="12.0"/>
        <u/>
      </rPr>
      <t xml:space="preserve">QLKCHTV_16.jpg
</t>
    </r>
    <r>
      <rPr>
        <rFont val="Times New Roman"/>
        <color rgb="FF1F1F1F"/>
        <sz val="12.0"/>
      </rPr>
      <t>QLKCHTV_16(1).jpg</t>
    </r>
  </si>
  <si>
    <t>DB_05</t>
  </si>
  <si>
    <t>Người dùng ĐP chỉ xem địa phương</t>
  </si>
  <si>
    <t>TK ĐP</t>
  </si>
  <si>
    <t>QLKTLBG_03</t>
  </si>
  <si>
    <t>✅ Bug đúng (BA 24/07/2026). Loại 2 — BA chốt nâng giới hạn theo đề nghị đối tác rồi Dev làm theo đặc tả mới: ô Lý do từ chối phê duyệt nhận tối thiểu 10 — tối đa 2.000 ký tự (app đang chặn ở 1.000). Căn cứ: quy ước chung trường Lý do từ chối của hệ thống "Max 2000 ký, ≥ 10 ký nếu có" (srs-v3.5.md:1742, :1820) và mốc 2.000 đã ghi kèm dấu [PDHSVV_04 chốt 2026-07-24] (srs-fr-05-vu-viec.md:815, srs-v3.5.md:1989); §Inputs bước từ chối FR-V.I-13 (:988) và các câu chấp nhận :1019/:1749/:1778 hiện mới nêu mức tối thiểu 10 ký tự — BA đồng bộ nốt câu chữ. Mức Minor.
── CÁCH VERIFY sau Dev fix ──
Precondition: cbpd_tw / Test@1234 (CB Phê duyệt TW) + ít nhất 1 vụ việc đang ở trạng thái "Chờ phê duyệt" thuộc cùng cấp TW; mở màn Chi tiết vụ việc đó.
1) Bấm [Từ chối] để mở ô nhập lý do. Nhập 9 ký tự → xác nhận.
2) Dán đúng 2.000 ký tự → xác nhận.
3) Thử nhập/dán 2.001 ký tự.
4) Mở lại vụ việc vừa từ chối, đọc lý do đã lưu trong lịch sử xử lý.
✅ PASS khi: bước 1 bị từ chối kèm thông báo yêu cầu tối thiểu 10 ký tự; bước 2 nhận đủ 2.000 ký tự và lưu thành công, vụ việc quay về Đang xử lý; bước 3 bị chặn ở mốc 2.000; bước 4 lý do đọc lại đủ 2.000 ký tự không bị cắt cụt.
❌ FAIL nếu: còn bị chặn/cắt ở 1.000 ký tự, hoặc nhận quá 2.000 ký tự, hoặc nhập được 2.000 nhưng lưu xuống chỉ còn một phần.
⚠️ Mức tối thiểu 10 ký tự GIỮ NGUYÊN theo đặc tả — hệ thống vẫn chặn lý do quá ngắn là đúng, đừng tính FAIL.</t>
  </si>
  <si>
    <t>Không đổi được đơn vị</t>
  </si>
  <si>
    <t>Kiểm tra nút chức năng Thêm mới</t>
  </si>
  <si>
    <t>DB_05.png</t>
  </si>
  <si>
    <t>PDHSVV_05</t>
  </si>
  <si>
    <t>1. Chọn menu "Đào tạo, tập huấn" -&gt; "Kho tài liệu / Bài giảng"
2. Nhấn Thêm mới</t>
  </si>
  <si>
    <t>Hệ thống mở biểu mẫu "Thêm mới bài giảng" với các trường giống với thiết kế</t>
  </si>
  <si>
    <t>Thiếu trường thông tin "Ảnh đại diện"</t>
  </si>
  <si>
    <t xml:space="preserve">1. Chọn menu "Vụ việc HTPL"
2. Tìm kiếm và nhấn Xem chi tiết
3. Bấm nút "Từ chối " 
4. Nhập thông tin hợp lệ và nhấn Xác nhận
</t>
  </si>
  <si>
    <r>
      <rPr>
        <rFont val="Times New Roman"/>
        <sz val="13.0"/>
        <u/>
      </rPr>
      <t>QLKTLBG_03.jpg</t>
    </r>
  </si>
  <si>
    <t xml:space="preserve">- Hệ thống hiển thị thông báo "Đã từ chối hồ sơ. Hồ sơ chuyển về trạng thái Đang xử lý" và làm mới màn hình chi tiết.
+ Chuyển trạng thái hồ sơ: "Chờ phê duyệt" → "Đang xử lý" để người hỗ trợ chỉnh sửa lại kết quả theo ý kiến phê duyệt.
+ Gửi thông báo cho cán bộ nghiệp vụ và người hỗ trợ phụ trách hồ sơ kèm lý do từ chối.
+ Lưu vết thao tác theo quy định.
</t>
  </si>
  <si>
    <t>QLKCHTV_18</t>
  </si>
  <si>
    <t>- Hệ thống không gửi thông báo
- Chi tiết bản ghi không hiển thị lý do từ chối</t>
  </si>
  <si>
    <t>PDHSVV_05.jpg
 PDHSVV_05.webm</t>
  </si>
  <si>
    <t>Kiểm tra chức năng Bật/tắt hiệu lực</t>
  </si>
  <si>
    <t>1. Chọn menu "Tư vấn" =&gt; "Kho câu hỏi"
2. Bấm Xem chi tiết
3. Bật/tắt hiệu lực</t>
  </si>
  <si>
    <t>- Hệ thống hiển thị cửa sổ xác nhận "Bạn có chắc chắn muốn đánh dấu câu hỏi «{mã}» là «{hết hiệu lực/có hiệu lực}»?".</t>
  </si>
  <si>
    <t>Cửa sổ xác nhận không giống với thiết kế</t>
  </si>
  <si>
    <r>
      <rPr>
        <rFont val="Times New Roman"/>
        <color rgb="FF1155CC"/>
        <sz val="12.0"/>
        <u/>
      </rPr>
      <t>QLKCHTV_18.jpg</t>
    </r>
  </si>
  <si>
    <r>
      <rPr>
        <rFont val="Arial"/>
        <color theme="1"/>
      </rPr>
      <t xml:space="preserve">❌ Không phải bug.
• Form "Thêm bài giảng" (CB_NV_TW) CÓ trường "Ảnh đại diện" — kèm ô upload "Kéo thả hoặc nhấp để chọn ảnh", định dạng .jpg/.jpeg/.png/.gif, tối đa 5MB.
• Form đủ các trường: Tên bài giảng, Mô tả, Loại tài liệu, Tệp tài liệu, Lĩnh vực, Ảnh đại diện, Công khai — khớp đặc tả Quản lý kho tài liệu, bài giảng (UC26).
→ Đối tác kiểm tra lại.
— Cập nhật (đã kiểm tra lại trên cả 2 môi trường dev và UAT):
- Môi trường dev: biểu mẫu Thêm bài giảng có đầy đủ trường "Ảnh đại diện" (ảnh .jpg/.jpeg/.png/.gif, tối đa 5MB), đúng thiết kế.
- Môi trường UAT: biểu mẫu vẫn thiếu trường "Ảnh đại diện" đúng như đối tác phản ánh.
- Nguyên nhân: môi trường UAT đang chạy bản build cũ hơn môi trường dev (bản dev đã bổ sung trường này).
</t>
    </r>
    <r>
      <rPr>
        <rFont val="Arial"/>
        <b/>
        <color rgb="FFCC0000"/>
      </rPr>
      <t>→ Đề nghị dev đồng bộ bản build môi trường UAT theo môi trường dev, sau đó kiểm tra lại.</t>
    </r>
  </si>
  <si>
    <t>✅ Bug ĐÚNG — xác nhận cả 2 lỗi, chuyển dev.
Đã test đúng điều kiện đối tác nêu: đăng nhập Cán bộ Phê duyệt cùng đơn vị với đơn vị tạo hồ sơ, vụ việc ở "Chờ phê duyệt", bấm "Từ chối", nhập lý do hợp lệ và Xác nhận.
- Phần đổi trạng thái ĐẠT: vụ việc chuyển "Chờ phê duyệt" → "Đang xử lý", có thông báo "Đã từ chối phê duyệt".
- Lỗi 1 (thông báo): sau khi từ chối, cả Cán bộ Nghiệp vụ phụ trách lẫn người được phân công (tư vấn viên) đều KHÔNG nhận được thông báo nào về việc vụ việc bị từ chối — cả chuông trong hệ thống lẫn email. Loại trừ nhiễu: 2 tài khoản này vẫn nhận các thông báo khác (phân công, phê duyệt hồ sơ TVV) → chức năng thông báo còn hoạt động, chỉ thiếu riêng thông báo khi từ chối phê duyệt vụ việc.
- Lỗi 2 (lý do): lý do từ chối đã được lưu nhưng màn chi tiết vụ việc KHÔNG hiển thị lý do ở bất kỳ đâu — dòng thời gian chỉ ghi "Từ chối duyệt" kèm giờ + người, không kèm lý do; màn hình cũng không có mục "Phê duyệt" để hiển thị lý do. Người được phân công không biết vì sao bị từ chối để sửa lại kết quả.
Theo đặc tả FR-V.I-13 "Phê duyệt hồ sơ vụ việc" (bước xử lý 4 + điều kiện sau khi hoàn tất + tiêu chí chấp nhận), khi từ chối, hệ thống phải gửi thông báo cho Cán bộ Nghiệp vụ phụ trách và người được phân công qua cả 2 kênh; và theo quy tắc BR-FLOW-04, lý do từ chối phải được hiển thị. Đây là 2 lỗi thật.
→ Đề nghị dev: (1) bổ sung gửi thông báo từ chối cho Cán bộ Nghiệp vụ + người được phân công; (2) hiển thị lý do từ chối ở màn chi tiết vụ việc.</t>
  </si>
  <si>
    <t>DB_06</t>
  </si>
  <si>
    <t>QLKTLBG_08</t>
  </si>
  <si>
    <t>Lọc theo năm</t>
  </si>
  <si>
    <t>Có dữ liệu</t>
  </si>
  <si>
    <t>Thêm mới hợp lệ</t>
  </si>
  <si>
    <t>CNKQHT_03</t>
  </si>
  <si>
    <t>Chọn năm-&gt;Áp dụng</t>
  </si>
  <si>
    <t>1. Chọn menu "Đào tạo, tập huấn" -&gt; "Kho tài liệu / Bài giảng"
2. Nhấn Thêm mới
3. Nhập thông tin hợp lệ và nhấn Lưu</t>
  </si>
  <si>
    <t>Các chỉ số cập nhật đúng</t>
  </si>
  <si>
    <t>Hệ thống lưu bản ghi và hiển thị thông báo "Đã thêm bài giảng".</t>
  </si>
  <si>
    <t>Kiểm tra hiển thị các trường thông tin Nhóm 6 – Kết quả hỗ trợ</t>
  </si>
  <si>
    <t>Chức năng lọc thông tin theo năm không chính xác</t>
  </si>
  <si>
    <t>Hệ thống hiển thị thông báo "Lỗi hệ thống, vui lòng thử lại sau.</t>
  </si>
  <si>
    <t>DB_06.mp4</t>
  </si>
  <si>
    <t>1. Đăng nhập tài khoản
2. Hồ sơ vụ việc đang ở trạng thái "Đang xử lý".</t>
  </si>
  <si>
    <r>
      <rPr>
        <rFont val="Times New Roman"/>
        <sz val="13.0"/>
        <u/>
      </rPr>
      <t>QLKTLBG_08.jpg</t>
    </r>
  </si>
  <si>
    <t>QLKCHTV_22</t>
  </si>
  <si>
    <t xml:space="preserve">1. Chọn menu "Vụ việc HTPL"
2. Tìm kiếm và nhấn Xem chi tiết
</t>
  </si>
  <si>
    <t>Các trường thông tin không giống với thiết kế: thiếu Tệp kết quả hỗ trợ, thừa trường thông tin Kết luận, nội dung chỉ cho phép tối đa 5000 ký tự (SRS yêu cầu cho phép tối đa 10.000 ký tự)</t>
  </si>
  <si>
    <r>
      <rPr>
        <rFont val="Times New Roman"/>
        <color rgb="FF1155CC"/>
        <sz val="12.0"/>
        <u/>
      </rPr>
      <t>CNKQHT_03.jpg</t>
    </r>
  </si>
  <si>
    <t>1. Chọn menu "Tư vấn" =&gt; "Tư vấn nhanh"</t>
  </si>
  <si>
    <t>- Ngày gửi hệ thống chỉ hiển thị dd/mm/yyyy, thiếu thông tin giờ HH:mm</t>
  </si>
  <si>
    <t>Đã kiểm tra lại, không tái hiện được lỗi — chức năng thêm mới bài giảng hoạt động bình thường.</t>
  </si>
  <si>
    <r>
      <rPr>
        <rFont val="Times New Roman"/>
        <color rgb="FF1155CC"/>
        <sz val="12.0"/>
        <u/>
      </rPr>
      <t>QLKCHTV_22.jpg</t>
    </r>
  </si>
  <si>
    <t>- Ô đính kèm "Tệp kết quả hỗ trợ" đã được bổ sung, ô "Kết luận" đã gỡ khỏi cửa sổ nhập, nội dung nhận đủ 10.000 ký tự và chặn khi vượt mốc — các điểm này đã đạt.
- Còn lỗi: đăng nhập bằng tài khoản người được phân công xử lý vụ việc (tư vấn viên), chọn tệp kết quả thì hệ thống báo "Forbidden" và không đính kèm được tệp nào.
- Còn lỗi: đăng nhập bằng tài khoản cán bộ nghiệp vụ thì tệp đính kèm lên được và hiện trong cửa sổ nhập, bấm Xác nhận có thông báo "Đã cập nhật kết quả"; nhưng thoát ra mở lại vụ việc thì mục Kết quả hỗ trợ chỉ còn phần nội dung, tệp vừa đính kèm biến mất, không xem hay tải lại được.
- Kiểm thử ngày 25/07/2026 trên vụ việc VV-BTP-TW-20260712-004 đang ở trạng thái "Đang xử lý".</t>
  </si>
  <si>
    <t>TTKTLBG_01</t>
  </si>
  <si>
    <t>Tìm kiếm thông tin kho tài liệu, bài giảng</t>
  </si>
  <si>
    <t>CNKQHT_06</t>
  </si>
  <si>
    <t>Tìm kiếm tài liệu, bài giảng theo từ khóa, tên khóa học.</t>
  </si>
  <si>
    <t>Hồ sơ đã được người khác cập nhật trong lúc đang sửa</t>
  </si>
  <si>
    <t>1. Đăng nhập tài khoản
2. Hồ sơ đã được người khác cập nhật trong lúc đang sửa</t>
  </si>
  <si>
    <t>1. Đăng nhập tài khoản
2. Tồn tại bản ghi phù hợp với tiêu chí tìm kiếm</t>
  </si>
  <si>
    <t>1. Chọn menu "Vụ việc HTPL"
2. Tìm kiếm và nhấn Xem chi tiết
3. Nhập nội dung và tải tệp, sau đó bấm nút "Cập nhật kết quả"</t>
  </si>
  <si>
    <t>Hệ thống hiển thị thông báo "Vụ việc đã được {người dùng} cập nhật lúc {thời điểm}, vui lòng tải lại".</t>
  </si>
  <si>
    <t>1. Chọn menu "Đào tạo, tập huấn" -&gt; "Kho tài liệu / Bài giảng"
2. Tìm kiếm tài liệu, bài giảng theo từ khóa, tên khóa học.</t>
  </si>
  <si>
    <t>Hệ thống không hiển thị thông báo mà cập nhật thành công</t>
  </si>
  <si>
    <t>Hệ thống hiển thị danh sách bài giảng phù hợp, phân trang 20 bản ghi mỗi trang.</t>
  </si>
  <si>
    <t xml:space="preserve"> CNKQHT_06.webm</t>
  </si>
  <si>
    <t>DB_07</t>
  </si>
  <si>
    <t>TTKTLBG_01.jpg</t>
  </si>
  <si>
    <t>Lọc theo tháng</t>
  </si>
  <si>
    <t>QLKCHTV_23</t>
  </si>
  <si>
    <t>Chọn tháng-&gt;Áp dụng</t>
  </si>
  <si>
    <t>Dữ liệu đúng kỳ</t>
  </si>
  <si>
    <t>✅ Đã xác nhận lỗi — cần dev fix. Test đúng điều kiện đối tác: người được phân công cập nhật kết quả hỗ trợ vụ việc đang xử lý, trong tình huống bản ghi đã bị người khác chỉnh.
- Lỗi: hệ thống KHÔNG áp dụng khoá lạc quan (optimistic lock) khi cập nhật kết quả. Khi cập nhật dựa trên bản đã cũ, hệ thống lặng lẽ ghi đè thành công, KHÔNG hiện thông báo "Vụ việc đã được {người} cập nhật lúc {giờ}, vui lòng tải lại" như yêu cầu.
- Bằng chứng (số liệu thực từ máy chủ): bản ghi kết quả CÓ sẵn trường phiên bản (version tự tăng 1→2→3 sau các lần cập nhật) → hệ thống được thiết kế để dùng khoá lạc quan; nhưng thao tác cập nhật KHÔNG gửi/không kiểm phiên bản kỳ vọng → lần cập nhật sau luôn ghi đè lần trước, đều thành công (không có mã 409, không thông báo xung đột). Đã tái hiện 2 người KHÁC nhau lần lượt ghi đè cùng một bản ghi (người thứ 2 ghi đè nội dung của người được phân công) mà không ai được cảnh báo.
- Rủi ro: 2 người cùng sửa 1 vụ việc → mất dữ liệu âm thầm (last-write-wins).
- Đặc tả (SRS v3.5): quy tắc màn hình chi tiết vụ việc quy định khi có xung đột khoá lạc quan phải hiện thông báo "Vụ việc đã được … cập nhật … vui lòng tải lại" + nút Tải lại; và mọi chuyển trạng thái phải dùng khoá lạc quan. → Đề nghị dev bổ sung kiểm phiên bản khi cập nhật kết quả + hiện thông báo xung đột đúng thiết kế khi bản ghi đã bị người khác sửa.</t>
  </si>
  <si>
    <t>Chức năng lọc theo tháng không hoạt động  chính xác</t>
  </si>
  <si>
    <t>DB_07.mp4</t>
  </si>
  <si>
    <t>Đã kiểm tra lại, không tái hiện được lỗi — chức năng tìm kiếm hoạt động bình thường.</t>
  </si>
  <si>
    <t>1. Chọn menu "Tư vấn" =&gt; "Tư vấn nhanh"
2. Bấm nút Xem</t>
  </si>
  <si>
    <t>CNKQVV_02</t>
  </si>
  <si>
    <t>Hệ thống mở màn hình "Trả lời Phiên tư vấn" ở chế độ chỉ xem không cho phép chỉnh sửa.</t>
  </si>
  <si>
    <t>Kiểm tra hiển thị các trường thông tin Nhóm 6 – Kết luận cuối</t>
  </si>
  <si>
    <t>Nhấn Xem chi tiết tại bản ghi có trạng thái "Cán bộ trả lời" hệ thống mở màn hình "Trả lời Phiên tư vấn" ở chế độ chỉnh sửa</t>
  </si>
  <si>
    <t>1. Đăng nhập tài khoản
2. Hồ sơ vụ việc đang ở trạng thái "Đã duyệt" và đã có kết quả hỗ trợ của người hỗ trợ (Nhóm 6).</t>
  </si>
  <si>
    <r>
      <rPr>
        <rFont val="Times New Roman"/>
        <color rgb="FF1155CC"/>
        <sz val="12.0"/>
        <u/>
      </rPr>
      <t xml:space="preserve">QLKCHTV_23.jpg
</t>
    </r>
    <r>
      <rPr>
        <rFont val="Times New Roman"/>
        <color rgb="FF1F1F1F"/>
        <sz val="12.0"/>
      </rPr>
      <t xml:space="preserve"> QLKCHTV_23(1).webm</t>
    </r>
  </si>
  <si>
    <t>1. Chọn menu "Vụ việc HTPL"
2. Tìm kiếm và nhấn Xem chi tiết
3. Mở Nhóm 6 – Kết luận cuối</t>
  </si>
  <si>
    <t>TTKTLBG_02</t>
  </si>
  <si>
    <t>Kiểm tra hiển thị các tiêu chí tìm kiếm</t>
  </si>
  <si>
    <t>Tên nút chức năng và các trường thông tin không giống với thiết kế</t>
  </si>
  <si>
    <r>
      <rPr>
        <rFont val="Times New Roman"/>
        <color rgb="FF1155CC"/>
        <sz val="12.0"/>
        <u/>
      </rPr>
      <t>CNKQVV_02.jpg</t>
    </r>
  </si>
  <si>
    <t>1. Chọn menu "Đào tạo, tập huấn" -&gt; "Kho tài liệu / Bài giảng"
2. Kiểm tra hiển thị các tiêu chí tìm kiếm</t>
  </si>
  <si>
    <t>Hệ thống hiển thị các tiêu chí tìm kiếm giống với thiết kế</t>
  </si>
  <si>
    <t>Thiếu trường tìm kiếm theo tiêu chí "Lĩnh vực pháp lý"</t>
  </si>
  <si>
    <t xml:space="preserve"> TTKTLBG_02.webm</t>
  </si>
  <si>
    <t>✅ Bug đúng (BA 24/07/2026) — Loại 1, app sai đặc tả, đối tác đúng. Dev sửa 2 điểm ở bước hoàn thành vụ việc (FR-V.I-16, vụ việc ở trạng thái Đã duyệt):
- Nhãn nút mở màn nhập đang là "Hoàn thành"; đặc tả gọi thao tác này là "Cập nhật kết quả cuối" nhất quán 3 chỗ — srs-fr-05-vu-viec.md:1178 (câu chấp nhận), :1750 (bảng nút theo trạng thái DA_DUYET), :1782 (thông báo sau khi hoàn thành).
- Màn nhập đang thừa ô "Kết quả xử lý" (Thành công / Không thành công); §Inputs của bước này chỉ có ô Kết luận cuối cùng (:1150) → gỡ ô thừa. Nếu sau này chủ đầu tư cần trường này để thống kê hiệu quả hỗ trợ thì chốt riêng và bổ sung vào đặc tả trước. Mức Minor.
── CÁCH VERIFY sau Dev fix ──
Precondition: cbnv_tw / Test@1234 + 1 vụ việc đang ở trạng thái "Đã duyệt" (đã qua bước CB phê duyệt duyệt kết quả, chưa hoàn thành). Mở Chi tiết vụ việc đó.
1) Đọc nhãn nút thao tác ở khu vực hành động của vụ việc.
2) Bấm nút đó, liệt kê các ô trong màn nhập hiện ra.
3) Nhập kết luận cuối cùng rồi xác nhận.
✅ PASS khi: nhãn nút thể hiện đúng thao tác cập nhật kết quả cuối theo đặc tả (không còn nhãn "Hoàn thành"); màn nhập chỉ còn ô Kết luận cuối cùng, KHÔNG còn ô "Kết quả xử lý"; xác nhận xong vụ việc chuyển sang trạng thái Hoàn thành, ghi ngày hoàn thành và kết luận vừa nhập đọc lại đúng.
❌ FAIL nếu: nút vẫn nhãn "Hoàn thành"; hoặc màn nhập vẫn còn ô "Kết quả xử lý"; hoặc gỡ ô xong nhưng không lưu được kết luận / vụ việc không chuyển trạng thái.
⚠️ Chữ "Hoàn thành" hiển thị ở badge trạng thái, tab danh sách và thanh tiến trình là TÊN TRẠNG THÁI, đúng đặc tả — chỉ chấm nhãn NÚT, đừng báo FAIL vì còn thấy chữ Hoàn thành ở các chỗ đó.
Ảnh lỗi cũ: CNKQVV_02.jpg (ảnh UAT đối tác — nút "Hoàn thành", màn "Hoàn thành vụ việc" có ô Kết luận cuối cùng kèm ô "Kết quả xử lý" Thành công/Không thành công).</t>
  </si>
  <si>
    <t>CNKQVV_05</t>
  </si>
  <si>
    <t>Hồ sơ đã được người khác cập nhật trong lúc đang thao tác</t>
  </si>
  <si>
    <t>✅ BA duyệt bổ sung 15/07/2026 — chuyển Dev.
- Bổ sung bộ lọc "Lĩnh vực pháp lý" vào màn tìm kho tài liệu / bài giảng. Lý do: bài giảng đã có sẵn trường lĩnh vực khi tạo — có dữ liệu mà không cho lọc là lãng phí.
- Hiện có 5 bộ lọc (Tên bài giảng, Loại tài liệu, Công khai, Từ ngày, Đến ngày) — đúng FR-III-08 (srs-fr-03:782-788) nên trước đây không tính là lỗi; nay BA quyết bổ sung.
- Owner: BA sửa SRS FR-III-08 §Đầu vào (:782-788) → Dev FE + BE.
- Verify lại: thanh tìm kiếm có bộ lọc Lĩnh vực pháp lý → lọc ra đúng bài giảng theo lĩnh vực.</t>
  </si>
  <si>
    <t>1. Đăng nhập tài khoản
2. Hồ sơ đã được người khác cập nhật trong lúc đang thao tác</t>
  </si>
  <si>
    <t>QLKCHTV_24</t>
  </si>
  <si>
    <t>1. Chọn menu "Vụ việc HTPL"
2. Tìm kiếm và nhấn Xem chi tiết
3. Mở Nhóm 6 – Kết luận cuối
4. Bấm nút "Cập nhật kết quả cuối và hoàn thành"</t>
  </si>
  <si>
    <t>QLNHCH_02</t>
  </si>
  <si>
    <t>DB_08</t>
  </si>
  <si>
    <t>Trả lời</t>
  </si>
  <si>
    <t>Hệ thống hiển thị thông báo không đúng thiết kế, thông báo hiển thị bị duplicate</t>
  </si>
  <si>
    <r>
      <rPr>
        <rFont val="Times New Roman"/>
        <color rgb="FF1155CC"/>
        <sz val="12.0"/>
        <u/>
      </rPr>
      <t>CNKQVV_05.webm</t>
    </r>
  </si>
  <si>
    <t>Kiểm tra hiển thị Thẻ thống kê tổng quan</t>
  </si>
  <si>
    <t>Đổi cấp đơn vị</t>
  </si>
  <si>
    <t>TK TW</t>
  </si>
  <si>
    <t>1. Chọn menu "Đào tạo, tập huấn" -&gt; "Ngân hàng câu hỏi &amp; Đề kiểm tra"</t>
  </si>
  <si>
    <t>Chọn cấp đơn vị</t>
  </si>
  <si>
    <t>- Hệ thống hiển thị Thẻ thống kê tổng quan giống với thiết kế 
- Dữ liệu hiển thị đúng định dạng và trường thông tin
- Dữ liệu hiển thị không bị tràn/đè lên nhau, đồng nhất ngôn ngữ hiển thị</t>
  </si>
  <si>
    <t>Danh sách đơn vị thay đổi</t>
  </si>
  <si>
    <t>1. Chọn menu "Tư vấn" =&gt; "Tư vấn nhanh"
2. Bấm nút Trả lời</t>
  </si>
  <si>
    <t>Hệ thống không hiển thị Thẻ thống kê tổng quan theo thiết kế</t>
  </si>
  <si>
    <t>Chức năng đổi cấp đơn vị không hoạt động</t>
  </si>
  <si>
    <r>
      <rPr>
        <rFont val="Times New Roman"/>
        <sz val="13.0"/>
        <u/>
      </rPr>
      <t>QLNHCH_02.jpg</t>
    </r>
  </si>
  <si>
    <t>DB_08.mp4</t>
  </si>
  <si>
    <t xml:space="preserve">- Điều kiện hiển thị: phiên đang ở trạng thái "Mới" hoặc "Cán bộ trả lời"; phiên thuộc phạm vi phân quyền của NSD.
- NSD bấm nút "Trả lời" trên dòng của phiên, hệ thống mở màn hình "Trả lời Phiên tư vấn" ở chế độ nhập liệu
- Phiên ở trạng thái "Hoàn thành" hoặc "Hết hạn" không hiển thị nút "Trả lời", chỉ hiển thị nút "Xem".
</t>
  </si>
  <si>
    <t>✅ Đã xác nhận lỗi (1/2 ý con) — cần dev fix. Test đúng điều kiện đối tác: Cán bộ Nghiệp vụ hoàn thành vụ việc (cập nhật kết quả cuối) trong tình huống vụ việc đã bị người khác hoàn thành trước.
- Ý "thông báo SAI" — XÁC NHẬN: khi người thứ 2 bấm hoàn thành trên vụ việc đã bị người khác hoàn thành, hệ thống KHÔNG hiện thông báo xung đột "Vụ việc đã được {người} cập nhật lúc {giờ}, vui lòng tải lại" như yêu cầu, mà hiện thông báo lỗi trạng thái LỘ mã lỗi kỹ thuật ("ERR-STATE-V-HT-01: Vụ việc không ở trạng thái Đã duyệt"). Thao tác hoàn thành cũng không gửi/không kiểm phiên bản bản ghi → không có cơ chế phát hiện xung đột đúng thiết kế (hoàn thành là một chuyển trạng thái, thuộc phạm vi bắt buộc dùng khoá lạc quan).
- Ý "thông báo lặp" — KHÔNG tái hiện: đo bằng bộ bắt thông báo (không lọc trùng), thao tác hoàn thành lỗi chỉ hiện 1 khung thông báo, không lặp.
- Đặc tả (SRS v3.5): mọi chuyển trạng thái vụ việc phải dùng khoá lạc quan; khi bản ghi đã bị người khác cập nhật phải hiện thông báo xung đột + nút Tải lại; thông báo cho người dùng không được lộ mã lỗi kỹ thuật. → Đề nghị dev: (1) bổ sung kiểm phiên bản + hiện thông báo xung đột đúng thiết kế khi hoàn thành vụ việc đã bị người khác chuyển trạng thái; (2) bỏ mã lỗi kỹ thuật khỏi thông báo hiển thị.</t>
  </si>
  <si>
    <t>- Trạng thái "Cán bộ trả lời" hệ thống không hiển thị nút chức năng "Trả lời" tại dòng của bản ghi nhưng khi nhấn Xem chi tiết hệ thống mở màn hình "Trả lời Phiên tư vấn ở chế độ cho phép chỉnh sửa(Xem chi tiết chỉ được xem, không được phép chỉnh sửa)</t>
  </si>
  <si>
    <t xml:space="preserve">
QLKCHTV_24.jpg
 QLKCHTV_24(1).webm</t>
  </si>
  <si>
    <t>DGKQHTVV_01</t>
  </si>
  <si>
    <t>Đánh giá kết quả hỗ trợ vụ việc</t>
  </si>
  <si>
    <t>Cán  bộ  nghiệp  vụ 
 TW,BN,ĐP/Doanh nghiệp</t>
  </si>
  <si>
    <t>Cung cấp chức năng để CB Nghiệp vụ hoặc DNNVV đánh giá chất lượng của quá trình hỗ trợ và kết quả vụ việc.</t>
  </si>
  <si>
    <t>1. Đăng nhập tài khoản
2. Hồ sơ vụ việc ở trạng thái "Hoàn thành" hoặc "Đã đánh giá".</t>
  </si>
  <si>
    <t>1. Chọn menu "Vụ việc HTPL"
2. Tìm kiếm và nhấn Xem chi tiết
3. Mở Nhóm 8 – Đánh giá</t>
  </si>
  <si>
    <t>Hệ thống không hiển thị nút chức năng mặc dù bản ghi ở trạng thái phù hợp</t>
  </si>
  <si>
    <t>DGKQHTVV_01.jpg</t>
  </si>
  <si>
    <t>❌ BA chốt: KHÔNG phải lỗi — phần mềm đúng SRS.
- Màn Ngân hàng câu hỏi theo FR-III-09 (UC28) gồm danh sách + phân trang (srs-fr-03:868-877, :892), không quy định thẻ thống kê tổng quan. Phần mềm đã có tiêu đề + 2 tab (Câu hỏi / Đề kiểm tra), mỗi tab có thanh lọc và bảng phân trang. Hệ thống đáp ứng đúng SRS.
- Nếu cần thẻ thống kê → là yêu cầu cải tiến, trao đổi BA. Đề nghị cập nhật lại Kết quả mong đợi của test case.</t>
  </si>
  <si>
    <t>QLNHCH_04</t>
  </si>
  <si>
    <t>1. Chọn menu "Đào tạo, tập huấn" -&gt; "Ngân hàng câu hỏi &amp; Đề kiểm tra"
2. Nhấn Thêm mới</t>
  </si>
  <si>
    <t>Hệ thống mở biểu mẫu với các trường giống với thiết kế</t>
  </si>
  <si>
    <t>Trường thông tin Trạng thái hiển thị danh sách chọn không đúng với thiết kế</t>
  </si>
  <si>
    <t>✅ Đã xác nhận lỗi — cần dev fix. Test đúng điều kiện đối tác: Cán bộ Nghiệp vụ Trung ương (được giao) mở vụ việc đã "Hoàn thành", vào mục "Đánh giá" (Nhóm 8).
- Lỗi: giao diện KHÔNG có nút [Đánh giá] trên thanh hành động, và mục "Đánh giá" chỉ hiện "Chưa có thông tin" (không có ô chấm điểm/nhận xét, không có nút gửi) → Cán bộ Nghiệp vụ không có cách nào đánh giá vụ việc qua giao diện.
- Không phải thiếu dữ liệu: gọi API đánh giá trực tiếp trả lỗi thiếu điểm ("Điểm chất lượng phải từ 0-10"), nghĩa là máy chủ ĐÃ có chức năng đánh giá và cho phép chính tài khoản này — chỉ giao diện thiếu nút + biểu mẫu để gọi.
- Đặc tả (FR-V.I-17 / SCR-V.I-03): ở trạng thái "Hoàn thành", Cán bộ Nghiệp vụ/Doanh nghiệp phải có nút "Đánh giá" mở biểu mẫu chấm 3 tiêu chí (chất lượng/thời gian/thái độ) + nhận xét, gửi → chuyển "Đã đánh giá". → Đề nghị dev bổ sung nút + biểu mẫu đánh giá ở trạng thái "Hoàn thành" cho đúng vai trò.</t>
  </si>
  <si>
    <r>
      <rPr>
        <rFont val="Times New Roman"/>
        <sz val="13.0"/>
        <u/>
      </rPr>
      <t>QLNHCH_04.webm</t>
    </r>
  </si>
  <si>
    <t>QLKCHTV_26</t>
  </si>
  <si>
    <t>Cột trái — Thông tin phiên tư vấn</t>
  </si>
  <si>
    <t>DB_09</t>
  </si>
  <si>
    <t>QLHSDNHTCP_03</t>
  </si>
  <si>
    <t>Xóa bộ lọc</t>
  </si>
  <si>
    <t>Kiểm tra Cột dữ liệu trong bảng kết quả</t>
  </si>
  <si>
    <t>❌ BA chốt: KHÔNG phải lỗi — 2 giá trị là chủ đích.
- Trường Trạng thái câu hỏi có 2 giá trị Kích hoạt / Vô hiệu hóa là đúng SRS (srs-fr-03:848). BA đã chốt 07/05/2026 lấy bộ 2 làm chuẩn, bỏ bộ 3 Nháp/Công khai/Ẩn cũ (đã có bước chuyển đổi dữ liệu cũ).
- Lý do nghiệp vụ: bộ 3 Nháp/Công khai/Ẩn là mô hình XUẤT BẢN RA NGOÀI, chỉ hợp với nội dung công khai lên Cổng PLQG (như biểu mẫu — vẫn giữ bộ 3). Câu hỏi kiểm tra là tài nguyên NỘI BỘ, chỉ dùng soạn đề, không công khai ra Cổng → chỉ cần dùng được (Kích hoạt) / ngừng dùng (Vô hiệu hóa).
- Đề nghị cập nhật lại Kết quả mong đợi của test case theo bộ 2 giá trị.</t>
  </si>
  <si>
    <t>- Lỗi hiển thị thanh tiến trình ở trạng thái "Mới"
- Thiếu thông tin ở mục Thông tin doanh nghiệp: MST, thư điện tử liên hệ, người gửi câu hỏi — lấy từ tài khoản doanh nghiệp trên Cổng Pháp luật quốc gia. 
- Thiếu thông tin Lịch sử trao đổi</t>
  </si>
  <si>
    <t>Đã lọc</t>
  </si>
  <si>
    <t xml:space="preserve">1. Đăng nhập tài khoản 
</t>
  </si>
  <si>
    <r>
      <rPr>
        <rFont val="Times New Roman"/>
        <color rgb="FF1155CC"/>
        <sz val="12.0"/>
        <u/>
      </rPr>
      <t>QLKCHTV_26.jpg</t>
    </r>
  </si>
  <si>
    <t>1. Chọn menu "Chi trả chi phí"</t>
  </si>
  <si>
    <t>Bấm Xóa bộ lọc</t>
  </si>
  <si>
    <t>QLNHCH_08</t>
  </si>
  <si>
    <t>- Hệ thống hiển thị các trường thông tin giống với thiết kế
- Dữ liệu hiển thị đúng định dạng và trường thông tin
- Dữ liệu hiển thị không bị tràn/đè lên nhau, đồng nhất ngôn ngữ hiển thị
- Mặc định: hệ thống sắp xếp theo ngày cập nhật mới nhất trước, 20 bản ghi mỗi trang.</t>
  </si>
  <si>
    <t>Trở về mặc định</t>
  </si>
  <si>
    <t>Cột thông tin Mức cảnh báo thời hạn không giống với thiết kế</t>
  </si>
  <si>
    <t>Xem chi tiết</t>
  </si>
  <si>
    <r>
      <rPr>
        <rFont val="Times New Roman"/>
        <color rgb="FF1155CC"/>
        <sz val="12.0"/>
        <u/>
      </rPr>
      <t>QLHSDNHTCP_03.jpg</t>
    </r>
  </si>
  <si>
    <t>DB_09.png</t>
  </si>
  <si>
    <t>1. Chọn menu "Đào tạo, tập huấn" -&gt; "Ngân hàng câu hỏi &amp; Đề kiểm tra"
2. Xem chi tiết</t>
  </si>
  <si>
    <t>Hệ thống mở cửa sổ hiển thị đầy đủ nội dung câu hỏi, các lựa chọn và đáp án đúng.</t>
  </si>
  <si>
    <t>Màn hình không có nút chức năng Xem</t>
  </si>
  <si>
    <r>
      <rPr>
        <rFont val="Times New Roman"/>
        <sz val="13.0"/>
        <u/>
      </rPr>
      <t>QLNHCH_08.jpg</t>
    </r>
  </si>
  <si>
    <t>✅ Bug đúng – chuyển dev.
• Màn Ngân hàng câu hỏi (tab Câu hỏi): mỗi dòng chỉ có nút Sửa + Xóa, không có chức năng Xem chi tiết; bấm vào nội dung câu hỏi cũng không mở chi tiết.
• Danh sách chỉ hiển thị nội dung tóm tắt → thiếu màn xem đầy đủ nội dung, các lựa chọn và đáp án đúng.
• SRS FR-III-09 (UC28 – CRUD câu hỏi, dòng 823–828) + thiết kế màn MH-03.4: yêu cầu xem được chi tiết câu hỏi.
• Verify: CB_NV_TW, đã tạo 1 câu hỏi để kiểm tra. Bug ID: BUG-QLNHCH_08.</t>
  </si>
  <si>
    <t>QLKCHTV_31</t>
  </si>
  <si>
    <t>QLNHCH_15</t>
  </si>
  <si>
    <t>Chọn câu trả lời từ kho</t>
  </si>
  <si>
    <t>Nhập excel</t>
  </si>
  <si>
    <t>- Đã sửa: các hồ sơ đã kết thúc không còn bị tính quá hạn — CT-SEED-108 (đã thanh toán), CT-SEED-109 (từ chối), CT-SEED-110 (đã hủy) nay hiển thị "Đã hoàn thành".
- Còn lỗi: hồ sơ còn trong hạn vẫn bị báo quá hạn. CT-SEED-101 nộp 15/07, hạn xử lý 10 ngày làm việc là 29/07 nên vẫn còn hạn, đúng ra phải là "Sắp hết hạn", nhưng danh sách vẫn hiện "Quá hạn · 0 ngày LV".
- Còn lỗi: hồ sơ mới trễ ít bị đẩy lên mức nặng nhất. CT-SEED-105 (nộp 03/07) và CT-SEED-106 (nộp 01/07) chỉ trễ khoảng 5-7 ngày làm việc, đúng ra là "Quá hạn", nhưng cả hai vẫn hiện "Quá hạn nghiêm trọng".
- Còn lỗi: tỷ lệ phần trăm ở chú thích vẫn tính sai do đếm cả thứ Bảy và Chủ nhật. Ví dụ CT-SEED-103 chú thích 188% trong khi tính đúng theo ngày làm việc chỉ 150%.
- Về yêu cầu đủ 4 mức: duyệt hết danh sách chỉ thấy 2 mức "Quá hạn" và "Quá hạn nghiêm trọng". Mức "Sắp hết hạn" vắng mặt là do CT-SEED-101 bị gắn sai mức nêu trên. Riêng mức "Bình thường" chưa kiểm được vì hiện không có hồ sơ nào còn trên 50% thời hạn, và hồ sơ chi trả chỉ vào hệ thống qua cổng dịch vụ công nên phía kiểm thử không tự tạo thêm được — đề nghị bổ sung 1 hồ sơ mới nộp để kiểm nốt mức này.
- Kiểm tra ngày 25/07/2026, tài khoản CB Nghiệp vụ Trung ương.</t>
  </si>
  <si>
    <t>1. Chọn menu "Đào tạo, tập huấn" -&gt; "Ngân hàng câu hỏi &amp; Đề kiểm tra"
2. Bấm nút "Nhập Excel"</t>
  </si>
  <si>
    <t xml:space="preserve">- Hệ thống yêu cầu chọn tệp Excel theo mẫu chuẩn.
- Sau khi nạp, hệ thống hiển thị báo cáo số câu hỏi nhập thành công và số dòng lỗi.
</t>
  </si>
  <si>
    <t xml:space="preserve">- Điều kiện hiển thị: phiên đang ở chế độ nhập liệu; có ít nhất 1 kết quả tra cứu trong danh sách.
- NSD bấm nút "Chọn" trên dòng kết quả phù hợp, hệ thống điền nội dung câu trả lời từ kho vào ô "Nội dung trả lời" để NSD chỉnh sửa thêm nếu cần.
- NSD có thể bấm "Chọn" trên kết quả khác để thay thế nội dung vừa điền; hệ thống cảnh báo "Bạn đang thay thế nội dung trả lời đã soạn. Tiếp tục?" nếu ô trả lời đã có nội dung tùy chỉnh.
</t>
  </si>
  <si>
    <t>- Hệ thống hiển thị thông báo "Tất cả các câu hỏi đều lỗi" mặc dù tồn tại câu hỏi có dữ liệu hợp lệ</t>
  </si>
  <si>
    <r>
      <rPr>
        <rFont val="Times New Roman"/>
        <sz val="13.0"/>
        <u/>
      </rPr>
      <t>QLNHCH_15.webm</t>
    </r>
  </si>
  <si>
    <t>Hệ thống không hiển thị cảnh báo thay thế khi ô trả lời đã có nội dung tùy chỉnh</t>
  </si>
  <si>
    <r>
      <rPr>
        <rFont val="Times New Roman"/>
        <color rgb="FF1155CC"/>
        <sz val="12.0"/>
        <u/>
      </rPr>
      <t xml:space="preserve">QLKCHTV_31.jpg
</t>
    </r>
    <r>
      <rPr>
        <rFont val="Times New Roman"/>
        <color rgb="FF1F1F1F"/>
        <sz val="12.0"/>
      </rPr>
      <t xml:space="preserve"> QLKCHTV_31(1).webm</t>
    </r>
  </si>
  <si>
    <t>QLHSDNHTCP_04</t>
  </si>
  <si>
    <t>Chọn thẻ phân loại trạng thái</t>
  </si>
  <si>
    <t>❌ Không phải bug.
• Hệ thống nhận diện đúng: file nhập có 1 dòng đúng định dạng mã → báo "Hợp lệ 1, Lỗi 2" và cho import dòng hợp lệ.
• Các dòng lỗi là do file dùng nhãn tiếng Việt ("Khó", "Tự luận") thay vì mã quy định, và có dòng thiếu trường bắt buộc → lỗi thật; hệ thống không bỏ sót dòng hợp lệ và ghi rõ lý do lỗi từng dòng.
• File mẫu có sheet "Hướng dẫn" ghi rõ mã cần nhập (ví dụ: Mức độ nhập "KHO" thay cho "Khó", Loại câu hỏi nhập "TU_LUAN" thay cho "Tự luận").
• Verify: CB_NV_TW, Ngân hàng câu hỏi &gt; Nhập Excel.
→ Đối tác nhập đúng mã theo sheet "Hướng dẫn" trong file mẫu rồi nhập lại.</t>
  </si>
  <si>
    <t>1. Chọn menu "Chi trả chi phí"
2. Chọn 1 trong 5 thẻ: Tất cả / Chờ xử lý / Đang đánh giá / Chờ phê duyệt / Đã xử lý.</t>
  </si>
  <si>
    <t>- Hệ thống lọc danh sách theo nhóm trạng thái của thẻ được chọn
- Mỗi thẻ hiển thị số đếm số lượng hồ sơ thuộc nhóm và cập nhật tức thời.</t>
  </si>
  <si>
    <t>DB_10</t>
  </si>
  <si>
    <t xml:space="preserve">Mỗi thẻ KHÔNG hiển thị số đếm số lượng hồ sơ thuộc nhóm </t>
  </si>
  <si>
    <t>TKNHCH_05</t>
  </si>
  <si>
    <r>
      <rPr>
        <rFont val="Times New Roman"/>
        <color rgb="FF1155CC"/>
        <sz val="12.0"/>
        <u/>
      </rPr>
      <t>QLHSDNHTCP_04.jpg</t>
    </r>
  </si>
  <si>
    <t>Làm mới</t>
  </si>
  <si>
    <t>Tìm kiếm không có kết quả</t>
  </si>
  <si>
    <t>1. Đăng nhập tài khoản
2. Không tồn tại bản ghi phù hợp với tiêu chí tìm kiếm</t>
  </si>
  <si>
    <t>1. Chọn menu "Đào tạo, tập huấn" -&gt; "Ngân hàng câu hỏi &amp; Đề kiểm tra"
2. Tìm kiếm không có kết quả</t>
  </si>
  <si>
    <t>Không có kết quả, hiển thị thông báo "Không tìm thấy bài giảng phù hợp".</t>
  </si>
  <si>
    <t>Bấm Làm mới</t>
  </si>
  <si>
    <t>Hệ thống hiển thị toàn bộ bản ghi trong danh sách</t>
  </si>
  <si>
    <t>Dữ liệu cập nhật</t>
  </si>
  <si>
    <r>
      <rPr>
        <rFont val="Times New Roman"/>
        <sz val="13.0"/>
        <u/>
      </rPr>
      <t>TKNHCH_05.webm</t>
    </r>
  </si>
  <si>
    <t>QLKCHTV_32</t>
  </si>
  <si>
    <t>DB_10.png</t>
  </si>
  <si>
    <t>Xem chi tiết câu trả lời</t>
  </si>
  <si>
    <t>1. Chọn menu "Tư vấn" =&gt; "Tư vấn nhanh"
2. Bấm nút Trả lời
3. Bấm vào mã câu trả lời trong kết quả tra cứu</t>
  </si>
  <si>
    <t>Resolved</t>
  </si>
  <si>
    <t>Đã kiểm tra trên môi trường DEV nhưng chưa tái hiện được lỗi; chức năng hiện hoạt động đúng theo thiết kế.</t>
  </si>
  <si>
    <t xml:space="preserve">- Hệ thống mở cửa sổ chi tiết hiển thị đầy đủ câu hỏi, câu trả lời, lĩnh vực pháp lý, từ khóa và nguồn của bản ghi trong kho.
- Cửa sổ chi tiết có nút "Đóng" để trở về màn hình trả lời phiên.
</t>
  </si>
  <si>
    <t>✅ Bug đúng – chuyển dev.
• Màn Ngân hàng câu hỏi (tab Câu hỏi): tìm theo từ khóa không lọc — nhập từ khóa không khớp bản ghi nào nhưng danh sách vẫn hiển thị toàn bộ câu hỏi.
• SRS FR-III-10 (UC29 – Tìm kiếm NHCH, dòng 945–948): tìm theo từ khóa phải trả về đúng câu hỏi phù hợp; không khớp thì danh sách rỗng.
• Verify: CB_NV_TW, tìm từ khóa "zzzznomatch..." nhưng danh sách vẫn còn bản ghi. Bug ID: BUG-TKNHCH_05.</t>
  </si>
  <si>
    <t>Khi nhấn vào mã câu trả lời trong kết quả tra cứu hệ thống không mở cửa sổ chi tiết</t>
  </si>
  <si>
    <r>
      <rPr>
        <rFont val="Times New Roman"/>
        <color rgb="FF1155CC"/>
        <sz val="12.0"/>
        <u/>
      </rPr>
      <t>QLKCHTV_32.webm</t>
    </r>
  </si>
  <si>
    <t>QLGVTG_02</t>
  </si>
  <si>
    <t>QLHSDNHTCP_09</t>
  </si>
  <si>
    <t>1. Chọn menu "Đào tạo, tập huấn" -&gt; "Giảng viên / Trợ giảng"</t>
  </si>
  <si>
    <t>- Hệ thống hiển thị bảng danh sách giống với thiết kế thành công
- Dữ liệu hiển thị đúng định dạng và trường thông tin
- Dữ liệu hiển thị không bị tràn/đè lên nhau, đồng nhất ngôn ngữ hiển thị</t>
  </si>
  <si>
    <t>Kiểm tra hiển thị thanh tiến trình và tiêu đề trang</t>
  </si>
  <si>
    <t>Bảng danh sách hiển thị thiếu cột thông tin Vai trò, Lĩnh vực pháp lý</t>
  </si>
  <si>
    <r>
      <rPr>
        <rFont val="Times New Roman"/>
        <color rgb="FF4285F4"/>
        <sz val="13.0"/>
        <u/>
      </rPr>
      <t>QLGVTG_02.webm</t>
    </r>
  </si>
  <si>
    <t>1. Chọn menu "Chi trả chi phí"
2. Nhấn vào liên kết tại bản ghi</t>
  </si>
  <si>
    <t xml:space="preserve">- Thanh tiến trình — 6 bước: Tiếp nhận → Kiểm tra → Đánh giá → Thẩm định → Phê duyệt → Thanh toán.
- Tiêu đề trang: "Chi tiết hồ sơ #{mã hồ sơ}".
</t>
  </si>
  <si>
    <t>Tiêu đề trang không giống với thiết kế</t>
  </si>
  <si>
    <r>
      <rPr>
        <rFont val="Times New Roman"/>
        <color rgb="FF1155CC"/>
        <sz val="12.0"/>
        <u/>
      </rPr>
      <t>QLHSDNHTCP_09.jpg</t>
    </r>
  </si>
  <si>
    <t>DB_11</t>
  </si>
  <si>
    <t>Hiển thị mũi tên tăng</t>
  </si>
  <si>
    <t>QLKCHTV_35</t>
  </si>
  <si>
    <t>✅ Bug đúng – chuyển dev.
• Bảng danh sách Giảng viên/Trợ giảng có các cột: Họ tên, Chuyên ngành, Trình độ, Số khóa đã dạy, Trạng thái, Hành động → thiếu cột Vai trò và Lĩnh vực.
• SRS FR-III-11 (UC30 – Outputs, dòng 954–969): danh sách phải hiển thị cột Vai trò và Lĩnh vực.
• Verify: CB_NV_TW, màn Giảng viên/Trợ giảng. Bug ID: BUG-QLGVTG_02.</t>
  </si>
  <si>
    <t>Đẩy sang Nhóm II</t>
  </si>
  <si>
    <t>QLGVTG_03</t>
  </si>
  <si>
    <t>Màu xanh khi tăng</t>
  </si>
  <si>
    <t>1. Chọn menu "Tư vấn" =&gt; "Tư vấn nhanh"
2. Bấm nút Trả lời
3. Nhấn nút "Đẩy sang Nhóm II"</t>
  </si>
  <si>
    <t>- Điều kiện hiển thị: phiên đang ở chế độ nhập liệu và chưa ở trạng thái "Hoàn thành".
- Hệ thống mở cửa sổ xác nhận.
- Sau khi xác nhận, hệ thống tạo bản ghi hỏi đáp ở Nhóm II với kênh tiếp nhận "Từ Tư vấn nhanh" và giữ liên kết với phiên tư vấn nhanh gốc; chuyển trạng thái phiên: trạng thái hiện tại → "Hoàn thành" kèm ghi chú "Đã đẩy sang Nhóm II hỏi đáp «{mã hỏi đáp}»"; gửi thông báo cho cán bộ Nhóm II tiếp nhận. Lưu vết thao tác theo quy định.</t>
  </si>
  <si>
    <t>Màn hình không có nút chức năng Đẩy sang nhóm II</t>
  </si>
  <si>
    <t>1. Chọn menu "Đào tạo, tập huấn" -&gt; "Giảng viên / Trợ giảng"
2. Nhấn Thêm mới</t>
  </si>
  <si>
    <t>DB_11.png</t>
  </si>
  <si>
    <r>
      <rPr>
        <rFont val="Times New Roman"/>
        <color rgb="FF1155CC"/>
        <sz val="12.0"/>
        <u/>
      </rPr>
      <t>QLKCHTV_35.jpg</t>
    </r>
  </si>
  <si>
    <t>Biểu mẫu thêm mới thiếu trường thông tin "Tệp đính kèm"</t>
  </si>
  <si>
    <r>
      <rPr>
        <rFont val="Times New Roman"/>
        <color rgb="FF4285F4"/>
        <sz val="13.0"/>
        <u/>
      </rPr>
      <t>QLGVTG_03.jpg</t>
    </r>
  </si>
  <si>
    <t>✅ Bug đúng một phần (BA 24/07/2026) — Loại 1 ở đường dẫn, phần tiêu đề KHÔNG phải lỗi.
- Ý 1 = lỗi: dòng đường dẫn (breadcrumb) của màn Chi tiết hồ sơ chi trả phải kèm mã hồ sơ đang mở — đặc tả thành phần #1: "Trang chủ &gt; Chi trả chi phí &gt; Chi tiết #{ma_ho_so}" (srs-fr-06-chi-tra.md:1100); app đang dừng ở "Chi tiết" nên không nhận ra đang mở hồ sơ nào từ đường dẫn. Dev bổ sung mã hồ sơ. Mức Cosmetic.
- Ý 2 = không phải lỗi: tiêu đề lớn hiển thị TÊN DOANH NGHIỆP là chấp nhận được — khối thông tin đầu trang chỉ quy định phải có đủ các trường Mã hồ sơ / Tên DN / Quy mô / Trạng thái / cảnh báo thời hạn, KHÔNG ép tiêu đề phải là chuỗi "Chi tiết hồ sơ #mã" (:1102), và app vẫn hiện Mã hồ sơ trong khối này.
── CÁCH VERIFY sau Dev fix ──
Precondition: cbnv_tw / Test@1234, mở danh sách hồ sơ chi trả và ghi lại mã của 2 hồ sơ khác nhau trước khi vào chi tiết.
1) Bấm mã hồ sơ thứ nhất để vào màn Chi tiết, đọc dòng đường dẫn trên cùng.
2) Quay lại danh sách, mở hồ sơ thứ hai, đọc lại dòng đường dẫn.
3) Bấm từng cấp trên đường dẫn để kiểm tra vẫn quay về đúng màn.
✅ PASS khi: đường dẫn hiện đủ 3 cấp và cấp cuối kèm mã hồ sơ đang mở; mã đổi đúng theo từng hồ sơ ở bước 1 và 2; các cấp trên vẫn bấm quay lại được.
❌ FAIL nếu: cấp cuối vẫn chỉ là "Chi tiết" không có mã; hoặc có mã nhưng không khớp hồ sơ đang mở / không đổi khi sang hồ sơ khác.
⚠️ KHÔNG chấm tiêu đề lớn — BA đã kết luận hiển thị tên doanh nghiệp ở tiêu đề là không phải lỗi, báo FAIL vì tiêu đề là sai.
Ảnh lỗi cũ: QLHSDNHTCP_09.jpg (ảnh UAT đối tác — đường dẫn "Trang chủ / Chi trả chi phí / Chi tiết" không có mã hồ sơ).</t>
  </si>
  <si>
    <t>✅ Bug đúng – chuyển dev.
• Biểu mẫu Thêm mới giảng viên có 9 trường (Họ và tên, Chuyên ngành, Trình độ, Tổ chức, Email, Điện thoại, Mô tả năng lực, Lĩnh vực, Trạng thái) → thiếu trường "Tệp đính kèm".
• SRS FR-III-11 (UC30 – Inputs, dòng 965): liệt kê file_dinh_kem là trường của biểu mẫu (không bắt buộc) → cần bổ sung.
• Verify: CB_NV_TW, màn Giảng viên/Trợ giảng → Thêm mới. Bug ID: BUG-QLGVTG_03.</t>
  </si>
  <si>
    <t>QLGVTG_05</t>
  </si>
  <si>
    <t>Thêm mới dữ liệu không hợp lệ</t>
  </si>
  <si>
    <t>QLHSDNHTCP_10</t>
  </si>
  <si>
    <t>1. Chọn menu "Đào tạo, tập huấn" -&gt; "Giảng viên / Trợ giảng"
2. Nhấn Thêm mới
3. Nhập dữ liệu không hợp lệ</t>
  </si>
  <si>
    <t>Hệ thống đánh dấu trường lỗi và hiển thị thông báo tương ứng.</t>
  </si>
  <si>
    <t>Không hiển thị thông báo lỗi khi nhập số điện thoại không hợp lệ</t>
  </si>
  <si>
    <r>
      <rPr>
        <rFont val="Times New Roman"/>
        <color rgb="FF4285F4"/>
        <sz val="13.0"/>
        <u/>
      </rPr>
      <t>QLGVTG_05.jpg</t>
    </r>
  </si>
  <si>
    <t>Nhóm 0 — Thanh thông tin tổng quan hồ sơ</t>
  </si>
  <si>
    <t>QLKCHTV_36</t>
  </si>
  <si>
    <t>Lưu nháp</t>
  </si>
  <si>
    <t>Mức cảnh báo thời hạn không giống với thiết kế</t>
  </si>
  <si>
    <t>✅ BA duyệt bổ sung 15/07/2026 — chuyển Dev.
- Bổ sung kiểm tra định dạng SĐT giảng viên, VẪN để không bắt buộc. Chuẩn: số bắt đầu bằng 0, gồm 10 chữ số (di động) hoặc 11 chữ số (cố định) — quy tắc gợi ý ^0\d{9,10}$.
- Không bắt "đúng 10 số": số cố định là 11 số (0 + mã vùng + thuê bao), bắt 10 sẽ loại nhầm. Quy ước "10-11 chữ số" đã có sẵn trong SRS (TVV srs-fr-04:297) vốn đúng độ dài — điểm mới chỉ là ràng buộc "bắt đầu bằng số 0".
- BA chốt siết CẢ HỆ THỐNG: áp cho mọi field SĐT (giảng viên srs-fr-03:965, TVV/NHT, hỏi đáp srs-fr-02:1064, API srs-fr-16:1155).
- Owner: BA bổ sung ràng buộc + mã lỗi vào FR-III-11 §Đầu vào (:965) và §Lỗi (:973) → Dev FE (+ BE nếu kiểm ở máy chủ).
- Verify lại: nhập SĐT sai (không bắt đầu bằng 0 / sai độ dài) → báo lỗi; để trống → vẫn lưu được.</t>
  </si>
  <si>
    <r>
      <rPr>
        <rFont val="Times New Roman"/>
        <color rgb="FF1155CC"/>
        <sz val="12.0"/>
        <u/>
      </rPr>
      <t>QLHSDNHTCP_10.jpg</t>
    </r>
  </si>
  <si>
    <t>1. Chọn menu "Tư vấn" =&gt; "Tư vấn nhanh"
2. Bấm nút Trả lời
3. Nhập thông tin hợp lệ và Nhấn Lưu nháp</t>
  </si>
  <si>
    <t xml:space="preserve">- Hệ thống lưu nội dung trả lời đang soạn; trạng thái phiên không thay đổi.
- Khi NSD mở lại phiên, nội dung nháp được điền sẵn vào ô "Nội dung trả lời".
</t>
  </si>
  <si>
    <t>Màn hình không có nút chức năng Lưu nháp</t>
  </si>
  <si>
    <t>DB_12</t>
  </si>
  <si>
    <r>
      <rPr>
        <rFont val="Times New Roman"/>
        <color rgb="FF1155CC"/>
        <sz val="12.0"/>
        <u/>
      </rPr>
      <t>QLKCHTV_36.jpg</t>
    </r>
  </si>
  <si>
    <t>QLGVTG_06</t>
  </si>
  <si>
    <t>Hiển thị mũi tên giảm</t>
  </si>
  <si>
    <t>Màu đỏ khi giảm</t>
  </si>
  <si>
    <t>1. Chọn menu "Đào tạo, tập huấn" -&gt; "Giảng viên / Trợ giảng"
2. Nhấn Thêm mới
3. Nhập thông tin hợp lệ và nhấn Lưu</t>
  </si>
  <si>
    <t>- Hệ thống lưu bản ghi và hiển thị thông báo "Đã thêm giảng viên".
- Bản ghi hiển thị ở đầu danh sách</t>
  </si>
  <si>
    <t>- Đã sửa: thanh thông tin tổng quan màn chi tiết nay có trường cảnh báo thời hạn cho cả hồ sơ chưa quá hạn — mở CT-SEED-101 đã thấy mục này, trước đây bị thiếu.
- Đã sửa: hồ sơ đã kết thúc đúng hạn không còn bị báo quá hạn ở màn chi tiết. CT-SEED-108 (thanh toán 24/06, hạn 29/06) nay hiển thị "Đã hoàn thành".
- Đã sửa: hai màn đã tính giống nhau. CT-SEED-107 ở cả danh sách và màn chi tiết đều hiển thị "Quá hạn nghiêm trọng · 15 ngày LV".
- Còn lỗi: mức cảnh báo trên thanh tổng quan vẫn gắn sai giống ngoài danh sách. CT-SEED-101 nộp 15/07, hạn xử lý là 29/07 nên còn trong hạn, đúng ra phải là "Sắp hết hạn", nhưng màn chi tiết vẫn hiển thị "Quá hạn · 0 ngày LV".
- Kiểm tra ngày 25/07/2026, tài khoản CB Nghiệp vụ Trung ương.</t>
  </si>
  <si>
    <t>Bản ghi được thêm mới không hiển thị ở đầu danh sách</t>
  </si>
  <si>
    <r>
      <rPr>
        <rFont val="Times New Roman"/>
        <color rgb="FF4285F4"/>
        <sz val="13.0"/>
        <u/>
      </rPr>
      <t>QLGVTG_06.webm</t>
    </r>
  </si>
  <si>
    <t>QLHSDNHTCP_11</t>
  </si>
  <si>
    <t>🐞 BA chốt: LÀ LỖI — chuyển Dev.
- Danh sách giảng viên đang sắp theo tên A→Z. Căn cứ: quy ước dùng chung DG-06 yêu cầu "sắp xếp mặc định theo thời gian cập nhật mới nhất" (srs-v3.5.md:919) → sắp A→Z là vi phạm. Quy ước nằm ở mục dùng chung nên phiếu QA đã bỏ sót.
- Verdict đổi từ "BA confirm" sang Open.
- Verify lại: thêm 1 giảng viên → bản ghi mới nằm ở đầu danh sách.</t>
  </si>
  <si>
    <t>QLKCHTV_37</t>
  </si>
  <si>
    <t>Nhóm 1 — Thông tin doanh nghiệp (chỉ đọc, lấy từ Cổng Dịch vụ công)</t>
  </si>
  <si>
    <t>QLGVTG_07</t>
  </si>
  <si>
    <t>Xuất Excel đánh giá</t>
  </si>
  <si>
    <t>1. Đăng nhập hệ thống thành công
2. Phiên đang ở trạng thái "Hoàn thành" và đã có ít nhất 1 bản ghi đánh giá từ doanh nghiệp.</t>
  </si>
  <si>
    <t>Hiển thị thiếu trường thông tin so với tài liệu mô tả</t>
  </si>
  <si>
    <t>1. Chọn menu "Tư vấn" =&gt; "Tư vấn nhanh"
2. Bấm nút Trả lời
3. Nhấn  nút "Xuất Excel"</t>
  </si>
  <si>
    <t>1. Chọn menu "Đào tạo, tập huấn" -&gt; "Giảng viên / Trợ giảng"
2. Bấm nút "⊙ Xem" trên thẻ giảng viên</t>
  </si>
  <si>
    <r>
      <rPr>
        <rFont val="Times New Roman"/>
        <color rgb="FF1155CC"/>
        <sz val="12.0"/>
        <u/>
      </rPr>
      <t>QLHSDNHTCP_11.jpg</t>
    </r>
  </si>
  <si>
    <t>Hệ thống mở màn hình Chi tiết giảng viên hiển thị 2 tab: "Thông tin" (đầy đủ thông tin cá nhân và năng lực) và "Lịch sử giảng dạy" (danh sách các khóa đã tham gia tại STT 20–23).</t>
  </si>
  <si>
    <t>DB_13</t>
  </si>
  <si>
    <t xml:space="preserve">- Hệ thống xuất chi tiết đánh giá của phiên ra tệp Excel bao gồm mã phiên, điểm đánh giá, nhận xét của doanh nghiệp, ngày đánh giá, tên doanh nghiệp và mã doanh nghiệp.
- Có dữ liệu, hệ thống tải tệp về máy người dùng với tên dạng "danh-gia-tv-nhanh-{mã phiên}{YYYYMMDD-HHmm}.xlsx".
</t>
  </si>
  <si>
    <t>- Màn hình không có nút chức năng Xem chi tiết</t>
  </si>
  <si>
    <r>
      <rPr>
        <rFont val="Times New Roman"/>
        <color rgb="FF4285F4"/>
        <sz val="13.0"/>
        <u/>
      </rPr>
      <t>QLGVTG_07.jpg</t>
    </r>
  </si>
  <si>
    <t>Màn hình không có nút chức năng</t>
  </si>
  <si>
    <r>
      <rPr>
        <rFont val="Times New Roman"/>
        <color rgb="FF1155CC"/>
        <sz val="12.0"/>
        <u/>
      </rPr>
      <t>QLKCHTV_37.jpg</t>
    </r>
  </si>
  <si>
    <t>Không có dữ liệu kỳ trước</t>
  </si>
  <si>
    <t>Hiển thị '-'</t>
  </si>
  <si>
    <t>✅ Bug ĐÚNG.
- Đối tác báo: Nhóm 1 — Thông tin doanh nghiệp (màn Chi tiết hồ sơ chi trả) hiển thị thiếu trường thông tin so với tài liệu mô tả.
- Kiểm tra lại trên màn Chi tiết hồ sơ (tài khoản CB Nghiệp vụ TW, hồ sơ CT-SEED-103, data thật): mục "Thông tin Doanh nghiệp" chỉ hiển thị Tên DN, Mã số thuế, Quy mô + các trường tiền (Số tiền đề nghị, Phí tư vấn, Số tiền được duyệt). THIẾU 6 trường: Địa chỉ, Số điện thoại/Fax/Email, Giấy chứng nhận đăng ký kinh doanh, Ngành nghề, Người đại diện, Loại hình doanh nghiệp.
- Đối chiếu SRS SCR-V.II-02 (FR-06, UC69) component #5 "Accordion I — Thông tin doanh nghiệp" (srs-fr-06-chi-tra.md:1104, điều kiện hiển thị "Luôn"): yêu cầu hiển thị đủ 9 trường gồm Tên DN, Địa chỉ, SĐT/Fax/Email, Mã số DN, Giấy CN ĐKKD, Ngành nghề, Người đại diện, Loại hình DN, Quy mô — tự động lấy từ Cổng DVC.
- KHÔNG phải thiếu dữ liệu nguồn: bản ghi Doanh nghiệp gốc (GET /api/v1/doanh-nghieps/{id}) đã có đủ diaChi, dienThoai, email, nganhNghe, nguoiDaiDien, loaiDnId. Nhưng API chi tiết hồ sơ chi trả chỉ trả khối doanhNghiep = {id, ten, maSoThue} nên màn hình không có dữ liệu 6 trường còn lại để hiển thị.
- Bug tái hiện đúng như đối tác báo, có SRS reference cụ thể → lỗi thật, dev fix. Chi tiết: bug-report-UAT-tuan-3-chi-tra.md §BUG-QLHSDNHTCP_11.</t>
  </si>
  <si>
    <t>✅ BA duyệt bổ sung 15/07/2026 — chuyển Dev FE.
- Thêm nút 👁 Xem vào cột Hành động màn Giảng viên (SCR-III-05, srs-fr-03:1852), mở màn chi tiết 2 tab SẴN CÓ. Chỉ là hiển thị — dữ liệu và màn chi tiết đã có.
- Lý do: hầu hết màn danh sách nghiệp vụ đều đã có nút Xem riêng (Hỏi đáp, Doanh nghiệp, Vụ việc, Đào tạo, Quản trị user); màn giảng viên đang là ngoại lệ lệch chuẩn.
- BA không nâng thành quy ước chung — chỉ sửa riêng màn giảng viên.
- Verify lại: cột Hành động có 👁 Xem → bấm mở đúng màn chi tiết 2 tab.</t>
  </si>
  <si>
    <t>Tab "Thông tin" được phép chỉnh sửa tại màn hình Xem chi tiết</t>
  </si>
  <si>
    <t>QLGVTG_07_v2.jpg</t>
  </si>
  <si>
    <t>QLHSDNHTCP_12</t>
  </si>
  <si>
    <t>Nhóm 2 — Thông tin tư vấn (chỉ đọc, lấy từ Cổng Dịch vụ công)</t>
  </si>
  <si>
    <t>Hiển thị thiếu trường thông tin so với tài liệu mô tả và các không hiển thị các thông tin hiện có trên màn hình</t>
  </si>
  <si>
    <r>
      <rPr>
        <rFont val="Times New Roman"/>
        <color rgb="FF1155CC"/>
        <sz val="12.0"/>
        <u/>
      </rPr>
      <t>QLHSDNHTCP_12.jpg</t>
    </r>
  </si>
  <si>
    <t>QLGVTG_08</t>
  </si>
  <si>
    <t>PDNDCHTV_01</t>
  </si>
  <si>
    <t>Kiểm tra chức năng nút Sửa</t>
  </si>
  <si>
    <t>THHDVM_01</t>
  </si>
  <si>
    <t>Phê duyệt nội dung câu hỏi, tư vấn</t>
  </si>
  <si>
    <t>Tổng hợp hỏi đáp, vướng mắc được gửi về</t>
  </si>
  <si>
    <t>1. Chọn menu "Đào tạo, tập huấn" -&gt; "Giảng viên / Trợ giảng"
2. Bấm nút "Sửa" trên thẻ giảng viên</t>
  </si>
  <si>
    <t>Cán  bộ  phê  duyệt 
 TW,BN,ĐP</t>
  </si>
  <si>
    <t>- Breadcrumb hiển thị đường dẫn điều hướng đúng với màn hình chức năng
- Hệ thống mở biểu mẫu hiển thị dữ liệu hiện tại</t>
  </si>
  <si>
    <t>Quản lý phê duyệt câu hỏi.</t>
  </si>
  <si>
    <t>Cung cấp chức năng tổng hợp số liệu và hiển thị chỉ số chính về số lượng yêu cầu hỏi đáp/vướng mắc mới đã tiếp nhận.</t>
  </si>
  <si>
    <t>Breadcrumb hiển thị đường dẫn điều hướng không đúng(Chức năng "Chỉnh sửa" nhưng lại hiển thị "Chi tiết"</t>
  </si>
  <si>
    <r>
      <rPr>
        <rFont val="Times New Roman"/>
        <color rgb="FF4285F4"/>
        <sz val="13.0"/>
        <u/>
      </rPr>
      <t>QLGVTG_08.png</t>
    </r>
  </si>
  <si>
    <t>1. Chọn menu "Tư vấn" =&gt; "Kho câu hỏi"
2. Bấm nút "Duyệt" trên dòng của câu hỏi</t>
  </si>
  <si>
    <t>✅ Bug ĐÚNG.
- Đối tác báo: Nhóm 2 — Thông tin tư vấn (màn Chi tiết hồ sơ chi trả) hiển thị thiếu trường thông tin so với tài liệu mô tả và không hiển thị các thông tin hiện có trên màn hình.
- Kiểm tra lại trên màn Chi tiết hồ sơ (tài khoản CB Nghiệp vụ TW, hồ sơ CT-SEED-103, data thật): mục "Thông tin Tư vấn viên" chỉ có 4 dòng Họ tên TVV / Mã TVV / Mã vụ việc / Tiêu đề vụ việc. THIẾU 5 trường: Thời điểm phát sinh, Tổ chức hành nghề, Địa chỉ tư vấn viên, Số điện thoại tư vấn viên, Số ngày hợp đồng tư vấn pháp luật.
- Đối chiếu SRS SCR-V.II-02 (FR-06, UC69) component #6 "Accordion II — Thông tin tư vấn" (srs-fr-06-chi-tra.md:1105, điều kiện hiển thị "Luôn"): yêu cầu hiển thị Vụ việc vướng mắc, Thời điểm phát sinh, Tên TVV, Tổ chức hành nghề, Địa chỉ TVV, SĐT TVV, Số ngày HĐ TVPL, Phí tư vấn, Số tiền đề nghị hỗ trợ. Hai trường Phí tư vấn + Số tiền đề nghị app đặt ở mục Thông tin DN (sai vị trí).
- Về "không hiển thị thông tin hiện có": hồ sơ đã có soHopDongTvpl (HDTV-2026-103), ngayHopDong (2026-06-10), noiDungDeNghiTt ("Đề nghị thanh toán phí tư vấn...") nhưng màn chi tiết không hiển thị các thông tin này.
- Ghi chú: 10 hồ sơ seed đều chưa gắn TVV (tuVanVienId=null) nên giá trị TVV hiển thị "—"; nhưng phần thiếu NHÃN TRƯỜNG (structural) tái hiện độc lập dữ liệu — mục render 4 nhãn cố định, không có 5 nhãn còn lại.
- Bug tái hiện đúng, có SRS reference cụ thể → lỗi thật, dev fix. Chi tiết: bug-report-UAT-tuan-3-chi-tra.md §BUG-QLHSDNHTCP_12.</t>
  </si>
  <si>
    <t>Số liệu đúng DB</t>
  </si>
  <si>
    <t>Hệ thống chuyển trạng thái câu hỏi: "Chờ duyệt" → "Đã duyệt", bật hiệu lực mặc định, gửi thông báo cho cán bộ tạo câu hỏi. Lưu vết thao tác theo quy định.</t>
  </si>
  <si>
    <t>- Cán bộ tạo câu hỏi không nhận được thông báo</t>
  </si>
  <si>
    <t>THHDVM_01.png</t>
  </si>
  <si>
    <r>
      <rPr>
        <rFont val="Times New Roman"/>
        <color rgb="FF1155CC"/>
        <sz val="12.0"/>
        <u/>
      </rPr>
      <t>PDNDCHTV_01.webm</t>
    </r>
  </si>
  <si>
    <t>QLHSDNHTCP_13</t>
  </si>
  <si>
    <t>Nhóm 8 — Thông tin phê duyệt và Lịch sử xử lý</t>
  </si>
  <si>
    <t>Màn hình không có trường Thông tin phê duyệt</t>
  </si>
  <si>
    <t>✅ BA duyệt 15/07/2026 — chuyển Dev FE.
- Bấm "Sửa" thì breadcrumb/tiêu đề phải ghi "Chỉnh sửa", phân biệt với "Chi tiết" (xem). Tiền lệ: module Tư vấn viên đã làm đúng — bấm Sửa ghi "Chỉnh sửa [Họ tên]" (srs-fr-04:1480).
- Kèm: bổ sung quy ước chung về nhãn đường dẫn theo chế độ (Xem chi tiết / Chỉnh sửa / Thêm mới) để đồng bộ các module.
- Verify lại: bấm Sửa → breadcrumb "Chỉnh sửa"; bấm tên giảng viên → breadcrumb "Chi tiết".</t>
  </si>
  <si>
    <r>
      <rPr>
        <rFont val="Times New Roman"/>
        <color rgb="FF1155CC"/>
        <sz val="12.0"/>
        <u/>
      </rPr>
      <t>QLHSDNHTCP_13.jpg</t>
    </r>
  </si>
  <si>
    <t>QLGVTG_09</t>
  </si>
  <si>
    <t>Sửa thiếu hoặc sai dữ liệu</t>
  </si>
  <si>
    <t>1. Chọn menu "Đào tạo, tập huấn" -&gt; "Giảng viên / Trợ giảng"
2. Bấm nút "Sửa" trên thẻ giảng viên
3. Sửa thiếu hoặc sai dữ liệu</t>
  </si>
  <si>
    <t>PDNDCHTV_04</t>
  </si>
  <si>
    <t>- Không hiển thị thông báo lỗi khi nhập số điện thoại không hợp lệ
- Thông báo lỗi của trường Lĩnh vực bị duplicate</t>
  </si>
  <si>
    <r>
      <rPr>
        <rFont val="Times New Roman"/>
        <color rgb="FF4285F4"/>
        <sz val="13.0"/>
        <u/>
      </rPr>
      <t>QLGVTG_09.jpg</t>
    </r>
  </si>
  <si>
    <t>NSD xác nhận từ chối</t>
  </si>
  <si>
    <t>✅ Bug ĐÚNG.
- Đối tác báo: Nhóm 8 — Thông tin phê duyệt và Lịch sử xử lý; màn hình không có trường Thông tin phê duyệt.
- Kiểm tra lại trên màn Chi tiết hồ sơ, hồ sơ CT-SEED-107 trạng thái Đã duyệt (tài khoản CB Nghiệp vụ TW, data thật): các mục hiển thị gồm Thông tin Doanh nghiệp → Thông tin Tư vấn viên → Cập nhật thanh toán (form) → Lịch sử xử lý. KHÔNG có mục "Thông tin phê duyệt" với các trường Ngày/Người tiếp nhận, Thời gian/Người phê duyệt.
- Đối chiếu SRS SCR-V.II-02 (FR-06, UC69) component #35 "section-8 Thông tin phê duyệt &amp; Lịch sử" (srs-fr-06-chi-tra.md:1134, điều kiện hiển thị "Luôn"): phải hiển thị Ngày tiếp nhận, Người tiếp nhận, Thời gian phê duyệt, Người phê duyệt, Thời gian/Người/Lý do từ chối, Lý do hủy.
- KHÔNG phải thiếu dữ liệu: hồ sơ Đã duyệt CT-SEED-107 đã có ngayTiepNhan, nguoiTiepNhanId, nguoiDuyetId, ngayDuyet ("2026-07-03"), nguoiGuiDuyetId, ngayGuiDuyet trong dữ liệu nhưng màn không hiển thị.
- Ghi chú: mục "Lịch sử xử lý" (Timeline, component #36) có tồn tại nhưng trống do AUDIT_LOG rỗng — phần khác, không thuộc bug này.
- Bug tái hiện đúng, có SRS reference cụ thể → lỗi thật, dev fix. Chi tiết: bug-report-UAT-tuan-3-chi-tra.md §BUG-QLHSDNHTCP_13.</t>
  </si>
  <si>
    <t>1. Chọn menu "Tư vấn" =&gt; "Kho câu hỏi"
2. Bấm "Từ chối"
3. Nhập lý do hợp lệ và Xác nhận</t>
  </si>
  <si>
    <t>- Hệ thống chuyển trạng thái câu hỏi: "Chờ duyệt" → "Nháp", gửi thông báo cho cán bộ tạo câu hỏi kèm lý do để chỉnh sửa và trình lại. Lưu vết thao tác theo quy định.</t>
  </si>
  <si>
    <t>Hệ thống chuyển sang trạng thái "Bị từ chối", cán bộ tạo câu hỏi không nhận được thông báo kèm lý do</t>
  </si>
  <si>
    <r>
      <rPr>
        <rFont val="Times New Roman"/>
        <color rgb="FF1155CC"/>
        <sz val="12.0"/>
        <u/>
      </rPr>
      <t>PDNDCHTV_04.webm</t>
    </r>
  </si>
  <si>
    <t>QLHSDNHTCP_19</t>
  </si>
  <si>
    <t>✅ Bug đúng – chuyển dev (lỗi trùng thông báo).
• Ở màn Sửa giảng viên, khi bỏ trống Lĩnh vực rồi lưu, thông báo "Vui lòng chọn ít nhất 1 lĩnh vực" hiển thị 2 lần (trùng lặp). Màn Thêm mới chỉ hiện 1 lần.
• SRS FR-III-11 (UC30 – Error Handling, dòng 973): mỗi trường lỗi hiển thị một thông báo tương ứng.
• Riêng Điện thoại nhập sai không báo lỗi: đúng đặc tả (so_dien_thoai là text, không bắt buộc, không ràng buộc định dạng; dòng 965) → không phải lỗi.
• Verify: CB_NV_TW, màn Sửa giảng viên. Bug ID: BUG-QLGVTG_09.</t>
  </si>
  <si>
    <t>Sắp xếp theo cột</t>
  </si>
  <si>
    <t>1. Chọn menu "Chi trả chi phí"
2. Bấm vào tiêu đề cột cần sắp xếp</t>
  </si>
  <si>
    <t>QLGVTG_12</t>
  </si>
  <si>
    <t>Hệ thống sắp xếp danh sách theo cột đó, luân phiên tăng dần / giảm dần qua mỗi lần bấm.</t>
  </si>
  <si>
    <t>THHDVM_02</t>
  </si>
  <si>
    <t>Hệ thống không thực hiện sắp xếp khi nhấn vào tên cột</t>
  </si>
  <si>
    <t>Xóa Giảng viên đang được phân công dạy một số khóa học</t>
  </si>
  <si>
    <r>
      <rPr>
        <rFont val="Times New Roman"/>
        <color rgb="FF1155CC"/>
        <sz val="12.0"/>
        <u/>
      </rPr>
      <t>QLHSDNHTCP_19.jpg</t>
    </r>
  </si>
  <si>
    <t>1. Đăng nhập tài khoản
2. Giảng viên đang được phân công dạy một số khóa học</t>
  </si>
  <si>
    <t>1. Chọn menu "Đào tạo, tập huấn" -&gt; "Giảng viên / Trợ giảng"
2. Bấm nút "Xóa" trên thẻ giảng viên
3. Xác nhận</t>
  </si>
  <si>
    <t>Kiểm tra Hỏi đáp mới</t>
  </si>
  <si>
    <t>Hệ thống hiển thị cảnh báo "Giảng viên đang được phân công dạy {số lượng} khóa" và yêu cầu xác nhận trước khi xóa.</t>
  </si>
  <si>
    <t>Hệ thống hiển thị thông báo lỗi "Đơn vị của bạn khác đơn vị của giảng viên"</t>
  </si>
  <si>
    <r>
      <rPr>
        <rFont val="Times New Roman"/>
        <color rgb="FF4285F4"/>
        <sz val="13.0"/>
        <u/>
      </rPr>
      <t>QLGVTG_12.webm</t>
    </r>
  </si>
  <si>
    <t>PDNDCHTV_07</t>
  </si>
  <si>
    <t>NSD xác nhận duyệt hàng loạt</t>
  </si>
  <si>
    <t>❌ Không phải lỗi (BA xác nhận 24/07/2026).
- BA chốt: phần mềm đúng đặc tả màn danh sách Chi trả — bảng thành phần màn hình không cột dữ liệu nào được quy định hành vi sắp xếp khi bấm tiêu đề, các cột đều để trống hành vi (srs-fr-06-chi-tra.md:1049-1076); §Quy tắc tương tác chỉ yêu cầu "Sắp xếp mặc định: ngày cập nhật DESC" (:1081) và phần mềm đã làm đúng. Quy ước chung của hệ thống cũng chỉ đặt sắp xếp mặc định (DG-06, srs-v3.5.md:955), không có quy ước bắt buộc mọi màn cho bấm tiêu đề cột.
- Bấm tiêu đề cột để sắp xếp luân phiên tăng dần / giảm dần là chức năng ngoài đặc tả; việc một số màn khác đã có chỉ cho thấy hệ thống chưa đồng nhất. Đề nghị đưa vào danh sách yêu cầu cải tiến (bổ sung cho danh sách Chi trả và chuẩn hóa toàn hệ thống) để BA/chủ đầu tư duyệt phạm vi.
- Đề nghị đối tác cập nhật lại Kết quả mong đợi của trường hợp kiểm thử cho khớp phạm vi đặc tả.</t>
  </si>
  <si>
    <t>1. Chọn menu "Tư vấn" =&gt; "Kho câu hỏi"
2. Tích chọn ít nhất 1 bản ghni hợp lệ
3. Bấm nút Duyệt hàng loạt và Xác nhận</t>
  </si>
  <si>
    <t>🐞 BA chốt: LÀ LỖI — chuyển Dev BE.
- Phần mềm đang so khớp đơn vị bằng nhau tuyệt đối nên chặn CB Trung ương xóa giảng viên tỉnh. Căn cứ: giảng viên CÓ phân quyền theo đơn vị (srs-v3.5.md:2534, :1256), NHƯNG cán bộ Trung ương là NGOẠI LỆ được thao tác toàn quốc (BR-AUTH-08, srs-fr-05:2350).
- Việc cần làm: bỏ so khớp đơn vị tuyệt đối — Trung ương thao tác toàn quốc, Bộ ngành/Địa phương chỉ trong đơn vị mình. Khi giảng viên đang được phân công thì hiện cảnh báo WRN-GV-01 "đang dạy N khóa" (srs-fr-03:973, :967) và bắt xác nhận trước khi xóa.
- Kèm dọn SRS (BA đồng ý 15/07/2026): ghi chú "giữ giảng viên bản cũ 11 trường" (CHANGELOG-v3-to-v3.5.md:2018, srs-fr-03:1876) mâu thuẫn entity thật 18 trường có don_vi_id → xóa ghi chú, lấy entity 18 trường làm chuẩn.
- Verify lại: CB Trung ương xóa giảng viên tỉnh khác → không báo lỗi đơn vị; nếu đang dạy N khóa thì hiện cảnh báo WRN-GV-01 + hỏi xác nhận.</t>
  </si>
  <si>
    <t xml:space="preserve">- Hệ thống chuyển trạng thái tất cả câu hỏi được chọn: "Chờ duyệt" → "Đã duyệt", gửi thông báo cho từng cán bộ tạo câu hỏi tương ứng. </t>
  </si>
  <si>
    <t>Cán bộ tạo câu hỏi không nhận được thông báo</t>
  </si>
  <si>
    <r>
      <rPr>
        <rFont val="Times New Roman"/>
        <color rgb="FF1155CC"/>
        <sz val="12.0"/>
        <u/>
      </rPr>
      <t>PDNDCHTV_07.webm</t>
    </r>
  </si>
  <si>
    <t>QLDNDHTPL_02</t>
  </si>
  <si>
    <t>TKGVTG_02</t>
  </si>
  <si>
    <t xml:space="preserve">1. Chọn menu "Doanh nghiệp"
</t>
  </si>
  <si>
    <t>- Hệ thống hiển thị các trường thông tin giống với thiết kế
- Dữ liệu hiển thị đúng định dạng và trường thông tin
- Dữ liệu hiển thị không bị tràn/đè lên nhau, đồng nhất ngôn ngữ hiển thị
- Mặc định: hệ thống sắp xếp theo ngày cập nhật mới nhất trước.</t>
  </si>
  <si>
    <t>1. Chọn menu "Đào tạo, tập huấn" -&gt; "Giảng viên / Trợ giảng"
2. Kiểm tra hiển thị các tiêu chí tìm kiếm</t>
  </si>
  <si>
    <t>Màn hình Không có ô chọn</t>
  </si>
  <si>
    <r>
      <rPr>
        <rFont val="Times New Roman"/>
        <color rgb="FF1155CC"/>
        <sz val="12.0"/>
        <u/>
      </rPr>
      <t>QLDNDHTPL_02.jpg</t>
    </r>
  </si>
  <si>
    <t>Hệ thống hiển thị thiếu tiêu chí tìm kiếm theo Vai trò</t>
  </si>
  <si>
    <r>
      <rPr>
        <rFont val="Times New Roman"/>
        <color rgb="FF1155CC"/>
        <sz val="13.0"/>
        <u/>
      </rPr>
      <t>TKGVTG_02.webm</t>
    </r>
  </si>
  <si>
    <t>THHDVM_03</t>
  </si>
  <si>
    <t>Click Hỏi đáp</t>
  </si>
  <si>
    <t>QLCKCHTV_02</t>
  </si>
  <si>
    <t>Click thẻ hỏi đáp mới</t>
  </si>
  <si>
    <t>✅ Bug ĐÚNG – chuyển dev.
- Màn Danh sách Doanh nghiệp (/doanh-nghiep/danh-sach) thiếu cột chọn dòng (checkbox ô vuông ở đầu mỗi dòng).
- Theo SRS FR-V.III-01 (UC81), màn danh sách DN (SCR-V.III-01, dòng #15) quy định bảng phải có cột "Checkbox – Chọn dòng", luôn hiển thị.
- Verify: đăng nhập CB Nghiệp vụ Trung ương (CB_NV_TW) trên env UAT hiện tại, danh sách 4 DN – bảng chỉ có các cột Mã DN / Tên DN / MST / Quy mô / Ngành nghề / Địa chỉ / Số lần hỗ trợ / Tổng chi phí / Hành động, không có cột checkbox.
- Bug ID: BUG-QLDNDHTPL_02.</t>
  </si>
  <si>
    <t>Mở DS hỏi đáp mới</t>
  </si>
  <si>
    <t>Kiểm tra khi nhấn nút chức năng Công khai</t>
  </si>
  <si>
    <t>✅ Bug đúng – chuyển dev.
• Thanh tìm kiếm Giảng viên/Trợ giảng có: ô từ khóa (họ tên/chuyên ngành), Lĩnh vực, Trạng thái → thiếu bộ lọc Vai trò.
• SRS FR-III-12 (UC31 – Inputs, dòng 981–992): tìm kiếm GV phải có bộ lọc Vai trò (Giảng viên / Trợ giảng).
• Verify: CB_NV_TW, màn Giảng viên/Trợ giảng. Bug ID: BUG-TKGVTG_02.</t>
  </si>
  <si>
    <t>1. Đăng nhập hệ thống thành công
2. Câu hỏi đang ở trạng thái "Đã duyệt" và còn hiệu lực</t>
  </si>
  <si>
    <t>THHDVM_03.png</t>
  </si>
  <si>
    <t>1. Chọn menu "Tư vấn" =&gt; "Kho câu hỏi"
2. Bấm nút Công khai</t>
  </si>
  <si>
    <t>Hệ thống hiển thị cửa sổ xác nhận "Công khai câu hỏi «{mã}» lên Cổng Pháp luật quốc gia?", cho phép NSD bổ sung mô tả hiển thị trên chuyên trang, ảnh đại diện (JPG/PNG/GIF, tối đa 5 MB) và tệp đính kèm (PDF/DOC/DOCX/XLS/XLSX, tối đa 20 MB/tệp).</t>
  </si>
  <si>
    <t>TKGVTG_07</t>
  </si>
  <si>
    <t>Hệ thống không hiển thị các trường thông tin cho phép NSD bổ sung mô tả hiển thị trên chuyên trang</t>
  </si>
  <si>
    <r>
      <rPr>
        <rFont val="Times New Roman"/>
        <color rgb="FF1155CC"/>
        <sz val="12.0"/>
        <u/>
      </rPr>
      <t>QLCKCHTV_02.jpg</t>
    </r>
  </si>
  <si>
    <t>Sắp xếp theo tiêu chí</t>
  </si>
  <si>
    <t>QLDNDHTPL_04</t>
  </si>
  <si>
    <t xml:space="preserve">1. Chọn menu "Đào tạo, tập huấn" -&gt; "Giảng viên / Trợ giảng"
2. Chọn tiêu chí sắp xếp </t>
  </si>
  <si>
    <t>Hệ thống sắp xếp danh sách theo tiêu chí đó, luân phiên tăng dần / giảm dần qua mỗi lần chọn.</t>
  </si>
  <si>
    <t>Kiểm tra Cấu trúc màn hình</t>
  </si>
  <si>
    <t>Hệ thống không cho phép thực hiện sắp xếp theo tiêu chí</t>
  </si>
  <si>
    <r>
      <rPr>
        <rFont val="Times New Roman"/>
        <color rgb="FF1155CC"/>
        <sz val="13.0"/>
        <u/>
      </rPr>
      <t>TKGVTG_07.webm</t>
    </r>
  </si>
  <si>
    <t>1. Chọn menu "Doanh nghiệp"
2. Bấm nút Thêm mới</t>
  </si>
  <si>
    <t>Form bố cục 2 cột (màn hình rộng) hoặc 1 cột (màn hình hẹp), gồm 3 nhóm trường — Nhóm A (Định danh cơ bản, bắt buộc), Nhóm B (Địa lý và phân loại, tùy chọn), Nhóm C (Thông tin bổ sung, tùy chọn).</t>
  </si>
  <si>
    <t>Bố cục không giống với thiết kế</t>
  </si>
  <si>
    <r>
      <rPr>
        <rFont val="Times New Roman"/>
        <color rgb="FF1155CC"/>
        <sz val="12.0"/>
        <u/>
      </rPr>
      <t>QLDNDHTPL_04.jpg</t>
    </r>
  </si>
  <si>
    <t>❌ BA chốt 15/07/2026: KHÔNG phải lỗi — phần mềm đúng SRS.
- Màn tìm kiếm giảng viên (FR-III-12) và mẫu danh sách chung P-01 (srs-v3.5.md:681) không quy định sắp xếp theo cột — chỉ lọc + phân trang. Hệ thống đáp ứng đúng SRS.
- Nếu cần bổ sung sắp xếp theo cột → là yêu cầu cải tiến, trao đổi BA. Đề nghị cập nhật lại Kết quả mong đợi của test case.</t>
  </si>
  <si>
    <t>✅ Bug ĐÚNG – chuyển dev.
- Form "Thêm mới Doanh nghiệp" hiện chỉ có 2 nhóm ("Thông tin chung", "Thông tin liên hệ") với 10 trường, thiếu hẳn nhóm "Thông tin bổ sung".
- Theo SRS FR-V.III-NEW-03, màn Thêm mới DN (SCR-V.III-03 §Bố cục form) phải có 3 nhóm: Nhóm A Định danh cơ bản, Nhóm B Địa lý + Phân loại, Nhóm C Thông tin bổ sung.
- Nhóm C bị thiếu gồm: Số lao động, Doanh thu năm, Tổng nguồn vốn, Lĩnh vực kinh doanh, DN do phụ nữ làm chủ, Số LĐ nữ, Số LĐ khuyết tật, Chức vụ người đại diện, Giấy CN ĐKKD, Ghi chú, File đính kèm.
- Hệ quả: không nhập được Số lao động/Doanh thu/Tổng vốn nên tính năng tự gợi ý Quy mô (theo Nghị định 80/2021) không hoạt động lúc tạo mới.
- Verify: đăng nhập CB Nghiệp vụ Trung ương (CB_NV_TW), env UAT hiện tại.
- Bug ID: BUG-QLDNDHTPL_04.</t>
  </si>
  <si>
    <t>QLDXDTTH_03</t>
  </si>
  <si>
    <t>THHDVM_04</t>
  </si>
  <si>
    <t>TKCHTV_01</t>
  </si>
  <si>
    <t>Xem chi tiết đề xuất</t>
  </si>
  <si>
    <t>Tìm kiếm câu hỏi, tư vấn</t>
  </si>
  <si>
    <t>Khoảng thời gian không có dữ liệu</t>
  </si>
  <si>
    <t>Cán  bộ  nghiệp  vụ 
 TW,BN,ĐP</t>
  </si>
  <si>
    <t>Lọc</t>
  </si>
  <si>
    <t>1. Chọn menu "Đào tạo, tập huấn" -&gt; "Chương trình đào tạo"
2. Mở tab "Đề xuất đào tạo"
3. Bấm nút "Xem" trên dòng đề xuất</t>
  </si>
  <si>
    <t>Cung cấp công cụ tìm kiếm phản hồi trong kho câu hỏi/tư vấn nhanh.</t>
  </si>
  <si>
    <t>QLDNDHTPL_05</t>
  </si>
  <si>
    <t>Hiển thị 0/Không có dữ liệu, không lỗi</t>
  </si>
  <si>
    <t>Hệ thống mở màn hình chi tiết hiển thị đầy đủ thông tin đề xuất.</t>
  </si>
  <si>
    <t>THHDVM_04.png</t>
  </si>
  <si>
    <t>Kiểm tra hiển thị Nhóm A — Định danh cơ bản (bắt buộc)</t>
  </si>
  <si>
    <t>Màn hình không có chức năng Xem chi tiết</t>
  </si>
  <si>
    <r>
      <rPr>
        <rFont val="Times New Roman"/>
        <color rgb="FF1155CC"/>
        <sz val="13.0"/>
        <u/>
      </rPr>
      <t>QLDXDTTH_03.webm</t>
    </r>
  </si>
  <si>
    <t>Trường thông tin hiển thị không đúng theo thiết kế</t>
  </si>
  <si>
    <r>
      <rPr>
        <rFont val="Times New Roman"/>
        <color rgb="FF1155CC"/>
        <sz val="12.0"/>
        <u/>
      </rPr>
      <t>QLDNDHTPL_05.jpg</t>
    </r>
  </si>
  <si>
    <t>1. Chọn menu "Tư vấn" =&gt; "Kho câu hỏi"
2. Nhập/chọn tiêu chí tìm kiếm
3. Chọn menu "Tư vấn" =&gt; "Tư vấn nhanh"
4. Nhập/chọn tiêu chí tìm kiếm</t>
  </si>
  <si>
    <t>Có kết quả, hệ thống hiển thị danh sách kết quả tìm kiếm, phân trang 20 bản ghi mỗi trang.</t>
  </si>
  <si>
    <t>- Tại bước 2(Màn hình Kho câu hỏi): Nhập từ khóa có kết quả nhưng hệ thống hiển thị toàn bộ bản ghi hiện có trên hệ thống
- Tại bước 4(Màn hình Tư vấn nhanh): Nhập từ khóa có kết quả nhưng hệ thống hiển thị "Không có phiên tư vấn nhanh nào."</t>
  </si>
  <si>
    <r>
      <rPr>
        <rFont val="Times New Roman"/>
        <color rgb="FF1155CC"/>
        <sz val="12.0"/>
        <u/>
      </rPr>
      <t>TKCHTV_01.webm</t>
    </r>
  </si>
  <si>
    <t>✅ Bug đúng (BA 23/07/2026). Dev FE: tổ chức lại form Thêm mới DN thành 3 khối theo §Bố cục form — (A) Định danh cơ bản, (B) Địa lý + Phân loại, (C) Thông tin bổ sung (SRS SCR-V.III-03, dòng 550-586). Trường Nhóm A đã đủ, chỉ sai cách gom/nhãn khối. Mức Cosmetic (đi cùng bổ sung Nhóm C — BUG-QLDNDHTPL_04). Khối C cần tách riêng vì chở trường ưu tiên hỗ trợ theo NĐ 55/2019 Điều 4.4 (DN nữ làm chủ / LĐ nữ / khuyết tật).
── CÁCH VERIFY sau Dev fix ──
Precondition: cbnv_tw, mở /doanh-nghiep/them-moi.
1) Đếm số khối (section) + đọc nhãn từng khối.
2) Đối chiếu trường vào khối: Định danh cơ bản = Tên DN, MST, Người đại diện, Email, SĐT.
✅ PASS khi: form chia 3 khối theo đúng thứ tự/ý nghĩa Định danh cơ bản → Địa lý+Phân loại → Thông tin bổ sung, khối C tách riêng; 5 trường Nhóm A nằm đúng khối đầu.
❌ FAIL nếu: vẫn gom 2 khối "Thông tin chung"/"Thông tin liên hệ", trường Nhóm A nằm lẫn khối khác, hoặc không có khối bổ sung riêng.
⚠️ Nhãn KHÔNG cần y hệt chữ "Nhóm A —"; đúng cách gom + nhãn phản ánh nội dung là đạt (SRS ràng buộc cách gom, không ràng buộc từng ký tự nhãn).
Ảnh lỗi cũ (gom 2 nhóm): image/BUG-QLDNDHTPL_04-form-them-moi-2-nhom.png</t>
  </si>
  <si>
    <t>VVDTN_01</t>
  </si>
  <si>
    <t>QLDNDHTPL_06</t>
  </si>
  <si>
    <t>Tổng hợp các vụ việc đã tiếp nhận</t>
  </si>
  <si>
    <t>Kiểm tra hiển thị Nhóm B — Địa lý và phân loại (tùy chọn, có gợi ý mặc định)</t>
  </si>
  <si>
    <t>Cung cấp chỉ số tổng số vụ việc đã được ghi nhận vào hệ thống (bao gồm cả đang chờ xử lý).</t>
  </si>
  <si>
    <t>🔴 Reopen 16/07/2026 — fix một phần.
ĐÃ ĐẠT: DN xem được đề xuất của mình, cả danh sách lẫn chi tiết; và chỉ thấy đề xuất của mình (DN Hà Nội thấy 1 đề xuất, trong khi cán bộ TW thấy 4 — 3 đề xuất của DN An Giang không lộ sang).
CHƯA ĐẠT — màn chi tiết chưa "chỉ đọc" như BA chốt: ở vai trò DN, màn chi tiết vẫn hiển thị các nút thao tác xử lý của cán bộ ([Chỉnh sửa], [Tiếp nhận]; sau đó là [Bắt đầu xử lý], [Từ chối]). Đã thử thật: tài khoản DN bấm [Tiếp nhận] trên chính đề xuất của mình → hệ thống báo "Đã tiếp nhận đề xuất" và đổi trạng thái Mới gửi → Đã tiếp nhận. Máy chủ không chặn, tức DN tự tiếp nhận/từ chối được đề xuất của chính mình.
CẦN: ở vai trò DN/NHT, màn chi tiết đề xuất chỉ hiển thị thông tin, không cho thực hiện các thao tác xử lý thuộc về cán bộ; quyền cần được kiểm ở máy chủ chứ không chỉ ẩn nút trên giao diện.
Lưu ý: đề xuất "QA UAT verify - de xuat dao tao kiem thu chuc nang Xem chi tiet va Xoa (row28/29)" hiện đang ở trạng thái "Đã tiếp nhận" do bước kiểm thử trên; cần reset về "Mới gửi" nếu muốn test lại từ đầu.</t>
  </si>
  <si>
    <r>
      <rPr>
        <rFont val="Times New Roman"/>
        <color rgb="FF1155CC"/>
        <sz val="12.0"/>
        <u/>
      </rPr>
      <t>QLDNDHTPL_06.jpg</t>
    </r>
  </si>
  <si>
    <t>VVDTN_01.png</t>
  </si>
  <si>
    <t>✅ Bug đúng (BA 23/07/2026). Dev FE: tổ chức lại form Thêm mới DN thành 3 khối A/B/C theo §Bố cục form (SRS SCR-V.III-03, dòng 550-586). Trường Nhóm B đã đủ, chỉ sai cách gom/nhãn khối. Mức Cosmetic (cùng BUG-QLDNDHTPL_04).
── CÁCH VERIFY sau Dev fix ──
Precondition: cbnv_tw, mở /doanh-nghiep/them-moi.
1) Đếm số khối (section) + đọc nhãn từng khối.
2) Đối chiếu trường Nhóm B vào khối "Địa lý + Phân loại": Tỉnh/TP, Địa chỉ, Loại DN, Quy mô, Ngành nghề.
✅ PASS khi: form chia 3 khối theo ý nghĩa Định danh cơ bản → Địa lý+Phân loại → Thông tin bổ sung; 5 trường Nhóm B nằm trong khối Địa lý+Phân loại.
❌ FAIL nếu: vẫn gom 2 khối "Thông tin chung"/"Thông tin liên hệ", hoặc trường Nhóm B nằm lẫn khối khác.
⚠️ Nhãn KHÔNG cần y hệt chữ "Nhóm B —"; đúng cách gom là đạt.
Ảnh lỗi cũ: image/BUG-QLDNDHTPL_04-form-them-moi-2-nhom.png</t>
  </si>
  <si>
    <t>QLDXDTTH_06</t>
  </si>
  <si>
    <t>Xóa đề xuất ở trạng thái "Mới" và do chính Doanh nghiệp hoặc Người hỗ trợ đang đăng nhập đã tạo</t>
  </si>
  <si>
    <t>QLDNDHTPL_07</t>
  </si>
  <si>
    <t>1. Đăng nhập tài khoản
2. Tồn tại đề xuất ở trạng thái Mới</t>
  </si>
  <si>
    <t>TKCHTV_02</t>
  </si>
  <si>
    <t>1. Chọn menu "Diễn đàn, hỗ trợ pháp lý" -&gt; Chương trình hỗ trợ pháp lý DN
2. Tại mục "Danh mục", chọn Đào tạo -&gt; Kế hoạch đào tạo của tôi
3. Bấm nút "Xóa" tại đề xuất có trạng thái Mới</t>
  </si>
  <si>
    <t>Kiểm tra hiển thị Nhóm C — Thông tin bổ sung (tùy chọn)</t>
  </si>
  <si>
    <t>- Hệ thống hiển thị hộp xác nhận.
- Hệ thống xóa mềm đề xuất và hiển thị thông báo "Đã xóa đề xuất".</t>
  </si>
  <si>
    <t>Hệ thống không hiển thị thông báo xóa thành công</t>
  </si>
  <si>
    <r>
      <rPr>
        <rFont val="Times New Roman"/>
        <color rgb="FF1155CC"/>
        <sz val="13.0"/>
        <u/>
      </rPr>
      <t>QLDXDTTH_06.webm</t>
    </r>
  </si>
  <si>
    <t>Màn hình Không có nhóm C</t>
  </si>
  <si>
    <r>
      <rPr>
        <rFont val="Times New Roman"/>
        <color rgb="FF1155CC"/>
        <sz val="12.0"/>
        <u/>
      </rPr>
      <t>QLDNDHTPL_07.jpg</t>
    </r>
  </si>
  <si>
    <t>- Tại bước 2: Không có kết quả, bảng dữ liệu để trống và hiển thị thông báo "Không tìm thấy câu hỏi phù hợp".
- Tại bước 4: : Không có kết quả, bảng dữ liệu để trống và hiển thị thông báo "Không tìm thấy phiên tư vấn phù hợp".</t>
  </si>
  <si>
    <t xml:space="preserve">- Tại bước 2(Màn hình Kho câu hỏi): Nhập từ khóa không có kết quả nhưng hệ thống hiển thị toàn bộ bản ghi hiện có trên hệ thống
</t>
  </si>
  <si>
    <r>
      <rPr>
        <rFont val="Times New Roman"/>
        <color rgb="FF1155CC"/>
        <sz val="12.0"/>
        <u/>
      </rPr>
      <t xml:space="preserve">TKCHTV_02.jpg
</t>
    </r>
    <r>
      <rPr>
        <rFont val="Times New Roman"/>
        <color rgb="FF1F1F1F"/>
        <sz val="12.0"/>
      </rPr>
      <t>TKCHTV_02(1).jpg</t>
    </r>
  </si>
  <si>
    <t>VVDTN_02</t>
  </si>
  <si>
    <t>🔴 Reopen 16/07/2026 — fix một phần.
ĐÃ ĐẠT — lỗi gốc "xóa xong không có thông báo" đã hết: với đề xuất do chính Người hỗ trợ đang đăng nhập tạo, trạng thái Mới gửi, bấm Xóa → hiện hộp xác nhận "Xóa đề xuất? Hành động này không thể hoàn tác." → xác nhận → hệ thống báo "Đã xóa đề xuất" và danh sách cập nhật ngay. Đúng Kết quả mong đợi của test case.
CHƯA ĐẠT — không thực hiện được thao tác của case ở vai trò Doanh nghiệp: với đề xuất do chính DN tạo, trạng thái Mới gửi, cột Hành động chỉ có [Tiếp nhận] và [Sửa], KHÔNG có nút [Xóa]. Màn chi tiết và form chỉnh sửa cũng không có. Trong khi mô tả case là "Xóa đề xuất ở trạng thái Mới và do chính Doanh nghiệp hoặc Người hỗ trợ đang đăng nhập đã tạo".
Bất nhất cần lưu ý (cùng gốc với QLDXDTTH_03): cùng một đề xuất, cùng trạng thái, cùng là chủ sở hữu — DN lại có nút [Tiếp nhận] (thao tác của cán bộ) nhưng không có [Xóa] (thao tác của chính DN). Bộ nút của vai trò DN đang bị gán ngược.
CẦN: doanh nghiệp xóa được đề xuất của chính mình khi đề xuất còn ở trạng thái Mới, với cùng hộp xác nhận và thông báo như luồng của Người hỗ trợ.</t>
  </si>
  <si>
    <t>✅ Bug ĐÚNG – chuyển dev.
- Màn Thêm mới Doanh nghiệp không có Nhóm C – Thông tin bổ sung (đúng như phản ánh).
- Theo SRS FR-V.III-NEW-03 (SCR-V.III-03 §Bố cục form), Nhóm C gồm 11 trường: Số lao động, Doanh thu năm, Tổng nguồn vốn, Lĩnh vực kinh doanh, DN do phụ nữ làm chủ, Số LĐ nữ, Số LĐ khuyết tật, Chức vụ người đại diện, Giấy CN ĐKKD, Ghi chú, File đính kèm – hiện thiếu toàn bộ.
- Hệ quả: thiếu Số lao động/Doanh thu/Tổng vốn nên chức năng tự gợi ý Quy mô (Nghị định 80/2021) không hoạt động khi tạo mới.
- Cùng lỗi cấu trúc form đã ghi ở Bug ID BUG-QLDNDHTPL_04.
- Verify: đăng nhập CB Nghiệp vụ Trung ương (CB_NV_TW), env UAT hiện tại.
- Bug ID: BUG-QLDNDHTPL_04.</t>
  </si>
  <si>
    <t>Click Vụ việc tiếp nhận</t>
  </si>
  <si>
    <t>QLDXDTTH_09</t>
  </si>
  <si>
    <t>Click thẻ Vụ việc tiếp nhận</t>
  </si>
  <si>
    <t>QLDNDHTPL_10</t>
  </si>
  <si>
    <t>Mở DS Vụ việc tiếp nhận</t>
  </si>
  <si>
    <t>Kiểm tra Doanh nghiệp/Người hỗ trợ nhận thông báo</t>
  </si>
  <si>
    <t>VVDTN_02.png</t>
  </si>
  <si>
    <t xml:space="preserve">Kiểm tra trùng mã số thuế </t>
  </si>
  <si>
    <t>1. Cán bộ nghiệp vụ cập nhật trạng thái đề xuất
2. Đăng nhập tài khoản Doanh nghiệp/Người hỗ trợ trực tiếp tạo đề xuất được phê duyệt</t>
  </si>
  <si>
    <t>1. Đăng nhập tài khoản 
2. Mã số thuế đã tồn tại</t>
  </si>
  <si>
    <t>1. Chọn menu "Diễn đàn, hỗ trợ pháp lý" -&gt; Chương trình hỗ trợ pháp lý DN
2. Tại mục "Danh mục", chọn Đào tạo -&gt; Kế hoạch đào tạo của tôi
3. Kiểm tra thông báo và đề xuất được phê duyệt</t>
  </si>
  <si>
    <t>- Doanh nghiệp/Người hỗ trợ nhận thông báo thành công
- Đề xuất được cập nhật trạng thái thành công</t>
  </si>
  <si>
    <t>1. Chọn menu "Doanh nghiệp"
2. Bấm nút Thêm mới
3. Mã số thuế đã tồn tại và nhấn Lưu</t>
  </si>
  <si>
    <t xml:space="preserve">- Doanh nghiệp/Người hỗ trợ không nhận được thông báo
- Đề xuất không được cập nhật trạng thái </t>
  </si>
  <si>
    <r>
      <rPr>
        <rFont val="Times New Roman"/>
        <color rgb="FF1155CC"/>
        <sz val="13.0"/>
        <u/>
      </rPr>
      <t>QLDXDTTH_09.webm</t>
    </r>
  </si>
  <si>
    <t>Hiển thị hộp thoại chặn "Doanh nghiệp có mã số thuế '{mã số thuế}' đã tồn tại trong hệ thống: {tên doanh nghiệp hiện có}. Bạn muốn mở chi tiết doanh nghiệp hiện có?" với 2 nút "Mở chi tiết" (chuyển sang màn hình chi tiết của doanh nghiệp hiện có) và "Hủy" (đóng hộp thoại, ô mã số thuế tô đỏ, ở lại form).</t>
  </si>
  <si>
    <t>- Thông báo hiển thị không giống với thiết kế
- Khi nhấn nút Hủy, ô mã số thuế không tô đỏ</t>
  </si>
  <si>
    <r>
      <rPr>
        <rFont val="Times New Roman"/>
        <color rgb="FF1155CC"/>
        <sz val="12.0"/>
        <u/>
      </rPr>
      <t>QLDNDHTPL_10.jpg</t>
    </r>
  </si>
  <si>
    <t>TKCHTV_03</t>
  </si>
  <si>
    <t>↻ Xóa bộ lọc</t>
  </si>
  <si>
    <t>✅ Bug ĐÚNG (một phần) – chuyển dev.
- Bấm Lưu với MST trùng (0109998887): hệ thống HIỆN modal chặn đúng nghiệp vụ — nêu tên DN hiện có ("Cong ty TNHH QA UAT Kiem Thu") + 2 nút "Mở chi tiết DN hiện có" / "Hủy".
- LỖI (ý 2 đối tác): sau khi bấm "Hủy" trong modal, ô Mã số thuế KHÔNG tô đỏ — thực tế mang trạng thái has-success (viền bình thường rgb(31,31,31), không class error). Theo SRS SCR-V.III-03 dòng 599: bấm Hủy → đóng modal, ở lại form, ô MST highlight đỏ.
- Ý 1 đối tác "thông báo không giống thiết kế": nội dung modal khác câu chữ SRS nhưng truyền đạt đúng yêu cầu nghiệp vụ (báo trùng + tên DN + mở chi tiết/Hủy) → không tính lỗi riêng, chỉ minor (không hiển thị giá trị MST trong text).
- Verify: CB_NV_TW, form Thêm mới, click Lưu → modal → Hủy.
- Bug ID: BUG-QLDNDHTPL_10.</t>
  </si>
  <si>
    <t>❌ Ý "DN không nhận thông báo" — BA chốt: KHÔNG phải lỗi, phần mềm đúng SRS.
- FR-III-13 chỉ quy định thông báo MỘT CHIỀU: DN gửi đề xuất → báo cho cán bộ (srs-fr-03:1019, :1023). SRS không yêu cầu báo ngược lại cho DN khi cán bộ tiếp nhận / đánh dấu đã thực hiện. BR-NOTIF-01 (srs-v3.5.md:5520) cũng không có sự kiện nào cho vòng đời đề xuất đào tạo.
- Trạng thái đề xuất phía DN CÓ cập nhật đúng sang "Đã tiếp nhận" → phần "trạng thái không cập nhật" không xảy ra.
- Muốn báo cho DN khi đề xuất đổi trạng thái → là yêu cầu cải tiến (thêm sự kiện vào BR-NOTIF-01 + sửa FR-III-13), nếu cần thì trao đổi BA.
⚠️ GIỮ status dev done: chiều ngược lại (DN gửi đề xuất → cán bộ KHÔNG nhận thông báo) là lỗi thật, SRS bắt buộc — đã log BUG-DEXUAT-NOTIF-CB-01, vẫn đang chờ Dev.</t>
  </si>
  <si>
    <t>VVDTN_03</t>
  </si>
  <si>
    <t>QLDNDHTPL_13</t>
  </si>
  <si>
    <t>Thêm mới Nếu trường Tỉnh/Thành phố chưa nhập</t>
  </si>
  <si>
    <t>1. Chọn menu "Doanh nghiệp"
2. Bấm nút Thêm mới
3. Dữ liệu hợp lệ và nhấn Lưu</t>
  </si>
  <si>
    <t>Hệ thống đặt mặc định theo đơn vị của cán bộ đăng nhập.</t>
  </si>
  <si>
    <t>VVDTN_03.png</t>
  </si>
  <si>
    <t>QLLKHDTBD_02</t>
  </si>
  <si>
    <t>Hệ thống không đặt mặc định theo đơn vị của cán bộ đăng nhập</t>
  </si>
  <si>
    <r>
      <rPr>
        <rFont val="Times New Roman"/>
        <color rgb="FF1155CC"/>
        <sz val="12.0"/>
        <u/>
      </rPr>
      <t>QLDNDHTPL_14.webm</t>
    </r>
  </si>
  <si>
    <t>1. Chọn menu "Tư vấn" =&gt; "Kho câu hỏi"
2. Nhập/chọn tiêu chí tìm kiếm
3. Nhấn ↻ Xóa bộ lọc
4. Chọn menu "Tư vấn" =&gt; "Tư vấn nhanh"
5. Nhập/chọn tiêu chí tìm kiếm
6. ↻ Xóa bộ lọc</t>
  </si>
  <si>
    <t>Hệ thống xóa toàn bộ giá trị ở các ô lọc và ô tìm kiếm, tải lại danh sách theo mặc định của thẻ hiện tại.</t>
  </si>
  <si>
    <t xml:space="preserve">1. Chọn menu "Đào tạo, tập huấn" -&gt; "Kế hoạch đào tạo"
</t>
  </si>
  <si>
    <t>- Tại bước 2(Màn hình Kho câu hỏi): Không có nút chức năng "Xóa bộ lọc"</t>
  </si>
  <si>
    <r>
      <rPr>
        <rFont val="Times New Roman"/>
        <color rgb="FF1155CC"/>
        <sz val="13.0"/>
        <u/>
      </rPr>
      <t>QLLKHDTBD_02.jpg</t>
    </r>
  </si>
  <si>
    <t>TKCHTV_03.jpg 
TKCHTV_03(1).jpg</t>
  </si>
  <si>
    <t>✅ Bug đúng (BA 23/07/2026) — với cán bộ địa phương. Dev FE: form Thêm mới điền sẵn Tỉnh/TP = tỉnh của đơn vị cán bộ BN/ĐP (vẫn chỉnh được); cán bộ TW để trống là đúng (SRS SCR-V.III-03 dòng 566; TW không gắn 1 tỉnh — BR-AUTH-08). Giữ lưới an toàn backend lúc lưu (dòng 292).
── CÁCH VERIFY sau Dev fix ──
Precondition: 2 account — cbnv_hn (ĐP Hà Nội) + cbnv_tw (TW). (Có account cấp BN gắn tỉnh thì test thêm.)
1) Login cbnv_hn → Doanh nghiệp → Thêm mới → xem field Tỉnh/TP.
2) Login cbnv_tw → Thêm mới → xem field Tỉnh/TP.
3) (nếu có) Login account cấp BN gắn tỉnh → Thêm mới → xem field Tỉnh/TP.
✅ PASS khi: cán bộ ĐP (và BN nếu test) điền sẵn tỉnh của đơn vị — Hà Nội với cbnv_hn (vẫn đổi được); cbnv_tw để trống. SRS BR-AUTH-08: BN/ĐP đều scope theo tỉnh đơn vị (dòng 416/460).
❌ FAIL nếu: cán bộ ĐP/BN gắn tỉnh vẫn để trống (không prefill).
⚠️ TW để trống KHÔNG tính FAIL (đúng thiết kế).
Kiểm phụ (tùy chọn — backend dòng 292): cbnv_hn để trống Tỉnh rồi Lưu → mở chi tiết DN phải thấy Tỉnh = "Hà Nội" (BE tự gán). Chạy khi cần, dọn data test sau.
Ảnh lỗi cũ (Hà Nội vẫn trống): image/QLDNDHTPL_13-tinh-khong-default-hanoi.png</t>
  </si>
  <si>
    <t>QLDNDHTPL_14</t>
  </si>
  <si>
    <t>VVDHT_01</t>
  </si>
  <si>
    <t>Tổng hợp các vụ việc đang hỗ trợ</t>
  </si>
  <si>
    <t>"Hủy" khi có thay đổi chưa lưu</t>
  </si>
  <si>
    <t>Cung cấp chỉ số về số lượng vụ việc đang trong quá trình phân công hoặc đang được chuyên gia thực hiện hỗ trợ.</t>
  </si>
  <si>
    <t>1. Chọn menu "Doanh nghiệp"
2. Bấm nút Thêm mới
3. Dữ liệu hợp lệ và nhấn Hủy</t>
  </si>
  <si>
    <t>Hệ thống yêu cầu xác nhận trước khi quay về màn hình Danh sách Doanh nghiệp.</t>
  </si>
  <si>
    <t>Hệ thống không yêu cầu xác nhận</t>
  </si>
  <si>
    <t>VVDHT_01.png</t>
  </si>
  <si>
    <r>
      <rPr>
        <rFont val="Times New Roman"/>
        <color rgb="FF1155CC"/>
        <sz val="12.0"/>
        <u/>
      </rPr>
      <t>QLDNDHTPL_13.webm</t>
    </r>
  </si>
  <si>
    <t>QLLKHDTBD_06</t>
  </si>
  <si>
    <t>1. Chọn menu "Đào tạo, tập huấn" -&gt; "Kế hoạch đào tạo"
2. Nhấn Thêm mới
3. Nhập thông tin hợp lệ và nhấn Lưu</t>
  </si>
  <si>
    <t>✅ Bug ĐÚNG – chuyển dev.
- Trên form Thêm mới, nhập Tên DN (form dirty) rồi bấm "Hủy": hệ thống điều hướng thẳng về Danh sách, KHÔNG hiển thị hộp xác nhận.
- Kiểm bằng MutationObserver + hook window.confirm: modalSeen=[], nativeConfirm=false, URL nhảy /danh-sach ngay (input thật qua trình duyệt).
- Theo SRS SCR-V.III-03 dòng 597: nút "Hủy" phải "Xác nhận nếu có thay đổi" trước khi quay về Danh sách (SCR-V.III-01).
- Verify: CB_NV_TW, input thật (form dirty).
- Bug ID: BUG-QLDNDHTPL_14.</t>
  </si>
  <si>
    <t>Hợp lệ, hệ thống lưu bản ghi ở trạng thái "Nháp" và hiển thị thông báo "Đã tạo kế hoạch đào tạo".</t>
  </si>
  <si>
    <t>Hệ thống hiển thị thông báo lỗi: Lỗi hệ thống, vui lòng thử lại sau.</t>
  </si>
  <si>
    <r>
      <rPr>
        <rFont val="Times New Roman"/>
        <color rgb="FF1155CC"/>
        <sz val="13.0"/>
        <u/>
      </rPr>
      <t>QLLKHDTBD_06.webm</t>
    </r>
  </si>
  <si>
    <t>QLDNDHTPL_17</t>
  </si>
  <si>
    <t>VVDHT_03</t>
  </si>
  <si>
    <t>1. Chọn menu "Doanh nghiệp"
2. Bấm vào tiêu đề cột cần sắp xếp</t>
  </si>
  <si>
    <t xml:space="preserve">- Hệ thống sắp xếp danh sách theo cột đó, luân phiên tăng dần / giảm dần qua mỗi lần bấm.
</t>
  </si>
  <si>
    <t>Click Vụ việc đang xử lý</t>
  </si>
  <si>
    <t>- Tạo mới Kế hoạch đào tạo: nếu có NHẬP "Ngân sách dự kiến" thì lưu được (thành công).
- Nhưng nếu ĐỂ TRỐNG "Ngân sách dự kiến" (trường này không bắt buộc nhập) → hệ thống báo "Lỗi hệ thống, vui lòng thử lại sau." và không tạo được kế hoạch.
- Đề nghị: cho phép tạo kế hoạch khi bỏ trống Ngân sách, đúng như trường không bắt buộc (FR-III-14 / UC33 – Thêm mới kế hoạch đào tạo).</t>
  </si>
  <si>
    <r>
      <rPr>
        <rFont val="Times New Roman"/>
        <color rgb="FF1155CC"/>
        <sz val="12.0"/>
        <u/>
      </rPr>
      <t>QLDNDHTPL_17.jpg</t>
    </r>
  </si>
  <si>
    <t xml:space="preserve">Click thẻ vụ việc đang xử lý </t>
  </si>
  <si>
    <t>PDKQDTTH_01</t>
  </si>
  <si>
    <t>Mở DS Vụ việc đang xử lý</t>
  </si>
  <si>
    <t>KHTHCTHTPLDN_02</t>
  </si>
  <si>
    <t>Phê duyệt kết quả đào tạo bồi dưỡng</t>
  </si>
  <si>
    <t>Cán  bộ 
 TW,BN,ĐP</t>
  </si>
  <si>
    <t>VVDHT_02.png</t>
  </si>
  <si>
    <t>CB Phê duyệt xem xét và phê duyệt kết quả đào tạo bồi dưỡng.</t>
  </si>
  <si>
    <t>1. Đăng nhập tài khoản
2. Khóa học ở trạng thái "Chờ duyệt kết quả" và Cán bộ phê duyệt thuộc cùng đơn vị với người tổ chức.</t>
  </si>
  <si>
    <t>1. Chọn menu "Đào tạo, tập huấn" -&gt; "Khóa học"
2. Nhấn xem chi tiết khóa học
3. Bấm nút "Phê duyệt"</t>
  </si>
  <si>
    <t xml:space="preserve">- Hệ thống hiển thị thông báo "Đã phê duyệt kết quả đào tạo".
+ Kiểm tra đã có đầy đủ dữ liệu kết quả đào tạo.
+ Cập nhật trạng thái khóa học: "Chờ duyệt kết quả" → "Hoàn thành".
+ Ghi thời điểm phê duyệt và người phê duyệt.
+ Gửi thông báo cho Cán bộ nghiệp vụ.
+ Lưu vết thao tác theo quy định.
</t>
  </si>
  <si>
    <t>Cán bộ nghiệp vụ không nhận được thông báo</t>
  </si>
  <si>
    <t xml:space="preserve"> PDKQDTBD_01.webm</t>
  </si>
  <si>
    <t xml:space="preserve">1. Chọn menu "CT HTPLDN"
</t>
  </si>
  <si>
    <t>❌ Không phải lỗi (BA xác nhận 23/07/2026).
- BA chốt: phần mềm đúng SRS — SCR-V.III-01 dòng 448 (và quy ước DG-06) chỉ yêu cầu "Sắp xếp mặc định: ngày cập nhật mới nhất trước"; bảng thành phần cột (dòng 436-443) không định nghĩa hành vi sắp-xếp-khi-click. Web đã có sắp xếp mặc định.
- Click tiêu đề cột để sắp xếp tăng/giảm là chức năng ngoài đặc tả → ghi nhận vào danh mục yêu cầu cải tiến để BA/CĐT cân nhắc bổ sung.
- Đối tác cập nhật lại Kết quả mong đợi của test case cho khớp phạm vi SRS.</t>
  </si>
  <si>
    <t>- Không có trường thông tin tìm kiếm theo Đơn vị, Trạng thái</t>
  </si>
  <si>
    <r>
      <rPr>
        <rFont val="Times New Roman"/>
        <color rgb="FF1155CC"/>
        <sz val="12.0"/>
        <u/>
      </rPr>
      <t>KHTHCTHTPLDN_02.jpg</t>
    </r>
  </si>
  <si>
    <t>✅ Bug ĐÚNG – chuyển dev.
• Đã dựng đúng luồng: CB Nghiệp vụ trình duyệt kết quả một khóa học (khóa chuyển "Chờ duyệt kết quả"), sau đó CB Phê duyệt bấm "Duyệt KQ" → khóa chuyển "Hoàn thành" thành công.
• Nhưng CB Nghiệp vụ KHÔNG nhận được thông báo về việc kết quả đã được phê duyệt: kiểm tra chuông + danh sách thông báo của CB NV, không có thông báo nào cho khóa vừa được duyệt.
• Hệ thống thông báo cho CB NV vẫn hoạt động (vẫn nhận thông báo đăng ký khóa học khác) → chỉ thiếu riêng thông báo "phê duyệt kết quả đào tạo".
• Theo SRS FR-III-18 (UC37) §Processing + Postconditions (srs-fr-03 dòng 1261, 1265): sau khi phê duyệt, hệ thống phải "Thông báo CB NV" / "CB NV nhận thông báo".
• Verify: trình duyệt KQ bằng CB_NV_TW, duyệt bằng CB_PD_TW, kiểm thông báo bằng CB_NV_TW. Bug ID: BUG-PDKQDTTH_01.</t>
  </si>
  <si>
    <t>QLDNDHTPL_21</t>
  </si>
  <si>
    <t>VVDHT_04</t>
  </si>
  <si>
    <t>PDKQDTTH_05</t>
  </si>
  <si>
    <t>Từ chối kết quả</t>
  </si>
  <si>
    <t>1. Đăng nhập tài khoản 
2. Tồn tại doanh nghiệp</t>
  </si>
  <si>
    <t>1. Đăng nhập tài khoản 
2. Khóa học ở trạng thái "Chờ duyệt kết quả" và Cán bộ phê duyệt thuộc cùng đơn vị với người tổ chức.</t>
  </si>
  <si>
    <t>1. Chọn menu "Đào tạo, tập huấn" -&gt; "Khóa học"
2. Nhấn xem chi tiết khóa học
3. Bấm nút "Từ chối"
4. Nhập lý do hợp lệ và xác nhận</t>
  </si>
  <si>
    <t>1. Chọn menu "Doanh nghiệp"
2. Bấm nút Xem</t>
  </si>
  <si>
    <t xml:space="preserve">- Tại bước 3: Hệ thống mở hộp thoại yêu cầu nhập lý do từ chối
- Tại bước 4:
+ Cập nhật trạng thái khóa học: "Chờ duyệt kết quả" → "Đã kết thúc" kèm lý do từ chối.
+ Gửi thông báo cho Cán bộ nghiệp vụ kèm lý do để rà soát, bổ sung.
+ Lưu vết thao tác theo quy định.
- Hệ thống hiển thị thông báo "Đã từ chối kết quả đào tạo".
</t>
  </si>
  <si>
    <t>- Hệ thống mở màn hình Chi tiết doanh nghiệp tương ứng
- Không được phép sửa</t>
  </si>
  <si>
    <t>VVDHT_04.png</t>
  </si>
  <si>
    <t>Hệ thống cho phép chỉnh sửa ở màn hình xem chi tiết</t>
  </si>
  <si>
    <t xml:space="preserve"> PDKQDTBD_05.webm</t>
  </si>
  <si>
    <r>
      <rPr>
        <rFont val="Times New Roman"/>
        <color rgb="FF1155CC"/>
        <sz val="12.0"/>
        <u/>
      </rPr>
      <t>QLDNDHTPL_21.jpg</t>
    </r>
  </si>
  <si>
    <t>KHTHCTHTPLDN_03</t>
  </si>
  <si>
    <t>Bảng danh sách chương trình</t>
  </si>
  <si>
    <t>✅ Bug ĐÚNG – chuyển dev.
• Cùng nguyên nhân với BUG-PDKQDTTH_01: hệ thống không gửi thông báo cho CB Nghiệp vụ khi CB Phê duyệt xử lý kết quả đào tạo (áp dụng cho cả phê duyệt lẫn từ chối).
• Đã kiểm tra cơ chế thông báo quyết định kết quả đào tạo tới CB NV: sau khi CB PD xử lý kết quả, danh sách + chuông thông báo của CB NV không phát sinh thông báo nào về quyết định kết quả (dù hệ thống vẫn gửi được các loại thông báo khác cho CB NV).
• Theo SRS FR-III-18 (UC37) §Processing + Postconditions (srs-fr-03 dòng 1261, 1265): khi từ chối kết quả (khóa về "Đã kết thúc"), hệ thống phải gửi thông báo cho CB NV kèm lý do — "CB NV nhận thông báo".
• Verify: cơ chế thông báo kết quả kiểm bằng CB_PD_TW + CB_NV_TW. Bug ID: BUG-PDKQDTTH_05.</t>
  </si>
  <si>
    <t>✅ Bug ĐÚNG – chuyển dev.
- Web hiện tại: màn "Xem chi tiết doanh nghiệp" (mở bằng nút Xem, URL /doanh-nghiep/{id}) hiển thị toàn bộ trường dưới dạng ô nhập chỉnh sửa được (21/23 ô nhập được, 5 dropdown mở được, có nút Hủy/Lưu, không có chế độ chỉ đọc) → cho phép sửa ngay tại màn Xem.
- Theo SRS FR-V.III-01 (UC81) màn SCR-V.III-02: URL /doanh-nghiep/:id là "xem chi tiết" (chỉ hiển thị), URL /doanh-nghiep/:id/sua mới là "chỉnh sửa" (srs-fr-07-doanh-nghiep.md:459); danh sách có 2 hành động riêng Xem / Sửa (dòng 443); AC "CB NV xem chi tiết → hiển thị hồ sơ" (dòng 196). Vậy màn Xem phải ở chế độ chỉ đọc, muốn sửa phải qua chức năng Sửa.
- Kiểm chứng: URL /:id và /:id/sua render form editable giống hệt nhau → hệ thống không có màn Xem chỉ đọc.
- Verify bằng tài khoản cbnv_tw (CB_NV_TW), DN-SEED-0001. Bug ID BUG-QLDNDHTPL_21.</t>
  </si>
  <si>
    <t>CBKQDTBD_01</t>
  </si>
  <si>
    <t>Công bố kết quả đào tạo bồi dưỡng</t>
  </si>
  <si>
    <t>- SRS yêu cầu có cột "Đợt báo cáo"-Liên kết nhanh mở màn hình "Đợt báo cáo định kỳ" độc lập nhưng bảng danh sách không có cột thông tin trên mà hiển thị cột "Số đợt BC"</t>
  </si>
  <si>
    <t>Cung cấp chức năng công bố kết quả, cập nhật kết quả vào tài khoản của học viên.</t>
  </si>
  <si>
    <r>
      <rPr>
        <rFont val="Times New Roman"/>
        <color rgb="FF1155CC"/>
        <sz val="12.0"/>
        <u/>
      </rPr>
      <t>KHTHCTHTPLDN_03.jpg</t>
    </r>
  </si>
  <si>
    <t>1. Đăng nhập tài khoản 
2. Khóa học ở trạng thái "Hoàn thành".</t>
  </si>
  <si>
    <t>1. Chọn menu "Đào tạo, tập huấn" -&gt; "Khóa học"
2. Nhấn xem chi tiết khóa học
3. Chọn danh sách học viên và bấm nút "Công bố và sinh chứng nhận"</t>
  </si>
  <si>
    <t xml:space="preserve">- Hệ thống hiển thị thông báo "Đã phát hành chứng nhận cho {số lượng} học viên".
+ Kiểm tra các học viên được chọn có kết quả "Đạt".
+ Tự sinh số chứng nhận cho từng học viên theo định dạng chuẩn.
+ Sinh tệp chứng nhận điện tử (PDF có ký số) cho từng học viên theo hình thức tạo hàng loạt.
+ Lưu tệp vào hệ thống và liên kết với bản ghi học viên.
+ Lưu vết thao tác theo quy định.
</t>
  </si>
  <si>
    <t>Màn hình không có chức năng</t>
  </si>
  <si>
    <t xml:space="preserve"> CBKQDTBD_01.webm</t>
  </si>
  <si>
    <t>QLDNDHTPL_23</t>
  </si>
  <si>
    <t>VVDHTHT_01</t>
  </si>
  <si>
    <t>Tổng hợp các vụ việc đã hoàn thành hỗ trợ</t>
  </si>
  <si>
    <t>Kiểm tra hiển thị Nhóm 1 — Thông tin doanh nghiệp (thẻ "Thông tin cơ bản")</t>
  </si>
  <si>
    <t>Cung cấp chỉ số tổng số vụ việc đã được xử lý xong và đóng hồ sơ.</t>
  </si>
  <si>
    <t>1. Chọn menu "Doanh nghiệp"
2. Bấm nút Xem
3. Chọn nhóm 1</t>
  </si>
  <si>
    <t xml:space="preserve">- Hệ thống hiển thị các trường thông tin giống với thiết kế
- Dữ liệu hiển thị đúng định dạng và trường thông tin
- Dữ liệu hiển thị không bị tràn/đè lên nhau, đồng nhất ngôn ngữ hiển thị
</t>
  </si>
  <si>
    <t>Hệ thống hiển thị các trường thông tin Nhóm 1 không giống với thiết kế</t>
  </si>
  <si>
    <r>
      <rPr>
        <rFont val="Times New Roman"/>
        <color rgb="FF1155CC"/>
        <sz val="12.0"/>
        <u/>
      </rPr>
      <t>QLDNDHTPL_23.webm</t>
    </r>
  </si>
  <si>
    <t>❌ BA chốt: KHÔNG phải lỗi — không cấp chứng nhận PDF là chủ đích.
- FR-III-19 chọn Hướng B "không cấp chứng nhận PDF" (srs-fr-03:1278), duyệt 06/05/2026. Lý do pháp lý: NĐ55/2019 không trao thẩm quyền cấp chứng nhận đào tạo cho phần mềm; PDF tự sinh dễ bị hiểu nhầm là chứng nhận chính thức (:1280).
- Chức năng công bố kết quả ĐÃ CÓ ở tab "Kết quả" (công bố / hủy công bố + xuất DOCX) — phần mềm làm đúng phạm vi.
- Nếu muốn khôi phục cấp chứng nhận → là mở rộng phạm vi có RỦI RO PHÁP LÝ, cần quy chế nội bộ Bộ Tư pháp trước khi làm; trao đổi BA.</t>
  </si>
  <si>
    <t>VVDHTHT_01.png</t>
  </si>
  <si>
    <t>KHTHCTHTPLDN_07</t>
  </si>
  <si>
    <t>QLTVV_02</t>
  </si>
  <si>
    <t>❌ Không phải lỗi (BA xác nhận 24/07/2026).
- BA chốt: màn Chi tiết DN (SCR-V.III-02 / FR-V.III-01 / UC81) được đặc tả theo DANH SÁCH TRƯỜNG PHẲNG 30 dòng thành phần (srs-fr-07-doanh-nghiep.md:464-495), KHÔNG quy định bố cục "6 Nhóm". Web gom 4 khối (Thông tin chung / Thông tin liên hệ / Thông tin lao động &amp; tài chính / Thông tin khác) và đã hiển thị ĐỦ các trường thông tin cơ bản, đúng định dạng, không tràn/đè, ngôn ngữ đồng nhất — đạt cả 3 tiêu chí Kết quả mong đợi của test case.
- Cách gom "Nhóm" trong đặc tả CHỈ tồn tại ở màn Thêm mới DN SCR-V.III-03 (Nhóm A :552 / Nhóm B :562 / Nhóm C :572) — là màn khác, không áp cho màn Chi tiết. Bố cục "6 Nhóm" thuộc bản thiết kế riêng của đối tác (HTPLDN-PTYC-CT-v2.0), không phải chuẩn để chấm kiểm thử; hai cách gom nhóm đều hợp lệ và không chặn luồng nghiệp vụ.
- Đề nghị đối tác đưa yêu cầu bố cục "6 Nhóm" ở màn Chi tiết DN vào danh sách yêu cầu cải tiến, và cập nhật lại Kết quả mong đợi của test case theo tài liệu nghiệp vụ được giao (danh sách phẳng).</t>
  </si>
  <si>
    <t>Xuất tệp danh sách</t>
  </si>
  <si>
    <t>1. Chọn menu "Mạng lướt tư vấn viên" -&gt; "Tư vấn viên/Chuyên gia"</t>
  </si>
  <si>
    <t>- Hệ thống hiển thị bảng danh sách giống với thiết kế
- Dữ liệu hiển thị đúng định dạng và trường thông tin
- Mặc định: hệ thống sắp xếp theo ngày công nhận mới nhất trước, 20 bản ghi mỗi trang
- Dữ liệu hiển thị không bị tràn/đè lên nhau, đồng nhất ngôn ngữ hiển thị</t>
  </si>
  <si>
    <t>- Trường thông tin Điểm đánh giá hiển thị không giống với thiết kế
- Trường thông tin Loại viết tắt
- Hệ thống không mặc định sắp xếp theo ngày công nhận mới nhất</t>
  </si>
  <si>
    <r>
      <rPr>
        <rFont val="Times New Roman"/>
        <color rgb="FF1155CC"/>
        <sz val="12.0"/>
        <u/>
      </rPr>
      <t>QLTVV_02.webm</t>
    </r>
  </si>
  <si>
    <t>QLDNDHTPL_24</t>
  </si>
  <si>
    <t>1. Chọn menu "CT HTPLDN"
2. Nhập/chọn tiêu chí lọc
3. Nhấn "Xuất tệp danh sách"</t>
  </si>
  <si>
    <t>- Áp điều kiện lọc hiện tại (từ khóa, đơn vị, trạng thái, khoảng ngày) và truy vấn danh sách chương trình.
+ Tạo tệp Excel (.xlsx) gồm các cột: Mã chương trình, Tên chương trình, Mục tiêu, Đối tượng, Thời gian bắt đầu – kết thúc, Ngân sách, Đơn vị, Trạng thái, Số đợt báo cáo.
+ Đặt tên tệp DanhSachChuongTrinh_{YYYYMMDD_HHmm}.xlsx.
- Hệ thống xuất toàn bộ và tự động tải tệp về máy.</t>
  </si>
  <si>
    <t>Kiểm tra hiển thị Nhóm 2 — Người đại diện</t>
  </si>
  <si>
    <t>Tên tệp không giống với thiết kế</t>
  </si>
  <si>
    <t>1. Chọn menu "Doanh nghiệp"
2. Bấm nút Xem
3. Chọn nhóm 2</t>
  </si>
  <si>
    <r>
      <rPr>
        <rFont val="Times New Roman"/>
        <color rgb="FF1155CC"/>
        <sz val="12.0"/>
        <u/>
      </rPr>
      <t>KHTHCTHTPLDN_07.jpg</t>
    </r>
  </si>
  <si>
    <t>Hệ thống hiển thị các trường thông tin Nhóm 2 không giống với thiết kế</t>
  </si>
  <si>
    <r>
      <rPr>
        <rFont val="Times New Roman"/>
        <color rgb="FF1155CC"/>
        <sz val="12.0"/>
        <u/>
      </rPr>
      <t>QLDNDHTPL_24.webm</t>
    </r>
  </si>
  <si>
    <t>✅ Bug ĐÚNG – chuyển dev (2/3 ý là lỗi hiển thị; ý sắp xếp mặc định không tính lỗi).
- Cột "Loại": web hiển thị mã viết tắt "TVV"/"CG" thay vì nhãn đầy đủ. Theo SRS §3.0 (bảng ánh xạ Loại) và SCR-IV-01 (FR-IV-01/UC39), phải hiển thị "Tư vấn viên"/"Chuyên gia" — không hiển thị mã enum cho người dùng cuối.
- Cột "Điểm đánh giá": chưa có đánh giá thì chỉ hiển thị "—"; khi có đánh giá lại hiển thị số thô theo thang /10 kèm 1 sao (evidence đối tác: TVV "TVV R11 Verify Mail Fix" hiện "8.3"). Theo thiết kế/SCR-IV-01 phải theo thang "x.x/5" + 5 sao, và "—/5" khi chưa có đánh giá.
- Ý "không sắp xếp mặc định theo ngày công nhận mới nhất": SRS/thiết kế không quy định thứ tự sắp xếp mặc định cho danh sách này nên không tính là lỗi. Nếu muốn cố định thứ tự này, cần BA bổ sung đặc tả.
- Verify: đăng nhập CB_NV_TW (cbnv_tw) → Mạng lưới Tư vấn viên → Tư vấn viên/Chuyên gia; tái hiện "Loại=TVV". (Điểm ĐG: env được giao chưa có TVV nào có đánh giá nên hiện "—"; thang /10 lấy theo evidence đối tác.)
- Tham chiếu SRS: srs-fr-04-chuyen-gia-tvv §3.0 (dòng 1337, 1379-1384) + SCR-IV-01 (dòng 1442, 1445). Bug ID: BUG-QLTVV_02.</t>
  </si>
  <si>
    <t>- Dữ liệu cột Điểm ĐG bị tràn/đè lên cột Trạng thái
- Dữ liệu cột Điểm ĐG hiển thị không đồng nhất: chưa có điểm hiển thị "-/5" nhưng có điểm hiển thị số sao
- Các nút thao tác Xem, Sửa bị xuống dòng.</t>
  </si>
  <si>
    <t>QLTVV_02_v2.png</t>
  </si>
  <si>
    <t>❌ Không phải lỗi (BA xác nhận 24/07/2026).
- BA chốt: hai trường của Nhóm 2 theo thiết kế đối tác — "Người đại diện" (nguoi_dai_dien, srs-fr-07-doanh-nghiep.md:483) và "Chức vụ ĐD" (chuc_vu_dai_dien, :484) — đều được đặc tả nằm TRONG danh sách trường phẳng của màn Chi tiết DN, KHÔNG tách thành khối "Người đại diện" riêng. Web đang hiển thị đủ 2 trường này trong khối chung, đúng định dạng → không thiếu trường.
- Việc tách riêng một khối "Người đại diện" chỉ là cách trình bày theo thiết kế riêng của đối tác (HTPLDN-PTYC-CT-v2.0), không ràng buộc luồng nghiệp vụ và không được tài liệu nghiệp vụ yêu cầu.
- Đề nghị đối tác đưa yêu cầu tách khối "Người đại diện" vào danh sách yêu cầu cải tiến, và cập nhật Kết quả mong đợi của test case cho khớp phạm vi đặc tả.</t>
  </si>
  <si>
    <t>QLTVV_04</t>
  </si>
  <si>
    <t>1. Chọn menu "Mạng lướt tư vấn viên" -&gt; "Tư vấn viên/Chuyên gia"
2. Bấm nút "Xem" trên dòng tư vấn viên</t>
  </si>
  <si>
    <t>Hệ thống mở màn hình Hồ sơ chi tiết tư vấn viên hiển thị đầy đủ thông tin trong 5 thẻ: Hồ sơ, Thẩm định, Năng lực, Lịch sử hỗ trợ, Đánh giá</t>
  </si>
  <si>
    <t>- Khu vực thông tin đầu trang (thẻ giới thiệu tư vấn viên): hiển thị thiếu thông tin Loại, Tổ chức tư vấn, Lĩnh vực pháp luật và Điểm đánh giá trung bình không đúng với thiết kế
- Nhóm 2  Thông tin nghề nghiệp: hiển thị thiếu thông tin Mô tả kinh nghiệm, Chứng chỉ hành nghề
- Thiếu Nhóm 4  Lĩnh vực pháp luật</t>
  </si>
  <si>
    <r>
      <rPr>
        <rFont val="Times New Roman"/>
        <color rgb="FF1155CC"/>
        <sz val="13.0"/>
        <u/>
      </rPr>
      <t>QLTVV_04.webm</t>
    </r>
  </si>
  <si>
    <t>QLDNDHTPL_25</t>
  </si>
  <si>
    <t>Kiểm tra hiển thị Nhóm 3 — Tiêu chí ưu tiên theo Nghị định 55/2019/NĐ-CP Điều 4</t>
  </si>
  <si>
    <t>1. Chọn menu "Doanh nghiệp"
2. Bấm nút Xem
3. Chọn nhóm 3</t>
  </si>
  <si>
    <t>VVDHTHT_02</t>
  </si>
  <si>
    <t>Hệ thống hiển thị các trường thông tin theo tài liệu yêu cầu phải hiển thị ở Nhóm 1: Số lao động, Doanh thu (VNĐ), Tổng nguồn vốn (VNĐ)</t>
  </si>
  <si>
    <r>
      <rPr>
        <rFont val="Times New Roman"/>
        <color rgb="FF1155CC"/>
        <sz val="12.0"/>
        <u/>
      </rPr>
      <t>QLDNDHTPL_25.jpg</t>
    </r>
  </si>
  <si>
    <t>✅ Bug ĐÚNG – chuyển dev.
- Màn Chi tiết TVV, tab "Hồ sơ", nhóm "Nghề nghiệp": web thiếu 2 trường "Chứng chỉ hành nghề" và "Mô tả kinh nghiệm" (kèm "Chức vụ", "Nơi công tác"). Theo SRS SCR-IV-03 tab "Hồ sơ" nhóm Nghề nghiệp (FR-IV-05/UC43), phải hiển thị: chức vụ, nơi công tác, trình độ, chứng chỉ hành nghề, số thẻ, mô tả kinh nghiệm. Các field rỗng khác vẫn hiện "—" nên 2 trường trên là thiếu hẳn khỏi giao diện.
- Nhóm "Thông tin cá nhân": thiếu "Loại" (Tư vấn viên/Chuyên gia) và "Đơn vị quản lý" theo SRS.
- Điểm đánh giá TB ở đầu trang: evidence đối tác hiển thị thang /10 (8.3/10), trong khi SRS quy định thang /5 (vd x.x/5). Đề nghị dev kiểm cùng — env được giao chưa có TVV nào có đánh giá để tái hiện số cụ thể.
- Làm rõ: "Lĩnh vực pháp luật" và "Tổ chức" KHÔNG thiếu — web có hiển thị (Lĩnh vực nằm trong nhóm "Tổ chức &amp; Mạng lưới"). Header không hiển thị Loại/Tổ chức/Lĩnh vực là do SRS đặc tả các trường này ở tab Hồ sơ, không ở thẻ header.
- Verify: đăng nhập CB_NV_TW (cbnv_tw), mở Chi tiết 1 TVV (vd TVV-SEED-0001) → nhóm Nghề nghiệp không có dòng Chứng chỉ hành nghề/Mô tả kinh nghiệm.
- Tham chiếu SRS: srs-fr-04-chuyen-gia-tvv SCR-IV-03 (dòng 1541, 1554) + FR-IV-01 Outputs (dòng 188). Bug ID: BUG-QLTVV_04.</t>
  </si>
  <si>
    <t>Click Vụ việc hoàn thành</t>
  </si>
  <si>
    <t>QLTVV_07</t>
  </si>
  <si>
    <t>KHTHCTHTPLDN_08</t>
  </si>
  <si>
    <t>Click thẻ Vụ việc hoàn thành</t>
  </si>
  <si>
    <t>Mở DS Vụ việc hoàn thành</t>
  </si>
  <si>
    <t>1. Chọn menu "Mạng lướt tư vấn viên" -&gt; "Tư vấn viên/Chuyên gia"
2. Bấm vào tiêu đề cột cần sắp xếp</t>
  </si>
  <si>
    <t xml:space="preserve">- Hệ thống sắp xếp danh sách theo cột đó, luân phiên tăng dần / giảm dần qua mỗi lần bấm.
</t>
  </si>
  <si>
    <t>❌ Không phải lỗi (BA xác nhận 24/07/2026).
- BA chốt ý 1 (3 tiêu chí ưu tiên NĐ55/2019 Điều 4 — đúng tên Nhóm 3 của test case): cả 3 trường "Phụ nữ làm chủ" (la_nu_lam_chu), "Số LĐ nữ" (so_lao_dong_nu), "Số LĐ khuyết tật" (so_lao_dong_khuyet_tat) đều được đặc tả trong danh sách trường phẳng của màn Chi tiết DN (srs-fr-07-doanh-nghiep.md:488-490) và web đang hiển thị đủ. Nghị định 55/2019/NĐ-CP Điều 4 Khoản 4 chỉ yêu cầu 3 tiêu chí này HIỂN THỊ ĐỦ và đọc được để cán bộ nhận diện doanh nghiệp thuộc diện ưu tiên, KHÔNG bắt gom thành một khối riêng.
- BA chốt ý 2 (đúng phần Kết quả thực tế đối tác ghi — muốn Số lao động / Doanh thu (VNĐ) / Tổng nguồn vốn (VNĐ) nằm ở Nhóm 1): cả 3 trường này cũng có đủ trong đặc tả phẳng (so_lao_dong :480, doanh_thu_nam :481, tong_nguon_von :482) và web đang hiển thị đủ, chỉ khác chỗ gom — web đặt trong khối "Thông tin lao động &amp; tài chính". Đặc tả màn Chi tiết KHÔNG quy định trường nào thuộc nhóm nào, nên vị trí gom nhóm không phải căn cứ để kết luận lỗi.
- Cả hai ý đều là cách trình bày theo thiết kế riêng của đối tác (HTPLDN-PTYC-CT-v2.0). Đề nghị đối tác đưa vào danh sách yêu cầu cải tiến và cập nhật Kết quả mong đợi của test case theo đặc tả được giao.</t>
  </si>
  <si>
    <t>Không thực hiện sắp xếp khi bấm vào tiêu đề cột</t>
  </si>
  <si>
    <t>Hành động nhanh trên dòng</t>
  </si>
  <si>
    <r>
      <rPr>
        <rFont val="Times New Roman"/>
        <color rgb="FF1155CC"/>
        <sz val="13.0"/>
        <u/>
      </rPr>
      <t>QLTVV_07.webm</t>
    </r>
  </si>
  <si>
    <t>VVDHTHT_02.png</t>
  </si>
  <si>
    <t>1. Chọn menu "CT HTPLDN"</t>
  </si>
  <si>
    <t xml:space="preserve">- Khi chương trình ở trạng thái "Đang thực hiện": hiển thị nút "Tạm dừng". 
- Khi chương trình ở trạng thái "Đã duyệt" hoặc "Đã công bố": hiển thị nút "Kích hoạt".
- Khi chương trình ở trạng thái "Dự thảo": hiển thị nút "Sửa". </t>
  </si>
  <si>
    <t>QLDNDHTPL_26</t>
  </si>
  <si>
    <t xml:space="preserve">- Khi chương trình ở trạng thái "Đang thực hiện": KHÔNG hiển thị nút "Tạm dừng". 
- Khi chương trình ở trạng thái "Đã duyệt" hoặc "Đã công bố": KHÔNG hiển thị nút "Kích hoạt".
- Khi chương trình ở trạng thái "Dự thảo": KHÔNG hiển thị nút "Sửa". </t>
  </si>
  <si>
    <r>
      <rPr>
        <rFont val="Times New Roman"/>
        <color rgb="FF1155CC"/>
        <sz val="12.0"/>
        <u/>
      </rPr>
      <t>KHTHCTHTPLDN_08.jpg</t>
    </r>
  </si>
  <si>
    <t>❌ BA chốt 15/07/2026: KHÔNG phải lỗi — phần mềm đúng SRS.
- Màn danh sách TVV (FR-IV-02) và mẫu danh sách chung P-01 (srs-v3.5.md:681) không quy định sắp xếp theo cột — chỉ lọc + phân trang. Hệ thống đáp ứng đúng SRS. (Chốt chung với TKGVTG_07 và TKTVV_08.)
- Nếu cần sắp xếp theo cột → là yêu cầu cải tiến, trao đổi BA. Đề nghị cập nhật lại Kết quả mong đợi của test case.</t>
  </si>
  <si>
    <t>Kiểm tra hiển thị Nhóm 4 — Thông tin khác</t>
  </si>
  <si>
    <t>1. Chọn menu "Doanh nghiệp"
2. Bấm nút Xem
3. Chọn nhóm 4</t>
  </si>
  <si>
    <t>QLTVV_10</t>
  </si>
  <si>
    <t>Hệ thống hiển thị các trường thông tin Nhóm 4 không giống với thiết kế</t>
  </si>
  <si>
    <t>Xuất Excel theo Phụ lục 1  Quyết định 1322/QĐ-BTP khi không áp dụng điều kiện lọc</t>
  </si>
  <si>
    <r>
      <rPr>
        <rFont val="Times New Roman"/>
        <color rgb="FF1155CC"/>
        <sz val="12.0"/>
        <u/>
      </rPr>
      <t>QLDNDHTPL_26.jpg</t>
    </r>
  </si>
  <si>
    <t>1. Đăng nhập tài khoản
2. Danh sách có số lượng bản ghi nhỏ hơn 10.000</t>
  </si>
  <si>
    <t>1. Chọn menu "Mạng lướt tư vấn viên" -&gt; "Tư vấn viên/Chuyên gia"
2. Bấm nút "Xuất Excel theo Phụ lục 1  Quyết định 1322/QĐ-Bộ Tư pháp"</t>
  </si>
  <si>
    <t>Hệ thống xuất toàn bộ danh sách tư vấn viên hiện tại ra tệp Excel (.xlsx) với 10 cột cố định theo Phụ lục 1 Quyết định 1322/QĐ-BTP ngày 01/6/2020 (Số thứ tự; Họ tên; Năm sinh; Thông tin liên hệ gồm số điện thoại, địa chỉ, thư điện tử; Chức danh / vị trí công tác; Trình độ chuyên môn và số văn bằng; Chứng chỉ kèm ngày cấp; Lĩnh vực chuyên ngành; Kinh nghiệm gồm số năm và mô tả; Ghi chú). Định dạng tệp và thứ tự cột thực hiện đúng theo mẫu "Danh sách tư vấn viên" kèm theo Quyết định 1322/QĐ-BTP do Bộ Tư pháp ban hành.</t>
  </si>
  <si>
    <t>File excel được xuất không hiển thị thông tin Ngày cấp đi kèm chứng chỉ mặc dù tồn tại dữ liệu</t>
  </si>
  <si>
    <r>
      <rPr>
        <rFont val="Times New Roman"/>
        <color rgb="FF1155CC"/>
        <sz val="13.0"/>
        <u/>
      </rPr>
      <t>QLTVV_10.webm</t>
    </r>
  </si>
  <si>
    <t>✅ Bug ĐÚNG – chuyển dev.
- File Excel xuất theo Phụ lục 1 (QĐ 1322/QĐ-BTP): cột "Chứng chỉ (tên + ngày cấp)" chỉ hiển thị mã/số thẻ, KHÔNG có ngày cấp. Theo SRS FR-IV-02 (UC40) và mẫu SCR-IV-01, cột này phải gồm cả tên chứng chỉ VÀ ngày cấp.
- Tái hiện trên env được giao: seed 1 TVV có số thẻ "STHN-QA-TEST-2243" rồi xuất Excel → cột "Chứng chỉ (tên + ngày cấp)" chỉ ra "STHN-QA-TEST-2243", không có ngày cấp (giống hệt evidence đối tác: "THE-TVV-AG-01", "STHN-2344/2243").
- Nguyên nhân gốc (để dev lưu ý): mô hình dữ liệu TVV hiện KHÔNG có trường lưu chứng chỉ kèm ngày cấp (chỉ có "số thẻ hành nghề" là 1 mã đơn) — không có nguồn dữ liệu ngày cấp để xuất. Cần bổ sung trường chứng chỉ chi tiết (tên + ngày cấp) và đưa vào file xuất.
- Verify: đăng nhập CB_NV_TW (cbnv_tw) → danh sách TVV → "Xuất Excel" (không lọc) → mở file, cột "Chứng chỉ (tên + ngày cấp)".
- Tham chiếu SRS: srs-fr-04-chuyen-gia-tvv FR-IV-02 (UC40, dòng 243) + SCR-IV-01 (dòng 1453). Bug ID: BUG-QLTVV_10.</t>
  </si>
  <si>
    <t>✅ Bug đúng (BA 24/07/2026, đã đối chiếu ảnh UAT). Dev FE/BE: khôi phục trường "File đính kèm" (file_dinh_kem) trong khối "Thông tin khác" của tab Thông tin cơ bản màn Chi tiết DN, đặt ngay sau "Ghi chú" — chế độ xem cho liệt kê/tải các file đã đính, chế độ sửa cho đính nhiều file. Căn cứ: srs-fr-07-doanh-nghiep.md:493 quy định thành phần #28 "File đính kèm" (file-upload, file_dinh_kem, "upload nhiều file") với điều kiện hiển thị "Luôn hiển thị", ngay sau #27 "Ghi chú" (:492); trường này cũng có trong bảng trường FR-V.III-01 (:118) và inputs màn Thêm mới (:285, :586). Riêng phần GOM KHỐI "Thông tin khác" thì web đã đúng đặc tả, không phải sửa. Mức Minor.
── CÁCH VERIFY sau Dev fix ──
Precondition: cbnv_tw, mở Doanh nghiệp → nút Xem một DN → /doanh-nghiep/:id, tab "Thông tin cơ bản", khối "Thông tin khác". Chuẩn bị 1 DN ĐÃ có ít nhất 1 file đính kèm (nếu chưa có: vào /doanh-nghiep/:id/sua đính 1 file PDF rồi Lưu).
1) Chế độ xem: bung khối "Thông tin khác" → đọc danh sách trường ngay dưới "Ghi chú".
2) Chế độ xem: bấm vào file đã đính → tải/mở được đúng file.
3) Chế độ sửa (/doanh-nghiep/:id/sua): tại khối "Thông tin khác" đính THÊM 2 file cùng lúc → Lưu → mở lại chi tiết.
✅ PASS khi: (a) khối "Thông tin khác" ở chế độ xem có trường file đính kèm nằm ngay sau "Ghi chú", nhãn phản ánh đúng nội dung (đặc tả ghi "File đính kèm"); (b) chế độ xem liệt kê được các file đã đính và tải về đúng file; (c) chế độ sửa nhận nhiều file trong một lần và sau khi Lưu mở lại vẫn còn đủ các file vừa đính.
❌ FAIL nếu: khối "Thông tin khác" vẫn chỉ có duy nhất "Ghi chú"; hoặc chỉ chế độ sửa có ô đính kèm còn chế độ xem không liệt kê file nào; hoặc chỉ nhận được 1 file / mất file sau khi Lưu.
⚠️ Caveat 1 — KHÔNG nhầm với tab "Hồ sơ pháp lý DN": tab đó (:467, thành phần #2) là CRUD của một thực thể khác (HO_SO_PHAP_LY_DN — Giấy phép / Hợp đồng / Giấy CN / Quyết định / Khác, kèm trạng thái Hiệu lực / Hết hạn / Thu hồi). Có hồ sơ ở tab đó KHÔNG tính là đã có trường File đính kèm ở tab Thông tin cơ bản. Nếu Dev báo trường này đã hợp nhất hẳn sang tab Hồ sơ pháp lý DN thì phải để CĐT/BA xác nhận và đồng bộ lại đặc tả (:118, :285, :493, :586) trước khi đóng testcase — không tự đóng.
⚠️ Caveat 2 — chống FAIL oan: nếu DN đem test chưa từng đính file nào thì chế độ xem hiển thị danh sách rỗng, đây KHÔNG phải FAIL. Phải đính file trước (bước Precondition) rồi mới chấm.
Ảnh lỗi cũ: QLDNDHTPL_26.jpg (ảnh UAT đối tác — cột "Ảnh/video 1"; khối "Thông tin khác" bung ra chỉ có "Ghi chú").</t>
  </si>
  <si>
    <t>QLTVV_12</t>
  </si>
  <si>
    <t>Xuất Excel theo Phụ lục 1  Quyết định 1322/QĐ-BTP khi áp dụng điều kiện lọc</t>
  </si>
  <si>
    <t>KHTHCTHTPLDN_12</t>
  </si>
  <si>
    <t>QLDNDHTPL_27</t>
  </si>
  <si>
    <t>1. Chọn menu "Mạng lướt tư vấn viên" -&gt; "Tư vấn viên/Chuyên gia"
2. Chọn tiêu chí lọc có kết quả
3. Bấm nút "Xuất Excel theo Phụ lục 1  Quyết định 1322/QĐ-Bộ Tư pháp"</t>
  </si>
  <si>
    <t>Hệ thống xuất danh sách tư vấn viên theo tiêu chí lọc hiện tại ra tệp Excel (.xlsx) với 10 cột cố định theo Phụ lục 1 Quyết định 1322/QĐ-BTP ngày 01/6/2020 (Số thứ tự; Họ tên; Năm sinh; Thông tin liên hệ gồm số điện thoại, địa chỉ, thư điện tử; Chức danh / vị trí công tác; Trình độ chuyên môn và số văn bằng; Chứng chỉ kèm ngày cấp; Lĩnh vực chuyên ngành; Kinh nghiệm gồm số năm và mô tả; Ghi chú). Định dạng tệp và thứ tự cột thực hiện đúng theo mẫu "Danh sách tư vấn viên" kèm theo Quyết định 1322/QĐ-BTP do Bộ Tư pháp ban hành.</t>
  </si>
  <si>
    <t>Kiểm tra hiển thị Nhóm 5 — Chỉ số tổng hợp (chỉ hiển thị ở chế độ xem chi tiết)</t>
  </si>
  <si>
    <r>
      <rPr>
        <rFont val="Times New Roman"/>
        <color rgb="FF1155CC"/>
        <sz val="13.0"/>
        <u/>
      </rPr>
      <t>QLTVV_12.jpg</t>
    </r>
  </si>
  <si>
    <t>Trang Chi tiết chương trình (thẻ Thông tin chương trình) - Đầu trang</t>
  </si>
  <si>
    <t>1. Đăng nhập hệ thống thành công</t>
  </si>
  <si>
    <t>1. Chọn menu "Doanh nghiệp"
2. Bấm nút Xem
3. Chọn nhóm 5</t>
  </si>
  <si>
    <t>1. Chọn menu "CT HTPLDN"
2. Nhấn Xem chi tiết</t>
  </si>
  <si>
    <t>Màn hình chi tiết không hiển thị Nhóm 5</t>
  </si>
  <si>
    <r>
      <rPr>
        <rFont val="Times New Roman"/>
        <color rgb="FF1155CC"/>
        <sz val="12.0"/>
        <u/>
      </rPr>
      <t>QLDNDHTPL_27.jpg</t>
    </r>
  </si>
  <si>
    <t>- Thanh điều hướng: Trang chủ › Chương trình hỗ trợ pháp lý doanh nghiệp › Chi tiết {Mã chương trình}.
- Tiêu đề: Hiển thị dạng "{Mã chương trình}: {Tên chương trình}" kèm nhãn trạng thái hiện tại bên phải tiêu đề.
- Thanh tiến trình: 6 bước theo máy trạng thái chương trình. Các bước đã hoàn thành có dấu tích xanh; bước đang ở có đánh dấu nổi bật; các bước sau hiển thị mờ.
- Khối thông tin nhanh: Ngân sách, Thời gian, Đơn vị thực hiện, Đối tượng</t>
  </si>
  <si>
    <t>- Thanh điều hướng thiếu thông tin {Mã chương trình}
- Tiêu đề thiếu thông tin {Tên chương trình}
- Tiến trình thứ 2 "Chờ phê duyệt", hiển thị viết tắt "Chờ PD"
- Màn hình chi tiết thiếu Khối thông tin nhanh</t>
  </si>
  <si>
    <t>VVDHTHT_03</t>
  </si>
  <si>
    <t>✅ Bug ĐÚNG – chuyển dev (cùng nguyên nhân với QLTVV_10, trường hợp có áp dụng bộ lọc).
- Khi xuất Excel Phụ lục 1 (QĐ 1322/QĐ-BTP) CÓ áp dụng bộ lọc: cột "Chứng chỉ (tên + ngày cấp)" vẫn chỉ hiển thị mã/số thẻ, KHÔNG có ngày cấp. Theo SRS FR-IV-02 (UC40) và SCR-IV-01, cột này phải gồm tên chứng chỉ + ngày cấp.
- Tái hiện trên env được giao: seed 1 TVV có số thẻ "STHN-QA-TEST-2243" → xuất Excel với bộ lọc → cột "Chứng chỉ (tên + ngày cấp)" chỉ ra "STHN-QA-TEST-2243", không ngày cấp (giống evidence đối tác: "THE-TVV-AG-01", "STHN-2344/2243").
- Nguyên nhân gốc: mô hình dữ liệu TVV không có trường chứng chỉ kèm ngày cấp (chỉ có số thẻ hành nghề) — không có nguồn ngày cấp để xuất. Trùng nguyên nhân BUG-QLTVV_10.
- Verify: đăng nhập CB_NV_TW (cbnv_tw) → danh sách TVV → chọn bộ lọc → "Xuất Excel" → mở file, cột "Chứng chỉ (tên + ngày cấp)".
- Tham chiếu SRS: srs-fr-04-chuyen-gia-tvv FR-IV-02 (UC40, dòng 243) + SCR-IV-01 (dòng 1453). Bug ID: BUG-QLTVV_12.</t>
  </si>
  <si>
    <t>KHTHCTHTPLDN_12.jpg</t>
  </si>
  <si>
    <t>QLTVV_13</t>
  </si>
  <si>
    <t>Kiểm tra nút chức năng Thêm tư vấn viên</t>
  </si>
  <si>
    <t>1. Chọn menu "Mạng lướt tư vấn viên" -&gt; "Tư vấn viên/Chuyên gia"
2. Bấm nút "+ Thêm tư vấn viên"</t>
  </si>
  <si>
    <t>Hệ thống chuyển sang màn hình "Thêm mới tư vấn viên" với các trường thông tin giống với thiết kế</t>
  </si>
  <si>
    <t>❌ Không phải lỗi (BA xác nhận 24/07/2026).
- BA chốt: tài liệu nghiệp vụ KHÔNG có mục "Chỉ số tổng hợp" ở màn Chi tiết DN — đã rà toàn bộ bảng 30 thành phần của SCR-V.III-02 (srs-fr-07-doanh-nghiep.md:464-495) và tìm toàn file, không có mục này. Chỉ số duy nhất của màn Chi tiết là 3 ô thống kê ở tab Lịch sử Hỗ trợ — Tổng VV / VV hoàn thành / Tổng chi phí (:468 và :502). Vì vậy việc web KHÔNG hiển thị mục "Chỉ số tổng hợp" là ĐÚNG đặc tả, không phải thiếu chức năng.
- Mục "Chỉ số tổng hợp" (Nhóm 5) chỉ có trong bản thiết kế riêng của đối tác (HTPLDN-PTYC-CT-v2.0), không phải chuẩn để chấm kiểm thử, và không bắt buộc cho luồng nghiệp vụ.
- Đề nghị đối tác bỏ tiêu chí "Nhóm 5 — Chỉ số tổng hợp" khỏi Kết quả mong đợi của test case; nếu vẫn muốn có mục này thì đưa vào danh sách yêu cầu cải tiến để BA/CĐT cân nhắc phạm vi.</t>
  </si>
  <si>
    <t xml:space="preserve">Hệ thống hiển thị form thêm mới thiếu trường thông tin Mô tả kinh nghiệm, Chứng chỉ hành nghề </t>
  </si>
  <si>
    <t>QLDNDHTPL_28</t>
  </si>
  <si>
    <t>✅ Bug ĐÚNG (một phần) – chuyển dev.
- Form "Thêm mới Tư vấn viên", nhóm "Nghề nghiệp": THIẾU trường "Mô tả kinh nghiệm". Theo SRS SCR-IV-02 (FR-IV-03/UC41), nhóm Thông tin nghề nghiệp phải có "Mô tả kinh nghiệm" (ô văn bản dài, tối đa 5000 ký tự). Form hiện chỉ có "Số năm kinh nghiệm" (số) và "Ghi chú" chung — không có "Mô tả kinh nghiệm".
- Ý "thiếu Chứng chỉ hành nghề": KHÔNG chính xác — form CÓ mục "Chứng chỉ chi tiết" (bảng: tên chứng chỉ + ngày cấp + nơi cấp) để nhập chứng chỉ; đây là dạng đầy đủ hơn một ô "Chứng chỉ hành nghề" đơn.
- Lưu ý: đối tác không đính kèm ảnh/video cho case này; kết luận dựa trên verify trực tiếp trên web (env được giao) đối chiếu SRS + case liên quan QLTVV_23 (form Sửa, cùng field).
- Verify: đăng nhập CB_NV_TW (cbnv_tw) → Thêm mới Tư vấn viên → mở nhóm "Nghề nghiệp".
- Tham chiếu SRS: srs-fr-04-chuyen-gia-tvv SCR-IV-02 cell 3.7 (dòng 1502). Bug ID: BUG-QLTVV_13.</t>
  </si>
  <si>
    <t>Kiểm tra hiển thị Nhóm 6 — Danh sách vụ việc liên kết (thẻ "Lịch sử hỗ trợ")</t>
  </si>
  <si>
    <t>VVDHTHT_03.png</t>
  </si>
  <si>
    <t>QLTVV_18</t>
  </si>
  <si>
    <t>1. Chọn menu "Doanh nghiệp"
2. Bấm nút Xem
3. Chọn nhóm 6</t>
  </si>
  <si>
    <t>Tệp đính kèm vượt quá số lượng</t>
  </si>
  <si>
    <t xml:space="preserve">- Hệ thống hiển thị thiếu các cột thông tin: Lĩnh vực, Tư vấn viên
</t>
  </si>
  <si>
    <t>1. Chọn menu "Mạng lướt tư vấn viên" -&gt; "Tư vấn viên/Chuyên gia"
2. Bấm nút "+ Thêm tư vấn viên"
3. Tệp đính kèm vượt quá số lượng và nhấn Lưu</t>
  </si>
  <si>
    <r>
      <rPr>
        <rFont val="Times New Roman"/>
        <color rgb="FF1155CC"/>
        <sz val="12.0"/>
        <u/>
      </rPr>
      <t>QLDNDHTPL_28.jpg</t>
    </r>
  </si>
  <si>
    <t>Hệ thống hiển thị thông báo "Tệp vượt quá dung lượng/số lượng cho phép hoặc sai định dạng".</t>
  </si>
  <si>
    <t>Hệ thống không hiển thị thông báo lỗi</t>
  </si>
  <si>
    <r>
      <rPr>
        <rFont val="Times New Roman"/>
        <color rgb="FF1155CC"/>
        <sz val="13.0"/>
        <u/>
      </rPr>
      <t>QLTVV_18.webm</t>
    </r>
  </si>
  <si>
    <t>TKKHCTHTPL_01</t>
  </si>
  <si>
    <t>Tìm kiếm kế hoạch thực hiện chương trình hỗ trợ pháp lý</t>
  </si>
  <si>
    <t>❌ Không phải lỗi (BA xác nhận 24/07/2026).
- BA chốt: tab "Lịch sử Hỗ trợ" của màn Chi tiết DN được đặc tả là "Danh sách VV liên kết + thống kê (3 KPI: Tổng VV, VV hoàn thành, Tổng chi phí)" (srs-fr-07-doanh-nghiep.md:468, nhắc lại ở :502) — đặc tả KHÔNG chốt danh sách cột của bảng vụ việc, tức không có yêu cầu cột "Lĩnh vực" và "Tư vấn viên". Web hiển thị đủ 3 KPI kèm danh sách vụ việc liên kết (Mã / Tiêu đề / Trạng thái / Ngày tiếp nhận) nên không trái đặc tả → thiếu 2 cột này không phải lỗi phần mềm.
- Hai cột "Lĩnh vực" và "Tư vấn viên phụ trách" hữu ích cho tra cứu (vụ việc thuộc lĩnh vực nào, ai phụ trách) nhưng không chặn luồng nghiệp vụ.
- Đề nghị đối tác đưa yêu cầu bổ sung 2 cột này vào danh sách yêu cầu cải tiến; BA sẽ bổ sung đặc tả :468 để chốt danh sách cột cho tab Lịch sử Hỗ trợ (giữ nguyên 3 KPI). Trong khi chưa duyệt, đối tác cập nhật Kết quả mong đợi theo bộ cột hiện tại.</t>
  </si>
  <si>
    <t>Cán bộ nghiệp vụ TW,BN,ĐP/Cán bộ phê duyệt TW,BN,ĐP/Doanh nghiệp/Người hỗ trợ</t>
  </si>
  <si>
    <t>Tìm kiếm kế hoạch thực hiện chương trình hỗ trợ theo tên, đơn vị quản lý, thời gian, lĩnh vực.</t>
  </si>
  <si>
    <t>✅ Bug ĐÚNG – chuyển dev.
- Khi tải lên "File đính kèm" (Bằng cấp/Chứng chỉ) vượt quá 10 tệp: hệ thống lặng lẽ bỏ qua tệp thứ 11 (giữ đúng 10 tệp) mà KHÔNG hiển thị bất kỳ thông báo lỗi nào. Theo SRS SCR-IV-02 (mục 5.1) "vượt giới hạn → lỗi cụ thể" và FR-IV-01 (ERR-TVV-07: "Tối đa 10 file bằng cấp"), hệ thống phải hiển thị thông báo khi vượt số lượng.
- Tái hiện: đăng nhập CB_NV_TW (cbnv_tw) → Thêm mới TVV → mục "File đính kèm" → tải lần lượt 11 file PDF → danh sách dừng ở 10 file, tệp thứ 11 bị bỏ, không có toast/thông báo lỗi (đã kiểm bằng MutationObserver + .ant-message + .ant-form-item-explain-error đều rỗng).
- Verify: mở form Thêm mới TVV, mục "File đính kèm (Bằng cấp / Chứng chỉ)".
- Tham chiếu SRS: srs-fr-04-chuyen-gia-tvv SCR-IV-02 mục 5.1 (dòng 1508) + FR-IV-01 ERR-TVV-07 (dòng 202). Bug ID: BUG-QLTVV_18.</t>
  </si>
  <si>
    <t>1. Chọn menu "CT HTPLDN"
2. Tìm kiếm theo tên, đơn vị quản lý, thời gian, lĩnh vực.
3. Nhấn Tìm kiếm</t>
  </si>
  <si>
    <t>QLDNDHTPL_31</t>
  </si>
  <si>
    <t>Kiểm tra nút chức năng Sửa tại màn hình xem chi tiết</t>
  </si>
  <si>
    <t>Có kết quả, hệ thống hiển thị danh sách với phân trang 20 chương trình mỗi trang.</t>
  </si>
  <si>
    <t>Thiếu trường thông tin tìm kiếm theo đơn vị quản lý, lĩnh vực</t>
  </si>
  <si>
    <t>QLTVV_20</t>
  </si>
  <si>
    <t>1. Chọn menu "Doanh nghiệp"
2. Bấm nút Xem
3. Bấm nút "Sửa"</t>
  </si>
  <si>
    <r>
      <rPr>
        <rFont val="Times New Roman"/>
        <color rgb="FF1155CC"/>
        <sz val="12.0"/>
        <u/>
      </rPr>
      <t>TKKHCTHTPL_01.jpg</t>
    </r>
  </si>
  <si>
    <t>Hệ thống chuyển giao diện sang chế độ chỉnh sửa: các trường thông tin thành ô nhập liệu, hiện thị hai nút "Lưu" và "Hủy".</t>
  </si>
  <si>
    <t>Kiểm tra hiển thị và các nút tương tác khi tải tệp lên hệ thống thành công</t>
  </si>
  <si>
    <t>Hệ thống không hiển thị nút chức năng Sửa mà hiển thị 2 nút Hủy-Lưu</t>
  </si>
  <si>
    <r>
      <rPr>
        <rFont val="Times New Roman"/>
        <color rgb="FF1155CC"/>
        <sz val="12.0"/>
        <u/>
      </rPr>
      <t>QLDNDHTPL_31.jpg</t>
    </r>
  </si>
  <si>
    <t>1. Chọn menu "Mạng lướt tư vấn viên" -&gt; "Tư vấn viên/Chuyên gia"
2. Bấm nút "+ Thêm tư vấn viên"
3. Kiểm tra các nút tương tác khi tải tệp lên hệ thống thành công</t>
  </si>
  <si>
    <t>Danh sách tệp đã tải hiển thị tên, dung lượng và các nút xem / tải lại / xóa.</t>
  </si>
  <si>
    <t>Danh sách tệp đã tải không hiển thị dung lượng và các nút xem / tải lại.</t>
  </si>
  <si>
    <r>
      <rPr>
        <rFont val="Times New Roman"/>
        <color rgb="FF1155CC"/>
        <sz val="13.0"/>
        <u/>
      </rPr>
      <t>QLTVV_20.webm</t>
    </r>
  </si>
  <si>
    <t>LDTBDDDR_01</t>
  </si>
  <si>
    <t>Tổng hợp các lớp đào tạo bồi dưỡng đang diễn ra</t>
  </si>
  <si>
    <t>✅ Bug ĐÚNG – chuyển dev.
- Web: mở màn Chi tiết DN qua nút "Xem" (URL /doanh-nghiep/{id}) → màn hiển thị ngay ở chế độ chỉnh sửa (các trường là ô nhập, có sẵn 2 nút "Hủy" + "Lưu"), KHÔNG có nút "Sửa" và KHÔNG có chế độ chỉ xem để từ đó bấm sang sửa — đúng như đối tác báo.
- Theo SRS v3.5 SCR-V.III-02 (FR-V.III-01, UC81): màn Chi tiết có 2 chế độ tách biệt — URL /doanh-nghiep/:id là "xem chi tiết" (chỉ hiển thị, dòng 459), URL /:id/sua mới là "chỉnh sửa"; danh sách có 2 hành động riêng Xem / Sửa (dòng 443). Vậy màn Xem phải ở chế độ chỉ đọc, việc chuyển sang sửa là một hành động riêng.
- Kiểm chứng: /:id và /:id/sua render form editable giống hệt nhau → hệ thống không có chế độ xem chỉ đọc, nên không tồn tại bước "bấm Sửa để vào chỉnh sửa". Cùng gốc lỗi với BUG-QLDNDHTPL_21.
- Verify: cbnv_tw (CB_NV_TW), DN-SEED-0001. Bug ID BUG-QLDNDHTPL_31.</t>
  </si>
  <si>
    <t>Hiển thị số lượng và danh sách các khóa đào tạo/tập huấn đang mở và đang diễn ra.</t>
  </si>
  <si>
    <t>TKDNHTPL_02</t>
  </si>
  <si>
    <t>LDTBDDDR_01.png</t>
  </si>
  <si>
    <t>✅ Bug ĐÚNG (một phần) – chuyển dev.
- Danh sách tệp đã tải trong mục "File đính kèm": mỗi dòng chỉ có tên tệp + nút Xóa ("Gỡ bỏ tập tin"); KHÔNG hiển thị dung lượng (kích thước) và KHÔNG có nút "Xem". Theo SRS SCR-IV-02 (mục 5.3), mỗi dòng danh sách file đã tải phải có: tên file + kích thước + nút "Xem" + nút "Xóa".
- Ý "thiếu nút Tải lại": không tính là lỗi — SRS chỉ yêu cầu Xem/Xóa, không có "Tải lại" (nút này chỉ có trong bản thiết kế đối tác).
- Tái hiện trên env được giao: đăng nhập CB_NV_TW (cbnv_tw) → Thêm mới TVV → tải 1 tệp PDF → dòng tệp chỉ có tên + nút gỡ bỏ; kiểm DOM chỉ thấy icon paper-clip + delete, không có kích thước, không có nút Xem.
- Tham chiếu SRS: srs-fr-04-chuyen-gia-tvv SCR-IV-02 mục 5.3 (dòng 1510). Bug ID: BUG-QLTVV_20.</t>
  </si>
  <si>
    <t>Kiểm tra Điều kiện tìm kiếm / bộ lọc</t>
  </si>
  <si>
    <t>TKKHCTHTPL_02</t>
  </si>
  <si>
    <t>QLTVV_21</t>
  </si>
  <si>
    <t>- Placeholder trường thông tin "Lĩnh vực kinh doanh" hệ thống đang hiển thị là "Ngành nghề"
- Không đặt giá trị mặc định của các danh sách chọn Quy mô, Tỉnh/Thành phố, Lĩnh vực kinh doanh  là tất cả
- Lĩnh vực kinh doanh chỉ được chọn 1 giá trị
- Không hiển thị trường thông tin Đơn vị đối với người dùng cấp Trung ương
- Hệ thống hiển thị 1 trường thông tin tìm kiếm không có ý nghĩa</t>
  </si>
  <si>
    <r>
      <rPr>
        <rFont val="Times New Roman"/>
        <color rgb="FF1155CC"/>
        <sz val="12.0"/>
        <u/>
      </rPr>
      <t>TKDNHTPL_02.jpg</t>
    </r>
  </si>
  <si>
    <t>Thêm mới Dữ liệu hợp lệ</t>
  </si>
  <si>
    <t>1. Chọn menu "Mạng lướt tư vấn viên" -&gt; "Tư vấn viên/Chuyên gia"
2. Bấm nút "+ Thêm tư vấn viên"
3. Nhập Dữ liệu hợp lệ và nhấn Lưu</t>
  </si>
  <si>
    <t>Hệ thống tự sinh mã tư vấn viên, lưu bản ghi ở trạng thái "Mới đăng ký", tạo liên kết đến tổ chức và lĩnh vực pháp luật, gửi thông báo đến Cán bộ nghiệp vụ cùng đơn vị, lưu vết thao tác, hiển thị thông báo "Đã thêm tư vấn viên thành công" và quay về màn hình danh sách.</t>
  </si>
  <si>
    <t>- Hệ thống hiển thị thông báo "Tạo hồ sơ TVV thành công nhưng không tải lên được:{tên file ảnh}"
- Không hiển thị thông tin Số quyết định và file đính kèm mặc dù tồn tại dữ liệu khi thêm mới</t>
  </si>
  <si>
    <r>
      <rPr>
        <rFont val="Times New Roman"/>
        <color rgb="FF1155CC"/>
        <sz val="13.0"/>
        <u/>
      </rPr>
      <t>QLTVV_21.webm</t>
    </r>
  </si>
  <si>
    <t>Không có kết quả, hệ thống hiển thị "Không tìm thấy chương trình phù hợp".</t>
  </si>
  <si>
    <t>Hệ thống hiển thị "Trống".</t>
  </si>
  <si>
    <r>
      <rPr>
        <rFont val="Times New Roman"/>
        <color rgb="FF1155CC"/>
        <sz val="12.0"/>
        <u/>
      </rPr>
      <t>TKKHCTHTPL_02.jpg</t>
    </r>
  </si>
  <si>
    <t>- Ô lọc lĩnh vực kinh doanh chưa hiển thị nhãn "Lĩnh vực KD"; trên thanh lọc chỉ hiện "Tất cả".</t>
  </si>
  <si>
    <t>TKDNHTPL_03</t>
  </si>
  <si>
    <t>✅ Bug ĐÚNG – chuyển dev.
- Tái hiện trên env được giao (CB_NV_TW): Thêm mới TVV hợp lệ với Ảnh chân dung (.png) + File thẻ hành nghề (.pdf) + File đính kèm (.pdf), nhập Số QĐ công bố. Khi Lưu: hệ thống tạo hồ sơ thành công nhưng hiện toast "Tạo hồ sơ TVV thành công nhưng không tải lên được: {tên ảnh}" (đúng như đối tác mô tả).
- Trên hồ sơ vừa tạo (TVV-BTP-TW-0001) phát sinh cùng lúc 3 lỗi:
  (a) Ảnh chân dung KHÔNG được lưu: hệ thống từ chối ảnh với thông báo "Chỉ chấp nhận file PDF", trong khi SRS SCR-IV-02 mục 2.3 (dòng 1484) quy định Ảnh chân dung phải nhận .jpg/.png (tối đa 5MB).
  (b) File đính kèm (.pdf) tải lên thành công nhưng KHÔNG gắn vào hồ sơ: màn chi tiết hiển thị "Chưa có file đính kèm", dù SRS SCR-IV-03 tab Hồ sơ (dòng 1554) yêu cầu hiển thị danh sách file đính kèm.
  (c) Số quyết định đã nhập KHÔNG hiển thị: màn chi tiết hiện "Số quyết định: —" dù đã nhập Số QĐ công bố (SRS SCR-IV-02 mục 5.1 dòng 1681).
- Verify: đăng nhập CB_NV_TW (cbnv_tw) → Thêm mới Tư vấn viên → nhập hợp lệ + tải 3 file → Lưu → mở chi tiết hồ sơ.
- Tham chiếu SRS: srs-fr-04-chuyen-gia-tvv SCR-IV-02 mục 2.3 (dòng 1484) + mục 5.1 (dòng 1681) + SCR-IV-03 tab Hồ sơ (dòng 1554). Bug ID: BUG-QLTVV_21.</t>
  </si>
  <si>
    <t>1. Đăng nhập tài khoản 
2. Không tồn tại bản ghi phù hợp với tiêu chí tìm kiếm</t>
  </si>
  <si>
    <t>QLTVV_22</t>
  </si>
  <si>
    <t>LDTBDDDR_02</t>
  </si>
  <si>
    <t>1. Chọn menu "Doanh nghiệp"
2. Nhập/chọn tiêu chí tìm kiếm</t>
  </si>
  <si>
    <t>Hệ thống để trống vùng kết quả và hiển thị thông báo "Không tìm thấy doanh nghiệp phù hợp".</t>
  </si>
  <si>
    <t>Hệ thống hiển thị "Trống"</t>
  </si>
  <si>
    <t>Hủy có thay đổi chưa lưu</t>
  </si>
  <si>
    <t>Click Đào tạo đang diễn ra</t>
  </si>
  <si>
    <r>
      <rPr>
        <rFont val="Times New Roman"/>
        <color rgb="FF1155CC"/>
        <sz val="12.0"/>
        <u/>
      </rPr>
      <t>TKDNHTPL_03.jpg</t>
    </r>
  </si>
  <si>
    <t>1. Chọn menu "Mạng lướt tư vấn viên" -&gt; "Tư vấn viên/Chuyên gia"
2. Bấm nút "+ Thêm tư vấn viên"
3. Nhập thông tin hợp lệ và Nhấn Hủy</t>
  </si>
  <si>
    <t>- Hệ thống hiển thị hộp xác nhận "Bạn có chắc chắn rời khỏi mà không lưu?"
- Xác nhận rời khỏi → hệ thống bỏ các thay đổi và quay lại danh sách 
- Chọn "Ở lại" → đóng hộp xác nhận, giữ nguyên biểu mẫu.</t>
  </si>
  <si>
    <t>Click thẻ Đào tạo đang diễn ra</t>
  </si>
  <si>
    <t>Mở DS Đào tạo đang diễn ra</t>
  </si>
  <si>
    <t>- Chọn "Ở lại" → hệ thống xóa các thông tin đã nhập trước đó</t>
  </si>
  <si>
    <r>
      <rPr>
        <rFont val="Times New Roman"/>
        <color rgb="FF1155CC"/>
        <sz val="13.0"/>
        <u/>
      </rPr>
      <t>QLTVV_22.webm</t>
    </r>
  </si>
  <si>
    <t>LDTBDDDR_02.png</t>
  </si>
  <si>
    <t>LBCKQTHCT_01</t>
  </si>
  <si>
    <t>Lập báo cáo kết quả thực hiện chương trình</t>
  </si>
  <si>
    <t>✅ Bug đúng (BA 23/07/2026). Dev FE: khi tìm/lọc trả 0 kết quả, vùng kết quả hiện thông báo INF-DN-TK-01 "Không tìm thấy doanh nghiệp phù hợp" thay chuỗi "Trống" (SRS FR-V.III-02 E1, dòng 260). Mức Minor.
── CÁCH VERIFY sau Dev fix ──
Precondition: cbnv_tw, mở /doanh-nghiep/danh-sach.
1) Nhập từ khóa chắc chắn không khớp (vd "ZZZKHONG123") → Tìm kiếm.
2) Thử 1 bộ lọc không khớp bản ghi nào (vd Tỉnh + Lĩnh vực hiếm) → Tìm kiếm.
✅ PASS khi: cả 2 trường hợp vùng 0 kết quả hiện đúng "Không tìm thấy doanh nghiệp phù hợp".
❌ FAIL nếu: hiện "Trống"/.ant-empty mặc định hoặc câu chữ khác.
Ảnh lỗi cũ: image/TKDNHTPL_03-empty-trong.png</t>
  </si>
  <si>
    <t>Cung cấp công cụ để CB Nghiệp vụ lập báo cáo kết quả thực hiện chương trình.</t>
  </si>
  <si>
    <t>✅ Bug ĐÚNG – chuyển dev.
- Tái hiện trên env được giao (CB_NV_TW): Thêm mới TVV → nhập dữ liệu (Họ tên, Số CMND/CCCD, Số QĐ công bố, Giới tính) → bấm Hủy → hệ thống hiện hộp xác nhận "Bạn có thay đổi chưa được lưu. Nếu tiếp tục, các thay đổi sẽ bị mất. Bạn có muốn tiếp tục?" với 2 nút "Ở lại" / "Tiếp tục".
- Bấm "Ở lại": hộp thoại đóng, vẫn ở lại biểu mẫu (đúng), NHƯNG toàn bộ dữ liệu đã nhập bị xóa sạch — các ô trở về rỗng (kiểm tra: trước khi Hủy có 3 ô có giá trị, sau khi chọn "Ở lại" cả 3 ô đều rỗng).
- Kỳ vọng: "Ở lại" = hủy thao tác Hủy, giữ nguyên biểu mẫu và dữ liệu đang nhập (đúng như đối tác mô tả). Chính nội dung hộp thoại cũng ngụ ý chỉ khi "Tiếp tục" mới mất dữ liệu.
- Verify: đăng nhập CB_NV_TW (cbnv_tw) → Thêm mới Tư vấn viên → nhập vài trường → bấm Hủy → chọn "Ở lại" → quan sát các ô nhập.
- Tham chiếu SRS: srs-fr-04-chuyen-gia-tvv SCR-IV-02 mục 7 thanh hành động (dòng 1512 — Hủy khi có thay đổi chưa lưu mở hộp xác nhận) + quy ước hộp thoại xác nhận (dòng 1392). Bug ID: BUG-QLTVV_22.</t>
  </si>
  <si>
    <t>1. Chọn menu "Đợt báo cáo"
2. Mở Trang Chi tiết đợt báo cáo
3. Nhập số liệu Biểu 21a, 21b và nhận xét, kiến nghị rồi bấm "Lưu nháp"</t>
  </si>
  <si>
    <t>- Cập nhật trạng thái nộp của đơn vị thành "Đang lập".
+ Lưu nội dung báo cáo chi tiết.
+ Lưu vết thao tác theo quy định.
- Lưu thành công, hệ thống hiển thị thông báo nhanh "Đã lưu nháp".</t>
  </si>
  <si>
    <t>Hệ thống hiển thị "403- Đơn vị không nằm trong phạm vi truy cập của bạn- Mã lỗi: ERR-AUTH-VPD-00-02- Vai trò hiện tại: CB_NV_DP" mặc dù đơn vị và tài khoản đăng nhập đã được thiết lập quyền lập báo cáo</t>
  </si>
  <si>
    <r>
      <rPr>
        <rFont val="Times New Roman"/>
        <color rgb="FF1155CC"/>
        <sz val="12.0"/>
        <u/>
      </rPr>
      <t>LBCKQTHCT_01.webm</t>
    </r>
  </si>
  <si>
    <t>LKHDG_02</t>
  </si>
  <si>
    <t>QLTVV_23</t>
  </si>
  <si>
    <t>Kiểm tra nút chức năng Sửa tư vấn viên khi tư vấn viên không ở trạng thái "Vô hiệu hóa"</t>
  </si>
  <si>
    <t>Kiểm tra hiển thị các trường thông tin trong danh sách</t>
  </si>
  <si>
    <t>1. Đăng nhập tài khoản
2. Tư vấn viên không ở trạng thái "Vô hiệu hóa".</t>
  </si>
  <si>
    <t xml:space="preserve">1. Chọn menu "Đánh giá hiệu quả"
</t>
  </si>
  <si>
    <t>- Hệ thống hiển thị các trường thông tin giống với thiết kế
- Dữ liệu hiển thị đúng định dạng và trường thông tin
- Dữ liệu hiển thị không bị tràn/đè lên nhau, đồng nhất ngôn ngữ hiển thị
- Mặc định 20 bản ghi/trang</t>
  </si>
  <si>
    <t>1. Chọn menu "Mạng lướt tư vấn viên" -&gt; "Tư vấn viên/Chuyên gia"
2. Bấm nút "Sửa" trên dòng tương ứng</t>
  </si>
  <si>
    <t>Tên đợt là thông tin quan trong nhưng cắt bớt quá nhiều dẫn đến khó quan sát</t>
  </si>
  <si>
    <t>Hệ thống mở biểu mẫu "Chỉnh sửa tư vấn viên" với các trường thông tin giống với thiết kế và hiển thị dữ liệu hiện tại.</t>
  </si>
  <si>
    <r>
      <rPr>
        <rFont val="Times New Roman"/>
        <color rgb="FF1155CC"/>
        <sz val="12.0"/>
        <u/>
      </rPr>
      <t>LKHDG_02.jpg</t>
    </r>
  </si>
  <si>
    <t xml:space="preserve">Hệ thống hiển thị form chỉnh sửa thiếu trường thông tin Mô tả kinh nghiệm, Chứng chỉ hành nghề </t>
  </si>
  <si>
    <r>
      <rPr>
        <rFont val="Times New Roman"/>
        <color rgb="FF1155CC"/>
        <sz val="13.0"/>
        <u/>
      </rPr>
      <t>QLTVV_23.webm</t>
    </r>
  </si>
  <si>
    <t>LDTBDDDR_03</t>
  </si>
  <si>
    <t>✅ Bug ĐÚNG (một phần) – chuyển dev.
- Form "Chỉnh sửa Tư vấn viên" (màn Sửa), nhóm "Nghề nghiệp": THIẾU trường "Mô tả kinh nghiệm". Theo SRS SCR-IV-02 cell 3.7 (dòng 1502), nhóm Nghề nghiệp phải có "Mô tả kinh nghiệm" (ô văn bản dài, tối đa 5000 ký tự). Form Sửa hiện chỉ có "Số năm kinh nghiệm" (số) — không có "Mô tả kinh nghiệm". (Cùng lỗi với form Thêm mới — BUG-QLTVV_13.)
- Ý "thiếu Chứng chỉ hành nghề": KHÔNG chính xác — form Sửa CÓ mục "Chứng chỉ chi tiết" (bảng: tên chứng chỉ + ngày cấp + nơi cấp) + trường "Số thẻ hành nghề"; đây là dạng đầy đủ hơn một ô "Chứng chỉ hành nghề" đơn.
- Verify: đăng nhập CB_NV_TW (cbnv_tw) → mở 1 TVV đang hoạt động → nút Sửa → nhóm "Nghề nghiệp".
- Tham chiếu SRS: srs-fr-04-chuyen-gia-tvv SCR-IV-02 cell 3.7 (dòng 1502) — màn Thêm mới/Chỉnh sửa dùng chung. Bug ID: BUG-QLTVV_23.</t>
  </si>
  <si>
    <t>⚠️ Cần verify lại sau khi Dev fix — KHÔNG kết luận "không phải lỗi".
YÊU CẦU BẮT BUỘC (theo SRS): màn Danh sách đợt đánh giá (SCR-VI-01) phải LUÔN hiển thị cột "Tên đợt" — srs-fr-08-danh-gia.md:820, điều kiện hiển thị "Luôn". Đây là điểm bắt buộc DUY NHẤT của case này.
Phân biệt rõ để không chấm nhầm:
- Cột "Tên đợt" phải CÓ MẶT trên danh sách → BẮT BUỘC. Nếu app thiếu cột thì Dev phải bổ sung (BA 24/07/2026: "nếu app thiếu hẳn cột Tên đợt so với SCR #11 → Dev bổ sung cột").
- Giá trị tên đợt hiển thị dạng CẮT BỚT kèm "..." → ĐÚNG đặc tả (srs-fr-08-danh-gia.md:820 ghi rõ "cắt bớt + '...'"). KHÔNG phải lỗi, KHÔNG yêu cầu Dev sửa phần này.
- Độ rộng cột / mức cắt / tooltip xem đủ tên → SRS không quy định. Nới rộng cột hoặc thêm tooltip hover khi rê chuột chỉ là CẢI TIẾN tùy chọn, không bắt buộc, không tính FAIL nếu thiếu.
Bối cảnh: ảnh đối tác gửi (LKHDG_02.jpg, bản dựng cũ) liệt kê 9 cột và KHÔNG có cột "Tên đợt" → khớp tình huống thiếu cột. Dev báo đã fix nhưng chưa có tài liệu mô tả thay đổi. Vì vậy để Verify = Open, chờ xác nhận trên bản mới nhất cột "Tên đợt" đã hiển thị.
── CÁCH VERIFY sau Dev fix ──
Precondition: tài khoản cbnv_tw (CB Nghiệp vụ - Trung ương; mật khẩu Test@1234), env https://18.143.165.120.nip.io. Vào menu "Đánh giá hiệu quả" → Danh sách đợt đánh giá.
1) Xem bảng danh sách có cột "Tên đợt" hiển thị không (đứng cạnh cột "Mã đợt").
2) Với một đợt có tên dài (vd "Đợt đánh giá seed 2026"), kiểm ô Tên đợt có hiện giá trị (dù bị cắt bớt kèm "...") — chứng tỏ cột lấy đúng dữ liệu.
✅ PASS khi: danh sách CÓ cột "Tên đợt" và cột đó hiển thị giá trị tên đợt (được phép cắt bớt kèm "...").
❌ FAIL khi: danh sách VẪN không có cột "Tên đợt".
⚠️ KHÔNG chấm FAIL chỉ vì tên bị cắt ngắn hay cột hẹp — cắt bớt kèm "..." là đúng đặc tả, không phải tiêu chí đạt/không đạt.
⚠️ Nếu đối tác vẫn muốn đọc đủ tên: đề xuất nới rộng cột hoặc thêm tooltip hover (cải tiến, không bắt buộc).</t>
  </si>
  <si>
    <t>TKVVHTPLDN_01</t>
  </si>
  <si>
    <t>API tìm kiếm vụ việc hỗ trợ pháp lý cho doanh nghiệp</t>
  </si>
  <si>
    <t>QLTVV_24</t>
  </si>
  <si>
    <t>Hệ thống khác</t>
  </si>
  <si>
    <t>LDTBDDDR_03.png</t>
  </si>
  <si>
    <t>Cung cấp API để tìm kiếm vụ việc hỗ trợ pháp lý cho doanh nghiệp theo các tiêu chí.</t>
  </si>
  <si>
    <t>1. Tồn tại dữ liệu công khai</t>
  </si>
  <si>
    <t>Sửa Dữ liệu hợp lệ</t>
  </si>
  <si>
    <t>LKHDG_03</t>
  </si>
  <si>
    <t>1. Truy cập Postman
2. Cấu hình header/param
3. Thực thi</t>
  </si>
  <si>
    <t>1. Chọn menu "Mạng lướt tư vấn viên" -&gt; "Tư vấn viên/Chuyên gia"
2. Bấm nút "Sửa" trên dòng tương ứng
3. Nhập dữ liệu hợp lệ và nhấn Lưu</t>
  </si>
  <si>
    <t>Hệ thống cập nhật bản ghi, lưu vết thao tác (giá trị cũ → giá trị mới), hiển thị thông báo "Đã cập nhật tư vấn viên thành công".</t>
  </si>
  <si>
    <t>Hệ thống hiển thị thông báo "Chỉ chấp nhận file pdf" mặc dù file tải lên đúng định dạng quy định</t>
  </si>
  <si>
    <r>
      <rPr>
        <rFont val="Times New Roman"/>
        <color rgb="FF1155CC"/>
        <sz val="13.0"/>
        <u/>
      </rPr>
      <t>QLTVV_24.webm</t>
    </r>
  </si>
  <si>
    <t>Tìm kiếm vụ việc hỗ trợ pháp lý cho doanh nghiệp theo các tiêu chí thành công.</t>
  </si>
  <si>
    <t>API tìm kiếm trả về 400 Bad Request với lỗi "Validation failed (uuid is expected)" khi truyền keyword hợp lệ</t>
  </si>
  <si>
    <t>- Giá trị tần suất là Tròn năm, không phải Trọn năm
- Không đặt giá trị mặc định của các danh sách chọn là Tất cả
- Thiếu trường thông tin tìm kiếm theo Trạng thái</t>
  </si>
  <si>
    <t xml:space="preserve"> TKVVHTPLDN_01.webm</t>
  </si>
  <si>
    <r>
      <rPr>
        <rFont val="Times New Roman"/>
        <color rgb="FF1155CC"/>
        <sz val="12.0"/>
        <u/>
      </rPr>
      <t>LKHDG_03.jpg</t>
    </r>
  </si>
  <si>
    <t>- Ảnh chân dung .png nay đã được chấp nhận và bấm Lưu thành công (không còn báo "Chỉ chấp nhận file PDF").
- Nhưng sau khi lưu, ảnh chân dung không hiển thị ở màn chi tiết — vẫn là chữ viết tắt thay cho ảnh; thao tác xem/tải ảnh vừa lưu báo không tìm thấy tệp.</t>
  </si>
  <si>
    <t>✅ Bug đúng (BA duyệt 24/07/2026) — Loại 1: phần mềm lệch SRS ở cả 3 ý đối tác nêu, verdict Open. Mức Minor (hiển thị + bộ lọc, không ảnh hưởng dữ liệu).
Ý #1 — nhãn tần suất: app đang hiển thị "Trọn năm"; SRS chốt thuật ngữ pháp định của Thông tư 17/2025/TT-BTP là "Tròn năm". Dev FE đổi nhãn hiển thị của giá trị TRON_NAM thành "Tròn năm" ở MỌI chỗ: cột Tần suất bảng danh sách, ô Lọc tần suất, ô Tần suất trong biểu mẫu tạo/sửa đợt. (Nhận định cũ của QA "app đúng, SRS ghi nhầm chính tả" đã bị BA lật.)
SRS: Docs-PM-HTPLDN/_bmad-output/planning-artifacts/srs-v3.5/srs-fr-08-danh-gia.md:821 — 'SO_BO_6_THANG → "Sơ bộ 6 tháng", TRON_NAM → "Tròn năm"'; cùng thuật ngữ tại :837 (ô Tần suất của biểu mẫu, "12-1 → Tròn năm").
Ý #2 — lựa chọn "Tất cả" trong ô lọc: SRS liệt kê "Tất cả" là một lựa chọn tường minh của Lọc tần suất và Lọc đối tượng; app chỉ để chữ gợi ý mờ trong ô (không chọn = không lọc). Dev FE cho người dùng nhìn thấy và bấm chọn được lựa chọn "Tất cả" trong 2 ô lọc này.
SRS: Docs-PM-HTPLDN/_bmad-output/planning-artifacts/srs-v3.5/srs-fr-08-danh-gia.md:813 — "Lọc tần suất | C10 dropdown | Tất cả / SO_BO_6_THANG / TRON_NAM"; :814 — "Lọc đối tượng | C10 dropdown | Tất cả / VU_VIEC / DAO_TAO / TONG_HOP".
Ý #3 — lọc Trạng thái: SRS đặt lọc trạng thái là một ô chọn nằm TRONG thanh lọc; app làm dạng các thẻ tab phía trên bảng. Dev FE đưa lọc Trạng thái về thanh lọc dạng ô chọn đủ 9 lựa chọn, bỏ dạng thẻ tab.
SRS: Docs-PM-HTPLDN/_bmad-output/planning-artifacts/srs-v3.5/srs-fr-08-danh-gia.md:815 — "Lọc trạng thái | C10 dropdown | Tất cả / LAP_KE_HOACH / PHAN_CONG / CHO_DUYET_PC / THUC_HIEN / BAO_CAO / CHO_PHE_DUYET / HOAN_THANH / HUY".
── CÁCH VERIFY sau Dev fix ──
Precondition: đăng nhập https://18.143.165.120.nip.io bằng cbnv_tw / Test@1234 (CB Nghiệp vụ Trung ương) → Đánh giá hiệu quả → Danh sách đợt đánh giá (/danh-gia/ke-hoach/danh-sach). Cần ≥1 đợt tần suất tròn năm; chưa có thì bấm "Tạo đợt đánh giá", nhập Tên đợt "Kiem thu LKHDG_03", Mục tiêu bất kỳ, Tần suất chọn mục tròn năm, Từ ngày 01/01/2026 – Đến ngày 31/12/2026, Đối tượng Vụ việc → Lưu nháp.
1) Trên bảng danh sách, đọc giá trị ô "Tần suất" của đợt vừa tạo; rồi mở ô Lọc tần suất, đọc nguyên văn từng lựa chọn.
2) Mở lại biểu mẫu "Tạo đợt đánh giá", mở ô Tần suất, đọc nguyên văn từng lựa chọn, rồi đóng biểu mẫu.
3) Mở ô Lọc tần suất và ô Lọc đối tượng, kiểm tra có lựa chọn "Tất cả" bấm chọn được không; riêng Lọc đối tượng đếm đủ 4 lựa chọn (Tất cả / Vụ việc / Đào tạo / Tổng hợp).
4) Chọn "Tất cả" ở Lọc tần suất → bấm Tìm kiếm → đếm số dòng; so với số dòng khi chưa đặt bộ lọc nào.
5) Nhìn thanh lọc tìm ô chọn Trạng thái; mở nó, đếm số lựa chọn; chọn "Lập kế hoạch" → Tìm kiếm.
✅ PASS khi ĐỦ 4 điều: (i) bước 1+2 không còn bất kỳ chỗ nào hiện chữ "Trọn năm" — mọi chỗ đều là "Tròn năm"; (ii) bước 3 cả 2 ô lọc đều có mục "Tất cả" bấm chọn được (không phải chữ gợi ý mờ), Lọc đối tượng đúng 4 lựa chọn; (iii) bước 4 số dòng khi chọn "Tất cả" bằng ĐÚNG số dòng khi không lọc; (iv) bước 5 thanh lọc có ô chọn Trạng thái đủ 9 lựa chọn, chọn "Lập kế hoạch" thì bảng chỉ còn dòng trạng thái Lập kế hoạch, và dải thẻ tab trạng thái cũ không còn.
❌ FAIL nếu: còn bất kỳ chỗ nào hiện "Trọn năm"; HOẶC "Tất cả" chỉ là chữ gợi ý mờ, bấm không chọn được; HOẶC lọc Trạng thái vẫn chỉ tồn tại ở dạng thẻ tab, thanh lọc không có ô Trạng thái.
⚠️ Đây là đổi NHÃN HIỂN THỊ — giá trị gửi lên máy chủ vẫn phải là TRON_NAM. Đổi luôn mã thì bộ lọc hỏng và các đợt cũ hiển thị sai, tính FAIL.
⚠️ BA ghi chú kèm quyết định: trước khi khóa hẳn nhãn "Tròn năm", đề nghị CĐT đối chiếu biểu 21a/21b gốc của TT 17/2025 để chắc thuật ngữ.</t>
  </si>
  <si>
    <t>QLTVV_28</t>
  </si>
  <si>
    <t>Xóa tư vấn viên đang có vụ việc chưa hoàn thành</t>
  </si>
  <si>
    <t>1. Đăng nhập tài khoản
2. Tư vấn viên đang có vụ việc chưa hoàn thành</t>
  </si>
  <si>
    <t>1. Chọn menu "Mạng lướt tư vấn viên" -&gt; "Tư vấn viên/Chuyên gia"
2. Bấm nút "Xóa" trên dòng tương ứng</t>
  </si>
  <si>
    <t>LKHDG_04</t>
  </si>
  <si>
    <t>Hệ thống từ chối thao tác và hiển thị thông báo "Tư vấn viên đang có vụ việc chưa hoàn thành".</t>
  </si>
  <si>
    <t>Hệ thống hiển thị thông báo "Không thể xóa tư vấn viên. Vui lòng thử lại."</t>
  </si>
  <si>
    <r>
      <rPr>
        <rFont val="Times New Roman"/>
        <color rgb="FF1155CC"/>
        <sz val="13.0"/>
        <u/>
      </rPr>
      <t>QLTVV_28.webm</t>
    </r>
  </si>
  <si>
    <t>Tìm kiếm có kết quả</t>
  </si>
  <si>
    <t>1. Đăng nhập tài khoản 
2. Tồn tại tiêu chí tìm kiếm</t>
  </si>
  <si>
    <t>1. Chọn menu "Đánh giá hiệu quả"
2. Nhập tiêu chí có kết quả</t>
  </si>
  <si>
    <t>Hệ thống hiển thị danh sách đợt đánh giá phù hợp.</t>
  </si>
  <si>
    <t>LDTBDDHT_01</t>
  </si>
  <si>
    <t>Hệ thống hiển thị thông điệp "Không tìm thấy đợt đánh giá phù hợp" mặc dù tồn tại dữ liệu phù hợp với tiêu chí tìm kiếm</t>
  </si>
  <si>
    <t>Tổng hợp các lớp đào tạo bồi dưỡng đã diễn ra</t>
  </si>
  <si>
    <r>
      <rPr>
        <rFont val="Times New Roman"/>
        <color rgb="FF1155CC"/>
        <sz val="12.0"/>
        <u/>
      </rPr>
      <t>LKHDG_04.webm</t>
    </r>
  </si>
  <si>
    <t>Hiển thị số lượng và danh sách các khóa đào tạo/tập huấn đã hoàn thành và có kết quả.</t>
  </si>
  <si>
    <r>
      <rPr>
        <rFont val="Arial"/>
        <color theme="1"/>
      </rPr>
      <t xml:space="preserve">❌ Không phải bug.
- Đối tác phản ánh: khi xóa Tư vấn viên đang có vụ việc chưa hoàn thành, hệ thống chỉ báo chung chung "Không thể xóa tư vấn viên. Vui lòng thử lại." mà không nêu lý do nghiệp vụ.
- Kiểm tra lại đúng điều kiện (Cán bộ Nghiệp vụ xóa một Tư vấn viên đang hoạt động và đang có vụ việc xử lý): hệ thống CHẶN xóa và hiển thị đúng thông báo nêu rõ lý do: "Không thể xóa: TVV còn vụ việc đang xử lý". Không xuất hiện thông báo chung chung "Vui lòng thử lại".
- Tư vấn viên vẫn còn nguyên trong danh sách sau thao tác (không bị xóa) — đúng yêu cầu chặn xóa khi còn vụ việc.
→ </t>
    </r>
    <r>
      <rPr>
        <rFont val="Arial"/>
        <color theme="7"/>
      </rPr>
      <t>Đối tác kiểm tra lại.=&gt; tài liệu đúng</t>
    </r>
  </si>
  <si>
    <t>TKTVV_02</t>
  </si>
  <si>
    <t>LDTBDDHT_01.png</t>
  </si>
  <si>
    <t>Kiểm tra các trường thông tin tìm kiếm</t>
  </si>
  <si>
    <t>1. Chọn menu "Mạng lướt tư vấn viên" -&gt; "Tư vấn viên/Chuyên gia"
2. Kiểm tra các trường thông tin tìm kiếm</t>
  </si>
  <si>
    <t>✅ Bug ĐÚNG – chuyển dev.
- Lỗi: ô tìm kiếm màn danh sách đợt đánh giá trả 0 kết quả khi từ khóa có dấu tiếng Việt. Gõ đúng tên đầy đủ một đợt đang tồn tại vẫn báo "Không có kế hoạch đánh giá nào phù hợp"; chỉ ra kết quả khi từ khóa không dấu.
- Đã kiểm (tài khoản CB Nghiệp vụ, danh sách có 2 đợt): "Đợt đánh giá seed 2026" → 0 kết quả; "Đợt" → 0; "seed" → 1.
- Đúng theo SRS FR-VI-01 (UC83), màn SCR-VI-01 (ô tìm kiếm theo tên đợt / mã đợt, dòng 812): gõ tên đợt đang tồn tại phải trả về đúng đợt đó.
- Mã lỗi nội bộ: BUG-LKHDG_04.</t>
  </si>
  <si>
    <t>- Hiển thị các trường thông tin tìm kiếm đúng với thiết kế
- Giá trị mặc định của Lĩnh vực pháp luật là "Tất cả", giá trị mặc định của textbox là rỗng
- Dữ liệu của các danh sách chọn đúng với trường thông tin tương ứng</t>
  </si>
  <si>
    <t>- Giá trị mặc định của Lĩnh vực pháp luật là rỗng
- Tổ chức kiểu dữ liệu không phải là danh sách chọn
- Trạng thái không tự dộng ẩn khi đang ở một thẻ trạng thái cụ thể hoặc hiển thị giá trị mặc định theo thẻ đang chọn</t>
  </si>
  <si>
    <r>
      <rPr>
        <rFont val="Times New Roman"/>
        <color rgb="FF1155CC"/>
        <sz val="13.0"/>
        <u/>
      </rPr>
      <t>TKTVV_02.webm</t>
    </r>
  </si>
  <si>
    <t>LKHDG_07</t>
  </si>
  <si>
    <t>1. Chọn menu "Đánh giá hiệu quả"
2. Bấm nút Thêm mới</t>
  </si>
  <si>
    <t>✅ Ý "bộ lọc Lĩnh vực mặc định Tất cả" — BA chốt 15/07/2026: bổ sung, chuyển Dev FE.
- Thêm mục "Tất cả" vào danh sách lọc. Luật với ô chọn nhiều: chọn "Tất cả" → tự bỏ chọn mọi option lẻ; chọn 1 option lẻ → tự bỏ "Tất cả".
- Lý do: để trống tuy cùng kết quả (không lọc = trả tất cả) nhưng muốn quay về "tất cả" phải bỏ chọn từng option → tốn thao tác. SRS chỉ nói "ô chọn nhiều", không quy định giá trị mặc định (srs-fr-04:1432, :230).
- BA áp thành quy ước chung: mọi trường lọc dạng chọn nhiều toàn hệ thống.
⚠️ GIỮ status dev done: ý gốc của case (trường Tổ chức đang là ô nhập chữ tự do, phải là danh sách chọn theo FR-IV-02) vẫn đang chờ Dev.</t>
  </si>
  <si>
    <t xml:space="preserve">- Hệ thống mở màn hình "Chi tiết đợt đánh giá" ở chế độ lập mới:
+ Hiển thị biểu mẫu gồm các trường: Tên đợt, Mục tiêu, Tần suất, Từ ngày, Đến ngày, Đối tượng, Ghi chú, Cơ quan được đánh giá.
+ Các trường "Tên đợt", "Mục tiêu", "Tần suất", "Từ ngày", "Đến ngày", "Đối tượng", "Cơ quan được đánh giá" là bắt buộc.
</t>
  </si>
  <si>
    <t>Trường thông tin Mục tiêu không được đánh dấu bắt buộc</t>
  </si>
  <si>
    <r>
      <rPr>
        <rFont val="Times New Roman"/>
        <color rgb="FF1155CC"/>
        <sz val="12.0"/>
        <u/>
      </rPr>
      <t>LKHDG_07.jpg</t>
    </r>
  </si>
  <si>
    <t>TKTVV_04</t>
  </si>
  <si>
    <t>Tìm kiếm theo bộ lọc có kết quả</t>
  </si>
  <si>
    <t>1. Chọn menu "Mạng lướt tư vấn viên" -&gt; "Tư vấn viên/Chuyên gia"
2. Tìm kiếm theo bộ lọc có kết quả</t>
  </si>
  <si>
    <t>Có kết quả, hệ thống hiển thị danh sách các thẻ giảng viên phù hợp.</t>
  </si>
  <si>
    <t>✅ Bug ĐÚNG – chuyển dev.
- Lỗi: trên form "Tạo kế hoạch đánh giá", trường "Mục tiêu" KHÔNG được đánh dấu bắt buộc (thiếu dấu * đỏ), trong khi SRS quy định trường này bắt buộc.
- Đã verify env test (tài khoản CB Nghiệp vụ TW): mở form Tạo kế hoạch đánh giá → nhãn "Mục tiêu" không có dấu *; 6 trường bắt buộc khác (Tên đợt đánh giá, Tần suất, Đối tượng, Cơ quan được đánh giá, Thời gian bắt đầu, Thời gian kết thúc) đều có dấu *.
- Chuẩn: SRS FR-VI-01 (UC83) Lập kế hoạch — Inputs #2 muc_tieu Bắt buộc = Y (dòng 107); màn SCR-VI-01 Form tạo/sửa #22 "Mục tiêu | Bắt buộc" (dòng 836).
- Mã lỗi nội bộ: BUG-LKHDG_07.</t>
  </si>
  <si>
    <t>- Hệ thống hiển thị các bản ghi không phù hợp với tiêu chí tìm kiếm theo Tổ chức
- Hệ thống không tự động chuyển tab phù hợp với tiêu chí Trạng thái</t>
  </si>
  <si>
    <r>
      <rPr>
        <rFont val="Times New Roman"/>
        <color rgb="FF1155CC"/>
        <sz val="12.0"/>
        <u/>
      </rPr>
      <t>TKTVV_04.webm</t>
    </r>
  </si>
  <si>
    <t>LDTBDDHT_02</t>
  </si>
  <si>
    <t>Click Đào tạo hoàn thành</t>
  </si>
  <si>
    <t>LKHDG_08</t>
  </si>
  <si>
    <t>Thiếu trường bắt buộc</t>
  </si>
  <si>
    <t>Click thẻ Đào tạo hoàn thành</t>
  </si>
  <si>
    <t>Mở DS Đào tạo hoàn thành</t>
  </si>
  <si>
    <t>1. Chọn menu "Đánh giá hiệu quả"
2. Bấm nút Thêm mới
3. Bấm nút "Lưu nháp" hoặc "Lưu &amp; Chuyển tiêu chí"</t>
  </si>
  <si>
    <t>Hệ thống hiển thị thông điệp "Vui lòng nhập đầy đủ thông tin bắt buộc".</t>
  </si>
  <si>
    <t>Trường thông tin Mục tiêu không hiển thị thông báo bắt buộc</t>
  </si>
  <si>
    <t>LDTBDDHT_02.png</t>
  </si>
  <si>
    <r>
      <rPr>
        <rFont val="Times New Roman"/>
        <color rgb="FF1155CC"/>
        <sz val="12.0"/>
        <u/>
      </rPr>
      <t>LKHDG_08.jpg</t>
    </r>
  </si>
  <si>
    <t>✅ Bug ĐÚNG – chuyển dev.
- Tái hiện được cả 2 ý. Bộ lọc "Tổ chức" và "Trạng thái" không có tác dụng: kết quả trả về không đúng tiêu chí đã chọn.
- Thực tế web: thẻ "Đang hoạt động" có 4 bản ghi. Nhập Tổ chức = "Alpha" (không bản ghi nào thuộc tổ chức này) → vẫn trả đủ 4/4 bản ghi. Nhập Tổ chức = "Trung tâm" (chỉ 1 bản ghi khớp) → vẫn trả 4/4. Chọn Trạng thái = "Tạm dừng" → hệ thống vẫn giữ thẻ "Đang hoạt động" và trả 4 bản ghi đều đang "Đang hoạt động".
- Yêu cầu đặc tả: FR-IV-02 (UC40) §Processing bước 2 (dòng 241) "Kết hợp tất cả điều kiện lọc có giá trị (AND)"; §Acceptance Criteria (dòng 271) "lọc theo nhiều điều kiện → áp dụng AND tất cả". Tiêu chí Tổ chức là Inputs #4 (dòng 232).
- Ghi chú: bộ lọc "Trạng thái" không nên hiển thị khi đang đứng ở một thẻ cụ thể (SCR-IV-01 dòng 1435) — cùng gốc với BUG-TKTVV_02.
- Verify: tài khoản cbnv_tw (CB_NV_TW), màn "Mạng lưới Tư vấn viên &gt; Tư vấn viên / Chuyên gia".
- Bug ID: BUG-TKTVV_04.</t>
  </si>
  <si>
    <t>TKTVV_08</t>
  </si>
  <si>
    <t>✅ Bug ĐÚNG – chuyển dev.
- Lỗi: khi bấm lưu form "Tạo kế hoạch đánh giá" mà để trống "Mục tiêu", hệ thống KHÔNG hiển thị thông báo bắt buộc cho trường này, trong khi SRS quy định "Mục tiêu" là bắt buộc.
- Đã verify env test (tài khoản CB Nghiệp vụ TW): mở form → bấm "Lưu &amp; Chuyển tiêu chí" với form trống → 6 trường bắt buộc khác hiện thông báo lỗi ("Vui lòng nhập tên đợt", "Vui lòng chọn tần suất", "Vui lòng chọn đối tượng", "Vui lòng chọn cơ quan được đánh giá", "Vui lòng chọn ngày bắt đầu", "Vui lòng chọn ngày kết thúc"); riêng "Mục tiêu" KHÔNG có thông báo lỗi → form cho qua trường này.
- Chuẩn: SRS FR-VI-01 (UC83) Lập kế hoạch — Inputs #2 muc_tieu Bắt buộc = Y (dòng 107); màn SCR-VI-01 Form tạo/sửa #22 "Mục tiêu | Bắt buộc" (dòng 836).
- Mã lỗi nội bộ: BUG-LKHDG_08.</t>
  </si>
  <si>
    <t>LKHDG_10</t>
  </si>
  <si>
    <t xml:space="preserve">1. Chọn menu "Mạng lướt tư vấn viên" -&gt; "Tư vấn viên/Chuyên gia"
2. Tìm kiếm theo từ khóa có kết quả
3. Chọn tiêu chí sắp xếp </t>
  </si>
  <si>
    <r>
      <rPr>
        <rFont val="Times New Roman"/>
        <color rgb="FF1155CC"/>
        <sz val="13.0"/>
        <u/>
      </rPr>
      <t>TKTVV_08.webm</t>
    </r>
  </si>
  <si>
    <t>Lưu nháp thành công</t>
  </si>
  <si>
    <t xml:space="preserve">1. Chọn menu "Đánh giá hiệu quả"
2. Bấm nút Thêm mới
3. Nhập thông tin hợp lệ
4. Bấm nút "Lưu nháp" </t>
  </si>
  <si>
    <t xml:space="preserve">- Hệ thống hiển thị thông điệp "Đã lưu đợt đánh giá" và giữ người dùng ở màn hình chi tiết đợt.
+ Tự sinh mã đợt theo định dạng "DG-{năm-tháng-ngày}-{số thứ tự}".
+ Lưu bản ghi đợt đánh giá ở trạng thái "Lập kế hoạch".
</t>
  </si>
  <si>
    <t>Không giữ/chuyển đến màn hinh chi tiết đợt</t>
  </si>
  <si>
    <r>
      <rPr>
        <rFont val="Times New Roman"/>
        <color rgb="FF1155CC"/>
        <sz val="12.0"/>
        <u/>
      </rPr>
      <t>LKHDG_10.webm</t>
    </r>
  </si>
  <si>
    <t>LDTBDDHT_03</t>
  </si>
  <si>
    <t>❌ BA chốt 15/07/2026: KHÔNG phải lỗi — phần mềm đúng SRS.
- Cùng vấn đề với QLTVV_07 (một vấn đề, hai mã case). Màn danh sách TVV (FR-IV-02) và mẫu P-01 (srs-v3.5.md:681) không quy định sắp xếp theo cột — chỉ lọc + phân trang. Hệ thống đáp ứng đúng SRS.
- Nếu cần sắp xếp theo cột → là yêu cầu cải tiến, trao đổi BA. Đề nghị cập nhật lại Kết quả mong đợi của test case.</t>
  </si>
  <si>
    <t>DKTGMLTVV_02</t>
  </si>
  <si>
    <t>❌ Không phải lỗi (BA xác nhận 24/07/2026).
- BA chốt: nút "Lưu nháp" chỉ lưu đợt về trạng thái Lập kế hoạch rồi ở lại màn danh sách kèm thông báo nổi — đúng cả đặc tả riêng lẫn quy ước dùng chung của hệ thống. SRS đã kiểm nguyên văn: Docs-PM-HTPLDN/_bmad-output/planning-artifacts/srs-v3.5/srs-fr-08-danh-gia.md:841 — thanh hành động biểu mẫu "[Hủy] [Lưu nháp] (→ LAP_KE_HOACH) [Lưu &amp; Chuyển tiêu chí] (→ lưu + mở Tab 1 chi tiết)", tức hai nút có nhiệm vụ khác nhau và chỉ "Lưu &amp; Chuyển tiêu chí" mới mở màn chi tiết; :139 — đầu ra của luồng tạo đợt chỉ yêu cầu "Thông báo thành công | text | Khi lưu thành công | Toast"; :143 — điều kiện sau khi thực hiện chỉ là "Bản ghi KE_HOACH_DANH_GIA được tạo với trạng thái LAP_KE_HOACH". Quy ước dùng chung H7 tại Docs-PM-HTPLDN/_bmad-output/planning-artifacts/srs-v3.5/srs-v3.5.md:6664 còn bắt buộc "Sau khi thực hiện thành công thao tác Thêm mới một bản ghi, hệ thống chuyển hướng về trang Danh sách (SCR-XX-01) kèm toast thông báo", trừ khi FR ghi ngoại lệ — luồng tạo đợt đánh giá không ghi ngoại lệ nào.
- Luồng đi thẳng vào màn chi tiết đã có sẵn ở nút "Lưu &amp; Chuyển tiêu chí", nên yêu cầu của Quý đối tác không bắt buộc cho luồng nghiệp vụ. Kính đề nghị Quý đối tác cập nhật lại Kết quả mong đợi của case này và đưa nội dung "Lưu nháp cũng điều hướng sang màn chi tiết" vào danh sách yêu cầu cải tiến — đây là yêu cầu đi ngược quy ước dùng chung H7, cần CĐT quyết trước khi ghi ngoại lệ vào đặc tả.</t>
  </si>
  <si>
    <t>Kiểm tra hiển thị Nhóm 1 Thông tin cá nhân</t>
  </si>
  <si>
    <t>1. Chọn menu "Mạng lướt tư vấn viên" -&gt; "Tư vấn viên/Chuyên gia"
2. Chọn tab "Mới đăng ký"
3. Nhấn Thêm mới</t>
  </si>
  <si>
    <t>- Dữ liệu trường thông tin Loại, Giới tính không giống với thiết kế
- Khi upload ảnh hệ thống không hiển thị bản xem trước</t>
  </si>
  <si>
    <r>
      <rPr>
        <rFont val="Times New Roman"/>
        <color rgb="FF1155CC"/>
        <sz val="13.0"/>
        <u/>
      </rPr>
      <t>DKTGMLTVV_02.webm</t>
    </r>
  </si>
  <si>
    <t>LKHDG_12</t>
  </si>
  <si>
    <t>❌ Ý "trường Loại phải có 3 giá trị" — BA chốt 15/07/2026: KHÔNG phải lỗi, giữ 2 giá trị.
- Trường "Loại" đúng 2 giá trị Tư vấn viên / Chuyên gia theo SRS (srs-fr-04:1483, :252). "Người hỗ trợ pháp lý" KHÔNG phải một giá trị của trường Loại, mà là đối tượng riêng đã có FR và màn hình riêng (FR-IV-NHT-01/02/03, :1199). BA đã chốt 03/05/2026.
- SRS/quyết định BA có thứ bậc cao hơn bản thiết kế → đề nghị sửa lại bản thiết kế HTPLDN-041 cho khớp SRS.
⚠️ GIỮ status dev done: các ý khác của case (Giới tính đang là danh sách chọn…) vẫn đang chờ Dev.</t>
  </si>
  <si>
    <t>- Nhóm 1 — Thông tin cá nhân ứng viên:  Thiếu trường thông tin "Đơn vị quản lý"</t>
  </si>
  <si>
    <t>DKTGMLTVV_02_v2.jpg</t>
  </si>
  <si>
    <t>1. Chọn menu "Đánh giá hiệu quả"
2. Nhập tiêu chí có kết quả
3. Bấm nút Xuất Excel</t>
  </si>
  <si>
    <t>Hệ thống xuất danh sách đợt đánh giá hiện tại (sau khi áp dụng bộ lọc và phân quyền) ra tệp định dạng XLSX để người dùng tải xuống.</t>
  </si>
  <si>
    <t xml:space="preserve">- Hệ thống xuất danh sách không đúng với tiêu chí lọc
- File excel xuất ra thiếu cột thông tin "Số vụ việc", "Người tạo", "Ngày tạo"
- Thông tin các cột: Tần suất, Đối tượng, Trạng thái hiển thị không dấu
</t>
  </si>
  <si>
    <r>
      <rPr>
        <rFont val="Times New Roman"/>
        <color rgb="FF1155CC"/>
        <sz val="12.0"/>
        <u/>
      </rPr>
      <t>LKHDG_12.webm</t>
    </r>
  </si>
  <si>
    <t>CGTVPL_01</t>
  </si>
  <si>
    <t>Tổng số chuyên gia tư vấn pháp luật</t>
  </si>
  <si>
    <t>Hiển thị tổng số lượng chuyên gia, tư vấn viên đã được thẩm định và công nhận trong mạng lưới.</t>
  </si>
  <si>
    <t>DKTGMLTVV_03</t>
  </si>
  <si>
    <t>✅ Bug ĐÚNG – chuyển dev.
- Lỗi: file Excel "Xuất Excel" từ màn danh sách đợt đánh giá có 2 vấn đề (đã đọc trực tiếp nội dung file xuất ra, tài khoản CB Nghiệp vụ TW):
  1) Thiếu cột: file chỉ có 7 cột (Mã KH, Tên đợt, Tần suất, Đối tượng, Từ ngày, Đến ngày, Trạng thái) — THIẾU 3 cột đang hiển thị trên bảng danh sách: "Số vụ việc", "Người tạo", "Ngày tạo".
  2) Cột Tần suất / Đối tượng / Trạng thái ghi MÃ enum thô (TRON_NAM, VU_VIEC, LAP_KE_HOACH, CHO_PHE_DUYET, HOAN_THANH) thay vì nhãn tiếng Việt như trên giao diện ("Trọn năm", "Vụ việc", "Lập kế hoạch"...). Đối tác mô tả là "hiển thị không dấu".
- Chuẩn: SRS SCR-VI-01 quy định các cột này hiển thị nhãn tiếng Việt (Tần suất: TRON_NAM → nhãn "Tròn năm", dòng 821; Trạng thái: nhãn theo máy trạng thái SM-DANHGIA, dòng 824). File xuất phải trình bày dữ liệu người dùng đọc được và nhất quán với bảng danh sách.
- Về ý "xuất sai tiêu chí lọc": lần kiểm này export ở chế độ không lọc trả đúng 3 đợt; chưa tái hiện được lỗi lọc (phiên đăng nhập hết hạn khi thử áp bộ lọc). Hai lỗi trên đã đủ căn cứ.
- Mã lỗi nội bộ: BUG-LKHDG_12.</t>
  </si>
  <si>
    <t>Kiểm tra hiển thị Nhóm 2 Thông tin nghề nghiệp</t>
  </si>
  <si>
    <t>CGTVPL_01.png</t>
  </si>
  <si>
    <t>Màn hình hiển thị thiếu trường thông tin Chứng chỉ hành nghề,  Mô tả kinh nghiệm</t>
  </si>
  <si>
    <r>
      <rPr>
        <rFont val="Times New Roman"/>
        <color rgb="FF1155CC"/>
        <sz val="13.0"/>
        <u/>
      </rPr>
      <t>DKTGMLTVV_03.webm</t>
    </r>
  </si>
  <si>
    <t>LKHDG_16</t>
  </si>
  <si>
    <t>"Sửa"</t>
  </si>
  <si>
    <t>✅ Bug ĐÚNG – chuyển dev.
- Tái hiện được: nhóm "Nghề nghiệp" trên form Thêm mới Tư vấn viên thiếu cả 2 trường bạn nêu. Các trường hiện có: Trình độ học vấn, Chuyên ngành, Chức vụ, Nơi công tác, Số năm kinh nghiệm, Số thẻ hành nghề, File thẻ hành nghề, Bằng cấp chi tiết, Chứng chỉ chi tiết — không có "Chứng chỉ hành nghề" và không có "Mô tả kinh nghiệm".
- Yêu cầu đặc tả: SCR-IV-02 nhóm 2 quy định đủ 2 trường này — mục 3.2 "Chứng chỉ hành nghề | ô văn bản" (dòng 1497) và mục 3.7 "Mô tả kinh nghiệm | ô văn bản dài | Tối đa 5000 ký tự" (dòng 1502). Đây là 2 trường riêng, tách biệt với "Chứng chỉ chi tiết" (mục 3.4) và "Số thẻ hành nghề" (mục 3.5) đang có trên web.
- Verify bằng ĐÚNG vai trò Người hỗ trợ pháp lý (NHT) như màn hình bạn quay. Kiểm chéo thêm vai trò Cán bộ nghiệp vụ: kết quả như nhau.
- Bug ID: BUG-DKTGMLTVV_03 (cùng nguyên nhân với BUG-QLTVV_13 / BUG-QLTVV_23 đã báo ở lô trước — form Thêm mới và form Sửa cùng thiếu).</t>
  </si>
  <si>
    <t>- Nhóm 2 — Thông tin chuyên môn: SRS quy định chỉ hiển thị các trường Trình độ chuyên môn, Chuyên ngành đào tạo, Số năm kinh nghiệm. Nhưng hệ thống hiển thị nhiều hơn</t>
  </si>
  <si>
    <t>DKTGMLTVV_03_v2.jpg</t>
  </si>
  <si>
    <t>1. Chọn menu "Đánh giá hiệu quả"
2. Bấm "Sửa"</t>
  </si>
  <si>
    <t xml:space="preserve">- Chỉ hiển thị khi đợt đang ở trạng thái "Lập kế hoạch" hoặc "Phân công", và Cán bộ nghiệp vụ thuộc đơn vị sở hữu đợt.
- Hệ thống mở màn hình chi tiết đợt đánh giá ở chế độ chỉnh sửa.
</t>
  </si>
  <si>
    <r>
      <rPr>
        <rFont val="Times New Roman"/>
        <color theme="1"/>
        <sz val="12.0"/>
      </rPr>
      <t>- Các trường thông tin không được chỉnh sửa
- Breadcrum hiển thị đường dẫn là Trang chủ/Đánh giá hiệu quả/Kế hoạch đánh giá/</t>
    </r>
    <r>
      <rPr>
        <rFont val="Times New Roman"/>
        <color rgb="FFFF0000"/>
        <sz val="12.0"/>
      </rPr>
      <t>Chi tiết</t>
    </r>
  </si>
  <si>
    <r>
      <rPr>
        <rFont val="Times New Roman"/>
        <color rgb="FF1155CC"/>
        <sz val="12.0"/>
        <u/>
      </rPr>
      <t>LKHDG_16.jpg</t>
    </r>
  </si>
  <si>
    <t>DKTGMLTVV_11</t>
  </si>
  <si>
    <t xml:space="preserve">Gửi đăng ký khi Tệp đính kèm vượt dung lượng, số lượng hoặc sai định dạng </t>
  </si>
  <si>
    <t>CGTVPL_02</t>
  </si>
  <si>
    <t>✅ Bug ĐÚNG – chuyển dev.
- Lỗi: bấm "Sửa" một đợt đang ở trạng thái "Lập kế hoạch" KHÔNG mở màn chỉnh sửa. Hệ thống mở màn chi tiết ở chế độ chỉ xem: các trường thông tin (Tên đợt, Mục tiêu, Tần suất, Đối tượng, Thời gian...) hiển thị read-only, không sửa được; breadcrumb hiển thị "Trang chủ / Đánh giá hiệu quả / Kế hoạch đánh giá / Chi tiết" (đúng ra là màn Sửa/Chỉnh sửa).
- Đã verify env test (tài khoản CB Nghiệp vụ TW): tạo đợt DG-20260720-0002 (Lập kế hoạch) → danh sách hiện icon Sửa (đúng, chỉ hiện ở Lập kế hoạch/Phân công) → bấm Sửa → điều hướng tới URL chi tiết đợt, các trường read-only, không có ô nhập nào cho thông tin đợt.
- Chuẩn: SRS SCR-VI-01 — "Form tạo/sửa đợt đánh giá" (các trường phải nhập/sửa được); Hành động danh sách #18: "Sửa (chỉ LAP_KE_HOACH/PHAN_CONG)" → mở form sửa; FR-VI-01 (UC83) Acceptance Criteria: "CB NV chỉnh sửa KH chưa duyệt → thay đổi → validate + lưu".
- Mã lỗi nội bộ: BUG-LKHDG-EDIT (gộp LKHDG_16/20/21/22).</t>
  </si>
  <si>
    <t xml:space="preserve">1. Chọn menu "Mạng lướt tư vấn viên" -&gt; "Tư vấn viên/Chuyên gia"
2. Chọn tab "Mới đăng ký"
3. Nhấn Thêm mới
4. Tệp đính kèm vượt dung lượng, số lượng hoặc sai định dạng </t>
  </si>
  <si>
    <t>Hệ thống giới hạn chỉ upload 10 file nhưng không hiển thị thông báo cho người dùng dễ dàng nhận biết</t>
  </si>
  <si>
    <r>
      <rPr>
        <rFont val="Times New Roman"/>
        <color rgb="FF1155CC"/>
        <sz val="13.0"/>
        <u/>
      </rPr>
      <t>DKTGMLTVV_11.webm</t>
    </r>
  </si>
  <si>
    <t>Click Chuyên gia / Tư vấn viên</t>
  </si>
  <si>
    <t>LKHDG_19</t>
  </si>
  <si>
    <t>Click thẻ Chuyên gia / Tư vấn viên</t>
  </si>
  <si>
    <t>Mở DS Chuyên gia / Tư vấn viên</t>
  </si>
  <si>
    <t>Kiểm tra hiển thị các trường thông tin trong Chi tiết đợt đánh giá (tab Kế hoạch)</t>
  </si>
  <si>
    <t>CGTVPL_02.png</t>
  </si>
  <si>
    <t>1. Chọn menu "Đánh giá hiệu quả"
2. Bấm vào mã đợt trên bảng danh sách</t>
  </si>
  <si>
    <t xml:space="preserve">Không hiển thị trường thông tin Cơ quan được đánh giá </t>
  </si>
  <si>
    <t>✅ Bug ĐÚNG – chuyển dev.
- Tái hiện được đúng ý bạn báo: chọn 11 tệp PDF cho "File đính kèm (Bằng cấp / Chứng chỉ)" → danh sách dừng đúng ở 10 tệp, tệp thứ 11 bị bỏ im lặng, KHÔNG có thông báo nào (đã theo dõi DOM trong 4 giây sau thao tác: không toast, không dòng lỗi dưới ô, console sạch).
- Yêu cầu đặc tả: FR-IV-01 §Error Handling E7 (dòng 202): số file vượt 10 → mã ERR-TVV-07 → hiển thị "Tối đa 10 file bằng cấp" (mức ERROR). SCR-IV-02 mục 5.1 (dòng 1508) cũng ghi "tối đa 10 file... Vượt giới hạn → lỗi cụ thể".
- Khoanh vùng giúp dev: 2 nhánh còn lại của case này ĐANG CHẠY ĐÚNG — tải sai định dạng báo "Định dạng không được hỗ trợ. Chấp nhận: .pdf"; tải tệp 11MB báo "Kích thước vượt quá giới hạn 10MB.". Chỉ riêng nhánh vượt SỐ LƯỢNG là thiếu thông báo.
- Verify bằng ĐÚNG vai trò Người hỗ trợ pháp lý (NHT) như màn hình bạn quay. Kiểm chéo thêm vai trò Cán bộ nghiệp vụ: kết quả như nhau.
- Bug ID: BUG-DKTGMLTVV_11 (cùng nguyên nhân với BUG-QLTVV_18 đã báo ở lô trước).</t>
  </si>
  <si>
    <r>
      <rPr>
        <rFont val="Times New Roman"/>
        <color rgb="FF1155CC"/>
        <sz val="12.0"/>
        <u/>
      </rPr>
      <t>LKHDG_19.jpg</t>
    </r>
  </si>
  <si>
    <t>DKTGMLTVV_14</t>
  </si>
  <si>
    <t>Hủy khi có thay đổi</t>
  </si>
  <si>
    <t>✅ Bug đúng (BA duyệt 24/07/2026) — Loại 2: BA đã chốt cập nhật SRS rồi Dev làm theo SRS mới. Mức Minor. Owner Dev FE.
Dev FE: thẻ thông tin đợt ở màn chi tiết đợt đánh giá phải hiển thị thêm trường "Cơ quan được đánh giá" — đúng giá trị người dùng đã chọn lúc tạo đợt, dạng chỉ đọc như các trường còn lại. Đây là trường bắt buộc trong mô hình dữ liệu, dùng để phân biệt cơ quan ĐƯỢC đánh giá với cơ quan THỰC HIỆN đánh giá và là trục quyết định đợt xếp vào biểu 21a hay 21b của TT 17/2025; ẩn khỏi màn chi tiết là mất thông tin nhận diện cốt lõi.
SRS đã kiểm nguyên văn: Docs-PM-HTPLDN/_bmad-output/planning-artifacts/srs-v3.5/srs-fr-08-danh-gia.md:849 — thẻ "Thông tin đợt" nay ghi "Mã đợt, Tên đợt, Tần suất, Kỳ đánh giá, Đối tượng, Cơ quan được đánh giá (read-only)", tức bản SRS này ĐÃ áp xong phần cập nhật BA chốt (BA trích bản cũ ở cùng dòng :849, khi đó còn 5 trường); :1033 — mô hình dữ liệu "co_quan_duoc_danh_gia_id | identifier | Y | FK → DON_VI(id) | Cơ quan được đánh giá (1:1, Q-07). Khác don_vi_id (= cơ quan thực hiện ĐG) [CR-10]". Phần Dev còn nợ là hiển thị trên giao diện.
── CÁCH VERIFY sau Dev fix ──
Precondition: đăng nhập https://18.143.165.120.nip.io bằng cbnv_tw / Test@1234 (CB Nghiệp vụ Trung ương). Cần 1 đợt có chọn Cơ quan được đánh giá lúc tạo; chưa có thì tạo: /danh-gia/ke-hoach/danh-sach → "Tạo đợt đánh giá" → Tên đợt "Kiem thu LKHDG_19", Mục tiêu bất kỳ, Tần suất tròn năm, Từ 01/01/2026 đến 31/12/2026, Đối tượng Vụ việc, Cơ quan được đánh giá chọn "Bộ Công an" → Lưu nháp.
1) Từ danh sách, bấm mã đợt vừa tạo để mở màn chi tiết.
2) Đọc toàn bộ nhãn + giá trị trên thẻ thông tin đợt ở đầu màn chi tiết, ghi lại danh sách trường nhìn thấy.
3) Quay lại danh sách, mở biểu mẫu Sửa đợt đó, đổi Cơ quan được đánh giá sang đơn vị khác (vd "Bộ Tài chính") → Lưu → mở lại màn chi tiết.
✅ PASS khi ĐỦ 3 điều: (i) bước 2 thẻ thông tin đợt CÓ dòng "Cơ quan được đánh giá" với giá trị đúng "Bộ Công an"; (ii) giá trị đó chỉ đọc, không sửa trực tiếp được trên màn chi tiết; (iii) bước 3 màn chi tiết hiển thị "Bộ Tài chính" — tức giá trị bám theo dữ liệu của đợt chứ không phải chuỗi cố định.
❌ FAIL nếu: thẻ chi tiết vẫn không có dòng "Cơ quan được đánh giá"; HOẶC có nhãn nhưng giá trị trống / gạch ngang / hiện mã định danh thay vì tên đơn vị; HOẶC giá trị không đổi sau bước 3.
⚠️ KHÔNG nhầm "Cơ quan được đánh giá" với đơn vị chủ quản của người tạo đợt (= cơ quan THỰC HIỆN đánh giá) — hai trường khác nhau; đổ tên đơn vị thực hiện vào ô này vẫn tính FAIL.
⚠️ Các trường app đang có ngoài danh sách nêu trên (Mục tiêu, Thời gian bắt đầu/kết thúc, Số vụ việc, Điểm trung bình, Ghi chú) giữ nguyên — thêm trường mới không được làm mất các trường này.</t>
  </si>
  <si>
    <t>1. Chọn menu "Mạng lướt tư vấn viên" -&gt; "Tư vấn viên/Chuyên gia"
2. Dữ liệu hợp lệ và nhấn Hủy</t>
  </si>
  <si>
    <t>Hệ thống hiển thị hộp xác nhận "Bạn có chắc chắn rời khỏi mà không gửi đăng ký?". Xác nhận rời khỏi → hệ thống bỏ các thay đổi và quay về trang chủ; chọn "Ở lại" → đóng hộp xác nhận, giữ nguyên biểu mẫu.</t>
  </si>
  <si>
    <t>Khi xác nhận Ở lại hệ thống xóa các thông tin đã nhập trước đó</t>
  </si>
  <si>
    <r>
      <rPr>
        <rFont val="Times New Roman"/>
        <color rgb="FF1155CC"/>
        <sz val="13.0"/>
        <u/>
      </rPr>
      <t>DKTGMLTVV_14.webm</t>
    </r>
  </si>
  <si>
    <t>LKHDG_20</t>
  </si>
  <si>
    <t>Kiểm tra nút chức năng "Hủy"</t>
  </si>
  <si>
    <t>1. Chọn menu "Đánh giá hiệu quả"
2. Bấm vào mã đợt trên bảng danh sách
3. Bấm nút "Hủy" khi đang lập mới hoặc chỉnh sửa đợt</t>
  </si>
  <si>
    <t>Hệ thống hiển thị cửa sổ xác nhận hủy bỏ thay đổi. Sau khi xác nhận, hệ thống đóng biểu mẫu và quay về màn hình danh sách đợt đánh giá.</t>
  </si>
  <si>
    <t>- Hệ thống không hiển thị cửa sổ xác nhận
- Màn hình chỉnh sửa không có nút chức năng</t>
  </si>
  <si>
    <r>
      <rPr>
        <rFont val="Times New Roman"/>
        <color rgb="FF1155CC"/>
        <sz val="12.0"/>
        <u/>
      </rPr>
      <t>LKHDG_20.webm</t>
    </r>
  </si>
  <si>
    <t>✅ Bug ĐÚNG – chuyển dev.
- Tái hiện được, và xác định được nguyên nhân chính xác hơn: biểu mẫu bị xóa trắng NGAY KHI bấm nút "Hủy" — tức trước cả khi hộp thoại xác nhận kịp hiện ra và trước khi người dùng chọn nút nào. Đo giá trị các ô ở 3 thời điểm: (1) trước khi bấm Hủy — có đủ dữ liệu; (2) lúc hộp thoại vừa hiện, chưa bấm gì — đã trắng; (3) sau khi chọn "Ở lại" — vẫn trắng. Vậy nút "Ở lại" không phải thủ phạm, nó chỉ không khôi phục lại được dữ liệu đã bị xóa trước đó.
- Hộp thoại hiển thị đúng: "Bạn có thay đổi chưa được lưu / Nếu tiếp tục, các thay đổi sẽ bị mất" với 2 nút "Ở lại" và "Tiếp tục". Ảnh chân dung và danh sách tệp đính kèm không bị xóa; chỉ các trường nhập liệu bị mất.
- Yêu cầu đặc tả: SCR-IV-02 mục 7 – thanh hành động (dòng 1512): bấm "Hủy" khi có thay đổi chưa lưu thì mở hộp thoại xác nhận; theo quy ước hộp thoại xác nhận (dòng 1392), nút phụ ("Ở lại") nghĩa là KHÔNG thực hiện hành động — phải đóng hộp thoại và giữ nguyên biểu mẫu. Việc bỏ dữ liệu chỉ được xảy ra khi người dùng chọn nút chính ("Tiếp tục").
- Verify bằng ĐÚNG vai trò Người hỗ trợ pháp lý (NHT) như màn hình bạn quay. Kiểm chéo thêm vai trò Cán bộ nghiệp vụ: kết quả như nhau.
- Bug ID: BUG-DKTGMLTVV_14 (cùng nguyên nhân với BUG-QLTVV_22 đã báo ở lô trước).</t>
  </si>
  <si>
    <t>CNHSNLTVV_02</t>
  </si>
  <si>
    <t>CGTVPL_03</t>
  </si>
  <si>
    <t>Kiểm tra hiển thị các trường thông tin</t>
  </si>
  <si>
    <t>✅ Bug ĐÚNG – chuyển dev.
- Lỗi: màn chỉnh sửa đợt KHÔNG có nút "Hủy" của biểu mẫu (nút hủy bỏ thay đổi + đóng biểu mẫu + quay về danh sách). Nguyên nhân gốc: bấm "Sửa" không mở form chỉnh sửa mà mở màn chi tiết read-only nên không có thanh hành động của form.
- Đã verify env test (tài khoản CB Nghiệp vụ TW): bấm Sửa đợt DG-20260720-0002 (Lập kế hoạch) → màn chi tiết read-only, chỉ có nút "Quay lại danh sách" và "Hủy đợt" (đây là hủy/chấm dứt đợt sang trạng thái Hủy, KHÁC với nút "Hủy" hủy bỏ thay đổi của biểu mẫu chỉnh sửa). Không có nút [Hủy] của form → không có cửa sổ xác nhận hủy bỏ thay đổi.
- Chuẩn: SRS SCR-VI-01 thanh hành động form (#27): "[Hủy] [Lưu nháp] [Lưu &amp; Chuyển tiêu chí]" — form sửa phải có nút [Hủy]; hủy → đóng biểu mẫu, quay về danh sách.
- Mã lỗi nội bộ: BUG-LKHDG-EDIT (gộp LKHDG_16/20/21/22).</t>
  </si>
  <si>
    <t xml:space="preserve">1. Chọn menu "Mạng lướt tư vấn viên" -&gt; "Tư vấn viên/Chuyên gia"
</t>
  </si>
  <si>
    <t>- Hệ thống hiển thị các trường thông tin giống với thiết kế
- Dữ liệu hiển thị Giá trị hiện tại và đúng định dạng 
- Dữ liệu hiển thị không bị tràn/đè lên nhau, đồng nhất ngôn ngữ hiển thị</t>
  </si>
  <si>
    <t>Màn hình hiển thị các trường thông tin không giống với thiết kế</t>
  </si>
  <si>
    <r>
      <rPr>
        <rFont val="Times New Roman"/>
        <color rgb="FF1155CC"/>
        <sz val="13.0"/>
        <u/>
      </rPr>
      <t>CNHSNLTVV_02.webm</t>
    </r>
  </si>
  <si>
    <t>LKHDG_21</t>
  </si>
  <si>
    <t xml:space="preserve">Kiểm tra chức năng "Lưu nháp" </t>
  </si>
  <si>
    <t>CGTVPL_03.png</t>
  </si>
  <si>
    <t>1. Chọn menu "Đánh giá hiệu quả"
2. Kiểm tra chức năng "Lưu nháp"</t>
  </si>
  <si>
    <t>Chỉ hiển thị khi đang lập mới đợt hoặc chỉnh sửa đợt ở trạng thái "Lập kế hoạch".</t>
  </si>
  <si>
    <t>Màn hình chỉnh sửa không có nút chức năng</t>
  </si>
  <si>
    <r>
      <rPr>
        <rFont val="Times New Roman"/>
        <color rgb="FF1155CC"/>
        <sz val="12.0"/>
        <u/>
      </rPr>
      <t>LKHDG_21.jpg</t>
    </r>
  </si>
  <si>
    <t>Tên PM</t>
  </si>
  <si>
    <t>✅ Bug ĐÚNG – chuyển dev.
- Web hiện tại: form "Cập nhật năng lực" (thẻ Năng lực, màn Chi tiết tư vấn viên) chỉ có 6 trường: Kinh nghiệm tư vấn, Chuyên ngành, Lĩnh vực pháp luật, Chứng chỉ hiện có (chỉ đọc), Thêm chứng chỉ mới, Ghi chú cập nhật.
- Thiếu 5 trường theo đặc tả: Bằng cấp chi tiết, Chứng chỉ chi tiết, Trình độ, Số năm kinh nghiệm, Số thẻ hành nghề / File thẻ hành nghề.
- Mâu thuẫn ngay trong cùng một thẻ: thẻ Năng lực có hiển thị dòng "Bằng cấp" và "Chứng chỉ", nhưng chính nút "Cập nhật năng lực" của thẻ đó lại không cho nhập/sửa hai mục này (chỉ sửa được ở màn Sửa hồ sơ).
- Theo SRS: FR-IV-04 (UC42) "Cập nhật năng lực", màn hình SCR-IV-03 – thẻ Năng lực; bảng dữ liệu đầu vào quy định đủ 11 trường (srs-fr-04-chuyen-gia-tvv.md, dòng 376–388), và SCR-IV-03 (dòng 1566) quy định thẻ Năng lực gồm Bằng cấp chi tiết, Chứng chỉ chi tiết, Kinh nghiệm chi tiết kèm nút "Cập nhật năng lực" mở biểu mẫu sửa nhanh.
- Đã verify bằng đúng vai trò của phản ánh: tài khoản Người hỗ trợ (NHT) cùng đơn vị với tư vấn viên, thử trên 2 trạng thái tư vấn viên (Đang hoạt động và Mới đăng ký) — biểu mẫu đều chỉ ra 6 trường.
- Bug ID: BUG-CNHSNLTVV_02.</t>
  </si>
  <si>
    <t>Tổng</t>
  </si>
  <si>
    <t>- Màn hình chi tiết hiển thị các trường thông tin không giống với màn hình cập nhật
- Khi nhấn Cập nhật, trường thông tin Mô tả kinh nghiệm không hiển thị giá trị hiện tại mặc dù tồn tại dữ liệu</t>
  </si>
  <si>
    <t>CNHSNLTVV_02_v2.webm</t>
  </si>
  <si>
    <t>✅ Bug ĐÚNG – chuyển dev.
- Lỗi: màn chỉnh sửa đợt KHÔNG có nút "Lưu nháp". Nguyên nhân gốc: bấm "Sửa" không mở form chỉnh sửa mà mở màn chi tiết read-only nên không có thanh hành động của form (trong đó có nút Lưu nháp).
- Đã verify env test (tài khoản CB Nghiệp vụ TW): bấm Sửa đợt DG-20260720-0002 (Lập kế hoạch) → màn chi tiết read-only, chỉ có "Quay lại danh sách", "Hủy đợt", và các nút của tab Tiêu chí ("Thêm tiêu chí", "Nhập từ danh mục", "Lưu"). Không có nút "Lưu nháp" cho việc chỉnh sửa thông tin đợt.
- Chuẩn: SRS SCR-VI-01 thanh hành động form (#27): "[Hủy] [Lưu nháp] (→ trạng thái Lập kế hoạch) [Lưu &amp; Chuyển tiêu chí]" — form sửa/tạo phải có nút [Lưu nháp].
- Mã lỗi nội bộ: BUG-LKHDG-EDIT (gộp LKHDG_16/20/21/22).</t>
  </si>
  <si>
    <t>QLHSTVV_02</t>
  </si>
  <si>
    <t>LKHDG_22</t>
  </si>
  <si>
    <t>Kiểm tra hiển thị Khu vực thông tin đầu trang (thẻ giới thiệu tư vấn viên)</t>
  </si>
  <si>
    <t>Kiểm tra chức năng "Lưu &amp; Chuyển tiêu chí"</t>
  </si>
  <si>
    <t>TGPL DN</t>
  </si>
  <si>
    <t>1. Chọn menu "Mạng lướt tư vấn viên" -&gt; "Tư vấn viên/Chuyên gia"
2. Tìm kiếm và Nhấn xem chi tiết ứng viên</t>
  </si>
  <si>
    <t>BS</t>
  </si>
  <si>
    <t>- Hệ thống hiển thị các trường thông tin giống với thiết kế, không được chỉnh sửa
- Dữ liệu hiển thị Giá trị hiện tại và đúng định dạng 
- Dữ liệu hiển thị không bị tràn/đè lên nhau, đồng nhất ngôn ngữ hiển thị</t>
  </si>
  <si>
    <t>1. Chọn menu "Đánh giá hiệu quả"
2. Kiểm tra chức năng "Lưu &amp; Chuyển tiêu chí"</t>
  </si>
  <si>
    <t>Không hiển thị các trường thông tin "Loại", "Tổ chức tư vấn",  "Lĩnh vực pháp luật"</t>
  </si>
  <si>
    <r>
      <rPr>
        <rFont val="Times New Roman"/>
        <color rgb="FF1155CC"/>
        <sz val="13.0"/>
        <u/>
      </rPr>
      <t>QLHSTVV_02.jpg</t>
    </r>
  </si>
  <si>
    <r>
      <rPr>
        <rFont val="Times New Roman"/>
        <color rgb="FF1155CC"/>
        <sz val="12.0"/>
        <u/>
      </rPr>
      <t>LKHDG_22.jpg</t>
    </r>
  </si>
  <si>
    <t>Tỷ lệ hồ sơ bổ sung</t>
  </si>
  <si>
    <t>✅ Bug ĐÚNG – chuyển dev.
- Lỗi: màn chỉnh sửa đợt KHÔNG có nút "Lưu &amp; Chuyển tiêu chí". Nguyên nhân gốc: bấm "Sửa" không mở form chỉnh sửa mà mở màn chi tiết read-only nên không có thanh hành động của form.
- Đã verify env test (tài khoản CB Nghiệp vụ TW): bấm Sửa đợt DG-20260720-0002 (Lập kế hoạch) → màn chi tiết read-only, không có nút "Lưu &amp; Chuyển tiêu chí" cho việc chỉnh sửa thông tin đợt (chỉ có các nút của tab Tiêu chí + "Hủy đợt" + "Quay lại danh sách").
- Chuẩn: SRS SCR-VI-01 thanh hành động form (#27): "[Hủy] [Lưu nháp] [Lưu &amp; Chuyển tiêu chí] (→ lưu + mở tab tiêu chí)" — form sửa/tạo phải có nút [Lưu &amp; Chuyển tiêu chí].
- Mã lỗi nội bộ: BUG-LKHDG-EDIT (gộp LKHDG_16/20/21/22).</t>
  </si>
  <si>
    <t>❌ BA xác nhận 15/07/2026: KHÔNG phải lỗi — phần mềm đúng SRS.
- Theo SCR-IV-03 (srs-fr-04:1541), thẻ giới thiệu đầu trang gồm Ảnh, Họ tên, Mã TVV, Trạng thái, điểm đánh giá, Ngày công nhận. 3 trường Loại / Tổ chức tư vấn / Lĩnh vực pháp luật được SRS đặt ở thẻ "Hồ sơ" bên dưới (:1554), không phải thẻ đầu trang. Hệ thống đáp ứng đúng SRS.
- Muốn đưa 3 trường lên thẻ đầu trang → là yêu cầu cải tiến, trao đổi BA.
- Lưu ý việc KHÁC: trường "Loại" vẫn phải hiện trong thẻ "Hồ sơ" theo :1554 → BUG-QLTVV_04 giữ Open, theo dõi ở case đó.</t>
  </si>
  <si>
    <t>TLCTCDG_07</t>
  </si>
  <si>
    <t>QLHSTVV_03</t>
  </si>
  <si>
    <t>Kiểm tra hiển thị Thẻ "Hồ sơ" nội dung chỉ xem, tổ chức thành 5 nhóm thu gọn</t>
  </si>
  <si>
    <t>Kiểm tra nút chức năng "Sửa tiêu chí"</t>
  </si>
  <si>
    <t xml:space="preserve">1. Đăng nhập tài khoản 
2. Đợt đánh giá đang ở trạng thái "Lập kế hoạch". </t>
  </si>
  <si>
    <t>1. Chọn menu "Đánh giá hiệu quả"
2. Mở Chi tiết đợt đánh giá (tab Tiêu chí)
3. Bấm nút "Sửa tiêu chí"</t>
  </si>
  <si>
    <t>- Hệ thống chuyển dòng đó sang chế độ chỉnh sửa để NSD cập nhật thông tin.
- Thành công: Dòng tiêu chí chuyển sang chế độ chỉnh sửa.</t>
  </si>
  <si>
    <t>Không có nút chức năng chỉnh sửa</t>
  </si>
  <si>
    <t>- Hệ thống hiển thị 5 nhóm giống với thiết kế
- Các trường thông tin giống với thiết kế, không được chỉnh sửa
- Dữ liệu hiển thị Giá trị hiện tại và đúng định dạng 
- Dữ liệu hiển thị không bị tràn/đè lên nhau, đồng nhất ngôn ngữ hiển thị</t>
  </si>
  <si>
    <r>
      <rPr>
        <rFont val="Times New Roman"/>
        <color rgb="FF1155CC"/>
        <sz val="12.0"/>
        <u/>
      </rPr>
      <t>TLCTCDG_07.jpg</t>
    </r>
  </si>
  <si>
    <t>- 5 nhóm thông tin không giống với thiết kế</t>
  </si>
  <si>
    <r>
      <rPr>
        <rFont val="Times New Roman"/>
        <color rgb="FF1155CC"/>
        <sz val="13.0"/>
        <u/>
      </rPr>
      <t>QLHSTVV_03.webm</t>
    </r>
  </si>
  <si>
    <t>Kiểm tra Tỷ lệ hố sơ bổ sung</t>
  </si>
  <si>
    <t>✅ Bug ĐÚNG – chuyển dev.
- Lỗi: Tại Tab Tiêu chí của đợt đánh giá (trạng thái Lập kế hoạch), mỗi dòng tiêu chí CHỈ có nút Xóa (icon thùng rác), KHÔNG có nút Sửa. Thử bấm vào ô "Tên tiêu chí", bấm đúp, bấm cả dòng đều không mở ô nhập inline hay màn hình sửa → không có cách nào chỉnh sửa một tiêu chí đã tạo (chỉ có thể xóa rồi thêm lại).
- Chuẩn: SRS SCR-VI-01, Tab Tiêu chí (mục #29) quy định bảng tiêu chí là bảng Editable với cột "Hành động (Sửa/Xóa)" và hỗ trợ sửa trực tiếp trên ô (inline edit). Hệ thống thiếu cả nút Sửa lẫn khả năng sửa inline.
- Mã lỗi nội bộ: BUG-TLCTCDG_07.</t>
  </si>
  <si>
    <t>✅ Bug ĐÚNG – chuyển dev.
- Web hiện tại: thẻ "Hồ sơ" của màn Chi tiết tư vấn viên chia 5 nhóm: Thông tin cá nhân / Nghề nghiệp / Tổ chức &amp; Mạng lưới / File đính kèm / Ghi chú.
- Sai so với đặc tả ở bố cục nhóm: "Lĩnh vực pháp luật" phải là MỘT NHÓM RIÊNG nhưng đang bị gộp vào nhóm "Tổ chức &amp; Mạng lưới"; đồng thời phát sinh thêm nhóm "Ghi chú" không có trong đặc tả, và thiếu nhóm "Thông tin công khai" (nhóm này chỉ hiện khi hồ sơ đã công khai).
- Theo SRS: FR-IV-05 (UC43) – SCR-IV-03, thẻ "Hồ sơ" (srs-fr-04-chuyen-gia-tvv.md, dòng 1554) quy định 6 nhóm thu gọn, chỉ đọc: (a) Thông tin cá nhân, (b) Nghề nghiệp, (c) Tổ chức, (d) Lĩnh vực, (e) File đính kèm, (f) Thông tin công khai (chỉ hiển thị khi hồ sơ đã công khai). Bản thiết kế đối tác dẫn cũng tách riêng "Nhóm 4 – Lĩnh vực pháp luật".
- Đã kiểm tra để loại trừ nguyên nhân thiếu dữ liệu: tư vấn viên thử nghiệm CÓ đủ cả Tổ chức chính và Lĩnh vực, vẫn không tách nhóm.
- Đã verify bằng đúng vai trò của phản ánh: tài khoản Cán bộ Nghiệp vụ Trung ương, trên 2 tư vấn viên (một chưa công khai, một đã công khai) — bố cục nhóm như nhau.
- Lưu ý: các trường còn thiếu BÊN TRONG nhóm (Loại, Đơn vị quản lý, Chức vụ, Nơi công tác, Chứng chỉ hành nghề, Mô tả kinh nghiệm) đã ghi nhận ở BUG-QLTVV_04, không lặp lại ở đây.
- Bug ID: BUG-QLHSTVV_03.</t>
  </si>
  <si>
    <t>- Nhóm 2 thông tin nghề nghiệp thừa trường Số quyết định (công nhận)
- Nhóm 3 — Tổ chức thừa trường Địa bàn</t>
  </si>
  <si>
    <t>QLHSTVV_03_v2.jpg</t>
  </si>
  <si>
    <t>TLCTCDG_08</t>
  </si>
  <si>
    <t>Kiểm tra nút chức năng "Xóa tiêu chí"</t>
  </si>
  <si>
    <t>1. Chọn menu "Đánh giá hiệu quả"
2. Mở Chi tiết đợt đánh giá (tab Tiêu chí)
3. Bấm nút "Xóa tiêu chí"</t>
  </si>
  <si>
    <t>QLHSTVV_04</t>
  </si>
  <si>
    <t>- Hệ thống hiển thị cửa sổ xác nhận. Sau khi xác nhận, hệ thống xóa tiêu chí khỏi bảng và cập nhật lại tổng trọng số.</t>
  </si>
  <si>
    <t>Không hiển thị cửa sổ xác nhận</t>
  </si>
  <si>
    <r>
      <rPr>
        <rFont val="Times New Roman"/>
        <color rgb="FF1155CC"/>
        <sz val="12.0"/>
        <u/>
      </rPr>
      <t>TLCTCDG_08.webm</t>
    </r>
  </si>
  <si>
    <t>← Quay lại danh sách</t>
  </si>
  <si>
    <t>1. Chọn menu "Mạng lướt tư vấn viên" -&gt; "Tư vấn viên/Chuyên gia"
2. Tìm kiếm và Nhấn xem chi tiết ứng viên
3. Bấm nút "← Quay lại danh sách"</t>
  </si>
  <si>
    <t>Hệ thống chuyển về màn hình Danh sách tư vấn viên, giữ nguyên các bộ lọc đang áp dụng trước đó.</t>
  </si>
  <si>
    <t>Hệ thống chuyển về màn hình Danh sách tư vấn viên nhưng không giữ nguyên các bộ lọc đang áp dụng trước đó.</t>
  </si>
  <si>
    <r>
      <rPr>
        <rFont val="Times New Roman"/>
        <color rgb="FF1155CC"/>
        <sz val="13.0"/>
        <u/>
      </rPr>
      <t>QLHSTVV_04.webm</t>
    </r>
  </si>
  <si>
    <t>✅ Bug ĐÚNG – chuyển dev.
- Lỗi: Bấm nút Xóa (icon thùng rác) trên một dòng tiêu chí → tiêu chí bị xóa NGAY LẬP TỨC, không có hộp thoại xác nhận ("Bạn có chắc chắn muốn xóa..."), không popup, không bước hỏi lại. Rủi ro mất tiêu chí do bấm nhầm.
- Chuẩn: SRS SCR-VI-01, Tab Tiêu chí (mục #29) quy định thao tác Xóa tiêu chí thuộc nhóm thành phần C12; SRS mô tả C12 là bước "confirm" (xác nhận) — ví dụ nút Phê duyệt phân công (#39) cũng "→ C12 confirm". Thao tác xóa dữ liệu cần một bước xác nhận trước khi thực thi.
- Mã lỗi nội bộ: BUG-TLCTCDG_08.</t>
  </si>
  <si>
    <t>✅ BA duyệt 15/07/2026 — chuyển Dev FE.
- Giữ bộ lọc khi bấm "Quay lại danh sách" từ màn chi tiết. Phạm vi giữ: thẻ trạng thái + từ khóa + bộ lọc nâng cao + số trang.
- SRS chỉ quy định nút Quay lại về mặt điều hướng, không nơi nào yêu cầu ghi nhớ bộ lọc (srs-fr-04:1540, :1452-1459) → đây là khoảng trống SRS, BA quyết bổ sung.
- BA nâng thành quy ước chung: áp mọi màn danh sách (TVV, Tổ chức tư vấn, Người hỗ trợ, Vụ việc).
- Verify lại: lọc danh sách → mở chi tiết → Quay lại → bộ lọc, từ khóa và số trang giữ nguyên.</t>
  </si>
  <si>
    <t>Click Tỷ lệ hố sơ bổ sung</t>
  </si>
  <si>
    <t>TLCTCDG_09</t>
  </si>
  <si>
    <t>QLHSTVV_05</t>
  </si>
  <si>
    <t>Lưu khi thiếu trường bắt buộc</t>
  </si>
  <si>
    <t>Click thẻ Tỷ lệ hố sơ bổ sung</t>
  </si>
  <si>
    <t>Kiểm tra hiển thị thẻ "Thẩm định" khi người dùng là Người hỗ trợ hoặc Doanh nghiệp.</t>
  </si>
  <si>
    <t>1. Đăng nhập tài khoản Người hỗ trợ 
2. Tồn tại bản ghi phù hợp với tiêu chí tìm kiếm</t>
  </si>
  <si>
    <t>Mở DS Tỷ lệ hố sơ bổ sung</t>
  </si>
  <si>
    <t>1. Chọn menu "Đánh giá hiệu quả"
2. Mở Chi tiết đợt đánh giá (tab Tiêu chí)
3. Bấm nút "Lưu"</t>
  </si>
  <si>
    <t xml:space="preserve">1. Chọn menu "Mạng lướt tư vấn viên" -&gt; "Tư vấn viên/Chuyên gia"
2. Tìm kiếm và Nhấn xem chi tiết ứng viên
</t>
  </si>
  <si>
    <t>Thẻ "Thẩm định" bị ẩn hoàn toàn</t>
  </si>
  <si>
    <t>Hệ thống hiển thị thẻ "Thẩm định"</t>
  </si>
  <si>
    <t>Hệ thống hiển thị thông báo thành công</t>
  </si>
  <si>
    <t>QLHSTVV_05.jpg</t>
  </si>
  <si>
    <r>
      <rPr>
        <rFont val="Times New Roman"/>
        <color rgb="FF1155CC"/>
        <sz val="12.0"/>
        <u/>
      </rPr>
      <t>TLCTCDG_09.webm</t>
    </r>
  </si>
  <si>
    <t>✅ Bug ĐÚNG – chuyển dev.
- Web hiện tại: đăng nhập vai trò Người hỗ trợ pháp lý, mở Chi tiết tư vấn viên thì thẻ "Thẩm định" VẪN hiển thị. Với tư vấn viên ở trạng thái "Mới đăng ký", thẻ này còn mở được và hiện đầy đủ biểu mẫu chấm điểm 4 nhóm (Pháp lý / Năng lực chuyên môn / Hiệu quả &amp; uy tín / Mạng lưới) cùng phần Kết luận thẩm định — đây là nội dung nhận xét nội bộ của cán bộ.
- Theo SRS: FR-IV-05 (UC43) – SCR-IV-03, thẻ "Thẩm định" (srs-fr-04-chuyen-gia-tvv.md, dòng 1555) quy định điều kiện hiển thị: vai trò là Cán bộ Nghiệp vụ HOẶC Cán bộ Phê duyệt cùng đơn vị, VÀ hồ sơ đang ở trạng thái "Đang thẩm định" hoặc "Chờ phê duyệt". Vai trò Người hỗ trợ không nằm trong danh sách được xem ⇒ thẻ phải ẩn hoàn toàn. Trạng thái "Mới đăng ký" cũng không nằm trong 2 trạng thái được hiển thị.
- Đã verify bằng đúng vai trò và đúng trạng thái của phản ánh: tài khoản Người hỗ trợ pháp lý, tư vấn viên trạng thái "Mới đăng ký" (giống hệt ảnh đối tác gửi).
- Bug ID: BUG-QLHSTVV_05.</t>
  </si>
  <si>
    <t>QLHSTVV_06</t>
  </si>
  <si>
    <t>Chuyển thẻ nội dung</t>
  </si>
  <si>
    <t>1. Chọn menu "Mạng lướt tư vấn viên" -&gt; "Tư vấn viên/Chuyên gia"
2. Tìm kiếm và Nhấn xem chi tiết ứng viên
3. Chọn 1 trong 5 thẻ: "Hồ sơ" / "Thẩm định" / "Năng lực" / "Lịch sử hỗ trợ" / "Đánh giá".</t>
  </si>
  <si>
    <t xml:space="preserve">- Hệ thống hiển thị nội dung tương ứng với thẻ đã chọn. Thẻ "Lịch sử hỗ trợ" và "Đánh giá" có hiển thị số đếm bản ghi ngay cạnh tên thẻ.
</t>
  </si>
  <si>
    <t>TLCTCDG_11</t>
  </si>
  <si>
    <t>- Lỗi hiển thị trường thông tin "Bằng cấp" trong thẻ Năng lực
- Không hiển thị số đếm bản ghi ngay bên cạnh tên thẻ</t>
  </si>
  <si>
    <r>
      <rPr>
        <rFont val="Times New Roman"/>
        <color rgb="FF1155CC"/>
        <sz val="13.0"/>
        <u/>
      </rPr>
      <t>QLHSTVV_06.webm</t>
    </r>
  </si>
  <si>
    <t>Kiểm tra lưu thành công, tổng trọng số khác 100%</t>
  </si>
  <si>
    <t>1. Chọn menu "Đánh giá hiệu quả"
2. Mở Chi tiết đợt đánh giá (tab Tiêu chí)
3. Nhập thông tin hợp lệ và nhấn "Lưu"</t>
  </si>
  <si>
    <t>- Hệ thống hiển thị thông điệp "Tổng trọng số hiện tại: {X}%. Cần đảm bảo = 100% trước khi trình phê duyệt".</t>
  </si>
  <si>
    <r>
      <rPr>
        <rFont val="Times New Roman"/>
        <color rgb="FF1155CC"/>
        <sz val="12.0"/>
        <u/>
      </rPr>
      <t>TLCTCDG_11.jpg</t>
    </r>
  </si>
  <si>
    <t>✅ Ý "số đếm cạnh tên thẻ" — BA duyệt bổ sung 15/07/2026: chuyển Dev FE.
- Bổ sung số đếm cạnh tên thẻ Lịch sử hỗ trợ / Đánh giá (kiểu "Đánh giá (2)") cho đồng nhất với hệ thống. Dữ liệu đã có sẵn — hiện số liệu đang nằm bên trong thẻ (srs-fr-04:1567, :1570).
⚠️ GIỮ status dev done: ý 1 của case (thẻ "Năng lực" hiển thị sai) là lỗi thật, vẫn đang chờ Dev.</t>
  </si>
  <si>
    <t>TDHSTVV_02</t>
  </si>
  <si>
    <t>Kiểm tra hiển thị Nhóm tiêu chí 1  Pháp lý (bắt buộc)</t>
  </si>
  <si>
    <t>1. Chọn menu "Mạng lướt tư vấn viên" -&gt; "Tư vấn viên/Chuyên gia"
2. Tìm kiếm và Nhấn xem chi tiết ứng viên
3. Chọn tab "Thẩm định"</t>
  </si>
  <si>
    <t>Hệ thống hoạt động đúng thiết kế theo UC84: cho phép lưu khi tổng trọng số chưa bằng 100% và hiển thị cảnh báo; chỉ bắt buộc đủ 100% trước bước phân công/chuyển trạng thái.</t>
  </si>
  <si>
    <t>Tên trường thông tin "Không vi phạm" không đúng với thiết kế</t>
  </si>
  <si>
    <r>
      <rPr>
        <rFont val="Times New Roman"/>
        <color rgb="FF1155CC"/>
        <sz val="13.0"/>
        <u/>
      </rPr>
      <t>TDHSTVV_02.webm</t>
    </r>
  </si>
  <si>
    <t>TLCTCDG_12</t>
  </si>
  <si>
    <t>✅ Bug ĐÚNG – chuyển dev.
- Web đang hiển thị mục kiểm tra thứ 4 của "Nhóm 1 — Pháp lý (bắt buộc)" là "Không có vi phạm đạo đức nghề nghiệp".
- Theo FR-IV-06 (UC44) · màn hình SCR-IV-03 tab "Thẩm định" (srs-fr-04-chuyen-gia-tvv.md, dòng 1556), danh sách kiểm tra Nhóm 1 phải gồm: "Bằng cấp hợp lệ" / "Chứng chỉ hành nghề" / "Thẻ hành nghề còn hiệu lực" / "Không vi phạm". Ba mục đầu web hiển thị đúng, riêng mục thứ 4 đặt tên sai so với đặc tả.
- Verify: tài khoản cbnv_tw (Cán bộ Nghiệp vụ - Trung ương), hồ sơ TVV-BTP-TW-0003, tab "Thẩm định".
- Bug ID: BUG-TDHSTVV_02.</t>
  </si>
  <si>
    <t>"Lưu &amp; Quay lại Kế hoạch"</t>
  </si>
  <si>
    <t>1. Chọn menu "Đánh giá hiệu quả"
2. Mở Chi tiết đợt đánh giá (tab Tiêu chí)
3. Nhập thông tin hợp lệ và nhấn "Lưu &amp; Quay lại Kế hoạch"</t>
  </si>
  <si>
    <t>TDHSTVV_04</t>
  </si>
  <si>
    <t>- Hệ thống thực hiện lưu giống nút "Lưu" và quay về tab "Kế hoạch" của đợt đánh giá.</t>
  </si>
  <si>
    <t>Không có nút chức năng</t>
  </si>
  <si>
    <t>Kiểm tra hiển thị Nhóm tiêu chí 3  Hiệu quả và uy tín</t>
  </si>
  <si>
    <r>
      <rPr>
        <rFont val="Times New Roman"/>
        <color rgb="FF1155CC"/>
        <sz val="12.0"/>
        <u/>
      </rPr>
      <t>TLCTCDG_12.jpg</t>
    </r>
  </si>
  <si>
    <t>Tên trường thông tin "Không áp dụng (tư vấn viên mới)" không đúng với thiết kế</t>
  </si>
  <si>
    <r>
      <rPr>
        <rFont val="Times New Roman"/>
        <color rgb="FF1155CC"/>
        <sz val="13.0"/>
        <u/>
      </rPr>
      <t>TDHSTVV_04.webm</t>
    </r>
  </si>
  <si>
    <t>✅ Bug ĐÚNG – chuyển dev.
- Web đang hiển thị hộp tích của "Nhóm 3 — Hiệu quả &amp; uy tín" là "N/A — TVV mới, chưa có lịch sử hỗ trợ".
- Theo FR-IV-06 (UC44) · màn hình SCR-IV-03 tab "Thẩm định" (srs-fr-04-chuyen-gia-tvv.md, dòng 1558), hộp tích của Nhóm 3 phải có tên "Không áp dụng (tư vấn viên mới)". Ngoài sai tên, nhãn hiện tại còn dùng chữ viết tắt tiếng Anh "N/A" và "TVV", không đồng nhất ngôn ngữ hiển thị tiếng Việt như các nhãn khác trong biểu mẫu.
- Verify: tài khoản cbnv_tw (Cán bộ Nghiệp vụ - Trung ương), hồ sơ TVV-BTP-TW-0003, tab "Thẩm định".
- Bug ID: BUG-TDHSTVV_04.</t>
  </si>
  <si>
    <t>✅ Bug ĐÚNG – chuyển dev.
- Lỗi: Tại Tab Tiêu chí của đợt đánh giá, thanh nút thao tác chỉ gồm: "Quay lại danh sách", "Hủy đợt", "Thêm tiêu chí", "Nhập từ danh mục", "Lưu" (và "Hủy thay đổi" khi có chỉnh sửa). KHÔNG có nút "Lưu &amp; Quay lại Kế hoạch".
- Chuẩn: SRS SCR-VI-01, Tab Tiêu chí (mục #34) quy định thanh hành động gồm [Hủy] [Lưu] [Lưu &amp; Quay lại KH]. Thiếu nút "Lưu &amp; Quay lại KH".
- Mã lỗi nội bộ: BUG-TLCTCDG_12.</t>
  </si>
  <si>
    <t>TDHSTVV_08</t>
  </si>
  <si>
    <t>1. Đăng nhập tài khoản
2. Hồ sơ đang ở trạng thái "Chờ thẩm định" hoặc "Đang thẩm định"; người dùng là Cán bộ nghiệp vụ cùng đơn vị.</t>
  </si>
  <si>
    <t>1. Chọn menu "Mạng lướt tư vấn viên" -&gt; "Tư vấn viên/Chuyên gia"
2. Tìm kiếm và Nhấn xem chi tiết ứng viên
3. Chọn tab "Thẩm định"
4. Nhập thông tin hợp lệ và nhấn Lưu nháp</t>
  </si>
  <si>
    <t xml:space="preserve">-  Lưu các giá trị đã nhập vào hồ sơ thẩm định mà chưa thay đổi kết luận cuối cùng.
- Cho phép cán bộ thẩm định quay lại hoàn thiện sau.
- Lưu vết thao tác.
- Hiển thị thông báo "Đã lưu nháp kết quả thẩm định".
</t>
  </si>
  <si>
    <t>PCNTHDG_06</t>
  </si>
  <si>
    <t>Hệ thống không hiển thị thông báo và không lưu giá trị đã nhập</t>
  </si>
  <si>
    <r>
      <rPr>
        <rFont val="Times New Roman"/>
        <color rgb="FF1155CC"/>
        <sz val="13.0"/>
        <u/>
      </rPr>
      <t>TDHSTVV_08.webm</t>
    </r>
  </si>
  <si>
    <t xml:space="preserve">1. Đăng nhập tài khoản 
2. Đợt đánh giá ở trạng thái "Lập kế hoạch" hoặc "Phân công" 
3. Bộ tiêu chí đã được thiết lập với tổng trọng số bằng 100%.
</t>
  </si>
  <si>
    <t>Thời gian xử lý trung bình</t>
  </si>
  <si>
    <t>1. Chọn menu "Đánh giá hiệu quả"
2. Mở Chi tiết đợt đánh giá (tab Phân công)
3. Bấm nút "Hủy"</t>
  </si>
  <si>
    <t>- Hệ thống hiển thị cửa sổ xác nhận hủy bỏ thay đổi chưa lưu, sau đó hoàn tác.</t>
  </si>
  <si>
    <t>Hệ thống không hiển thị cửa sổ xác nhận</t>
  </si>
  <si>
    <r>
      <rPr>
        <rFont val="Times New Roman"/>
        <color rgb="FF1155CC"/>
        <sz val="12.0"/>
        <u/>
      </rPr>
      <t>PCNTHDG_06.webm</t>
    </r>
  </si>
  <si>
    <t>✅ Bug ĐÚNG – chuyển dev.
- Bấm "Lưu nháp" trên tab Thẩm định: hệ thống KHÔNG hiển thị bất kỳ thông báo nào (đã theo dõi DOM liên tục 3,5 giây sau cú bấm, không có thông báo nào xuất hiện), dù yêu cầu lưu đã chạy và máy chủ trả về thành công.
- Nội dung 3 ô "Nhận xét" (Nhóm 2, Nhóm 3, Nhóm 4) không được gửi lên máy chủ, nên bị mất hoàn toàn.
- Sau khi tải lại trang: 3 ô Nhận xét trống, "Kết luận Pháp lý" và "Kết luận thẩm định" không được chọn lại → bản nháp không được nạp lại, cán bộ không thể quay lại hoàn thiện sau.
- Theo FR-IV-06 (UC44) · SCR-IV-03 tab "Thẩm định" (srs-fr-04-chuyen-gia-tvv.md, dòng 1563), nút "Lưu nháp" phải lưu kết quả thẩm định tạm (gồm điểm và ô nhận xét của Nhóm 2/3/4 — dòng 1557-1559) và phải phản hồi cho người dùng biết đã lưu.
- Verify: tài khoản cbnv_tw (Cán bộ Nghiệp vụ - Trung ương), hồ sơ TVV-BTP-TW-0003 ở đúng trạng thái "Đang thẩm định" như đối tác.
- Bug ID: BUG-TDHSTVV_08.</t>
  </si>
  <si>
    <t>Hệ thống không lưu nháp mà thực hiện cập nhật trạng thái của bản ghi là "Đang thẩm định"</t>
  </si>
  <si>
    <t>TDHSTVV_08_v2.webm</t>
  </si>
  <si>
    <t>TDHSTVV_09</t>
  </si>
  <si>
    <t>✅ Bug đúng (BA duyệt 24/07/2026) — Loại 1: phần mềm sai SRS. Mức Minor. Owner Dev FE.
Dev FE: khi người dùng bấm Hủy trên cửa sổ "Thêm người đánh giá" mà trong đó đang có dữ liệu nhập dở chưa lưu, hệ thống phải hỏi xác nhận trước — cho người dùng chọn ở lại tiếp tục nhập hay rời đi và bỏ dữ liệu — chỉ đóng cửa sổ và bỏ dữ liệu khi người dùng xác nhận rời. Hiện app đóng im lặng, mất dữ liệu vừa nhập mà không cảnh báo.
SRS đã kiểm nguyên văn: Docs-PM-HTPLDN/_bmad-output/planning-artifacts/srs-v3.5/srs-v3.5.md:577 — quy ước dùng chung UI-08 'Xác nhận rời form | Hỏi xác nhận (hộp thoại "Ở lại / Rời đi") khi người dùng rời hoặc hủy một form đang nhập dở còn dữ liệu chưa lưu. Áp cho mọi form nhập liệu toàn hệ thống'. Cửa sổ "Thêm người đánh giá" có ô bắt buộc (Người đánh giá, Vai trò) nên thuộc phạm vi UI-08. Nhận định cũ "SRS im lặng" là do chỉ tra file FR-08; SRS KHÔNG im lặng.
── CÁCH VERIFY sau Dev fix ──
Precondition: đăng nhập https://18.143.165.120.nip.io bằng cbnv_tw / Test@1234. Cần 1 đợt còn ở trạng thái Lập kế hoạch hoặc Phân công (chưa gửi duyệt phân công); chưa có thì tạo mới tại /danh-gia/ke-hoach/danh-sach bằng nút "Tạo đợt đánh giá" rồi Lưu nháp. Mở chi tiết đợt → tab Phân công.
1) Bấm "Thêm người đánh giá" để mở cửa sổ.
2) Chọn Người đánh giá = "Cán bộ Nghiệp vụ Demo" và Vai trò = "Trưởng nhóm" — nhập dở, KHÔNG bấm nút lưu/đồng ý.
3) Bấm [Hủy].
4) Ở hộp thoại xác nhận, chọn phương án ở lại → quan sát cửa sổ và 2 ô vừa chọn.
5) Bấm [Hủy] lần nữa, lần này chọn phương án rời đi/bỏ thay đổi → quan sát cửa sổ và bảng người đánh giá.
6) Mở lại cửa sổ "Thêm người đánh giá", KHÔNG nhập gì, bấm [Hủy] ngay.
✅ PASS khi ĐỦ 4 điều: (i) bước 3 xuất hiện hộp thoại hỏi xác nhận và cửa sổ CHƯA đóng; (ii) bước 4 cửa sổ vẫn mở, 2 giá trị đã chọn còn nguyên; (iii) bước 5 cửa sổ mới đóng và bảng người đánh giá không tăng thêm dòng nào; (iv) bước 6 biểu mẫu trống (không có gì để mất) thì cửa sổ đóng thẳng, không hỏi xác nhận.
❌ FAIL nếu: bước 3 cửa sổ đóng ngay không hỏi; HOẶC bước 4 chọn ở lại nhưng dữ liệu đã nhập bị xóa trắng; HOẶC bước 6 biểu mẫu trống vẫn bắt xác nhận (sai phạm vi UI-08 — quy ước chỉ áp khi CÒN dữ liệu chưa lưu).
⚠️ Nút đóng dạng dấu X ở góc cửa sổ và bấm ra vùng nền ngoài cửa sổ cũng là hành vi "rời form đang nhập dở", phải hỏi xác nhận y như nút [Hủy]; chỉ chặn ở mỗi nút [Hủy] là chưa đủ.</t>
  </si>
  <si>
    <t>Lưu nháp khi mất kết nối</t>
  </si>
  <si>
    <t>1. Đăng nhập tài khoản
2. Hồ sơ đang ở trạng thái "Chờ thẩm định" hoặc "Đang thẩm định"; người dùng là Cán bộ nghiệp vụ cùng đơn vị.
3. Mất kết nối</t>
  </si>
  <si>
    <t>-  Hệ thống hiển thị thông báo "Không thể lưu, vui lòng thử lại".</t>
  </si>
  <si>
    <t>PCNTHDG_10</t>
  </si>
  <si>
    <r>
      <rPr>
        <rFont val="Times New Roman"/>
        <color rgb="FF1155CC"/>
        <sz val="13.0"/>
        <u/>
      </rPr>
      <t>TDHSTVV_09.webm</t>
    </r>
  </si>
  <si>
    <t>Trình phê duyệt trùng người</t>
  </si>
  <si>
    <t>1. Chọn menu "Đánh giá hiệu quả"
2. Mở Chi tiết đợt đánh giá (tab Phân công)
3. Trùng người và Bấm nút "Trình phê duyệt"</t>
  </si>
  <si>
    <t>Hệ thống hiển thị thông điệp "Người đánh giá đã được phân công".</t>
  </si>
  <si>
    <r>
      <rPr>
        <rFont val="Times New Roman"/>
        <color rgb="FF1155CC"/>
        <sz val="12.0"/>
        <u/>
      </rPr>
      <t>PCNTHDG_10.webm</t>
    </r>
  </si>
  <si>
    <t>🔴 Reopen 16/07/2026 — fix một phần (2/3 tiêu chí BA duyệt).
ĐÃ ĐẠT — lỗi gốc "nuốt lỗi im lặng" đã hết. Ngắt mạng thật rồi bấm "Lưu nháp" trên màn Thẩm định hồ sơ TVV (hồ sơ TVV-BTP-TW-0014, trạng thái Đang thẩm định, vai trò CB Nghiệp vụ Trung ương): hệ thống báo "Không kết nối được máy chủ." và các nút Lưu nháp / Gửi KQ / Trình duyệt đều nhả ra, không còn quay vòng vô hạn như trước. Dữ liệu đã nhập vẫn nằm nguyên trên biểu mẫu; có mạng lại bấm Lưu nháp thì lưu được ngay ("Đã lưu kết quả thẩm định").
CHƯA ĐẠT — thiếu cách thử lại ngay tại thông báo lỗi. BA chốt tiêu chí gồm 3 ý: thông báo lỗi + dừng spinner + có nút Thử lại; ý thứ ba chưa có. Thông báo lỗi hiện dạng toast tự tắt sau khoảng 3 giây, không kèm nút Thử lại, và cũng không có chỗ nào khác trên màn cho cán bộ thử lại thao tác vừa hỏng. Cán bộ nhìn đi chỗ khác vài giây là mất hẳn dấu vết, dễ tưởng đã lưu xong.
CẦN: khi lưu thất bại do mất kết nối, cán bộ phải có cách thử lại ngay tại chỗ báo lỗi, theo mẫu module Vụ việc đã có sẵn (srs-fr-05-vu-viec.md:1574 — "Lưu thất bại. Vui lòng kiểm tra kết nối và thử lại." kèm nút [Thử lại]) mà BA đã nâng thành quy ước chung áp cho mọi module.</t>
  </si>
  <si>
    <t>TDHSTVV_12</t>
  </si>
  <si>
    <t>Kiểm tra nút chức năng Gửi kết quả thẩm định</t>
  </si>
  <si>
    <t xml:space="preserve">1. Đăng nhập tài khoản Cán bộ nghiệp vụ cùng đơn vị.
</t>
  </si>
  <si>
    <t xml:space="preserve">1. Chọn menu "Mạng lướt tư vấn viên" -&gt; "Tư vấn viên/Chuyên gia"
2. Tìm kiếm và Nhấn xem chi tiết ứng viên
3. Chọn tab "Thẩm định"
</t>
  </si>
  <si>
    <t>Kiểm tra Thời gian xử lý trung bình</t>
  </si>
  <si>
    <t>- Kết luận thẩm định đã được chọn hệ thống enable nút, chưa được chọn disable</t>
  </si>
  <si>
    <t>Hệ thống enable nút mặc dù chưa chọn Kết luận thẩm định</t>
  </si>
  <si>
    <r>
      <rPr>
        <rFont val="Times New Roman"/>
        <color rgb="FF1155CC"/>
        <sz val="13.0"/>
        <u/>
      </rPr>
      <t>TDHSTVV_12.jpg</t>
    </r>
  </si>
  <si>
    <t>PCNTHDG_11</t>
  </si>
  <si>
    <t>1. Chọn menu "Đánh giá hiệu quả"
2. Mở Chi tiết đợt đánh giá (tab Phân công)
3. Nhập thông tin hợp lệ và Bấm nút "Trình phê duyệt"</t>
  </si>
  <si>
    <t xml:space="preserve">- Hệ thống hiển thị thông điệp "Đã trình phê duyệt phân công".
- Chuyển trạng thái đợt đánh giá sang "Chờ duyệt phân công".
- Gửi thông báo cho Cán bộ phê duyệt cùng đơn vị.
</t>
  </si>
  <si>
    <t>Hệ thống không gửi thông báo cho cán bộ phê duyệt cùng đơn vị</t>
  </si>
  <si>
    <r>
      <rPr>
        <rFont val="Times New Roman"/>
        <color rgb="FF1155CC"/>
        <sz val="12.0"/>
        <u/>
      </rPr>
      <t>PCNTHDG_11.jpg</t>
    </r>
  </si>
  <si>
    <t>✅ Bug ĐÚNG – chuyển dev.
- Khi chưa chọn "Kết luận thẩm định", nút "Gửi KQ" vẫn bật (bấm được). Kiểm bằng cách đọc trực tiếp thuộc tính của nút: "Gửi KQ" không bị khóa, trong khi nút "Trình duyệt" bên cạnh thì bị khóa đúng.
- Theo FR-IV-06 (UC44) · SCR-IV-03 tab "Thẩm định" (srs-fr-04-chuyen-gia-tvv.md, dòng 1564), điều kiện hiển thị của nút "Gửi kết quả thẩm định" là "Tab Thẩm định, kết luận đã chọn" — tức chưa chọn kết luận thì nút phải khóa. Nút "Trình phê duyệt" (dòng 1565) đã được cài đúng theo mẫu điều kiện này, riêng nút "Gửi KQ" bị bỏ sót.
- Ghi nhận thêm để dev nắm: bấm "Gửi KQ" khi chưa chọn kết luận thì biểu mẫu vẫn báo lỗi tại chỗ ("Vui lòng chọn kết luận") và không đổi trạng thái hồ sơ — dữ liệu không bị hỏng, nhưng trạng thái bật/tắt của nút vẫn sai so với đặc tả.
- Verify: tài khoản cbnv_tw (Cán bộ Nghiệp vụ - Trung ương), hồ sơ TVV-BTP-TW-0003 ở trạng thái "Đang thẩm định".
- Bug ID: BUG-TDHSTVV_12.</t>
  </si>
  <si>
    <t>TDHSTVV_13</t>
  </si>
  <si>
    <t>Gửi kết quả thẩm định Kết luận "Yêu cầu bổ sung"</t>
  </si>
  <si>
    <t>1. Chọn menu "Mạng lướt tư vấn viên" -&gt; "Tư vấn viên/Chuyên gia"
2. Tìm kiếm và Nhấn xem chi tiết ứng viên
3. Chọn tab "Thẩm định"
4. Kết luận "Yêu cầu bổ sung" và nhấn Gửi thẩm định</t>
  </si>
  <si>
    <t>✅ Bug ĐÚNG – chuyển dev.
- Lỗi: Tại tab Phân công của đợt đánh giá (đã có ≥1 người đánh giá + ≥1 Trưởng nhóm, tổng trọng số tiêu chí = 100%), bấm "Trình phê duyệt" → hệ thống hiển thị "Đã trình phê duyệt phân công" và chuyển đợt sang trạng thái "Chờ duyệt phân công" (ĐÚNG). Tuy nhiên Cán bộ phê duyệt cùng đơn vị KHÔNG nhận được thông báo nào về việc có phân công cần duyệt: kiểm tra hộp thông báo của CB phê duyệt cùng đơn vị — thông báo mới nhất vẫn là từ nhiều ngày trước, không có thông báo nào về đợt vừa trình.
- Chuẩn: SRS SCR-VI-01 (mục #38, dòng 864) quy định nút "Trình phê duyệt" phải "gửi TB CB PD"; chính hộp xác nhận của hệ thống cũng ghi "Phân công sẽ được gửi cho cán bộ phê duyệt". Hệ thống thiếu bước gửi thông báo cho cán bộ phê duyệt.
- Mã lỗi nội bộ: BUG-PCNTHDG_11.</t>
  </si>
  <si>
    <t>Hệ thống chuyển hồ sơ sang trạng thái "Yêu cầu bổ sung", gửi thông báo kèm lý do đến Người hỗ trợ, lưu vết thao tác, hiển thị thông báo "Đã gửi yêu cầu bổ sung đến Người hỗ trợ".</t>
  </si>
  <si>
    <t>- Hệ thống không hiển thị thông báo</t>
  </si>
  <si>
    <r>
      <rPr>
        <rFont val="Times New Roman"/>
        <color rgb="FF1155CC"/>
        <sz val="13.0"/>
        <u/>
      </rPr>
      <t>TDHSTVV_13.webm</t>
    </r>
  </si>
  <si>
    <t>PDPCDG_01</t>
  </si>
  <si>
    <t>Phê duyệt phân công đánh giá</t>
  </si>
  <si>
    <t>Lãnh đạo CQQLNN phê duyệt danh sách người thực hiện đánh giá.</t>
  </si>
  <si>
    <t xml:space="preserve">1. Đăng nhập tài khoản 
2. Đợt đánh giá ở trạng thái "Chờ duyệt phân công".
</t>
  </si>
  <si>
    <t>1. Chọn menu "Đánh giá hiệu quả"
2. Mở Chi tiết đợt đánh giá (tab Phân công — chế độ phê duyệt)
3. Bấm nút "Phê duyệt phân công" và xác nhận</t>
  </si>
  <si>
    <t xml:space="preserve">- Hệ thống hiển thị thông điệp "Đã phê duyệt phân công".
- Chuyển trạng thái đợt đánh giá từ "Chờ duyệt phân công" sang "Thực hiện".
+ Ghi người duyệt, thời gian.
+ Gửi thông báo cho Cán bộ nghiệp vụ.
</t>
  </si>
  <si>
    <t>✅ Bug ĐÚNG – chuyển dev (đúng ở ý đối tác nêu: không hiển thị thông báo).
- Đã chạy lại đúng thao tác: chọn Kết luận thẩm định "YÊU CẦU BỔ SUNG", nhập lý do, bấm "Gửi KQ". Hệ thống KHÔNG hiển thị bất kỳ thông báo nào (theo dõi giao diện liên tục 4 giây sau cú bấm).
- Phần nghiệp vụ chạy đúng: hồ sơ chuyển sang trạng thái "Yêu cầu bổ sung" và lý do được lưu lại đầy đủ. Lỗi chỉ nằm ở việc thiếu thông báo phản hồi cho cán bộ.
- Theo quy định giao diện UI-04 áp dụng toàn hệ thống (srs-v3.5.md, dòng 571): "Toast notification cho thao tác thành công" — thao tác thành công thì bắt buộc phải có thông báo. Chức năng liên quan: FR-IV-06 (UC44) - SCR-IV-03 nút "Gửi kết quả thẩm định" (srs-fr-04-chuyen-gia-tvv.md, dòng 1564).
- Lưu ý: câu chữ thông báo trong Kết quả mong đợi ("Đã gửi yêu cầu bổ sung đến Người hỗ trợ") không có trong đặc tả; SRS (dòng 519 và 1564) quy định thông báo được gửi đến CHỦ HỒ SƠ (tư vấn viên), không phải "Người hỗ trợ". Bug này chỉ yêu cầu phải có thông báo thành công, không áp đặt câu chữ.
- Verify: tài khoản cbnv_tw (Cán bộ Nghiệp vụ - Trung ương), hồ sơ TVV-BTP-TW-0003 ở trạng thái "Đang thẩm định" trước thao tác.
- Bug ID: BUG-TDHSTVV_13.</t>
  </si>
  <si>
    <t>Click Thời gian xử lý trung bình</t>
  </si>
  <si>
    <r>
      <rPr>
        <rFont val="Times New Roman"/>
        <color rgb="FF1155CC"/>
        <sz val="12.0"/>
        <u/>
      </rPr>
      <t>PDPCDG_01.webm</t>
    </r>
  </si>
  <si>
    <t>Click thẻ Thời gian xử lý trung bình</t>
  </si>
  <si>
    <t>Mở DS Thời gian xử lý trung bình</t>
  </si>
  <si>
    <t>TDHSTVV_14</t>
  </si>
  <si>
    <t>Gửi kết quả thẩm định Kết luận "Không đạt"</t>
  </si>
  <si>
    <t>✅ Bug ĐÚNG – chuyển dev.
- Lỗi: Tại tab Phân công (chế độ phê duyệt), Cán bộ phê duyệt bấm "Phê duyệt phân công" và xác nhận → hệ thống hiển thị "Đã phê duyệt phân công" và chuyển đợt từ "Chờ duyệt phân công" sang "Thực hiện" (ĐÚNG). Tuy nhiên Cán bộ nghiệp vụ (người trình phân công) KHÔNG nhận được thông báo nào về việc phân công đã được duyệt: kiểm tra hộp thông báo của CB nghiệp vụ — không có thông báo về đợt vừa được duyệt.
- Chuẩn: SRS FR-VI-04 (Phê duyệt phân công) quy định Postconditions "Thông báo gửi CB NV" (dòng 366), bước xử lý "Gửi thông báo CB NV trình" (dòng 349) và business rule "Phê duyệt/Từ chối (cả PC và BC) → gửi thông báo cho CB NV trình" (dòng 901). Hệ thống thiếu bước gửi thông báo cho cán bộ nghiệp vụ.
- Mã lỗi nội bộ: BUG-PDPCDG_01.</t>
  </si>
  <si>
    <t>1. Chọn menu "Mạng lướt tư vấn viên" -&gt; "Tư vấn viên/Chuyên gia"
2. Tìm kiếm và Nhấn xem chi tiết ứng viên
3. Chọn tab "Thẩm định"
4. Kết luận "Không đạt" và nhấn Gửi thẩm định</t>
  </si>
  <si>
    <t>Hệ thống chuyển hồ sơ sang trạng thái "Từ chối", ghi nhận thời điểm và người từ chối, gửi thông báo kèm lý do đến Người hỗ trợ, lưu vết thao tác, hiển thị thông báo "Đã từ chối hồ sơ".</t>
  </si>
  <si>
    <t>- Hệ thống hiển thị thông báo "Dữ liệu đã bị thay đổi, vui lòng tải lại" nhưng khi tải lại dữ liệu vẫn là dữ liệu cũ</t>
  </si>
  <si>
    <r>
      <rPr>
        <rFont val="Times New Roman"/>
        <color rgb="FF1155CC"/>
        <sz val="13.0"/>
        <u/>
      </rPr>
      <t>TDHSTVV_14.webm</t>
    </r>
  </si>
  <si>
    <t>PDPCDG_05</t>
  </si>
  <si>
    <t>1. Chọn menu "Đánh giá hiệu quả"
2. Mở Chi tiết đợt đánh giá (tab Phân công — chế độ phê duyệt)
3. Bấm nút "Từ chối phân công"
4. Nhập lý do hợp lệ và Xác nhận</t>
  </si>
  <si>
    <t>- Hệ thống hiển thị thông điệp "Đã từ chối phân công".
-  Lưu lý do từ chối.
- Chuyển trạng thái đợt đánh giá từ "Chờ duyệt phân công" sang "Phân công".
- Ghi người từ chối, thời gian.
- Gửi thông báo kèm lý do cho Cán bộ nghiệp vụ.
- Lưu vết thao tác theo quy định</t>
  </si>
  <si>
    <t>Hệ thống không gửi thông báo kèm lý do cho cán bộ phê duyệt</t>
  </si>
  <si>
    <r>
      <rPr>
        <rFont val="Times New Roman"/>
        <color rgb="FF1155CC"/>
        <sz val="12.0"/>
        <u/>
      </rPr>
      <t>PDPCDG_05.webm</t>
    </r>
  </si>
  <si>
    <t>✅ Bug ĐÚNG – chuyển dev. Tái hiện chính xác, và tìm được nguyên nhân thật.
- Đã chạy lại đúng điều kiện đối tác (hồ sơ đang ở trạng thái "Yêu cầu bổ sung", chọn KHÔNG ĐẠT, bấm "Gửi KQ"): hệ thống hiện đúng thông báo "Dữ liệu đã bị thay đổi, vui lòng tải lại", tải lại thì dữ liệu vẫn như cũ.
- Nguyên nhân: thông báo này SAI bản chất. Máy chủ thực tế báo "TVV không ở trạng thái hợp lệ để thẩm định" (mã ERR-STATE-IV-TD-01), tức hồ sơ đang ở trạng thái không cho phép thẩm định. Giao diện lại dịch thành thông báo xung đột dữ liệu, nên người dùng tải lại trang vô ích và không bao giờ biết lý do thật. Lỗi xảy ra cả khi vừa tải lại trang mới hoàn toàn, nên không phải do giữ dữ liệu cũ.
- Kèm theo: theo FR-IV-06 (UC44) - SCR-IV-03 (srs-fr-04-chuyen-gia-tvv.md, dòng 1555), thẻ "Thẩm định" chỉ được hiển thị khi hồ sơ ở trạng thái "Đang thẩm định" hoặc "Chờ phê duyệt". Web vẫn cho mở thẻ này và bấm "Gửi KQ" ở trạng thái "Yêu cầu bổ sung", tức dẫn người dùng vào thao tác chắc chắn bị từ chối.
- Đối chứng trên trạng thái hợp lệ: đã seed hồ sơ mới TVV-BTP-TW-0004, chọn KHÔNG ĐẠT và gửi -&gt; hồ sơ chuyển sang "Từ chối" đúng nghiệp vụ, NHƯNG vẫn không hiện thông báo thành công nào (Kết quả mong đợi là "Đã từ chối hồ sơ"). Vi phạm quy định giao diện UI-04 (srs-v3.5.md, dòng 571: "Toast notification cho thao tác thành công").
- Verify: tài khoản cbnv_tw (Cán bộ Nghiệp vụ - Trung ương), hồ sơ TVV-BTP-TW-0003 (Yêu cầu bổ sung) và TVV-BTP-TW-0004 (trạng thái hợp lệ).
- Bug ID: BUG-TDHSTVV_14.</t>
  </si>
  <si>
    <t>TDHSTVV_17</t>
  </si>
  <si>
    <t>Trình phê duyệt khi Cán bộ nghiệp vụ thuộc cấp Trung ương hoặc Bộ/Ngành</t>
  </si>
  <si>
    <t>1. Đăng nhập tài khoản Cán bộ nghiệp vụ cùng đơn vị.
2. Hồ sơ đang ở trạng thái "Đang thẩm định"</t>
  </si>
  <si>
    <t>1. Chọn menu "Mạng lướt tư vấn viên" -&gt; "Tư vấn viên/Chuyên gia"
2. Tìm kiếm và Nhấn xem chi tiết ứng viên
3. Chọn tab "Thẩm định"
4. Kết luận thẩm định là "Đạt"
5. Nhấn nút "Trình phê duyệt"</t>
  </si>
  <si>
    <t xml:space="preserve">- Hồ sơ trình cấp phê duyệt cùng cấp
+ Chuyển hồ sơ sang trạng thái "Chờ phê duyệt".
+ Ghi nhận kết quả thẩm định vào hồ sơ.
+ Gửi thông báo đến Cán bộ phê duyệt của đơn vị được xác định.
+ Lưu vết thao tác.
+ Hiển thị thông báo "Đã trình hồ sơ lên cấp phê duyệt".
</t>
  </si>
  <si>
    <t>- Hệ thống không hiển thị thông báo
- Sau khi nhấn Trình duyệt và reload trang, hệ thống không hiển thị thông tin Nhân xét đã được nhập
- Cán bộ phê duyệt không nhận được thông báo</t>
  </si>
  <si>
    <r>
      <rPr>
        <rFont val="Times New Roman"/>
        <color rgb="FF1155CC"/>
        <sz val="13.0"/>
        <u/>
      </rPr>
      <t>TDHSTVV_17.webm</t>
    </r>
  </si>
  <si>
    <t>✅ Bug ĐÚNG – chuyển dev.
- Lỗi: Tại tab Phân công (chế độ phê duyệt), Cán bộ phê duyệt bấm "Từ chối phân công", nhập lý do hợp lệ và xác nhận → hệ thống hiển thị "Đã từ chối phân công", lưu lý do và chuyển đợt từ "Chờ duyệt phân công" về "Phân công" (ĐÚNG). Tuy nhiên Cán bộ nghiệp vụ (người trình phân công) KHÔNG nhận được thông báo kèm lý do từ chối: kiểm tra hộp thông báo của CB nghiệp vụ — không có thông báo từ chối nào cho đợt này.
- Chuẩn: SRS FR-VI-04 quy định business rule "Phê duyệt/Từ chối (cả PC và BC) → gửi thông báo cho CB NV trình. Từ chối bắt buộc lý do &gt;= 10 ký tự" (dòng 901) và Postconditions "Thông báo gửi CB NV" (dòng 366). KQ mong đợi của đối tác cũng ghi đúng người nhận: "Gửi thông báo kèm lý do cho Cán bộ nghiệp vụ". Hệ thống thiếu bước gửi thông báo kèm lý do cho cán bộ nghiệp vụ.
- Mã lỗi nội bộ: BUG-PDPCDG_05.</t>
  </si>
  <si>
    <t>✅ Bug ĐÚNG – chuyển dev. Cả 3 ý đối tác nêu đều tái hiện được.
- Ý 1 (không hiển thị thông báo): ĐÚNG. Bấm "Trình duyệt" -&gt; hồ sơ chuyển "Chờ phê duyệt" nhưng không hiện thông báo thành công nào (theo dõi giao diện liên tục 4 giây). Vi phạm quy định giao diện UI-04 (srs-v3.5.md, dòng 571: "Toast notification cho thao tác thành công").
- Ý 2 (Nhận xét không hiển thị sau khi tải lại): ĐÚNG. Sau khi tải lại, cả 3 ô Nhận xét (Nhóm 2, 3, 4) đều trống, trong khi Kết luận thẩm định vẫn còn. Nguyên nhân: giao diện KHÔNG gửi nội dung Nhận xét lên máy chủ, nên nhận xét bị mất hẳn (cùng gốc với BUG-TDHSTVV_08). Theo FR-IV-06 (UC44) - SCR-IV-03 (srs-fr-04-chuyen-gia-tvv.md, dòng 1557-1559), ô nhận xét của Nhóm 2/3/4 là một phần kết quả thẩm định, phải được lưu.
- Ý 3 (Cán bộ phê duyệt không nhận được thông báo): ĐÚNG. Đã đăng nhập tài khoản cbpd_tw (Cán bộ Phê duyệt cùng đơn vị) kiểm tra ngay sau thao tác: hồ sơ CÓ nằm trong danh sách "Chờ phê duyệt" của họ, nhưng quét 50 thông báo gần nhất thì không có thông báo nào về hồ sơ này. Trái với FR-IV-06 §Processing bước 4 (dòng 518) và Tiêu chí chấp nhận (dòng 551): trình duyệt phải gửi thông báo đến Cán bộ Phê duyệt cùng đơn vị.
- Phát hiện thêm: (a) bấm "Trình duyệt" không hiện hộp thoại xác nhận, trong khi SRS dòng 1565 + 1396 quy định phải có hộp thoại "Xác nhận trình phê duyệt?"; (b) hệ thống không ghi nhận người trình và ngày trình vào hồ sơ.
- Verify: tài khoản cbnv_tw (CB Nghiệp vụ Trung ương) trên hồ sơ TVV-BTP-TW-0005 tự tạo; kiểm thông báo bằng tài khoản cbpd_tw cùng đơn vị.
- Bug ID: BUG-TDHSTVV_17.</t>
  </si>
  <si>
    <t>CVVDG_01</t>
  </si>
  <si>
    <t>Chọn vụ việc đánh giá</t>
  </si>
  <si>
    <t>Lựa chọn các vụ việc cụ thể để tiến hành kiểm tra, đánh giá chất lượng.</t>
  </si>
  <si>
    <t>TDHSTVV_18</t>
  </si>
  <si>
    <t xml:space="preserve">1. Đăng nhập tài khoản 
2. Đợt đánh giá ở trạng thái "Thực hiện".
3. Có ít nhất một vụ việc ở trạng thái "Hoàn thành" trong khoảng ngày của kỳ đánh giá và thuộc phạm vi đơn vị.
</t>
  </si>
  <si>
    <t>Trình phê duyệt khi Cán bộ nghiệp vụ thuộc cấp Địa phương</t>
  </si>
  <si>
    <t>1. Chọn menu "Đánh giá hiệu quả"
2. Mở Chi tiết đợt đánh giá (tab Thực hiện — chế độ chọn vụ việc)
3. Tích chọn ở đầu dòng và nhấn "Lưu danh sách vụ việc"</t>
  </si>
  <si>
    <t xml:space="preserve">- Hệ thống hiển thị thông điệp "Đã lưu {N} vụ việc vào đợt đánh giá".
- Lưu danh sách vụ việc được chọn vào đợt đánh giá.
+ Giữ trạng thái đợt đánh giá ở "Thực hiện".
+ Lưu vết thao tác theo quy định.
</t>
  </si>
  <si>
    <t>Hệ thống hiển thị thông báo không giống với thiết kế</t>
  </si>
  <si>
    <r>
      <rPr>
        <rFont val="Times New Roman"/>
        <color rgb="FF1155CC"/>
        <sz val="12.0"/>
        <u/>
      </rPr>
      <t>CVVDG_01.jpg</t>
    </r>
  </si>
  <si>
    <t xml:space="preserve">- Hệ thống tự động chuyển hồ sơ lên cấp Bộ/Ngành tương ứng với lĩnh vực chuyên môn của tư vấn viên 
+ Chuyển hồ sơ sang trạng thái "Chờ phê duyệt".
+ Ghi nhận kết quả thẩm định vào hồ sơ.
+ Gửi thông báo đến Cán bộ phê duyệt của đơn vị được xác định.
+ Lưu vết thao tác.
+ Hiển thị thông báo "Đã trình hồ sơ lên cấp phê duyệt".
</t>
  </si>
  <si>
    <t>- Hệ thống không hiển thị thông báo
- Cán bộ phê duyệt không nhận được thông báo</t>
  </si>
  <si>
    <r>
      <rPr>
        <rFont val="Times New Roman"/>
        <color rgb="FF1155CC"/>
        <sz val="13.0"/>
        <u/>
      </rPr>
      <t>TDHSTVV_18.webm</t>
    </r>
  </si>
  <si>
    <t>❌ Không phải lỗi (BA xác nhận 24/07/2026).
- BA chốt: chức năng chọn/lưu danh sách vụ việc đánh giá chạy đúng và CÓ hiện thông báo nổi khi lưu thành công — đã đạt yêu cầu đặc tả. SRS đã kiểm nguyên văn: Docs-PM-HTPLDN/_bmad-output/planning-artifacts/srs-v3.5/srs-fr-08-danh-gia.md:420 — bước xử lý số 6 của luồng chọn vụ việc chỉ ghi "Lưu danh sách VV đánh giá", không ấn định câu chữ thông báo; quy ước tương tác của nhóm màn hình Đánh giá tại :894 chỉ ghi "Toast thông báo khi lưu thành công". Không có dòng nào trong luồng này quy định chuỗi "Đã lưu {N} vụ việc".
- Chuỗi "Đã lưu {N} vụ việc" thuộc bản thiết kế riêng của Quý đối tác, không phải đặc tả hiện hành và không bắt buộc cho luồng nghiệp vụ. Kính đề nghị Quý đối tác cập nhật lại Kết quả mong đợi của case này; nếu vẫn muốn thông báo kèm số lượng (ví dụ "Đã lưu {N} vụ việc đánh giá") thì đưa vào danh sách yêu cầu cải tiến.</t>
  </si>
  <si>
    <t>❌ Ý "hồ sơ tự lên cấp Bộ/Ngành" — BA chốt: KHÔNG phải lỗi, đúng thiết kế hiện hành.
- Kỳ vọng "tự chuyển lên cấp trên" là theo bản SRS v3 cũ. Từ v3.5, cơ chế chuyển cấp bắt buộc (ESCALATE) đã được BỎ theo NĐ121/2025 Đ.39-40 và NĐ55/2019 Đ.9 (srs-fr-04:80, :518, :570).
- Cơ sở: mỗi cấp — Địa phương (UBND cấp tỉnh), Bộ ngành, Trung ương (Bộ Tư pháp) — tự công bố mạng lưới TVV trong phạm vi phân cấp của mình, không đẩy hồ sơ xuyên cấp. CB Địa phương thẩm định Đạt thì hồ sơ ở lại cấp Địa phương để CB Phê duyệt cùng cấp xử lý — đúng quy định.
- Đề nghị cập nhật lại Kết quả mong đợi của test case (bỏ ý "tự lên cấp Bộ/Ngành").
⚠️ GIỮ status dev done: 2 ý khác của case (không có thông báo thành công; CB Phê duyệt cùng đơn vị không nhận thông báo) là lỗi thật — đã log BUG-TDHSTVV_18, vẫn đang chờ Dev.</t>
  </si>
  <si>
    <t>CVVDG_02</t>
  </si>
  <si>
    <t>PDHSTVV_02</t>
  </si>
  <si>
    <t>Kiểm tra hiển thị các trường thông tin trong Chi tiết đợt đánh giá (tab Thực hiện — chế độ chọn vụ việc)</t>
  </si>
  <si>
    <t>1. Đăng nhập tài khoản 
2. Hồ sơ đang ở trạng thái "Chờ phê duyệt"</t>
  </si>
  <si>
    <t>1. Chọn menu "Đánh giá hiệu quả"
2. Mở Chi tiết đợt đánh giá (tab Thực hiện — chế độ chọn vụ việc)</t>
  </si>
  <si>
    <t xml:space="preserve">Hệ thống hiển thị thiếu các cột thông tin: Tên doanh nghiệp, Ngày hoàn thành, Cảnh báo trùng đợt
 </t>
  </si>
  <si>
    <r>
      <rPr>
        <rFont val="Times New Roman"/>
        <color rgb="FF1155CC"/>
        <sz val="12.0"/>
        <u/>
      </rPr>
      <t>CVVDG_02.jpg</t>
    </r>
  </si>
  <si>
    <t>TKDGHQHTPL_01</t>
  </si>
  <si>
    <t>- Không hiển thị tệp đính kèm mặc dù tồn tại dữ liệu
- Lỗi hiển thị thông tin "Bằng cấp" trong tab Năng lực
- Tab Đánh giá hiển thị điểm đánh giá trung bình theo thang điểm 10(thiết kế yêu cầu hiển thị thang điểm 1-5)</t>
  </si>
  <si>
    <r>
      <rPr>
        <rFont val="Times New Roman"/>
        <color rgb="FF1155CC"/>
        <sz val="13.0"/>
        <u/>
      </rPr>
      <t>PDHSTVV_02.webm</t>
    </r>
  </si>
  <si>
    <t>Biểu đồ thống kê đánh giá hiệu quả hỗ trợ pháp lý</t>
  </si>
  <si>
    <t>Trực quan hóa dữ liệu đánh giá chất lượng hỗ trợ, bao gồm điểm hài lòng và tỷ lệ tuân thủ (thời hạn xử lý).</t>
  </si>
  <si>
    <t>✅ Bug ĐÚNG – chuyển dev.
- Thẻ "Hồ sơ": mục "File đính kèm" hiển thị "Chưa có file đính kèm" dù hồ sơ đang có tệp thẻ hành nghề đã lưu. Theo FR-IV-05 (UC43) §Outputs (srs-fr-04 dòng 468) và SCR-IV-03 thẻ Hồ sơ nhóm File đính kèm (dòng 1554), thẻ Hồ sơ phải liệt kê tệp kèm tên + dung lượng + nút "Xem" / "Tải xuống".
- Thẻ "Năng lực": trường "Bằng cấp" in nguyên chuỗi dữ liệu thô ra màn hình thay vì hiển thị Tên trường / Chuyên ngành / Năm tốt nghiệp (SCR-IV-03 thẻ Năng lực, dòng 1566).
- Thẻ "Đánh giá": trên môi trường kiểm thử đang hiển thị đúng thang 1–5 ("—/5", "0.0/5") theo SCR-IV-03 (dòng 1570-1572) — riêng ý "thang điểm 10" KHÔNG tái hiện.
- Verify: tài khoản cbpd_tw (CB Phê duyệt - Trung ương), hồ sơ TVV-BTP-TW-0005 ở trạng thái "Chờ phê duyệt", đã có sẵn tệp thẻ hành nghề + bằng cấp chi tiết.
- Bug ID: BUG-PDHSTVV_02.</t>
  </si>
  <si>
    <t>Dữ liệu đúng KPI</t>
  </si>
  <si>
    <t>❌ Không phải lỗi (BA xác nhận 24/07/2026).
- BA chốt: bảng chọn vụ việc hiện có 5 cột (Mã VV, Tên VV, Lĩnh vực, Trạng thái, Đã chọn) là đủ để thực hiện thao tác chọn, và đặc tả màn hình này KHÔNG liệt kê cột nào là bắt buộc. SRS đã kiểm nguyên văn: Docs-PM-HTPLDN/_bmad-output/planning-artifacts/srs-v3.5/srs-fr-08-danh-gia.md:872 — "Chọn VV đánh giá | C10 Multi-select | ... Lọc: vụ việc có trạng thái HOAN_THANH, trong kỳ đợt ĐG, thuộc phạm vi đơn vị của đợt/người dùng", tức đặc tả mô tả đây là ô chọn nhiều, không kèm danh sách cột.
- Ba mục Quý đối tác yêu cầu đều thuộc chỗ khác: "Tên DN" là cột của bảng chấm điểm (:873 — "Cột: Mã VV / Tên DN / Lĩnh vực / ...") và của bảng tổng hợp báo cáo (:883 — "VV / DN / Lĩnh vực / Điểm từng tiêu chí / Điểm tổng / Xếp loại"); "Ngày hoàn thành" không xuất hiện ở màn hình nào của nhóm Đánh giá; "Cảnh báo trùng đợt" là một HÀNH VI chứ không phải cột (:449 — "Given VV đã thuộc đợt khác When chọn lại Then cảnh báo (vẫn cho phép)") và đã được kiểm riêng ở case CVVDG_03.
- Kính đề nghị Quý đối tác cập nhật lại Kết quả mong đợi của case này và đưa việc bổ sung cột vào danh sách yêu cầu cải tiến. Nếu CB Nghiệp vụ thực sự cần phân biệt vụ việc theo doanh nghiệp, BA sẽ xem xét bổ sung riêng cột "Tên DN" cho bảng chọn.</t>
  </si>
  <si>
    <r>
      <rPr>
        <rFont val="Times New Roman"/>
        <color rgb="FF1155CC"/>
        <sz val="12.0"/>
        <u/>
      </rPr>
      <t>TKDGHQHTPL_01.jpg</t>
    </r>
  </si>
  <si>
    <t>PDHSTVV_03</t>
  </si>
  <si>
    <t>CVVDG_03</t>
  </si>
  <si>
    <t>Kiểm tra nút chức năng Phê duyệt</t>
  </si>
  <si>
    <t>Tích chọn vụ việc đã thuộc đợt đánh giá khác</t>
  </si>
  <si>
    <t>1. Đăng nhập tài khoản 
2. Đợt đánh giá ở trạng thái "Thực hiện".
3. Vụ việc đã thuộc đợt đánh giá khác</t>
  </si>
  <si>
    <t>1. Chọn menu "Mạng lướt tư vấn viên" -&gt; "Tư vấn viên/Chuyên gia"
2. Tìm kiếm và Nhấn xem chi tiết ứng viên
3. Nhấn Phê duyệt</t>
  </si>
  <si>
    <t xml:space="preserve">- Hệ thống mở cửa sổ xác nhận yêu cầu nhập:
+ Số quyết định công nhận (bắt buộc, tối đa 100 ký tự, định dạng theo mẫu QĐ-{số}/QĐ-{mã đơn vị}).
+ Ý kiến phê duyệt (không bắt buộc, tối đa 2.000 ký tự).
</t>
  </si>
  <si>
    <t>1. Chọn menu "Đánh giá hiệu quả"
2. Mở Chi tiết đợt đánh giá (tab Thực hiện — chế độ chọn vụ việc)
3. Tích chọn ở đầu dòng và nhấn xác nhận</t>
  </si>
  <si>
    <t>- Số quyết định cho phép tối đa 200 ký tự</t>
  </si>
  <si>
    <r>
      <rPr>
        <rFont val="Times New Roman"/>
        <color rgb="FF1155CC"/>
        <sz val="13.0"/>
        <u/>
      </rPr>
      <t>PDHSTVV_03.jpg</t>
    </r>
  </si>
  <si>
    <t>Hệ thống hiển thị cảnh báo "Vụ việc này đã thuộc đợt {mã đợt}. Bạn có muốn đánh giá lại?"; NSD xác nhận, hệ thống vẫn cho phép chọn.</t>
  </si>
  <si>
    <t>Hệ thống không hiển thị cảnh báo</t>
  </si>
  <si>
    <r>
      <rPr>
        <rFont val="Times New Roman"/>
        <color rgb="FF1155CC"/>
        <sz val="12.0"/>
        <u/>
      </rPr>
      <t>CVVDG_03.webm</t>
    </r>
  </si>
  <si>
    <t>✅ Bug ĐÚNG – chuyển dev.
- Hộp thoại "Xác nhận phê duyệt": ô "Số quyết định công nhận" đang cho phép nhập tới 200 ký tự (bộ đếm hiển thị "0 / 200"). Đã thử nhập chuỗi 150 ký tự → hệ thống nhận đủ 150 ký tự, không báo lỗi, nút "Phê duyệt" vẫn bật.
- Theo FR-IV-07 (UC45) §Inputs (srs-fr-04 dòng 581), Số quyết định công nhận là trường bắt buộc khi phê duyệt, theo mẫu QĐ-{số}/QĐ-{đơn vị} và tối đa 100 ký tự → hệ thống phải chặn khi vượt 100 ký tự.
- Ô "Ý kiến phê duyệt (tùy chọn)" giới hạn 2.000 ký tự — đúng yêu cầu.
- Verify: tài khoản cbpd_tw (CB Phê duyệt - Trung ương), hồ sơ TVV-BTP-TW-0005 ở trạng thái "Chờ phê duyệt".
- Bug ID: BUG-PDHSTVV_03.</t>
  </si>
  <si>
    <t>Bug - đã tái hiện. Khi chọn vụ việc đã thuộc đợt đánh giá khác, hệ thống không hiển thị cảnh báo trùng đợt (theo SRS FR-VI-05 phải cảnh báo, vẫn cho chọn lại). Dữ liệu nhận biết trùng đợt đã có ở backend nhưng màn chọn VV không cảnh báo. Chuyển Dev FE. Chi tiết: bug-report-DGHQ-batchB.md (BUG-CVVDG_03).</t>
  </si>
  <si>
    <t>PDHSTVV_05</t>
  </si>
  <si>
    <t>CVVDG_04</t>
  </si>
  <si>
    <t xml:space="preserve">Phê duyệt khi nhập số quyết định công nhận không hợp lệ </t>
  </si>
  <si>
    <t>1. Chọn menu "Mạng lướt tư vấn viên" -&gt; "Tư vấn viên/Chuyên gia"
2. Tìm kiếm và Nhấn xem chi tiết ứng viên
3. Nhập số quyết định không hợp lệ và Nhấn Phê duyệt</t>
  </si>
  <si>
    <t>Không có vụ việc trong kỳ</t>
  </si>
  <si>
    <t>Hệ thống hiển thị thông báo lỗi</t>
  </si>
  <si>
    <t xml:space="preserve">1. Đăng nhập tài khoản 
2. Đợt đánh giá ở trạng thái "Thực hiện".
3. Không có vụ việc ở trạng thái "Hoàn thành" trong khoảng ngày của kỳ đánh giá và thuộc phạm vi đơn vị.
</t>
  </si>
  <si>
    <t>Hệ thống hiển thị thông báo "Phê duyệt TVV thành công" và cập nhật trạng thái của hồ sơ</t>
  </si>
  <si>
    <r>
      <rPr>
        <rFont val="Times New Roman"/>
        <color rgb="FF1155CC"/>
        <sz val="13.0"/>
        <u/>
      </rPr>
      <t>PDHSTVV_05.webm</t>
    </r>
  </si>
  <si>
    <t>Hệ thống hiển thị cảnh báo "Không có vụ việc nào hoàn thành trong kỳ đánh giá này".</t>
  </si>
  <si>
    <t>Hệ thống hiển thị "Không có vụ việc nào phù hợp"</t>
  </si>
  <si>
    <r>
      <rPr>
        <rFont val="Times New Roman"/>
        <color rgb="FF1155CC"/>
        <sz val="12.0"/>
        <u/>
      </rPr>
      <t>CVVDG_04.jpg</t>
    </r>
  </si>
  <si>
    <t>TKDGHQHTPL_02</t>
  </si>
  <si>
    <t>✅ Bug ĐÚNG – chuyển dev.
- Đã nhập đúng giá trị đối tác dùng: số quyết định công nhận "A1000@" (không đúng mẫu). Hệ thống hiển thị thông báo "Phê duyệt TVV thành công", không có bất kỳ thông báo lỗi nào.
- Hồ sơ chuyển sang "Chờ kích hoạt tài khoản", ghi Ngày công nhận 12/07/2026 và lưu luôn giá trị sai vào hồ sơ (thẻ Hồ sơ hiển thị Số quyết định: A1000@).
- Theo FR-IV-07 (UC45) §Inputs (srs-fr-04 dòng 581), Số quyết định công nhận phải theo mẫu QĐ-{số}/QĐ-{đơn vị} (tối đa 100 ký tự) → hệ thống phải từ chối giá trị sai mẫu và báo lỗi, không được phê duyệt.
- Verify: tài khoản cbpd_tw (CB Phê duyệt - Trung ương), hồ sơ TVV-BTP-TW-0005 ở trạng thái "Chờ phê duyệt" trước thao tác.
- Bug ID: BUG-PDHSTVV_05.</t>
  </si>
  <si>
    <t>Biểu đồ hiệu quả hỗ trợ pháp lý</t>
  </si>
  <si>
    <t>PDHSTVV_06</t>
  </si>
  <si>
    <t>✅ Bug đúng (BA duyệt 24/07/2026) — Loại 1: phần mềm sai SRS ở phần câu chữ. Mức Minor (không ảnh hưởng dữ liệu/luồng). Owner Dev FE.
Dev FE: khi kỳ đánh giá của đợt không có vụ việc nào hoàn thành, bảng chọn vụ việc phải báo đúng LÝ DO rỗng theo chuỗi đặc tả — "Không có vụ việc nào hoàn thành trong kỳ đánh giá này" — thay cho câu chung chung "Không có vụ việc nào phù hợp" hiện tại (câu hiện tại khiến người dùng không biết vì sao bảng rỗng). Hành vi còn lại (khóa nút xác nhận chọn) đã đúng, giữ nguyên.
SRS đã kiểm nguyên văn: Docs-PM-HTPLDN/_bmad-output/planning-artifacts/srs-v3.5/srs-fr-08-danh-gia.md:442 — bảng xử lý lỗi của luồng chọn vụ việc, mục E1: '0 VV hoàn thành trong kỳ | WRN-DG-VV-01 | "Không có vụ việc nào hoàn thành trong kỳ đánh giá này" | WARNING'. BA xếp bảng xử lý lỗi (có mã lỗi kèm chuỗi) là đặc tả chính thức nên app lệch chuỗi ở đây là lỗi nhẹ.
── CÁCH VERIFY sau Dev fix ──
Precondition: đăng nhập https://18.143.165.120.nip.io bằng cbnv_hn / Test@1234 (CB Nghiệp vụ — Sở Tư pháp Hà Nội). Cần 1 đợt ở trạng thái Thực hiện có kỳ CHẮC CHẮN rỗng: tạo đợt mới tại /danh-gia/ke-hoach/danh-sach với Từ ngày 01/01/2024 – Đến ngày 31/03/2024 (kỳ quá khứ, 0 vụ việc hoàn thành), thêm tiêu chí đủ tổng trọng số 100%, phân công người đánh giá, gửi duyệt phân công rồi nhờ tài khoản CB Phê duyệt (cbpd_* / Test@1234) duyệt để đợt lên Thực hiện.
1) Mở chi tiết đợt đó → tab Thực hiện → khu vực "Chọn vụ việc đánh giá".
2) Đọc NGUYÊN VĂN dòng chữ hiển thị trong vùng bảng rỗng.
3) Đọc chỉ số "Đã chọn: … / … vụ việc" và trạng thái nút xác nhận chọn.
4) Đối chứng: mở một đợt khác có kỳ CÓ vụ việc hoàn thành (vd kỳ 01/01/2026–31/12/2026) → xem bảng có liệt kê vụ việc bình thường không.
✅ PASS khi ĐỦ 3 điều: (i) bước 2 dòng chữ đúng nguyên văn "Không có vụ việc nào hoàn thành trong kỳ đánh giá này"; (ii) bước 3 vẫn hiện 0/0 và nút xác nhận chọn vẫn bị khóa; (iii) bước 4 đợt có dữ liệu vẫn liệt kê vụ việc bình thường, không bị dính câu cảnh báo kỳ rỗng.
❌ FAIL nếu: vẫn hiện "Không có vụ việc nào phù hợp" hoặc bất kỳ câu chung chung nào khác; HOẶC đổi được câu nhưng nút xác nhận chọn hết bị khóa; HOẶC câu mới hiện cả khi kỳ CÓ vụ việc (bước 4).
⚠️ Chỉ đổi đúng chỗ trạng thái rỗng của bảng chọn vụ việc trong tab Thực hiện — KHÔNG đổi câu rỗng dùng chung của các bảng khác (danh sách đợt, bảng chấm điểm, danh sách vụ việc…), vì các bảng đó rỗng vì lý do khác.</t>
  </si>
  <si>
    <t>-Biểu đồ đúng thiết kế
- Dữ liệu đúng KPI</t>
  </si>
  <si>
    <t>1. Chọn menu "Mạng lướt tư vấn viên" -&gt; "Tư vấn viên/Chuyên gia"
2. Tìm kiếm và Nhấn xem chi tiết ứng viên
3. Nhập thông tin hợp lệ và Nhấn Phê duyệt</t>
  </si>
  <si>
    <t>Biểu đồ không giống với thiết kế</t>
  </si>
  <si>
    <r>
      <rPr>
        <rFont val="Times New Roman"/>
        <color rgb="FF1155CC"/>
        <sz val="12.0"/>
        <u/>
      </rPr>
      <t>TKDGHQHTPL_02.webm</t>
    </r>
  </si>
  <si>
    <t xml:space="preserve">- Chuyển hồ sơ sang trạng thái "Đang hoạt động".
- Ghi nhận ngày công nhận, thời điểm phê duyệt, người phê duyệt và số quyết định vào hồ sơ.
- Gửi thông báo đến Người hỗ trợ là chủ hồ sơ với nội dung "Hồ sơ của bạn đã được công nhận, mã số tư vấn viên: {mã}".
- Lưu vết thao tác.
- Hiển thị thông báo "Đã công nhận tư vấn viên" và làm mới màn hình.
</t>
  </si>
  <si>
    <t>THDG_02</t>
  </si>
  <si>
    <t>- Hệ thống chuyển hồ sơ sang trạng thái "Chờ kích hoạt tài khoản"
- Không gửi thông báo đến chủ hồ sơ
- Thông báo hiển thị không giống với thiết kế</t>
  </si>
  <si>
    <r>
      <rPr>
        <rFont val="Times New Roman"/>
        <color rgb="FF1155CC"/>
        <sz val="13.0"/>
        <u/>
      </rPr>
      <t>PDHSTVV_06.webm</t>
    </r>
  </si>
  <si>
    <t>Kiểm tra hiển thị các trường thông tin trong Chi tiết đợt đánh giá (tab Thực hiện — chế độ chấm điểm)</t>
  </si>
  <si>
    <t xml:space="preserve">1. Đăng nhập tài khoản có trong danh sách phân công đánh giá của đợt
2. Đợt đánh giá ở trạng thái "Thực hiện".
3. Danh sách vụ việc đánh giá đã được lưu
</t>
  </si>
  <si>
    <t>1. Chọn menu "Đánh giá hiệu quả"
2. Mở Chi tiết đợt đánh giá (tab Thực hiện — chế độ chấm điểm)</t>
  </si>
  <si>
    <t>- Thiếu các trường thông tin: Nhận xét từng tiêu chí
-  Trường thông tin Nhận xét tổng thể hệ thống hiển thị là Ghi chú</t>
  </si>
  <si>
    <r>
      <rPr>
        <rFont val="Times New Roman"/>
        <color rgb="FF1155CC"/>
        <sz val="12.0"/>
        <u/>
      </rPr>
      <t>THDG_02.jpg</t>
    </r>
  </si>
  <si>
    <t>Điểm đánh giá hiệu quả hỗ trợ pháp lý trung bình thang 0–100 nhưng số liệu trên màn hình hiển thị vượt quá 100</t>
  </si>
  <si>
    <t>🔴 Reopen 16/07/2026 — cả 2 điều chỉnh BA chuyển Dev đều chưa được làm.
Đã chạy đủ luồng thật: cán bộ Phê duyệt Trung ương (cbpd_tw) phê duyệt hồ sơ TVV-BTP-TW-0014 đang ở trạng thái "Chờ phê duyệt", rồi mở hộp thư kiểm mail gửi ra.
CHƯA ĐẠT 1 — mail kích hoạt không có mã số tư vấn viên. Mail có gửi đúng cho chủ hồ sơ (tiêu đề "Hồ sơ TVV đã được phê duyệt — kích hoạt tài khoản"), nội dung gồm lời chào, câu báo hồ sơ đã được phê duyệt và link kích hoạt. Kiểm cả bản HTML lẫn bản chữ thuần: không có mã TVV-BTP-TW-0014, không có bất kỳ mã tư vấn viên nào, cũng không có cụm "mã số". Kết quả mong đợi của test case là "Hồ sơ của bạn đã được công nhận, mã số tư vấn viên: {mã}".
CHƯA ĐẠT 2 — câu chữ thông báo chưa đổi. Bấm Phê duyệt, thông báo hiện ra vẫn là "Phê duyệt TVV thành công", chưa đổi thành "Đã công nhận tư vấn viên" như BA chốt.
Đúng, không phải lỗi (khớp kết luận BA): hồ sơ chuyển "Chờ kích hoạt tài khoản" + ghi nhận Ngày công nhận 16/07/2026 + tự tạo tài khoản và gửi mail kích hoạt cho chủ hồ sơ — đây là cơ chế đúng, không tính lỗi.
CẦN: bổ sung mã số tư vấn viên vào nội dung mail kích hoạt gửi chủ hồ sơ; và đổi câu chữ thông báo sau khi phê duyệt thành "Đã công nhận tư vấn viên".</t>
  </si>
  <si>
    <t>TKDGHQHTPL_02_v2.png</t>
  </si>
  <si>
    <t>PDHSTVV_08</t>
  </si>
  <si>
    <t>✅ Bug đúng (BA duyệt 24/07/2026) — Loại 2: BA đã chốt hướng xử lý + cập nhật SRS, Dev làm theo SRS mới. Mức Cosmetic/Minor. Owner Dev FE.
BA chốt giữ MỘT ô nhận xét cho mỗi dòng vụ việc, KHÔNG làm ô nhận xét riêng theo từng tiêu chí (hướng đó phải mở rộng mô hình dữ liệu + màn chấm điểm, chỉ xét lại nếu CĐT xác định báo cáo đánh giá độc lập cần giải trình từng tiêu chí). Việc Dev phải làm: đổi nhãn cột nhận xét trong bảng chấm điểm từ "Ghi chú" thành "Nhận xét" cho khớp đặc tả màn hình; giữ nguyên số lượng ô và mô hình dữ liệu. Nhận xét tổng thể của cả đợt vẫn dùng ô "Nhận xét chung" ở tab Báo cáo, KHÔNG thêm ô mới ở màn chấm điểm.
SRS đã kiểm nguyên văn: Docs-PM-HTPLDN/_bmad-output/planning-artifacts/srs-v3.5/srs-fr-08-danh-gia.md:873 — bảng chấm điểm "Cột: Mã VV / Tên DN / Lĩnh vực / + 1 cột per tiêu chí ... / Điểm tổng ... / Nhận xét (textarea inline)" → đúng 1 cột mang tên "Nhận xét"; :480 — mục nhập nhan_xet nay đã ghi rõ 'Nhận xét theo dòng vụ việc (một ô cho mỗi vụ việc, KHÔNG nhập theo từng tiêu chí); nhận xét tổng thể toàn đợt dùng ô "Nhận xét chung" tại Tab Báo cáo (SCR-VI-01 #49). Max 1000 ký tự', tức bản SRS này ĐÃ áp xong phần cập nhật BA chốt (BA trích bản cũ ở cùng dòng :480, khi đó chỉ ghi "Max 1000 ký tự"); :885 — "Nhận xét chung | C09 Textarea | Nhận xét chung của CB NV cho đợt đánh giá". Phần Dev còn nợ là nhãn cột.
── CÁCH VERIFY sau Dev fix ──
Precondition: đăng nhập https://18.143.165.120.nip.io bằng cbnv_hn / Test@1234. Cần 1 đợt đang ở bước chấm điểm và tài khoản này là người được phân công: /danh-gia/ke-hoach/danh-sach → chọn đợt trạng thái Thực hiện đã chọn ≥1 vụ việc → chi tiết đợt → tab Chấm điểm.
1) Đọc nguyên văn tiêu đề của cột nhận xét trong bảng chấm điểm.
2) Đếm số ô nhập CHỮ (không tính ô điểm) trên MỘT dòng vụ việc.
3) Gõ vào ô đó chuỗi "Nhan xet kiem thu THDG_02" → bấm Lưu kết quả → tải lại trang → mở lại tab Chấm điểm và đọc lại ô đó.
4) Sang tab Báo cáo, tìm ô "Nhận xét chung" của đợt.
✅ PASS khi ĐỦ 4 điều: (i) bước 1 tiêu đề cột đúng chữ "Nhận xét", không còn chữ "Ghi chú"; (ii) bước 2 mỗi dòng vụ việc vẫn chỉ có ĐÚNG 1 ô nhập chữ (không phát sinh thêm ô theo từng tiêu chí); (iii) bước 3 sau khi tải lại trang chuỗi vừa nhập còn nguyên; (iv) bước 4 tab Báo cáo vẫn có ô "Nhận xét chung".
❌ FAIL nếu: cột vẫn tên "Ghi chú", hoặc đổi thành tên khác như "Nhận xét tổng thể" / "Nhận xét tiêu chí"; HOẶC phát sinh thêm ô nhận xét cho từng tiêu chí; HOẶC nội dung nhập vào không lưu được sau khi tải lại trang.
⚠️ Đây là đổi NHÃN HIỂN THỊ, KHÔNG đổi tên trường dữ liệu — nhận xét của các đợt đã chấm trước đó phải đọc lại được bình thường; mất dữ liệu cũ tính FAIL.</t>
  </si>
  <si>
    <t>Từ chối khi nhập lý do hợp lệ</t>
  </si>
  <si>
    <t>1. Chọn menu "Mạng lướt tư vấn viên" -&gt; "Tư vấn viên/Chuyên gia"
2. Tìm kiếm và Nhấn xem chi tiết ứng viên
3. Nhấn Từ chối</t>
  </si>
  <si>
    <t>- Chuyển hồ sơ sang trạng thái "Từ chối".
- Ghi nhận thời điểm, người từ chối và lý do vào hồ sơ.
- Gửi thông báo đến Cán bộ nghiệp vụ đã thẩm định và Người hỗ trợ là chủ hồ sơ kèm lý do.
- Lưu vết thao tác.
- Hiển thị thông báo "Đã từ chối hồ sơ".
.</t>
  </si>
  <si>
    <t>Hệ thống không gửi thông báo đến Cán bộ nghiệp vụ đã thẩm định</t>
  </si>
  <si>
    <r>
      <rPr>
        <rFont val="Times New Roman"/>
        <color rgb="FF1155CC"/>
        <sz val="13.0"/>
        <u/>
      </rPr>
      <t>PDHSTVV_08.webm</t>
    </r>
  </si>
  <si>
    <t>THDG_03</t>
  </si>
  <si>
    <t>Lưu kết quả khi điểm vượt</t>
  </si>
  <si>
    <t>TKCLDTBDPL_01</t>
  </si>
  <si>
    <t>1. Chọn menu "Đánh giá hiệu quả"
2. Mở Chi tiết đợt đánh giá (tab Thực hiện — chế độ chấm điểm)
3. Nhập điểm vượt và nhấn Lưu kết quả</t>
  </si>
  <si>
    <t>Biểu đồ thống kê chất lượng đào tạo bồi dưỡng pháp lý</t>
  </si>
  <si>
    <t>Hệ thống báo "Điểm phải từ 0 đến {điểm tối đa}".</t>
  </si>
  <si>
    <t>Trực quan hóa dữ liệu về hiệu quả đào tạo (ví dụ: Tỷ lệ đạt chứng nhận, điểm trung bình kiểm tra).</t>
  </si>
  <si>
    <t>Hệ thống không hiển thị thông báo mà tự động chuyển về giá trị điểm hợp lệ</t>
  </si>
  <si>
    <r>
      <rPr>
        <rFont val="Times New Roman"/>
        <color rgb="FF1155CC"/>
        <sz val="12.0"/>
        <u/>
      </rPr>
      <t>THDG_03.webm</t>
    </r>
  </si>
  <si>
    <t>❌ Ý "cán bộ thẩm định không nhận thông báo" — BA chốt: KHÔNG phải lỗi, phần mềm đúng SRS.
- Theo FR-IV-07, khi hồ sơ TVV được duyệt hoặc từ chối, hệ thống báo cho CHỦ HỒ SƠ (ứng viên TVV) — srs-fr-04:593, :627, :1398. SRS không quy định báo cho cán bộ nghiệp vụ đã thẩm định ở chiều này. (Chiều ngược lại thì SRS có: trình duyệt → báo cán bộ phê duyệt, :518.)
- Muốn bổ sung báo cho cán bộ thẩm định → là yêu cầu cải tiến, trao đổi BA.
⚠️ GIỮ status dev done: ý chính của case (CHỦ HỒ SƠ không nhận thông báo từ chối) là lỗi thật — đã log BUG-PDHSTVV_08, vẫn đang chờ Dev.</t>
  </si>
  <si>
    <t>Hiển thị đúng %</t>
  </si>
  <si>
    <t>PDHSTVV_09</t>
  </si>
  <si>
    <t>Kiểm tra thông báo lỗi khi nhập trùng số quyết định công nhận</t>
  </si>
  <si>
    <t>1. Đăng nhập tài khoản 
2. Hồ sơ đang ở trạng thái "Chờ phê duyệt"
3. Số quyết định công nhận đã tồn tại</t>
  </si>
  <si>
    <t>N/R</t>
  </si>
  <si>
    <t>1. Chọn menu "Mạng lướt tư vấn viên" -&gt; "Tư vấn viên/Chuyên gia"
2. Tìm kiếm và Nhấn xem chi tiết ứng viên
3. Nhập trùng số quyết định công nhận</t>
  </si>
  <si>
    <t>chưa có dữ liệu test</t>
  </si>
  <si>
    <r>
      <rPr>
        <rFont val="Times New Roman"/>
        <color rgb="FF1155CC"/>
        <sz val="13.0"/>
        <u/>
      </rPr>
      <t>PDHSTVV_09.webm</t>
    </r>
  </si>
  <si>
    <t>Phần đã sửa: nhập điểm âm (-3, -7) nay GIỮ NGUYÊN giá trị nhập, ô tô đỏ và hiện dòng 'Điểm phải từ 0 đến 10' ngay dưới ô, không còn âm thầm tự về 0; bấm Lưu kết quả cũng bị chặn (Số VV đã chấm vẫn 0/1).
Còn lỗi: khi bấm [Lưu kết quả] với điểm âm, hộp thông báo hiện chữ TIẾNG ANH 'diem must not be less than 0'. Cùng thao tác đó với điểm vượt tối đa (15) lại báo tiếng Việt đúng ngữ cảnh: 'Điểm cho tiêu chí ... vượt quá điểm tối đa (10)'. Thông báo khi lưu điểm âm cần hiển thị bằng tiếng Việt, thống nhất với phần còn lại của màn hình.
Tái hiện 2/2 lần trên đợt DG-20260725-0003 (Thực hiện), tiêu chí 'Mức độ hoàn thành vụ việc' (điểm tối đa 10), tài khoản cbnv_hn, ngày 25/07/2026.</t>
  </si>
  <si>
    <t>THDG_04</t>
  </si>
  <si>
    <t>Tự động tính lại điểm tổng hợp và xếp loại</t>
  </si>
  <si>
    <t>1. Chọn menu "Đánh giá hiệu quả"
2. Mở Chi tiết đợt đánh giá (tab Thực hiện — chế độ chấm điểm)
3. Nhập điểm hợp lệ</t>
  </si>
  <si>
    <t>❌ BA chốt: KHÔNG phải lỗi — phần mềm đúng SRS.
- Một quyết định công nhận thường kèm danh sách NHIỀU tư vấn viên, nên nhiều hồ sơ mang cùng một số QĐ là đúng nghiệp vụ. SRS CỐ Ý không đặt ràng buộc "không trùng" cho trường này — chỉ ràng buộc định dạng (srs-fr-04:2025). Các trường cần duy nhất khác (CCCD, email) đều được ghi rõ kèm mã lỗi riêng; số QĐ thì không. Hệ thống đáp ứng đúng SRS.
- Nếu muốn kiểm soát trùng → là yêu cầu cải tiến; phương án gợi ý: cảnh báo mềm (không chặn), hoặc chỉ bắt duy nhất theo cụm (số QĐ + đơn vị + ngày ký). Trao đổi BA.</t>
  </si>
  <si>
    <t xml:space="preserve">- Điểm tổng hợp: tổng của (điểm tiêu chí × trọng số tiêu chí / 100). Hiển thị 2 chữ số thập phân.
- Xếp loại hiển thị theo điểm tổng: ≥ 90% điểm tối đa → "Xuất sắc"; ≥ 70% → "Tốt"; ≥ 50% → "Đạt"; &lt; 50% → "Chưa đạt".
</t>
  </si>
  <si>
    <t>Điểm tổng hợp hiển thị 1 chữ số thập phân</t>
  </si>
  <si>
    <r>
      <rPr>
        <rFont val="Times New Roman"/>
        <color rgb="FF1155CC"/>
        <sz val="12.0"/>
        <u/>
      </rPr>
      <t>THDG_04.jpg</t>
    </r>
  </si>
  <si>
    <t>CNDSMLTVV_05</t>
  </si>
  <si>
    <t xml:space="preserve">Xác nhận "Công khai lên Cổng pháp luật quốc gia" </t>
  </si>
  <si>
    <t>TKCLDTBDPL_02</t>
  </si>
  <si>
    <t>1. Đăng nhập tài khoản 
2. Hồ sơ đang ở trạng thái "Đang hoạt động" và chưa được công khai</t>
  </si>
  <si>
    <t>1. Chọn menu "Mạng lướt tư vấn viên" -&gt; "Tư vấn viên/Chuyên gia"
2. Tìm kiếm và Nhấn xem chi tiết ứng viên
3. Bấm "Công khai lên Cổng pháp luật quốc gia" và nhấn Xác nhận</t>
  </si>
  <si>
    <t xml:space="preserve">- Hệ thống:
+ Đặt cờ công khai cho tư vấn viên.
+ Ghi nhận thời điểm công khai.
+ Gọi giao diện tích hợp đẩy dữ liệu lên Cổng pháp luật quốc gia.
+ Lưu vết thao tác.
+ Hiển thị thông báo "Đã đẩy tư vấn viên lên Cổng pháp luật quốc gia".
- Dữ liệu được tiếp nhận bởi Cổng pháp luật quốc gia trong lần gọi đầu tiên.
</t>
  </si>
  <si>
    <t>Đúng như đối tác báo — lỗi hiển thị (FE).
Cột "Điểm tổng" của bảng chấm điểm hiển thị 1 chữ số thập phân (vd 8.0 / 10.0). SRS FR-VI-06 Outputs #2 quy định "Điểm tổng hợp | 2 số thập phân". BE trả 2 số thập phân ("8.00") nhưng FE cắt còn 1. Đề nghị FE hiển thị đúng 2 chữ số thập phân theo SRS.</t>
  </si>
  <si>
    <t>Hệ thống hiển thị thông báo "Không thể công khai. Vui lòng thử lại."</t>
  </si>
  <si>
    <t>Biểu đồ tuân thủ thời hạn</t>
  </si>
  <si>
    <r>
      <rPr>
        <rFont val="Times New Roman"/>
        <color rgb="FF1155CC"/>
        <sz val="13.0"/>
        <u/>
      </rPr>
      <t>CNDSMLTVV_05.webm</t>
    </r>
  </si>
  <si>
    <t>🐞 BA chốt 16/07/2026: mô hình KÉO — chuyển Dev BE + FE. (Case gấp nhất.)
- Phần mềm đang làm ĐẨY: khi công khai, backend gọi thẳng sang Cổng PLQG; gọi thất bại → trả 502 ERR-SYS-IV-CK-02 → rollback, không đặt được cờ công khai → chức năng chết.
- SRS chốt KÉO, nhắc lại 4 chỗ (srs-fr-04:638, :657, :682-683, :1457): phần mềm CHỈ đặt cờ và đổi trạng thái, Cổng tự kéo dữ liệu định kỳ, phần mềm KHÔNG gọi sang Cổng. Đồng bộ chuẩn chung Nhóm XII (BR-API-01, srs-v3.5.md:5544).
- Bằng chứng lệch mô hình: mã ERR-SYS-IV-CK-02 mà code trả KHÔNG tồn tại trong toàn bộ SRS. FR-IV-08 §Error Handling (:674-675) chỉ có ERR-CK-01 (trạng thái không hợp lệ) và ERR-CK-02 (thiếu mô tả công khai) — vì SRS quy định KÉO nên không thể có "lỗi kết nối Cổng khi công khai".
- Việc cần làm: bỏ lời gọi sang Cổng khỏi thao tác công khai; công khai chỉ đặt cờ cong_khai + đổi trạng thái, LUÔN thành công khi đủ điều kiện (Cổng sập cũng không chặn); bỏ mã ERR-SYS-IV-CK-02.
- Sửa Kết quả mong đợi của test case: bỏ "đẩy", bỏ "Cổng tiếp nhận trong lần gọi đầu tiên".
- Verify lại: bấm công khai TVV đủ điều kiện → thành công, cờ công khai được đặt, không có lời gọi sang Cổng.</t>
  </si>
  <si>
    <t>DGTVV_02</t>
  </si>
  <si>
    <t>Kiểm tra hiển thị Khu vực tổng hợp điểm đánh giá (đầu thẻ)</t>
  </si>
  <si>
    <t xml:space="preserve">1. Đăng nhập tài khoản </t>
  </si>
  <si>
    <t>1. Chọn menu "Mạng lướt tư vấn viên" -&gt; "Tư vấn viên/Chuyên gia"
2. Tìm kiếm và Nhấn xem chi tiết ứng viên
3. Kiểm tra hiển thị Khu vực tổng hợp điểm đánh giá (đầu thẻ)</t>
  </si>
  <si>
    <t>Tài liệu yêu cầu điểm đánh giá thang 1-5 nhưng hệ thống hiện tại đang hiển thị điểm đánh giá thang 1-10</t>
  </si>
  <si>
    <r>
      <rPr>
        <rFont val="Times New Roman"/>
        <color rgb="FF1155CC"/>
        <sz val="13.0"/>
        <u/>
      </rPr>
      <t>DGTVV_02.jpg</t>
    </r>
  </si>
  <si>
    <t>II</t>
  </si>
  <si>
    <r>
      <rPr>
        <rFont val="Arial"/>
        <color theme="1"/>
      </rPr>
      <t xml:space="preserve">❌ Không phải bug.
- Đối tác phản ánh: khu vực tổng hợp điểm đánh giá ở đầu thẻ hồ sơ tư vấn viên đang hiển thị theo thang 1-10 (ví dụ 8.3/10), trong khi tài liệu yêu cầu thang 1-5.
- QA kiểm tra lại chức năng Đánh giá tư vấn viên (UC 47) bằng tài khoản Cán bộ nghiệp vụ Trung ương, mở hồ sơ tư vấn viên TVV-BTP-TW-0002 (trạng thái Đang hoạt động, đã có đánh giá): hệ thống hiển thị đúng thang 1-5, không tái hiện lỗi.
- Cụ thể trên web hiện tại: đầu thẻ hiển thị "4.0/5" kèm đúng 5 ngôi sao; ba tiêu chí Chuyên môn / Thái độ / Đúng hạn đều hiển thị "4.0/5"; bảng danh sách đánh giá cũng chấm trên 5 sao.
- → Đối tác kiểm tra lại.
— Cập nhật (đã kiểm tra lại trên cả 2 môi trường dev và UAT):
- Môi trường dev: điểm đánh giá tư vấn viên hiển thị đúng thang 1–5 (kèm 5 sao), đúng thiết kế.
- Môi trường UAT: vẫn hiển thị thang 1–10 (ví dụ 8.3/10, kèm 10 sao) đúng như đối tác phản ánh.
- Nguyên nhân: backend môi trường UAT tính điểm tổng hợp theo thang 1–10, chưa đồng bộ với backend dev (đã đúng thang 1–5).
</t>
    </r>
    <r>
      <rPr>
        <rFont val="Arial"/>
        <b/>
        <color rgb="FFCC0000"/>
      </rPr>
      <t>→ Đề nghị dev đồng bộ kiểu tra lại bản build trên môi trường UAT theo môi trường dev, sau đó kiểm tra lại.</t>
    </r>
  </si>
  <si>
    <t>Quản lý tiếp nhận hỏi đáp, vướng mắc pháp lý</t>
  </si>
  <si>
    <t>DGTVV_03</t>
  </si>
  <si>
    <t>Kiểm tra hiển thị Danh sách đánh giá</t>
  </si>
  <si>
    <t>1. Chọn menu "Mạng lướt tư vấn viên" -&gt; "Tư vấn viên/Chuyên gia"
2. Tìm kiếm và Nhấn xem chi tiết ứng viên
3. Kiểm tra hiển thị Danh sách đánh giá</t>
  </si>
  <si>
    <t>- Lỗi hiển thị trường thông tin "Vụ việc"
- Thiếu trường thông tin "Điểm tổng"
- Tài liệu yêu cầu điểm đánh giá thang 1-5 nhưng hệ thống hiện tại đang hiển thị điểm đánh giá thang 1-10</t>
  </si>
  <si>
    <r>
      <rPr>
        <rFont val="Times New Roman"/>
        <color rgb="FF1155CC"/>
        <sz val="13.0"/>
        <u/>
      </rPr>
      <t>DGTVV_03.jpg</t>
    </r>
  </si>
  <si>
    <t>THDG_05</t>
  </si>
  <si>
    <t>Lưu kết quả thành công</t>
  </si>
  <si>
    <t>❌ Ý "thiếu cột Điểm tổng" — BA chốt: KHÔNG phải lỗi, phần mềm đúng SRS.
- Theo SCR-IV-03 (srs-fr-04:1570), danh sách đánh giá gồm đúng 7 cột: Người đánh giá, Vụ việc, Ngày, 3 điểm thành phần, Nhận xét — không có cột "Điểm tổng". Hệ thống đáp ứng đúng SRS. (Điểm tổng vẫn được tính và lưu sẵn ở :706, :726, và có hiện trên form gửi đánh giá.)
- Muốn thêm cột Điểm tổng → là yêu cầu cải tiến (dữ liệu đã có sẵn), trao đổi BA.
⚠️ GIỮ status dev done: ý khác của case (cột "Vụ việc" hiển thị sai) là lỗi thật, vẫn đang chờ Dev.</t>
  </si>
  <si>
    <t>1. Chọn menu "Đánh giá hiệu quả"
2. Mở Chi tiết đợt đánh giá (tab Thực hiện — chế độ chấm điểm)
3. Nhập điểm hợp lệ và nhấn Lưu kết quả</t>
  </si>
  <si>
    <t>DGTVV_05</t>
  </si>
  <si>
    <t xml:space="preserve">- Hệ thống hiển thị thông điệp "Đã lưu kết quả chấm điểm".
- Lưu kết quả đánh giá cho các vụ việc đã chấm (hỗ trợ lưu nháp khi chấm một phần).
- Lưu vết thao tác theo quy định.
</t>
  </si>
  <si>
    <t>Kiểm tra hiển thị thông báo lỗi khi bỏ trống trường bắt buộc</t>
  </si>
  <si>
    <t>Hệ thống hiển thị thông báo lỗi "Vụ việc 'aad90004-0000-4000-8000-000000000002' không có kết quả đánh giá trong kế hoạch này"</t>
  </si>
  <si>
    <r>
      <rPr>
        <rFont val="Times New Roman"/>
        <color rgb="FF1155CC"/>
        <sz val="12.0"/>
        <u/>
      </rPr>
      <t>THDG_05.jpg</t>
    </r>
  </si>
  <si>
    <t xml:space="preserve">1. Chọn menu "Mạng lướt tư vấn viên" -&gt; "Tư vấn viên/Chuyên gia"
2. Tìm kiếm và Nhấn xem chi tiết ứng viên
3. Nhấn vào nút "Đánh giá" </t>
  </si>
  <si>
    <t>Không hiển thị thông báo lỗi khi bỏ trống Vụ việc liên kết</t>
  </si>
  <si>
    <r>
      <rPr>
        <rFont val="Times New Roman"/>
        <color rgb="FF1155CC"/>
        <sz val="13.0"/>
        <u/>
      </rPr>
      <t>DGTVV_05.jpg</t>
    </r>
  </si>
  <si>
    <t>II.1</t>
  </si>
  <si>
    <t>Quản lý tổng hợp hỏi đáp, vướng mắc pháp lý</t>
  </si>
  <si>
    <t>❌ BA chốt: KHÔNG phải lỗi — phần mềm đúng SRS.
- "Vụ việc liên kết" là trường TÙY CHỌN theo SRS (srs-fr-04:702, :1573), vì đánh giá có thể là đánh giá định kỳ không gắn với vụ việc nào. Hệ thống đáp ứng đúng SRS.
- Phần mềm đã đạt Expected "có báo lỗi": gửi form trống thì chặn và báo lỗi đúng 3 trường bắt buộc (3 điểm thành phần); "Vụ việc liên kết" không có dấu sao nên không báo lỗi là đúng.
- Lưu ý: dropdown này hiện đang rỗng với mọi TVV → nếu ép bắt buộc thì chức năng gửi đánh giá sẽ chết hoàn toàn. Đề nghị cập nhật lại Kết quả thực tế của test case.</t>
  </si>
  <si>
    <t>QLLSHTCTVV_01</t>
  </si>
  <si>
    <t>Quản lý lịch sử hỗ trợ của tư vấn viên</t>
  </si>
  <si>
    <t>Ghi nhận và theo dõi lịch sử tham gia hỗ trợ vụ việc của từng Tư vấn viên.</t>
  </si>
  <si>
    <t>✅ Bug ĐÚNG – chuyển dev.
- Chức năng: Thực hiện chấm điểm đánh giá (FR-VI-06 / UC88), Tab Chấm điểm — đợt có nhiều người đánh giá.
- Web sai: ở đợt nhiều người đánh giá (mỗi vụ việc phân cho một người chấm), màn Chấm điểm hiển thị cả vụ việc đã phân cho người khác với ô nhập điểm mở như vụ việc của mình, không phân biệt người phụ trách. Khi nhập điểm cho vụ việc không thuộc phân công của mình rồi bấm "Lưu kết quả", hệ thống báo lỗi "Vụ việc '…' không có kết quả đánh giá trong kế hoạch này" — thông báo sai bản chất vì vụ việc VẪN thuộc kế hoạch, chỉ là được phân cho người đánh giá khác.
- Expected theo SRS: FR-VI-06 §Điều kiện tiên quyết (dòng 471) và §Xử lý Bước 2 (BR-AUTH-01, dòng 488) quy định người đánh giá chỉ chấm vụ việc được phân công cho mình. Vì vậy màn Chấm điểm cần phân biệt/không cho nhập điểm vào vụ việc của người khác; nếu vẫn từ chối ở hệ thống thì thông báo phải đúng nguyên nhân (vụ việc được phân cho người đánh giá khác), không dùng thông báo khiến hiểu nhầm vụ việc không nằm trong kế hoạch. (§Xử lý lỗi FR-VI-06 dòng 517-520 không có mã lỗi cho tình huống này.)
- Verify: tài khoản CB Nghiệp vụ - Trung ương (CB_NV_TW), kỳ Năm 2026, đơn vị Toàn quốc, đợt đánh giá 2 người đánh giá + 2 vụ việc (mỗi vụ việc phân cho 1 người). Chức năng chấm điểm vụ việc của chính mình vẫn chạy đúng; lỗi chỉ ở việc không phân biệt vụ việc theo người đánh giá và thông báo lỗi sai bản chất.
- Bug ID: BUG-THDG_05.</t>
  </si>
  <si>
    <t>1. Chọn menu "Mạng lướt tư vấn viên" -&gt; "Tư vấn viên/Chuyên gia"
2. Tìm kiếm và Nhấn xem chi tiết ứng viên
3. Chọn tab "Lịch sử hỗ trợ"</t>
  </si>
  <si>
    <t>Hệ thống không hiển thị lịch sử mặc dù tồn tại dữ liệu</t>
  </si>
  <si>
    <t xml:space="preserve"> QLLSHTCTVV_01.webm</t>
  </si>
  <si>
    <t>LBCDG_02</t>
  </si>
  <si>
    <t>Kiểm tra hiển thị các trường thông tin trong Chi tiết đợt đánh giá (tab Báo cáo)</t>
  </si>
  <si>
    <t xml:space="preserve">1. Đăng nhập tài khoản 
2. Đợt đánh giá ở trạng thái "Báo cáo".
3. Tất cả vụ việc trong đợt đã được chấm điểm đầy đủ.
</t>
  </si>
  <si>
    <t>- Chức năng "Lịch sử hỗ trợ" đã hiển thị được danh sách vụ việc TVV tham gia (trước đây luôn trống) — phần chính đã khắc phục.
- Tuy nhiên cột "Ngày hoàn thành" của vụ việc CHƯA hoàn thành đang hiển thị chữ "Invalid Date" thay vì để trống ("—").
- Đề nghị sửa: khi vụ việc chưa có ngày hoàn thành thì để trống, không hiển thị "Invalid Date".
- FR-IV-10 (UC48) · SCR-IV-03 cột "Ngày hoàn thành" (srs-fr-04 dòng 1567).</t>
  </si>
  <si>
    <t>1. Chọn menu "Đánh giá hiệu quả"
2. Mở Chi tiết đợt đánh giá (tab Báo cáo)</t>
  </si>
  <si>
    <t>CNTTTVV_06</t>
  </si>
  <si>
    <t>Thêm mới hỏi đáp vướng mắc pháp lý</t>
  </si>
  <si>
    <t xml:space="preserve">Kiểm tra hiển thị thông báo lỗi khi sửa hồ sơ Không phải chủ hồ sơ </t>
  </si>
  <si>
    <t xml:space="preserve">1. Đăng nhập tài khoản 
2. Hồ sơ Không phải chủ hồ sơ </t>
  </si>
  <si>
    <t xml:space="preserve">1. Chọn menu "Mạng lướt tư vấn viên" -&gt; "Tư vấn viên/Chuyên gia"
2. Tìm kiếm và Nhấn sửa thông tin ứng viên
</t>
  </si>
  <si>
    <t>Báo "Bạn không có quyền cập nhật hồ sơ này".</t>
  </si>
  <si>
    <t>- Thông báo hiển thị bị duplicate và không giống với thiết kế</t>
  </si>
  <si>
    <r>
      <rPr>
        <rFont val="Times New Roman"/>
        <color rgb="FF1155CC"/>
        <sz val="13.0"/>
        <u/>
      </rPr>
      <t>CNTTTVV_06.jpg</t>
    </r>
  </si>
  <si>
    <t>Hệ thống hiển thị các trường thông tin không giống với thiết kế</t>
  </si>
  <si>
    <r>
      <rPr>
        <rFont val="Times New Roman"/>
        <color rgb="FF1155CC"/>
        <sz val="12.0"/>
        <u/>
      </rPr>
      <t>LBCDG_02.jpg</t>
    </r>
  </si>
  <si>
    <t>✅ Bug ĐÚNG – chuyển dev. (Bug ID: BUG-CNTTTVV_06)
- Web sai: khi cán bộ sửa hồ sơ tư vấn viên KHÔNG thuộc đơn vị mình rồi bấm Lưu, hệ thống có chặn thao tác (đúng) nhưng thông báo lỗi hiển thị 2 LẦN TRÙNG LẶP, cùng nội dung "Đơn vị của bạn khác đơn vị của tư vấn viên" (đã kiểm đếm: 2 thông báo giống hệt nhau).
- Ngoài ra nội dung thông báo chưa nêu rõ người dùng không có quyền cập nhật hồ sơ.
- Expected theo SRS: SCR-IV-02 §Tham chiếu nội bộ (srs-fr-04 dòng 1519) quy định màn Sửa hồ sơ TVV áp dụng quy tắc phân quyền theo đơn vị (BR-AUTH-08) và dùng thông báo lỗi ERR-CN-02; FR-IV-11 (UC49) §Error Handling E2 (dòng 854) và FR-IV-04 §Error Handling E1 (dòng 420) quy định thông báo phải nêu rõ "không có quyền cập nhật hồ sơ tư vấn viên này (khác đơn vị)". Mỗi lần thao tác chỉ hiển thị thông báo một lần.
- Verify: tài khoản Cán bộ nghiệp vụ Trung ương (đơn vị Bộ Tư pháp - TW), sửa hồ sơ tư vấn viên TVV-STP-AG-0001 thuộc đơn vị địa phương (khác đơn vị) — đúng điều kiện đối tác.</t>
  </si>
  <si>
    <t>CNTTTVV_07</t>
  </si>
  <si>
    <t>Hủy khi Có thay đổi chưa lưu</t>
  </si>
  <si>
    <t>1. Chọn menu "Mạng lướt tư vấn viên" -&gt; "Tư vấn viên/Chuyên gia"
2. Tìm kiếm và Nhấn sửa thông tin ứng viên
3. Nhập dữ liệu hợp lệ và nhấn Hủy</t>
  </si>
  <si>
    <t>Hệ thống hiển thị hộp xác nhận "Bạn có chắc chắn hủy các thay đổi?". Xác nhận → bỏ thay đổi, quay về chế độ chỉ xem; chọn "Ở lại" → giữ nguyên chế độ nhập liệu.</t>
  </si>
  <si>
    <t>Khi chọn "Ở lại" hệ thống không giữ nguyên thông tin đã nhập trước đó</t>
  </si>
  <si>
    <r>
      <rPr>
        <rFont val="Times New Roman"/>
        <color rgb="FF1155CC"/>
        <sz val="13.0"/>
        <u/>
      </rPr>
      <t>CNTTTVV_07.webm</t>
    </r>
  </si>
  <si>
    <t>Mở màn hình thêm mới</t>
  </si>
  <si>
    <t>Có quyền thao tác</t>
  </si>
  <si>
    <t>✅ Bug đúng (BA duyệt 24/07/2026) — Loại 1: phần mềm làm sai đặc tả (không phải chuyện mở rộng phạm vi). Mức Major. Owner Dev FE + Dev BE. BA chốt phân kỳ 2 bước.
Bước 1 (rõ ràng, chi phí thấp): màn Lập báo cáo phải có đủ các ô người dùng tự nhập theo đặc tả — kinh phí hoạt động khác, kinh phí xã hội hóa, nhận xét tổng thể, kiến nghị. App hiện chỉ có 4 ô (Tiêu đề, Nội dung, Nhận xét tổng thể, Kiến nghị) → thiếu 2 ô kinh phí. Hai ô "Tiêu đề"/"Nội dung" không nằm trong danh sách đầu vào của đặc tả: ưu tiên GỠ, chỉ giữ dưới dạng ánh xạ về một trường chuẩn (vd gộp "Nội dung" vào nhận xét tổng thể) nếu đối tác chứng minh được chúng thay thế một trường chuẩn.
Bước 2 (khối lớn, xếp lịch riêng): báo cáo phải tự động điền bộ số liệu theo mẫu chung của nhóm Đánh giá — 13 chỉ tiêu: số tư vấn viên kiện toàn/công bố, số cuộc tập huấn, số hội nghị đối thoại, số VB trả lời UBND, số VB tư vấn mạng lưới TVV, số HS tiếp nhận, số HS giải quyết, HS DN vừa, HS DN nhỏ, HS DN siêu nhỏ, KP hỗ trợ chi phí TVPL (NSNN), KP chi hoạt động khác, KP xã hội hóa — bám đúng cột biểu 21a (cơ quan chuyên môn) hoặc 21b (UBND cấp tỉnh) tùy cơ quan được đánh giá, theo kỳ khớp Tần suất của đợt. Danh sách cột chỉ khóa sau khi CĐT xác nhận khớp biểu gốc TT 17/2025.
CẬP NHẬT 25/07/2026 — 4/13 chỉ tiêu TREO, chờ BA quyết mô hình dữ liệu (KHÔNG tính FAIL của Dev): 4 chỉ tiêu "số cuộc tập huấn", "số hội nghị đối thoại", "số VB trả lời UBND", "số VB tư vấn mạng lưới TVV" cần một trường phân loại mà mô hình dữ liệu hiện KHÔNG có. Đã kiểm nguyên văn: Docs-PM-HTPLDN/_bmad-output/planning-artifacts/srs-v3.5/srs-v3.5.md:6588-6591 quy định cách đếm theo khóa học loại 'TAP_HUAN' / 'HOI_NGHI' và vụ việc loại văn bản 'TRA_LOI_UBND' / 'TV_MANG_LUOI'; nhưng entity KHOA_HOC (Docs-PM-HTPLDN/_bmad-output/planning-artifacts/srs-v3.5/srs-v3.5.md:1964-1990) chỉ có "hinh_thuc" (TRUC_TUYEN/TRUC_TIEP) và "linh_vuc_id", KHÔNG có trường phân loại tập huấn / hội nghị; entity VU_VIEC chỉ có "loai_hinh_ht_id" (FK DANH_MUC — loại hình hỗ trợ), KHÔNG có trường loại văn bản. BA cần chốt: (1) thêm trường phân loại sự kiện cho khóa học (TAP_HUAN vs HOI_NGHI_DOI_THOAI) ở đâu; (2) nguồn đếm 2 loại văn bản lấy từ module/entity nào. Chốt xong Dev mới làm được 4 cột này.
SRS đã kiểm nguyên văn: Docs-PM-HTPLDN/_bmad-output/planning-artifacts/srs-v3.5/srs-fr-08-danh-gia.md:551-554 — các mục nhập tay "kp_hoat_dong_khac | money | Nhập thủ công", "kp_xa_hoi_hoa | money | Nhập thủ công", "nhan_xet_tong_the | text (long) | Rich text", "kien_nghi | text (long) | Rich text" (KHÔNG có Tiêu đề / Nội dung); :562 — bước xử lý 3 "Sinh báo cáo đánh giá hiệu quả theo template nhóm VI"; :569-585 — bảng "Các cột chính BC đánh giá hiệu quả" liệt kê đúng 13 chỉ tiêu nói trên.
── CÁCH VERIFY sau Dev fix ──
Precondition: đăng nhập https://18.143.165.120.nip.io bằng cbnv_hn / Test@1234. Cần 1 đợt đã chấm điểm xong và đã sang bước lập báo cáo (trạng thái Báo cáo): /danh-gia/ke-hoach/danh-sach → chi tiết đợt → tab Báo cáo → bấm nút chỉnh sửa báo cáo.
1) Liệt kê nhãn TẤT CẢ ô nhập trong biểu mẫu chỉnh sửa báo cáo và đếm tổng số ô.
2) Nhập kinh phí hoạt động khác = 15000000, kinh phí xã hội hóa = 7000000, nhận xét tổng thể và kiến nghị mỗi ô một câu bất kỳ → Lưu → tải lại trang → mở lại biểu mẫu và đọc lại 4 giá trị.
3) Thử nhập -1 vào một trong hai ô kinh phí → Lưu.
4) Xem khu vực số liệu tổng hợp của báo cáo: đếm số chỉ tiêu hiển thị và ghi lại tên từng chỉ tiêu.
5) Đối chiếu 2 giá trị kinh phí nhập ở bước 2 với 2 chỉ tiêu kinh phí tương ứng trong bộ số liệu.
✅ PASS Bước 1 khi ĐỦ 3 điều: (i) biểu mẫu CÓ ô kinh phí hoạt động khác và ô kinh phí xã hội hóa, nhập được số tiền; (ii) 2 ô "Tiêu đề"/"Nội dung" đã gỡ — hoặc nếu còn thì có xác nhận bằng văn bản của BA/đối tác nêu rõ chúng ánh xạ về trường chuẩn nào; (iii) bước 2 sau khi tải lại trang cả 4 giá trị còn nguyên, và bước 3 giá trị âm bị từ chối (đặc tả ràng buộc kinh phí &gt;= 0).
✅ PASS Bước 2 (phần Dev làm được NGAY) khi ĐỦ 2 điều: (i) bước 4 báo cáo hiển thị đủ 9 chỉ tiêu KHÔNG phụ thuộc trường phân loại — số TVV kiện toàn/công bố, số HS tiếp nhận, số HS giải quyết, HS DN vừa, HS DN nhỏ, HS DN siêu nhỏ, KP hỗ trợ chi phí TVPL (NSNN), KP chi hoạt động khác, KP xã hội hóa — với số liệu tự động điền; (ii) bước 5 hai chỉ tiêu kinh phí hiển thị đúng 15.000.000 và 7.000.000 vừa nhập tay. Đủ 13/13 chỉ tiêu chỉ nghiệm thu SAU khi BA chốt mô hình dữ liệu cho 4 chỉ tiêu treo nói trên.
❌ FAIL nếu: biểu mẫu vẫn chỉ 4 ô cũ; HOẶC có ô kinh phí nhưng không lưu được / nhận cả số âm; HOẶC khu số liệu vẫn chỉ là bản rút gọn (Tổng VV · Đã đánh giá · Điểm TB · Xếp loại).
⚠️ Bước 1 và Bước 2 nghiệm thu TÁCH RIÊNG theo đúng phân kỳ BA chốt — đừng đánh trượt cả case chỉ vì bộ chỉ tiêu tự động chưa làm; ghi rõ "Bước 1 đạt / Bước 2 chưa" nếu đúng như vậy.
⚠️ KHÔNG tính FAIL khi thiếu 4 chỉ tiêu treo (số cuộc tập huấn · số hội nghị đối thoại · số VB trả lời UBND · số VB tư vấn mạng lưới TVV) — đó là phần chờ BA quyết mô hình dữ liệu, không phải Dev bỏ sót.
⚠️ Bẫy ngược — nếu 4 chỉ tiêu treo VẪN hiện số: phải kiểm con số lấy từ đâu trước khi cho đạt. Không có trường phân loại thì "số cuộc tập huấn" rất dễ đang đếm TOÀN BỘ khóa học (và "số hội nghị đối thoại" ra 0), tức số sai âm thầm — trường hợp này ghi Sai spec kèm số đo được, đừng cho PASS chỉ vì ô có số.
⚠️ Khi gỡ 2 ô "Tiêu đề"/"Nội dung", các báo cáo đã lưu trước đó phải mở lại được và không mất nội dung đã nhập — nội dung cũ biến mất không dấu vết thì tính FAIL.</t>
  </si>
  <si>
    <t>✅ Bug ĐÚNG – chuyển dev. (Bug ID: BUG-CNTTTVV_07)
- Web sai: ở màn Chỉnh sửa hồ sơ tư vấn viên, khi có thay đổi chưa lưu mà bấm "Hủy", dữ liệu đang nhập bị đưa về giá trị cũ NGAY khi hộp thoại xác nhận vừa hiện — tức là trước khi người dùng kịp chọn. Do đó chọn "Ở lại" cũng không giữ lại được thông tin vừa nhập, đúng như phản ánh.
- Số liệu kiểm chứng: sửa Số điện thoại 0912280028 → 0909111222 và Địa chỉ "28 QA Test, Ha Noi" → "99 Pho Moi, Ha Noi"; ngay lúc hộp thoại hiện (chưa bấm gì) hai trường đã quay về 0912280028 và "28 QA Test, Ha Noi"; sau khi bấm "Ở lại" vẫn là giá trị cũ.
- Expected theo SRS: SCR-IV-02 cell 7 (srs-fr-04 dòng 1512) quy định "Hủy: nếu có thay đổi chưa lưu → hộp thoại xác nhận"; quy ước cùng loại ở SCR-IV-03 cell 20a (dòng 1562) nêu rõ chỉ bỏ thay đổi KHI người dùng đồng ý. Vì vậy khi hộp thoại đang mở và khi người dùng chọn ở lại màn nhập liệu, dữ liệu đang nhập phải được giữ nguyên.
- Verify: tài khoản Cán bộ nghiệp vụ Trung ương, hồ sơ tư vấn viên TVV-BTP-TW-0002 (Đang hoạt động) — đúng điều kiện đối tác.
- Ghi chú: cùng nguyên nhân với 2 lỗi đã gửi trước đó ở màn Thêm mới tư vấn viên và màn Đăng ký tham gia mạng lưới; đề nghị dev xử lý chung.</t>
  </si>
  <si>
    <t>1. Mở màn hình
 2. Thực hiện theo TC
 3. Nhấn Lưu</t>
  </si>
  <si>
    <t>Hiển thị đầy đủ trường nhập</t>
  </si>
  <si>
    <t>CNTTHDCTVV_02</t>
  </si>
  <si>
    <t>LBCDG_04</t>
  </si>
  <si>
    <t xml:space="preserve">Vô hiệu hóa nhưng tư vấn viên đang có {N} vụ việc và {M} hỏi đáp chưa hoàn thành </t>
  </si>
  <si>
    <t>1. Đăng nhập tài khoản 
2. Tư vấn viên đang có vụ việc/hỏi đáp</t>
  </si>
  <si>
    <t>Kiểm tra nút chức năng "Xuất Excel"</t>
  </si>
  <si>
    <t>1. Chọn menu "Mạng lướt tư vấn viên" -&gt; "Tư vấn viên/Chuyên gia"
2. Tìm kiếm và Nhấn xem thông tin ứng viên
3. Bấm nút "Cập nhật trạng thái"
4. Nhập lý do hợp lệ và nhấn xác nhận</t>
  </si>
  <si>
    <t>Hệ thống từ chối và hiển thị thông báo "Tư vấn viên đang có {N} vụ việc và {M} hỏi đáp chưa hoàn thành, không thể vô hiệu hóa".</t>
  </si>
  <si>
    <t>Hệ thống hiển thị thông báo "Có lỗi xảy ra"</t>
  </si>
  <si>
    <t>1. Chọn menu "Đánh giá hiệu quả"
2. Mở Chi tiết đợt đánh giá (tab Báo cáo)
3. Nhấn Xuất excel</t>
  </si>
  <si>
    <r>
      <rPr>
        <rFont val="Times New Roman"/>
        <color rgb="FF1155CC"/>
        <sz val="13.0"/>
        <u/>
      </rPr>
      <t>CNTTHDCTVV_02.webm</t>
    </r>
  </si>
  <si>
    <t xml:space="preserve">- Tên nút chức năng đúng với thiểt kế
- Khi nhấn nút chức năng: Hệ thống xuất báo cáo đánh giá ra tệp XLSX theo mẫu Thông tư số 17/2025/TT-BTP và cho phép người dùng tải xuống.
</t>
  </si>
  <si>
    <t>Tên nút chức năng không giống với thiết kế</t>
  </si>
  <si>
    <r>
      <rPr>
        <rFont val="Times New Roman"/>
        <color rgb="FF1155CC"/>
        <sz val="12.0"/>
        <u/>
      </rPr>
      <t>LBCDG_04.jpg</t>
    </r>
  </si>
  <si>
    <t>Không nhập Nội dung</t>
  </si>
  <si>
    <t>✅ Bug ĐÚNG – chuyển dev. (Bug ID: BUG-CNTTHDCTVV_02)
- Web sai: khi vô hiệu hóa tư vấn viên đang còn vụ việc chưa hoàn thành, hệ thống có từ chối đúng (trạng thái giữ nguyên) nhưng giao diện chỉ hiện thông báo chung chung "Có lỗi xảy ra", không cho cán bộ biết lý do bị chặn.
- Điểm mấu chốt: hệ thống ở phía máy chủ ĐÃ trả về đúng thông báo nghiệp vụ "Tư vấn viên đang có 1 vụ việc và 0 hỏi đáp chưa hoàn thành, không thể vô hiệu hóa" — nhưng giao diện không hiển thị thông báo này. Đây là lỗi ở phần hiển thị của giao diện, phần nghiệp vụ chặn vô hiệu hóa vẫn chạy đúng.
- Expected theo SRS: FR-IV-12 (UC50) §Error Handling E2 - ERR-TT-02 (srs-fr-04 dòng 914) và §Acceptance Criteria (dòng 925): khi tư vấn viên còn vụ việc đang xử lý thì phải từ chối và hiển thị thông báo "Tư vấn viên đang có {N} vụ việc và {M} hỏi đáp chưa hoàn thành, không thể vô hiệu hóa"; §Processing bước 2 (dòng 892) quy định điều kiện kiểm tra.
- Verify: tài khoản Cán bộ nghiệp vụ Trung ương, tư vấn viên TVV-BTP-TW-0002 (Đang hoạt động) đang có 1 vụ việc chưa hoàn thành (VV-BTP-TW-20260712-001), chọn Vô hiệu hóa + nhập lý do hợp lệ — đúng điều kiện đối tác.</t>
  </si>
  <si>
    <t>Báo lỗi bắt buộc</t>
  </si>
  <si>
    <t>QLTNVV_02</t>
  </si>
  <si>
    <t>1. Chọn menu "Vụ việc HTPL"
2. Kiểm tra hiển thị bảng danh sách</t>
  </si>
  <si>
    <t xml:space="preserve">- Tên cột "Thời hạn xử lý" không đúng với thiết kế
</t>
  </si>
  <si>
    <r>
      <rPr>
        <rFont val="Times New Roman"/>
        <color rgb="FF1155CC"/>
        <sz val="12.0"/>
        <u/>
      </rPr>
      <t>QLTNVV_02.jpg</t>
    </r>
  </si>
  <si>
    <t>✅ Bug đúng (BA duyệt 24/07/2026) — Loại 1: phần mềm lệch đặc tả ở TÊN và SỐ LƯỢNG nút xuất. Mức Minor, ưu tiên thấp. Owner Dev FE — BA đề nghị gộp cùng đợt fix BUG-LBCDG_05 (thiếu xuất bản Word).
Dev FE: thanh thao tác tab Báo cáo phải có 2 nút xuất tách theo định dạng, nhãn cho người dùng nhận ra ngay định dạng tệp sẽ tải về — "Xuất XLSX" và "Xuất DOCX" — thay cho 1 nút gộp "Xuất báo cáo" hiện tại. Case này CHỈ xét tên + số lượng nút; việc bản Word chưa xuất được là lỗi riêng đã tách thành BUG-LBCDG_05, nên khi khôi phục xuất Word thì trả luôn về đúng cấu trúc 2 nút.
SRS đã kiểm nguyên văn: Docs-PM-HTPLDN/_bmad-output/planning-artifacts/srs-v3.5/srs-fr-08-danh-gia.md:889 — "Nút [Xuất XLSX] / [Xuất DOCX] | C08 Secondary | Xuất theo mẫu TT17/2025 | click → download | Luôn"; :595 — đầu ra của luồng lập báo cáo, mục 2 "File xuất | file | Khi nhấn Xuất | Excel (.xlsx) / Word (.docx)". Chữ trong ngoặc vuông ở bảng mô tả màn hình là tên nút thực tế (cùng kiểu [Lưu nháp], [Trình phê duyệt]) nên là đặc tả.
── CÁCH VERIFY sau Dev fix ──
Precondition: đăng nhập https://18.143.165.120.nip.io bằng cbnv_hn / Test@1234. Cần 1 đợt đã có báo cáo (trạng thái Báo cáo trở đi): /danh-gia/ke-hoach/danh-sach → chi tiết đợt → tab Báo cáo.
1) Đếm số nút xuất trên thanh thao tác của tab Báo cáo và đọc nguyên văn nhãn từng nút.
2) Bấm nút xuất bản Excel → mở thư mục tải về, kiểm tra phần mở rộng của tệp vừa tải.
3) Mở tệp Excel đó, kiểm tra có nội dung báo cáo của ĐÚNG đợt vừa xuất không (mã đợt / tên đợt / kỳ đánh giá).
4) Bấm nút xuất bản Word → ghi lại kết quả (tải được tệp gì, hay báo lỗi).
✅ PASS khi ĐỦ 3 điều: (i) bước 1 có ĐÚNG 2 nút xuất, nhãn phân biệt rõ định dạng là "Xuất XLSX" và "Xuất DOCX" — không còn nút gộp "Xuất báo cáo"; (ii) bước 2 nút Excel tải về đúng tệp .xlsx; (iii) bước 3 mở tệp thấy đúng nội dung báo cáo của đợt vừa thao tác.
❌ FAIL nếu: vẫn chỉ 1 nút gộp "Xuất báo cáo"; HOẶC có 2 nút nhưng nhãn không nêu định dạng; HOẶC 2 nút cùng tải về một loại tệp .xlsx (tức chỉ nhân đôi nút Excel).
⚠️ Case này nghiệm thu phần TÊN + SỐ LƯỢNG nút. Nếu 2 nút đã đúng nhãn nhưng bấm "Xuất DOCX" ra lỗi hoặc tệp rỗng thì ghi PASS cho LBCDG_04 và ghi FAIL cho BUG-LBCDG_05 — hai case tách nhau, đừng đánh trượt nhầm sang case này.</t>
  </si>
  <si>
    <t>- Một số tên cột thông tin viết tắt(hạn chế viết tắt)
- Đề nghị chỉnh sửa hiển thị đối với các cảnh báo quá hạn(hiện tại cảnh báo quá hạn nhấp nháy và màu chữ gần như chìm vào nền, gây khó nhìn)</t>
  </si>
  <si>
    <t>BA chốt 16/07/2026 cho 2 đề nghị thêm của case:
- Ý 1 — tên cột viết tắt: ✅ BA DUYỆT viết đầy đủ, bỏ viết tắt. "Mã VV" → "Mã vụ việc", "Tên DN" → "Tên doanh nghiệp", "Lĩnh vực PL" → "Lĩnh vực pháp luật"… BA sửa SRS một lần cho cả 5 màn SCR-V.I-01…05 (srs-fr-05:1630-1632), làm CÙNG LÚC với đổi nhãn "Deadline SLA" ở KTHSYCHTPL_04 → Dev FE.
- Ý 2 — badge quá hạn chữ chìm nền: 🐞 LÀ LỖI, chuyển Dev. Vi phạm quy ước UI-05 về tương phản WCAG (srs-v3.5.md:572). Yêu cầu: badge quá hạn đạt tương phản tối thiểu WCAG AA 4.5:1; bổ sung quy ước chung "không dùng hiệu ứng nhấp nháy cho nhãn cảnh báo".
⚠️ GIỮ status dev done: ý chính của case (2 cột thời hạn sai nhãn) là lỗi thật — đã log BUG-QLTNVV_02, vẫn đang chờ Dev. Thứ tự làm: sửa nhãn cột màn hình trước, rồi mới đồng bộ Excel (QLTNVV_06).</t>
  </si>
  <si>
    <t>Không chọn Lĩnh vực</t>
  </si>
  <si>
    <t>QLTNVV_06</t>
  </si>
  <si>
    <t>Báo lỗi</t>
  </si>
  <si>
    <t>LBCDG_05</t>
  </si>
  <si>
    <t>Xuất Excel Có dữ liệu</t>
  </si>
  <si>
    <t>"Xuất Word" thành công</t>
  </si>
  <si>
    <t>1. Đăng nhập tài khoản 
2. Tồn tại bản ghi phù hợp với tiêu chí tìm kiếm</t>
  </si>
  <si>
    <t>1. Chọn menu "Vụ việc HTPL"
2. Tìm kiếm từ khóa có kết quả
3. Bấm nút "Nhấn excel"</t>
  </si>
  <si>
    <t>1. Chọn menu "Đánh giá hiệu quả"
2. Mở Chi tiết đợt đánh giá (tab Báo cáo)
3. Nhấn Xuất Word</t>
  </si>
  <si>
    <t>- Hệ thống xuất danh sách hồ sơ theo điều kiện lọc hiện tại ra file Excel, bao gồm toàn bộ cột đang hiển thị.</t>
  </si>
  <si>
    <t>- Hệ thống xuất báo cáo đánh giá ra tệp DOCX theo mẫu Thông tư số 17/2025/TT-BTP và cho phép người dùng tải xuống.</t>
  </si>
  <si>
    <t xml:space="preserve">- Tên cột "Thời hạn xử lý" không đúng với thiết kế
- Thiếu cột thông tin Cảnh báo thời hạn
</t>
  </si>
  <si>
    <t>Không có nút chức năng Xuất Word</t>
  </si>
  <si>
    <r>
      <rPr>
        <rFont val="Times New Roman"/>
        <color rgb="FF1155CC"/>
        <sz val="12.0"/>
        <u/>
      </rPr>
      <t>QLTNVV_06.webm</t>
    </r>
  </si>
  <si>
    <r>
      <rPr>
        <rFont val="Times New Roman"/>
        <color rgb="FF1155CC"/>
        <sz val="12.0"/>
        <u/>
      </rPr>
      <t>LBCDG_05.jpg</t>
    </r>
  </si>
  <si>
    <t>🐞 BA chốt 12/07/2026: LÀ LỖI — chuyển Dev. (Giữ nguyên kết luận, bổ sung phần SRS.)
- Nguyên tắc: màn hình hiện cột nào thì Excel có ĐÚNG cột đó với ĐÚNG tên đó. Tập cột đúng là 9 cột dữ liệu của SCR-V.I-01 (srs-fr-05:1630-1638) → BỎ 2 cột thừa "Tiêu đề" và "Ưu tiên". Cột chọn (checkbox) và cột "Hành động" không xuất.
- Kèm SRS: bổ sung một mục quy định cột xuất Excel vào FR-V.I-01 (theo mẫu module TVV, srs-fr-04:243).
- Thứ tự làm: sửa nhãn cột trên màn hình trước (BUG-QLTNVV_02 + QLTNVV_02 ý 1), rồi mới đồng bộ Excel — nếu không, 2 màn sẽ lệch nhau.
- Verify lại: xuất Excel từ danh sách vụ việc → đúng 9 cột, tên cột khớp màn hình, không còn "Tiêu đề"/"Ưu tiên".</t>
  </si>
  <si>
    <t>Đúng như đối tác báo — thiếu chức năng xuất Word.
Màn Báo cáo chỉ có 1 nút "Xuất báo cáo" và luôn tải file Excel (.xlsx). Không có nút/tùy chọn xuất Word (.docx). Kiểm tra thêm ở tầng API: gọi endpoint xuất với mọi tham số format=docx/type=word đều trả về .xlsx → xuất Word chưa được làm cả FE lẫn BE. SRS FR-VI-07 Outputs #2 + SCR item 53 [Xuất DOCX] + AC yêu cầu xuất được cả Excel và Word.</t>
  </si>
  <si>
    <t>QLTNVV_08</t>
  </si>
  <si>
    <t>Không chọn Kênh</t>
  </si>
  <si>
    <t>TPDBC_02</t>
  </si>
  <si>
    <t>1. Chọn menu "Vụ việc HTPL"
2. Tìm kiếm từ khóa có kết quả
3.  Bấm vào tiêu đề cột cần sắp xếp</t>
  </si>
  <si>
    <t>- Hệ thống sắp xếp danh sách theo cột đó, luân phiên tăng dần / giảm dần qua mỗi lần bấm.</t>
  </si>
  <si>
    <t>Không thực hiện sắp xếp khi nhấn vào tên cột</t>
  </si>
  <si>
    <r>
      <rPr>
        <rFont val="Times New Roman"/>
        <color rgb="FF1155CC"/>
        <sz val="12.0"/>
        <u/>
      </rPr>
      <t>QLTNVV_08.webm</t>
    </r>
  </si>
  <si>
    <t>Kiểm tra hiển thị nút chức năng Trình phê duyệt</t>
  </si>
  <si>
    <t>Không chọn Mức độ</t>
  </si>
  <si>
    <t>🔴 Reopen – fix chưa đủ.
- Danh sách Vụ việc HTPL đã có sắp xếp ở một số cột: Mã VV, Trạng thái, Ngày tiếp nhận, Deadline SLA.
- Tuy nhiên vẫn còn nhiều cột không có sắp xếp: Tên DN, Lĩnh vực PL, Kênh tiếp nhận, Người xử lý / Tổ chức, Cảnh báo SLA. Bấm tiêu đề các cột này không đổi thứ tự danh sách.
- Theo SRS FR-V.I-01 (UC51) §Quy tắc tương tác: danh sách phải hỗ trợ sort theo từng cột.
- Verify: cbnv_tw, màn Vụ việc HTPL &gt; Danh sách. Bug ID: BUG-QLTNVV_08.</t>
  </si>
  <si>
    <t>1. Chọn menu "Đánh giá hiệu quả"
2. Mở Chi tiết đợt đánh giá (tab Báo cáo)
3. Nhấn "Trình phê duyệt báo cáo"</t>
  </si>
  <si>
    <t>Chỉ hiển thị khi đợt đang ở trạng thái "Báo cáo" và báo cáo đã được lưu.</t>
  </si>
  <si>
    <t>NHSYC_02</t>
  </si>
  <si>
    <t>Báo cáo không ở đúng trạng thái và báo cáo chưa được lưu nhưng vẫn hiển thị nút chức năng, cho phép trình phê duyệt thành công</t>
  </si>
  <si>
    <t>Kiểm tra hiển thị các trường thông tin trong form nhập thủ công</t>
  </si>
  <si>
    <r>
      <rPr>
        <rFont val="Times New Roman"/>
        <color rgb="FF1155CC"/>
        <sz val="12.0"/>
        <u/>
      </rPr>
      <t>TPDBC_02.webm</t>
    </r>
  </si>
  <si>
    <t>1. Chọn menu "Vụ việc HTPL"
2. Bấm nút "Nhập thủ công"</t>
  </si>
  <si>
    <t xml:space="preserve">- Hệ thống hiển thị các trường thông tin và placeholder giống với thiết kế
- Dữ liệu hiển thị đúng định dạng và trường thông tin
- Dữ liệu hiển thị không bị tràn/đè lên nhau, đồng nhất ngôn ngữ hiển thị
</t>
  </si>
  <si>
    <t>- Nhóm 1 — Thông tin Doanh nghiệp hiển thị trường thông tin không giống với thiết kế
- Nhóm 2- Nội dung yêu cầu:
+"Loại hình hỗ trợ" theo thiết kế có 4 giá trị nhưng hệ thống hiển thị 6 giá trị
+"Lĩnh vực pháp lý"  theo thiết kế có 8 giá trị nhưng hệ thống hiển thị 7 giá trị, thiếu giá trị "Khác"
+Nội dung vụ việc/vướng mắc đang là 2 trường thông tin riêng, theo thiết kế là 1 trường thông tin
+Thiếu trường thông tin "Thời điểm phát sinh"
- Nhóm 3 — Tài liệu Đính kèm thiếu trường thông tin "Hướng dẫn hồ sơ cần nộp"
- Nhóm 4 — Thông tin Tiếp nhận: thiếu trường thông tin "Ngày tiếp nhận", "Ghi chú tiếp nhận" và "Kênh tiếp nhận" giá trị không đúng với thiết kế</t>
  </si>
  <si>
    <r>
      <rPr>
        <rFont val="Times New Roman"/>
        <color rgb="FF1155CC"/>
        <sz val="13.0"/>
        <u/>
      </rPr>
      <t>NHSYC_02.webm</t>
    </r>
  </si>
  <si>
    <t>BA chốt 16/07/2026 cho 8 ý phụ của case — KHÔNG ý nào là lỗi Dev:
- Ý 1 (nhóm Thông tin DN — 13 trường hay hộp thoại 2 trường): SRS tự mâu thuẫn. Phần mềm làm ĐÚNG quyết định BA 30/05/2026 (hộp thoại tạo DN, 2 trường bắt buộc: mã số thuế + tên DN; 15 trường còn lại tùy chọn — srs-fr-05:312, :1668). → BA DỌN SRS: xóa 13 dòng nhập thẳng :1666-1678.
- Ý 2 (Kênh tiếp nhận — 3 hay 5 giá trị): SRS tự mâu thuẫn (:319 ghi 3, :1690 ghi 5). Phần mềm làm 3 → ĐÚNG. → BA DỌN SRS: giữ 3, sửa :1690. Lý do: "Dịch vụ công" và "Hệ thống khác" là kênh tự động, cán bộ không thể nhập tay rồi khai hồ sơ đến từ Dịch vụ công.
- Ý 3 (Loại hình hỗ trợ) &amp; Ý 4 (Lĩnh vực pháp lý): KHÔNG phải lỗi — là DANH MỤC CẤU HÌNH ĐƯỢC (FK → DANH_MUC, :315/:1683, :316/:1682), giá trị hiển thị do cấu hình chứ không cứng trong code. Đơn vị vận hành tự cấu hình qua chức năng quản trị danh mục. BA sẽ ban hành danh mục chuẩn để nạp (và chốt Lĩnh vực pháp lý có giá trị "Khác" hay không).
- Ý 5 (gộp "Nội dung yêu cầu" + "Vướng mắc"): KHÔNG gộp — là 2 trường riêng, ý nghĩa khác nhau (:317-318, :1681, :1684). Phần mềm đúng.
- Ý 6 (thêm "Thời điểm phát sinh"): SRS chưa có → nếu có nhu cầu thật thì nêu rõ mục đích sử dụng, đưa vào yêu cầu cải tiến. Lưu ý không dùng để tính thời hạn — thời hạn tính từ ngày tiếp nhận (:338).
- Ý 7 (thêm "Hướng dẫn hồ sơ cần nộp"): yêu cầu chưa rõ (không nêu nội dung / tĩnh hay động / ai nhập) → cần làm rõ trước.
- Ý 8 (thêm ô "Ghi chú tiếp nhận" ở nhóm 4): KHÔNG thêm — form đã có ô "Ghi chú" dùng chung ở nhóm 2 (:1685), thêm nữa là trùng lặp. Phần mềm đúng.
⚠️ GIỮ status dev done: ý chính của case (thiếu trường "Ngày tiếp nhận") là lỗi thật — đã log BUG-NHSYC_02, vẫn đang chờ Dev.</t>
  </si>
  <si>
    <t>Nội dung 1 ký tự</t>
  </si>
  <si>
    <t>Lưu thành công</t>
  </si>
  <si>
    <t>NHSYC_05</t>
  </si>
  <si>
    <t>Kiểm tra giới hạn ký tự nhập các trường thông tin</t>
  </si>
  <si>
    <t>Đã kiểm tra lại, không tái hiện được lỗi. Nút 'Trình phê duyệt' chỉ hiển thị khi đợt ở giai đoạn báo cáo và báo cáo đã được tạo/lưu; ở các trạng thái trước đó nút không hiển thị (đúng theo UC90).</t>
  </si>
  <si>
    <t>1. Chọn menu "Vụ việc HTPL"
2. Bấm nút "Nhập thủ công"
3. Kiểm tra giới hạn ký tự nhập</t>
  </si>
  <si>
    <t>Hệ thống giới hạn số lượng ký tự nhập các trường thông tin theo thiết kế hoặc hiển thị cảnh báo:
- Nội dung vụ việc tối đa 10.000 ký tự</t>
  </si>
  <si>
    <t>Nội dung vụ việc hệ thống cho phép tối đa 50.000 ký tự</t>
  </si>
  <si>
    <r>
      <rPr>
        <rFont val="Times New Roman"/>
        <color rgb="FF1155CC"/>
        <sz val="13.0"/>
        <u/>
      </rPr>
      <t>NHSYC_05.jpg</t>
    </r>
  </si>
  <si>
    <t>✅ Bug ĐÚNG – chuyển dev.
- Web sai: trường "Nội dung yêu cầu" trên form Nhập thủ công đang khai trần 50.000 ký tự (bộ đếm hiển thị "0 / 50000", thuộc tính maxlength = 50000). Nhập thử 10.050 ký tự — hệ thống vẫn nhận, bộ đếm hiện "10050 / 50000" và KHÔNG hiển thị bất kỳ thông báo lỗi nào.
- Theo SRS FR-V.I-04 (UC54) §Inputs #6 (srs-fr-05-vu-viec.md dòng 317): noi_dung_yeu_cau "max 10.000 ký tự"; SCR-V.I-02 §Thành phần màn hình dòng 1681 cũng ghi "Bắt buộc. Tối đa 10.000 ký tự" ⇒ hệ thống phải giới hạn 10.000 ký tự, hoặc hiển thị cảnh báo khi vượt.
- Verify: tài khoản cbnv_tw (CB Nghiệp vụ - Trung ương), màn Vụ việc HTPL &gt; Nhập thủ công (/vu-viec/tao-moi), ngày 12/07/2026.
- Bug ID: BUG-NHSYC_05.</t>
  </si>
  <si>
    <t>NHSYC_06</t>
  </si>
  <si>
    <t>Nội dung 5000 ký tự</t>
  </si>
  <si>
    <t>TPDBC_03</t>
  </si>
  <si>
    <t>Tệp đính kèm vi phạm quy định</t>
  </si>
  <si>
    <t>1. Chọn menu "Vụ việc HTPL"
2. Bấm nút "Nhập thủ công"
3. Tệp đính kèm vi phạm quy định
4. Nhấn Lưu &amp;Gửi duyệt</t>
  </si>
  <si>
    <t>Hệ thống dừng gửi và hiển thị thông báo "Tệp vượt quá dung lượng/số lượng cho phép hoặc sai định dạng".</t>
  </si>
  <si>
    <t xml:space="preserve">Chú thích hiển thị trên prototype: "PDF, DOC, DOCX, XLS, XLSX — Tối đa 20MB/file". </t>
  </si>
  <si>
    <t>Đợt không ở trạng thái "Báo cáo"</t>
  </si>
  <si>
    <r>
      <rPr>
        <rFont val="Times New Roman"/>
        <color rgb="FF1155CC"/>
        <sz val="13.0"/>
        <u/>
      </rPr>
      <t>NHSYC_06.jpg</t>
    </r>
  </si>
  <si>
    <t>1. Đăng nhập tài khoản 
2. Đợt không ở trạng thái "Báo cáo"</t>
  </si>
  <si>
    <t>- Hệ thống báo "Đợt không ở trạng thái đã lập báo cáo".</t>
  </si>
  <si>
    <t>Theo SRS quy định bổ sung: tổng dung lượng tối đa 100 MB, tối đa 10 tệp</t>
  </si>
  <si>
    <t>Khi đợt ở các trạng thái: Lập kế hoạch, Phân công, Chờ duyệt PC, Thực hiện =&gt; Hệ thống hiển thị "Chưa hoàn thành đánh giá"</t>
  </si>
  <si>
    <r>
      <rPr>
        <rFont val="Times New Roman"/>
        <color rgb="FF1155CC"/>
        <sz val="12.0"/>
        <u/>
      </rPr>
      <t>TPDBC_03.jpg</t>
    </r>
  </si>
  <si>
    <t>BA chốt 16/07/2026 cho ý "danh sách định dạng tệp" — DỌN SRS + 1 việc cho Dev:
- Không chấm được Dev theo SRS cũ vì SRS ghi 3 danh sách KHÁC NHAU ở 3 chỗ: :320 = PDF/DOC/DOCX/JPG/PNG; :1687 = doc/docx/xls/xlsx/pdf; :180 = PDF/DOC/DOCX/XLS/XLSX. Phần mềm lấy hợp của cả 3 rồi thêm .gif (không có ở dòng SRS nào).
- BA chốt MỘT danh sách: PDF · DOC · DOCX · XLS · XLSX (tài liệu) và JPG · PNG (ảnh chụp giấy tờ). BỎ .gif — ảnh động không phải tài liệu pháp lý. BA đồng bộ cả 3 dòng SRS (:180, :320, :1687) → Dev bỏ .gif.
- Kèm: trần TỔNG 100MB hiện không hiện trên màn hình → phải hiển thị, vì người dùng không thể tuân theo giới hạn họ không được biết.
⚠️ GIỮ status dev done: ý chính của case (vượt 10 tệp và vượt 100MB không báo lỗi) là lỗi thật — đã log BUG-NHSYC_06, vẫn đang chờ Dev.</t>
  </si>
  <si>
    <t>NHSYC_07</t>
  </si>
  <si>
    <t>Kiểm tra chức năng Lưu nháp</t>
  </si>
  <si>
    <t>Nội dung &gt;5000 ký tự</t>
  </si>
  <si>
    <t>1. Chọn menu "Vụ việc HTPL"
2. Bấm nút "Nhập thủ công"
3. Nhập thông tin và nhấn Lưu nháp</t>
  </si>
  <si>
    <t>- Sinh mã hồ sơ theo quy tắc VV-{mã tỉnh}-{YYYYMMDD}-{số thứ tự}.
- Lưu hồ sơ ở trạng thái "Mới tạo" để doanh nghiệp tiếp tục chỉnh sửa sau.
- Hệ thống hiển thị thông báo "Đã lưu nháp hồ sơ" và giữ nguyên màn hình để người dùng tiếp tục nhập.</t>
  </si>
  <si>
    <t>- Hệ thống hiển thị kiểm tra bắt buộc nhập khi nhấn Lưu nháp
- Hệ thống không giữ nguyên màn hình để người dùng tiếp tục nhập sau khi Lưu nháp thành công.</t>
  </si>
  <si>
    <r>
      <rPr>
        <rFont val="Times New Roman"/>
        <color rgb="FF1155CC"/>
        <sz val="13.0"/>
        <u/>
      </rPr>
      <t>NHSYC_07.webm</t>
    </r>
  </si>
  <si>
    <t>Không cho lưu</t>
  </si>
  <si>
    <t>❌ BA chốt: KHÔNG phải lỗi ở cả 2 ý — phần mềm đúng SRS.
- Ý 1 (Lưu nháp có bắt nhập đủ trường không): giữ nguyên hành vi hiện tại. SRS không quy định lưu nháp phải nới lỏng kiểm tra → phần mềm vẫn kiểm tra các trường bắt buộc là chấp nhận được. Muốn nới lỏng để lưu nháp chỉ cần vài trường định danh → là yêu cầu cải tiến, trao đổi BA.
- Ý 2 (lưu xong ở lại form hay chuyển trang): phần mềm chuyển sang trang chi tiết — ĐÚNG SRS (srs-fr-05:342). Kỳ vọng "ở lại form" là trái đặc tả.
- 2/3 ý Expected còn lại đã đạt: sinh mã đúng quy tắc, lưu trạng thái "Mới tạo". Đề nghị cập nhật lại Kết quả mong đợi của test case.</t>
  </si>
  <si>
    <t>NHSYC_08</t>
  </si>
  <si>
    <t>✅ Bug đúng (BA duyệt 24/07/2026) — Loại 2: BA đã gỡ mâu thuẫn trong SRS và chốt MỘT thông điệp chặn duy nhất, Dev đổi câu trong app theo SRS mới. Mức Minor, ưu tiên thấp (giao diện đã chặn thao tác nên người dùng thường không chạm tới).
Bối cảnh: cùng tình huống "đợt chưa ở trạng thái đã lập báo cáo", SRS trước đây có 2 câu khác nhau (ERR-DG-BC-01 "Đợt chưa hoàn thành đánh giá" ở luồng lập báo cáo, và ERR-DG-TR-01 "Đợt không ở trạng thái đã lập BC" ở luồng trình phê duyệt); app chọn câu thứ nhất. BA chốt 24/07/2026 dùng ERR-DG-TR-01, bỏ ERR-DG-BC-01.
Việc Dev phải làm: khi người dùng mở tab Báo cáo của một đợt CHƯA ở trạng thái đã lập báo cáo, hoặc khi có yêu cầu trình phê duyệt báo cáo trên đợt như vậy, hệ thống phải chặn và báo đúng MỘT thông điệp thống nhất theo chuẩn mới — nói rõ đợt không ở trạng thái đã lập báo cáo. Hiện app hiện "Chưa hoàn thành đánh giá" ở vùng rỗng tab Báo cáo, còn khi gọi thẳng dịch vụ trình phê duyệt ở trạng thái Thực hiện thì trả "Báo cáo đánh giá không tồn tại" — cả hai cần đưa về cùng một câu.
SRS đã kiểm nguyên văn: Docs-PM-HTPLDN/_bmad-output/planning-artifacts/srs-v3.5/srs-fr-08-danh-gia.md:670 — luồng trình phê duyệt, mục E1 'Đợt không ở BAO_CAO | ERR-DG-TR-01 | "Đợt không ở trạng thái đã lập BC" | ERROR'; :631 — điều kiện tiên quyết "Đợt ở trạng thái BAO_CAO"; và :606 — luồng lập báo cáo, mục E1 nay CŨNG đã ghi 'Đợt không ở BAO_CAO | ERR-DG-TR-01 | "Đợt không ở trạng thái đã lập BC"', mã ERR-DG-BC-01 không còn xuất hiện ở bất kỳ dòng nào trong file — tức bản SRS này ĐÃ áp xong quyết định của BA (BA trích bản cũ tại cùng dòng :606). Phần Dev còn nợ là đổi câu trong app.
── CÁCH VERIFY sau Dev fix ──
Precondition: đăng nhập https://18.143.165.120.nip.io bằng cbnv_hn / Test@1234. Cần 1 đợt đang ở trạng thái Thực hiện (CHƯA lập báo cáo): /danh-gia/ke-hoach/danh-sach → chọn đợt có trạng thái "Thực hiện" → mở chi tiết đợt.
1) Mở tab Báo cáo của đợt đó, đọc NGUYÊN VĂN dòng chữ ở vùng nội dung rỗng.
2) Kiểm tra trên tab đó có nút trình phê duyệt báo cáo không.
3) Đối chứng: mở một đợt khác đã ở trạng thái Báo cáo → tab Báo cáo → xem có hiện nội dung báo cáo bình thường và có nút trình phê duyệt không.
✅ PASS khi ĐỦ 3 điều: (i) bước 1 dòng chữ nói đúng lý do chặn theo chuẩn mới — đợt không ở trạng thái đã lập báo cáo — và KHÔNG còn câu "Chưa hoàn thành đánh giá"; (ii) bước 2 vẫn không có nút trình phê duyệt khi đợt ở Thực hiện (giao diện vẫn chặn như cũ); (iii) bước 3 đợt ở trạng thái Báo cáo vẫn xem được báo cáo và trình phê duyệt được bình thường — sửa câu không làm hỏng luồng đúng.
❌ FAIL nếu: vẫn hiện "Chưa hoàn thành đánh giá"; HOẶC hiện câu mới nhưng đợt đã ở trạng thái Báo cáo cũng bị chặn nhầm; HOẶC nút trình phê duyệt xuất hiện ở trạng thái Thực hiện.
⚠️ Nếu tester kiểm thêm bằng cách gọi thẳng dịch vụ trình phê duyệt trên đợt ở trạng thái Thực hiện thì thông điệp trả về cũng phải là câu thống nhất mới, không còn "Báo cáo đánh giá không tồn tại". KHÔNG bắt buộc kiểm bằng cách này — kiểm trên giao diện là đủ để kết luận PASS/FAIL.</t>
  </si>
  <si>
    <t>Hủy khi đã nhập dữ liệu</t>
  </si>
  <si>
    <t>1. Chọn menu "Vụ việc HTPL"
2. Bấm nút "Nhập thủ công"
3. Nhập thông tin và nhấn Hủy</t>
  </si>
  <si>
    <t>Hệ thống hiển thị xác nhận "Bạn có chắc chắn muốn hủy? Dữ liệu đã nhập sẽ không được lưu". Nếu người dùng đồng ý, hệ thống chuyển trang; nếu không, giữ nguyên màn hình.</t>
  </si>
  <si>
    <t>Hệ thống không hiển thị xác nhận</t>
  </si>
  <si>
    <r>
      <rPr>
        <rFont val="Times New Roman"/>
        <color rgb="FF1155CC"/>
        <sz val="13.0"/>
        <u/>
      </rPr>
      <t>NHSYC_08.webm</t>
    </r>
  </si>
  <si>
    <t>PDBCDG_01</t>
  </si>
  <si>
    <t>Phê duyệt báo cáo đánh giá</t>
  </si>
  <si>
    <t>✅ BA duyệt 16/07/2026 — chuyển Dev FE.
- Bổ sung hộp thoại xác nhận khi rời form còn dữ liệu chưa lưu. Hiện bấm "Hủy" là về danh sách ngay, không hỏi gì, dữ liệu form 4 nhóm mất luôn.
- Căn cứ: SRS im lặng ở module Vụ việc (:1695), nhưng hai module cùng sản phẩm đang hành xử KHÁC NHAU ở cùng một thao tác — module Tư vấn viên ĐÃ CÓ hộp thoại xác nhận ("Ở lại"), module Vụ việc thì chưa.
- BA chuẩn hóa thành QUY ƯỚC CHUNG trong SRS (cạnh UI-04), áp mọi module.
- Verify lại: nhập dở form → bấm Hủy → hiện hộp thoại xác nhận, chọn ở lại thì giữ nguyên dữ liệu.</t>
  </si>
  <si>
    <t>KTHSYCHTPL_02</t>
  </si>
  <si>
    <t>Kiểm tra hiển thị vùng tiêu đề và thanh tiến trình</t>
  </si>
  <si>
    <t>Lãnh đạo CQQLNN xem xét và phê duyệt báo cáo đánh giá.</t>
  </si>
  <si>
    <t>1. Đăng nhập tài khoản 
2. Hồ sơ vụ việc đang ở trạng thái "Đã tiếp nhận" hoặc "Đang kiểm tra".</t>
  </si>
  <si>
    <t>Email hợp lệ</t>
  </si>
  <si>
    <t>1. Đăng nhập tài khoản 
2. Đợt đánh giá ở trạng thái "Chờ phê duyệt".</t>
  </si>
  <si>
    <t xml:space="preserve">1. Chọn menu "Vụ việc HTPL"
2. Tìm kiếm và nhấn Xem chi tiết
</t>
  </si>
  <si>
    <t xml:space="preserve">- Hệ thống hiển thị các trường thông tin giống với thiết kế
- Dữ liệu hiển thị đúng định dạng và trường thông tin, dữ liệu là giá trị hiện tại
- Dữ liệu hiển thị không bị tràn/đè lên nhau, đồng nhất ngôn ngữ hiển thị
</t>
  </si>
  <si>
    <t>- Các bước đã hoàn thành không có dấu tích
- Mức cảnh báo quá hạn không giống với thiết kế</t>
  </si>
  <si>
    <r>
      <rPr>
        <rFont val="Times New Roman"/>
        <color rgb="FF1155CC"/>
        <sz val="13.0"/>
        <u/>
      </rPr>
      <t>KTHSYCHTPL_02.webm</t>
    </r>
  </si>
  <si>
    <t>- Đề nghị chỉnh sửa hiển thị đối với các cảnh báo quá hạn(hiện tại cảnh báo quá hạn nhấp nháy và màu chữ gần như chìm vào nền, rất khó nhìn)</t>
  </si>
  <si>
    <t>1. Chọn menu "Đánh giá hiệu quả"
2. Mở Chi tiết đợt đánh giá (tab Báo cáo)
3. Nhấn Phê duyệt báo cáo</t>
  </si>
  <si>
    <r>
      <rPr>
        <rFont val="Times New Roman"/>
        <color theme="1"/>
        <sz val="12.0"/>
      </rPr>
      <t xml:space="preserve">- Hiển thị cửa sổ xác nhận.
+ Sau khi xác nhận, chuyển trạng thái đợt đánh giá từ "Chờ phê duyệt" sang "Hoàn thành".
+ Ghi người duyệt, thời gian.
+ Hiển thị màn hình kết quả phê duyệt (trạng thái, người duyệt, thời gian).
</t>
    </r>
    <r>
      <rPr>
        <rFont val="Times New Roman"/>
        <color rgb="FFEA4335"/>
        <sz val="12.0"/>
      </rPr>
      <t>+ Gửi thông báo kết quả cho Cán bộ nghiệp vụ.</t>
    </r>
    <r>
      <rPr>
        <rFont val="Times New Roman"/>
        <color theme="1"/>
        <sz val="12.0"/>
      </rPr>
      <t xml:space="preserve">
+ Lưu vết thao tác theo quy định.
-</t>
    </r>
    <r>
      <rPr>
        <rFont val="Times New Roman"/>
        <color rgb="FFFF0000"/>
        <sz val="12.0"/>
      </rPr>
      <t xml:space="preserve"> Hệ thống hiển thị thông điệp "Đã phê duyệt báo cáo. Đợt đánh giá hoàn thành".</t>
    </r>
    <r>
      <rPr>
        <rFont val="Times New Roman"/>
        <color theme="1"/>
        <sz val="12.0"/>
      </rPr>
      <t xml:space="preserve">
</t>
    </r>
  </si>
  <si>
    <t>✅ Bug ĐÚNG – chuyển dev. Cả 2 ý đối tác nêu đều là lỗi thật.
- Ý 1 – Các bước đã hoàn thành không có dấu tích: ở màn Chi tiết vụ việc, thanh tiến trình chỉ vẽ bước đã hoàn thành bằng chấm tròn, không có dấu ✓. Theo SRS FR-V.I-07 (UC57) §SCR-V.I-03 – Thanh tiến trình (srs-fr-05-vu-viec.md dòng 1718): "Bước hiện tại nổi bật, hoàn thành có dấu ✓". Đã verify đúng vai trò/trạng thái đối tác: CB_NV_TW, vụ việc VV-BTP-TW-20260712-003 ở trạng thái "Đã tiếp nhận". Bug ID: BUG-KTHSYCHTPL_02.
- Ý 2 – Mức cảnh báo quá hạn không giống thiết kế: đã tái hiện được. Ở mức "Quá hạn nghiêm trọng" (đã dùng quá 200% thời hạn), thẻ cảnh báo tự nhấp nháy liên tục không dừng; đo thực tế độ đậm của thẻ dao động 1.0 → 0.20 → 1.0 mỗi giây, tại đáy nhịp thẻ chỉ còn khoảng 20% độ đậm nên chữ trắng gần như chìm hẳn vào nền trang, rất khó đọc – đúng như đối tác mô tả. Theo SRS FR-V.I-07 (UC57) §SCR-V.I-01 – Mức cảnh báo thời hạn (srs-fr-05-vu-viec.md dòng 1494-1501) và BR-SLA-02 (dòng 2416): 4 mức cảnh báo chỉ được phân biệt bằng MÀU (Xanh lá / Vàng / Đỏ / Đen), không quy định hiệu ứng nhấp nháy hay làm mờ. Mức "Quá hạn" (nền đỏ) đang hiển thị đúng thiết kế, chỉ mức "Quá hạn nghiêm trọng" bị lỗi. Bug ID: BUG-KTHSYCHTPL_02b.
- Ghi nhận thêm cho dev: ngưỡng của các mức cảnh báo đang bị cố định cứng trong giao diện (50% / 100% / 200%) thay vì đọc từ màn Cấu hình hệ thống, nên quản trị viên đổi "Ngưỡng cảnh báo 1/2" hay "Hệ số quá hạn" thì giao diện không đổi theo – trái SRS dòng 1646.
- Cách verify ý 2: hệ thống hiện không có đường nào tạo được vụ việc quá hạn (hạn xử lý luôn do máy chủ tự tính từ ngày tiếp nhận; không màn hình/API nào cho nhập hoặc lùi ngày). Vì vậy giữ nguyên vụ việc thật và hạn thật do máy chủ sinh (VV-STP-AG-20260712-001/-002, tiếp nhận 12/07/2026, hạn 31/07/2026), chỉ tua đồng hồ máy trạm tới sau hạn – đúng như người dùng thật mở màn hình vào ngày đó. Đã chụp ảnh cả 2 pha của hiệu ứng nhấp nháy.</t>
  </si>
  <si>
    <t>- Hệ thống không gửi thông báo cho CBNV
- Thông báo thành công hiển thị thiếu "Đợt đánh giá hoàn thành"</t>
  </si>
  <si>
    <r>
      <rPr>
        <rFont val="Times New Roman"/>
        <color rgb="FF1155CC"/>
        <sz val="12.0"/>
        <u/>
      </rPr>
      <t>PDBCDG_01.webm</t>
    </r>
  </si>
  <si>
    <t>KTHSYCHTPL_03</t>
  </si>
  <si>
    <t xml:space="preserve">Kiểm tra hiển thị Nhóm 1 — Thông tin Doanh nghiệp </t>
  </si>
  <si>
    <t xml:space="preserve">- Hệ thống hiển thị các trường thông tin giống với thiết kế, chỉ đọc
- Dữ liệu hiển thị đúng định dạng và trường thông tin, dữ liệu là giá trị hiện tại
- Dữ liệu hiển thị không bị tràn/đè lên nhau, đồng nhất ngôn ngữ hiển thị
</t>
  </si>
  <si>
    <t>- Hệ thống không hiển thị thông tin Doanh nghiệp mặc dù tồn tại dữ liệu phù hợp
- Hiển thị thiếu các trường thông tin: Tỉnh/Thành, Loại doanh nghiệp, Quy mô doanh nghiệp, Người đại diện, Số điện thoại</t>
  </si>
  <si>
    <r>
      <rPr>
        <rFont val="Times New Roman"/>
        <color rgb="FF1155CC"/>
        <sz val="13.0"/>
        <u/>
      </rPr>
      <t>KTHSYCHTPL_03.webm</t>
    </r>
  </si>
  <si>
    <t>Open. Tái hiện đúng: cbpd_hn phê duyệt báo cáo đánh giá của cbnv_hn -&gt; báo cáo DA_DUYET, đợt HOAN_THANH, nhưng cbnv_hn (người trình) KHÔNG nhận thông báo kết quả. Chuông vẫn 6 chưa đọc, không có TB nào về báo cáo được duyệt (đối chiếu UI panel + API /thong-baos eval_report_notifs=[]). Toast chỉ "Đã phê duyệt báo cáo", không phản ánh đợt hoàn thành. Vi phạm SRS FR-VI-09 Step 7 (BR-NOTIF-01) + Postconditions "Thông báo gửi CB NV". Chi tiết: bug-report-DGHQ-batchB.md#BUG-PDBCDG_01.</t>
  </si>
  <si>
    <t>✅ Bug ĐÚNG – chuyển dev. Cả 2 ý đều tái hiện.
- Ý 1 – không hiển thị dữ liệu: nhóm "Thông tin Doanh nghiệp" in "—" ở cả Tên doanh nghiệp, Mã số thuế, Địa chỉ, Email, dù doanh nghiệp liên kết đã có đủ dữ liệu (đã tự nhập và lưu lại: tên, mã số thuế, địa chỉ, người đại diện, điện thoại, email; danh sách vụ việc vẫn hiện đúng tên doanh nghiệp).
- Ý 2 – thiếu trường: nhóm chỉ có 4 trường theo SRS (Tên DN, Mã số thuế, Địa chỉ, Email), thiếu 5 trường Tỉnh/Thành, Loại doanh nghiệp, Quy mô doanh nghiệp, Người đại diện, Số điện thoại; thiếu liên kết sang màn chi tiết doanh nghiệp; đồng thời thừa 1 trường không có trong SRS là "Người tiếp nhận".
- Theo SRS: FR-V.I-07 (UC57) §SCR-V.I-03 – Thành phần row 4 "Accordion 1 — Thông tin DN" (srs-fr-05-vu-viec.md dòng 1719): phải hiển thị đủ ten_doanh_nghiep, ma_so_thue, dia_chi, tinh_thanh, loai_dn, quy_mo, nguoi_dai_dien, email, SDT + link sang chi tiết DN. Điều kiện hiển thị: Luôn.
- Đã verify đúng vai trò và trạng thái của đối tác: tài khoản Cán bộ Nghiệp vụ Trung ương (CB_NV_TW), vụ việc VV-BTP-TW-20260712-003 ở trạng thái "Đang kiểm tra".
- Bug ID: BUG-KTHSYCHTPL_03.</t>
  </si>
  <si>
    <t>KTHSYCHTPL_04</t>
  </si>
  <si>
    <t>PDBCDG_04</t>
  </si>
  <si>
    <t>Kiểm tra hiển thị Nhóm 2 — Nội dung Yêu cầu</t>
  </si>
  <si>
    <t>Từ chối báo cáo thành công</t>
  </si>
  <si>
    <t>Tên trường thông tin "Thời hạn xử lý" đang là ngôn ngữ tiếng Anh</t>
  </si>
  <si>
    <t>Email sai</t>
  </si>
  <si>
    <r>
      <rPr>
        <rFont val="Times New Roman"/>
        <color rgb="FF1155CC"/>
        <sz val="13.0"/>
        <u/>
      </rPr>
      <t>KTHSYCHTPL_04.jpg</t>
    </r>
  </si>
  <si>
    <t>1. Chọn menu "Đánh giá hiệu quả"
2. Mở Chi tiết đợt đánh giá (tab Báo cáo)
3. Nhấn Từ chối báo cáo
4. Nhập lý do hợp lệ và nhấn Lưu</t>
  </si>
  <si>
    <t xml:space="preserve">- Hệ thống hiển thị thông điệp "Đã từ chối báo cáo".
- Lưu lý do từ chối.
+ Chuyển trạng thái đợt đánh giá từ "Chờ phê duyệt" sang "Báo cáo".
+ Ghi người từ chối, thời gian.
+ Hiển thị màn hình kết quả (trạng thái mới, lý do).
+ Gửi thông báo kèm lý do cho Cán bộ nghiệp vụ.
+ Lưu vết thao tác theo quy định.
</t>
  </si>
  <si>
    <t>Hệ thống không gửi thông báo cho CBNV</t>
  </si>
  <si>
    <r>
      <rPr>
        <rFont val="Times New Roman"/>
        <color rgb="FF1155CC"/>
        <sz val="12.0"/>
        <u/>
      </rPr>
      <t>PDBCDG_04.webm</t>
    </r>
  </si>
  <si>
    <t>🐞 BA chốt 16/07/2026: LÀ LỖI — BA sửa SRS rồi chuyển Dev.
- Nhãn "Deadline" vi phạm quy ước UI-06 "tiếng Việt là ngôn ngữ duy nhất", không ngoại lệ (srs-v3.5.md:573). Đây là nhãn tiếng Anh duy nhất trong nhóm (6 nhãn còn lại đều tiếng Việt). Đổi thành "Thời hạn xử lý".
- ĐỒNG THỜI sửa SRS srs-fr-05:1637-1638 ("Deadline SLA" → "Thời hạn xử lý", "Cảnh báo SLA" → "Cảnh báo thời hạn") để áp thống nhất cả màn danh sách lẫn màn chi tiết — nếu không, BUG-QLTNVV_02 sẽ kéo Dev về hướng ngược lại làm 2 màn lệch nhau.
- Verdict đổi từ "BA confirm" sang Open.
- Verify lại: màn chi tiết vụ việc hiện "Thời hạn xử lý"; màn danh sách dùng cùng nhãn.</t>
  </si>
  <si>
    <t>KTHSYCHTPL_11</t>
  </si>
  <si>
    <t>Kiểm tra nút chức năng Hoàn tất kiểm tra khi chọn kết luận Đạt</t>
  </si>
  <si>
    <t>1. Đăng nhập tài khoản 
2. Hồ sơ vụ việc đang ở trạng thái "Đang kiểm tra", đã đánh dấu đủ 6 hạng mục trong danh sách kiểm tra.</t>
  </si>
  <si>
    <t>1. Chọn menu "Vụ việc HTPL"
2. Tìm kiếm và nhấn Xem chi tiết
3. Bấm nút "Hoàn tất kiểm tra", chọn kết luận Đạt</t>
  </si>
  <si>
    <t>- Hệ thống chuyển trạng thái hồ sơ: "Đang kiểm tra" → "Đã phân công" 
- Ghi người kiểm tra và thời điểm kiểm tra</t>
  </si>
  <si>
    <t>Màn hình không hiển thị nút chức năng "Hoàn tất kiểm tra" mà hiển thị nút chức năng Kiểm tra lại</t>
  </si>
  <si>
    <r>
      <rPr>
        <rFont val="Times New Roman"/>
        <color rgb="FF1155CC"/>
        <sz val="13.0"/>
        <u/>
      </rPr>
      <t>KTHSYCHTPL_11.jpg</t>
    </r>
  </si>
  <si>
    <t>Open. Tái hiện đúng: cbpd_hn từ chối báo cáo đánh giá (kèm lý do) -&gt; báo cáo TU_CHOI, đợt về BAO_CAO, nhưng cbnv_hn (người trình) KHÔNG nhận thông báo bị từ chối + lý do. Chuông vẫn 6 chưa đọc, không có TB nào về báo cáo bị từ chối (UI panel + API /thong-baos eval_report_notifs=[]). CB NV không biết để sửa/trình lại. Vi phạm SRS FR-VI-09 Step 7 (BR-NOTIF-01, áp dụng cả duyệt lẫn từ chối) + Postconditions "Thông báo gửi CB NV". Chi tiết: bug-report-DGHQ-batchB.md#BUG-PDBCDG_04.</t>
  </si>
  <si>
    <t>❌ Ý "kết luận Đạt có chuyển ngay Đã phân công không" — BA chốt 16/07/2026: phần mềm ĐÚNG, dọn SRS.
- Giữ luồng phần mềm: kết luận Đạt + phải CHỌN NGƯỜI XỬ LÝ thì mới sang "Đã phân công". Đúng nghiệp vụ — không thể "Đã phân công" khi chưa có ai được phân công.
- SRS tự mâu thuẫn: bảng nút ghi "Đạt → Đã phân công" ngay (srs-fr-05:1736); bảng chuyển trạng thái ghi "Đạt + phải chọn người xử lý" mới chuyển (:2280). Phần mềm theo :2280. → BA DỌN SRS: sửa dòng 1736 cho khớp :2280.
- Gợi ý kèm: đổi nhãn nút thành [Kiểm tra lại] cho rõ nghĩa "sửa lại kết quả kiểm tra".
⚠️ GIỮ status dev done: ý chính của case (không ghi người/ngày kiểm tra) là lỗi thật — đã log BUG-KTHSYCHTPL_11, đang Reopen, vẫn chờ Dev.</t>
  </si>
  <si>
    <t>KTHSYCHTPL_15</t>
  </si>
  <si>
    <t>Cán bộ nghiệp vụ không thuộc cùng đơn vị với hồ sơ</t>
  </si>
  <si>
    <t>1. Đăng nhập tài khoản 
2. Hồ sơ vụ việc đang ở trạng thái "Đang kiểm tra"</t>
  </si>
  <si>
    <t>1. Chọn menu "Vụ việc HTPL"
2. Tìm kiếm và nhấn Xem chi tiết
3. Bấm nút "Hoàn tất kiểm tra", chọn kết luận Không đạt</t>
  </si>
  <si>
    <t>Hệ thống hiển thị thông báo "Bạn không có quyền kiểm tra vụ việc của đơn vị khác".</t>
  </si>
  <si>
    <t>QLTMBMHD_07</t>
  </si>
  <si>
    <t>Hệ thống hiển thị thông báo "Đơn vị của người phê duyệt khác đơn vị của bản ghi"</t>
  </si>
  <si>
    <t>SĐT hợp lệ</t>
  </si>
  <si>
    <r>
      <rPr>
        <rFont val="Times New Roman"/>
        <color rgb="FF1155CC"/>
        <sz val="13.0"/>
        <u/>
      </rPr>
      <t>KTHSYCHTPL_15.jpg</t>
    </r>
  </si>
  <si>
    <t>Thêm mới trùng tên</t>
  </si>
  <si>
    <t>1. Đăng nhập tài khoản 
2. Tên đã tồn tại</t>
  </si>
  <si>
    <t>1. Chọn menu "Biểu mẫu" -&gt; "Thư mục biểu mẫu"
2. Bấm "+ Thêm thư mục"
3. Nhập trùng tên và Nhấn Lưu</t>
  </si>
  <si>
    <t>Hệ thống hiển thị thông điệp "Thư mục '{tên}' đã tồn tại trong đơn vị".</t>
  </si>
  <si>
    <r>
      <rPr>
        <rFont val="Times New Roman"/>
        <color rgb="FF1155CC"/>
        <sz val="12.0"/>
        <u/>
      </rPr>
      <t>QLTMBMHD_07.jpg</t>
    </r>
  </si>
  <si>
    <t>✅ Bug ĐÚNG – chuyển dev (phần nội dung thông báo).
- Phần hệ thống làm ĐÚNG: có chặn thật — vụ việc giữ nguyên trạng thái "Đã tiếp nhận", cán bộ khác đơn vị không kiểm tra được. Đúng FR-V.I-06 (UC56) §Processing bước 1 (srs-fr-05-vu-viec.md dòng 533: kiểm tra quyền + phân quyền theo đơn vị, BR-AUTH-01).
- Phần SAI: nội dung thông báo. Web hiện thông báo "Đơn vị của người phê duyệt khác đơn vị của bản ghi" — (1) gọi người đang thao tác là "người phê duyệt" trong khi thao tác là KIỂM TRA HỒ SƠ do Cán bộ Nghiệp vụ thực hiện, không có bước phê duyệt nào; (2) dùng từ kỹ thuật "bản ghi"; (3) không cho biết người dùng không có quyền gì; (4) thông báo hiển thị LẶP 2 LẦN cho 1 lần thao tác.
- Theo SRS: FR-V.I-06 (UC56) §SCR-V.I-03 – Thông báo người dùng chung (srs-fr-05-vu-viec.md dòng 1577): khi không có quyền, hệ thống phải hiển thị thông báo theo mẫu "Bạn không có quyền thực hiện thao tác này". Các chức năng khác cùng module đều theo mẫu nêu rõ hành động bị chặn, ví dụ dòng 773: "Bạn không có quyền phân công VV của đơn vị khác". Kỳ vọng của đối tác khớp với mẫu này.
- Đã verify đúng vai trò và tình huống của đối tác: tự tạo vụ việc VV-STP-AG-20260712-002 bằng tài khoản Cán bộ Nghiệp vụ Địa phương (An Giang), rồi đăng nhập Cán bộ Nghiệp vụ Trung ương (CB_NV_TW) thao tác lên vụ việc đó — đúng tình huống cán bộ khác đơn vị với hồ sơ.
- Bug ID: BUG-KTHSYCHTPL_15.</t>
  </si>
  <si>
    <t>KTHSYCHTPL_16</t>
  </si>
  <si>
    <t xml:space="preserve">Kiểm tra hiển thị Nhóm 5 — Phân công Người hỗ trợ </t>
  </si>
  <si>
    <t xml:space="preserve">Chỉ hiển thị khi hồ sơ đã qua trạng thái "Đã phân công" </t>
  </si>
  <si>
    <t>Hệ thống hiển thị Nhóm 5 ở các bản ghi không phải trạng thái "Đã phân công"</t>
  </si>
  <si>
    <r>
      <rPr>
        <rFont val="Times New Roman"/>
        <color rgb="FF1155CC"/>
        <sz val="13.0"/>
        <u/>
      </rPr>
      <t>KTHSYCHTPL_16.jpg</t>
    </r>
  </si>
  <si>
    <t>QLTMBMHD_08</t>
  </si>
  <si>
    <t>Thêm mới tên quá dài</t>
  </si>
  <si>
    <t>✅ Bug ĐÚNG – chuyển dev.
- Web hiện tại: vụ việc VV-STP-AG-20260712-002 đang ở trạng thái "Đã tiếp nhận" (chưa phân công, chưa xử lý, chưa duyệt, chưa đánh giá) nhưng nhóm "Phân công Người hỗ trợ / Tư vấn viên" VẪN hiển thị trên màn Chi tiết vụ việc — hiển thị bảng Lĩnh vực / Đơn vị quản lý / NHT-TVV phụ trách (giá trị trống) và bảng Tư vấn viên rỗng.
- Theo SRS: FR-V.I-07 (UC57) §SCR-V.I-03 – Thành phần màn hình row 8 (Accordion 5 — Phân công xử lý) (srs-fr-05-vu-viec.md dòng 1723), cột "Điều kiện hiển thị": chỉ hiển thị khi vụ việc đã qua trạng thái "Đã phân công". Kỳ vọng của đối tác trùng khớp với SRS.
- Nguyên nhân chung: màn Chi tiết vụ việc đang hiển thị tất cả các nhóm cho mọi trạng thái, không áp dụng điều kiện hiển thị theo trạng thái. Cùng gốc với BUG-KTHSYCHTPL_16 / _17 / _18 / _19.
- Đã verify đúng vai trò và trạng thái của đối tác: đăng nhập tài khoản Cán bộ Nghiệp vụ Địa phương (CB_NV_DP) như đối tác, vụ việc ở trạng thái "Đã tiếp nhận".
- Bug ID: BUG-KTHSYCHTPL_16.</t>
  </si>
  <si>
    <t>KTHSYCHTPL_17</t>
  </si>
  <si>
    <t xml:space="preserve">Kiểm tra hiển thị Nhóm 6 — Kết quả Hỗ trợ </t>
  </si>
  <si>
    <t xml:space="preserve">Chỉ hiển thị khi hồ sơ đã qua trạng thái "Đang xử lý" </t>
  </si>
  <si>
    <t>SĐT sai</t>
  </si>
  <si>
    <t>Hệ thống hiển thị Nhóm 6 ở các bản ghi không phải trạng thái "Đang xử lý"</t>
  </si>
  <si>
    <r>
      <rPr>
        <rFont val="Times New Roman"/>
        <color rgb="FF1155CC"/>
        <sz val="13.0"/>
        <u/>
      </rPr>
      <t>KTHSYCHTPL_17.jpg</t>
    </r>
  </si>
  <si>
    <t>1. Chọn menu "Biểu mẫu" -&gt; "Thư mục biểu mẫu"
2. Bấm "+ Thêm thư mục"
3. Nhập tên quá dài và Nhấn Lưu</t>
  </si>
  <si>
    <t>Hệ thống hiển thị thông điệp "Tên thư mục tối đa 500 ký tự".</t>
  </si>
  <si>
    <t>Hệ thống chặn nhập quá 500 ký tự nhưng không hiển thị thông báo</t>
  </si>
  <si>
    <r>
      <rPr>
        <rFont val="Times New Roman"/>
        <color rgb="FF1155CC"/>
        <sz val="12.0"/>
        <u/>
      </rPr>
      <t>QLTMBMHD_08.jpg</t>
    </r>
  </si>
  <si>
    <t>✅ Bug ĐÚNG – chuyển dev.
- Web hiện tại: vụ việc VV-STP-AG-20260712-002 đang ở trạng thái "Đã tiếp nhận" (chưa phân công, chưa xử lý, chưa duyệt, chưa đánh giá) nhưng nhóm "Kết quả hỗ trợ" VẪN hiển thị trên màn Chi tiết vụ việc — hiển thị với nội dung "Chưa có kết quả hỗ trợ".
- Theo SRS: FR-V.I-07 (UC57) §SCR-V.I-03 – Thành phần màn hình row 9 (Accordion 6 — Kết quả Hỗ trợ) (srs-fr-05-vu-viec.md dòng 1724), cột "Điều kiện hiển thị": chỉ hiển thị khi vụ việc đã qua trạng thái "Đang xử lý". Kỳ vọng của đối tác trùng khớp với SRS.
- Nguyên nhân chung: màn Chi tiết vụ việc đang hiển thị tất cả các nhóm cho mọi trạng thái, không áp dụng điều kiện hiển thị theo trạng thái. Cùng gốc với BUG-KTHSYCHTPL_16 / _17 / _18 / _19.
- Đã verify đúng vai trò và trạng thái của đối tác: đăng nhập tài khoản Cán bộ Nghiệp vụ Địa phương (CB_NV_DP) như đối tác, vụ việc ở trạng thái "Đã tiếp nhận".
- Bug ID: BUG-KTHSYCHTPL_17.</t>
  </si>
  <si>
    <t>KTHSYCHTPL_18</t>
  </si>
  <si>
    <t>✅ Bug đúng (BA duyệt 24/07/2026). Dev FE: khi người dùng gõ/dán chạm giới hạn 500 ký tự ở ô Tên thư mục, hệ thống phải cho người dùng biết bằng phản hồi thấy được — bộ đếm ký tự và/hoặc thông báo giới hạn — thay vì cắt âm thầm; vẫn GIỮ giới hạn 500 để bảo toàn dữ liệu. SRS đã có sẵn chuỗi này, không cần sửa SRS.
Căn cứ SRS (bản Docs-PM-HTPLDN/.../srs-v3.5/): srs-fr-09-bieu-mau.md:132 — "| E3 | Tên vượt 500 ký tự | ERR-TM-03 | 'Tên thư mục tối đa 500 ký tự' | ERROR |" (bản input/srs-update-2026-5-5/ cùng số dòng :132); và :631 — SCR-VII-01 hàng 16 form Tên thư mục "Bắt buộc, max 500 ký tự, unique trong đơn vị" (bản input ghi :617, hàng 15 — bản Docs chèn thêm dòng nút Xóa bộ lọc nên số hàng lùi 1). Mức Minor.
── CÁCH VERIFY sau Dev fix ──
Precondition: tài khoản cbnv_tw / Test@1234 tại https://18.143.165.120.nip.io — màn Thư viện biểu mẫu /bieu-mau/thu-muc, bấm [+ Thêm thư mục] để mở hộp "Thêm thư mục biểu mẫu". Không cần seed dữ liệu trước.
1) Dán vào ô "Tên thư mục" một chuỗi 620 ký tự (lặp chữ a 620 lần).
2) Quan sát ngay quanh ô nhập: có bộ đếm ký tự (dạng 500/500) và/hoặc thông báo giới hạn không.
3) Đếm độ dài chuỗi còn lại thực tế trong ô sau khi dán.
4) Chọn Lĩnh vực "Thuế" rồi bấm nút xác nhận lưu; mở lại thư mục vừa tạo xem tên đã lưu.
✅ PASS khi đủ 3 điều: (i) bước 2 người dùng nhận được ÍT NHẤT MỘT phản hồi thấy được — bộ đếm ký tự, hoặc thông báo giới hạn mang nội dung chuỗi ERR-TM-03 "Tên thư mục tối đa 500 ký tự"; (ii) bước 3 độ dài trong ô ≤ 500 (giới hạn vẫn được giữ); (iii) bước 4 lưu được và tên trong danh sách dài ≤ 500 ký tự.
❌ FAIL nếu: dán 620 ký tự mà im lặng hoàn toàn (không bộ đếm, không thông báo) như hiện trạng; HOẶC thông báo chỉ hiện khi ép giá trị vượt 500 bằng script còn đường gõ/dán thường vẫn im lặng; HOẶC dev bỏ giới hạn 500 để lấy thông báo (cho lưu tên dài hơn 500 ký tự).
⚠️ Bẫy 1 — KHÔNG được ép value &gt; 500 bằng script rồi kết luận PASS: theo bản đo 20/07/2026 (cbnv_tw, reverify-audit/QLTMBMHD_08/measurement.md) app ĐÃ có luật kiểm tra chạy được theo đường đó (errMessages = ["Tối đa 500 ký tự"]); bug nằm ở đường gõ/dán bình thường vì thuộc tính maxlength=500 cắt cứng nên điều kiện "&gt;500" không bao giờ xảy ra.
⚠️ Bẫy 2 — chữ app hiện tại là "Tối đa 500 ký tự", ngắn hơn chuỗi SRS. Nếu dev chỉ thêm bộ đếm mà giữ chữ này thì vẫn tính PASS phần chính, ghi phần chữ còn lệch là Minor tồn đọng.
Ảnh hiện trạng: reverify-audit/QLTMBMHD_08/over500-validation.png (chỉ khi ép value &gt; 500 mới thấy thông báo). Nguồn quan sát hiện trạng: ba-confirm/bieu-mau/ba-confirmation-needed-week-3-bieu-mau-tong-hop.md:34-38 (đo 20/07/2026, cbnv_tw).</t>
  </si>
  <si>
    <t xml:space="preserve">Kiểm tra hiển thị Nhóm 7 — Phê duyệt </t>
  </si>
  <si>
    <t xml:space="preserve">Chỉ hiển thị khi hồ sơ đã qua trạng thái "Chờ phê duyệt" </t>
  </si>
  <si>
    <t>Hệ thống hiển thị Nhóm 7 ở các bản ghi không phải trạng thái "Chờ phê duyệt"</t>
  </si>
  <si>
    <r>
      <rPr>
        <rFont val="Times New Roman"/>
        <color rgb="FF1155CC"/>
        <sz val="13.0"/>
        <u/>
      </rPr>
      <t>KTHSYCHTPL_18.jpg</t>
    </r>
  </si>
  <si>
    <t>QLTMBMHD_10</t>
  </si>
  <si>
    <t>Kiểm tra hiển thị nút chức năng Sửa" thư mục</t>
  </si>
  <si>
    <t xml:space="preserve">1. Chọn menu "Biểu mẫu" -&gt; "Thư mục biểu mẫu"
</t>
  </si>
  <si>
    <t>Chỉ hiển thị khi thư mục đang ở trạng thái "Nháp" hoặc "Ẩn", và Cán bộ nghiệp vụ thuộc đơn vị sở hữu thư mục.</t>
  </si>
  <si>
    <t>Hiển thị nút chức năng đối với thư mục ở trạng thái Công khai</t>
  </si>
  <si>
    <r>
      <rPr>
        <rFont val="Times New Roman"/>
        <color rgb="FF1155CC"/>
        <sz val="12.0"/>
        <u/>
      </rPr>
      <t>QLTMBMHD_10.jpg</t>
    </r>
  </si>
  <si>
    <t>✅ Bug ĐÚNG – chuyển dev.
- Web hiện tại: vụ việc VV-STP-AG-20260712-002 đang ở trạng thái "Đã tiếp nhận" (chưa phân công, chưa xử lý, chưa duyệt, chưa đánh giá) nhưng nhóm "Phê duyệt" VẪN hiển thị trên màn Chi tiết vụ việc — hiển thị với nội dung "Chưa có thông tin".
- Theo SRS: FR-V.I-07 (UC57) §SCR-V.I-03 – Thành phần màn hình row 10 (Accordion 7 — Phê duyệt) (srs-fr-05-vu-viec.md dòng 1725), cột "Điều kiện hiển thị": chỉ hiển thị khi vụ việc đã qua trạng thái "Chờ phê duyệt". Kỳ vọng của đối tác trùng khớp với SRS.
- Nguyên nhân chung: màn Chi tiết vụ việc đang hiển thị tất cả các nhóm cho mọi trạng thái, không áp dụng điều kiện hiển thị theo trạng thái. Cùng gốc với BUG-KTHSYCHTPL_16 / _17 / _18 / _19.
- Đã verify đúng vai trò và trạng thái của đối tác: đăng nhập tài khoản Cán bộ Nghiệp vụ Địa phương (CB_NV_DP) như đối tác, vụ việc ở trạng thái "Đã tiếp nhận".
- Bug ID: BUG-KTHSYCHTPL_18.</t>
  </si>
  <si>
    <t>Chọn doanh nghiệp</t>
  </si>
  <si>
    <t>KTHSYCHTPL_19</t>
  </si>
  <si>
    <t>Lưu đúng</t>
  </si>
  <si>
    <t xml:space="preserve">Kiểm tra hiển thị Nhóm 8 — Đánh giá </t>
  </si>
  <si>
    <t xml:space="preserve">Chỉ hiển thị khi hồ sơ đã qua trạng thái "Hoàn thành" hoặc "Đã đánh giá" </t>
  </si>
  <si>
    <t>Hệ thống hiển thị Nhóm 8 ở các bản ghi không phải trạng thái "Hoàn thành" hoặc đã đánh giá</t>
  </si>
  <si>
    <t>❌ Không phải lỗi (BA xác nhận 24/07/2026).
- BA chốt: nút "Sửa" KHÔNG bị ràng buộc theo trạng thái thư mục. SRS bản Docs-PM-HTPLDN/.../srs-v3.5/srs-fr-09-bieu-mau.md:629 (SCR-VII-01 hàng 14 — Cột Hành động) ghi nguyên văn: "Công khai (khi NHAP/AN, có BM) / Ẩn (khi CONG_KHAI) / Sửa / Xóa (khi NHAP/AN, rỗng)" — chỉ Công khai, Ẩn, Xóa có điều kiện trạng thái, riêng "Sửa" không kèm điều kiện nào. (Bản input/srs-update-2026-5-5/ cùng nội dung ở :615, đánh số hàng 13 — bản Docs chèn thêm dòng nút "Xóa bộ lọc" nên số hàng lùi 1.)
- Cơ chế công khai của Nhóm VII là Cổng Pháp luật quốc gia tự lấy dữ liệu định kỳ kèm ghi nhật ký (:50 — BR-FLOW-07: "phần mềm chỉ đặt cờ cong_khai + trạng thái CONG_KHAI, Cổng PLQG tự kéo (PULL) dữ liệu công khai định kỳ qua FR-XII-11") → nội dung sau khi sửa được đồng bộ lại ở lượt kéo tiếp theo, nên hiện nút Sửa lúc đang công khai không gây sai lệch dữ liệu công khai.
- Kỳ vọng "Sửa chỉ hiện khi Nháp/Ẩn" là ràng buộc quản trị nội dung mà đặc tả chưa đặt ra → kính đề nghị Quý đối tác đưa vào danh sách yêu cầu cải tiến, đồng thời cập nhật lại Kết quả mong đợi của QLTMBMHD_10 theo SRS. BA sẽ bổ sung một câu làm rõ nguyên tắc này vào SCR-VII-01 (:629).</t>
  </si>
  <si>
    <r>
      <rPr>
        <rFont val="Times New Roman"/>
        <color rgb="FF1155CC"/>
        <sz val="13.0"/>
        <u/>
      </rPr>
      <t>KTHSYCHTPL_19.jpg</t>
    </r>
  </si>
  <si>
    <t>QLTMBMHD_13</t>
  </si>
  <si>
    <t>Kiểm tra hiển thị nút chức năng Xóa thư mục</t>
  </si>
  <si>
    <t>✅ Bug ĐÚNG – chuyển dev.
- Web hiện tại: vụ việc VV-STP-AG-20260712-002 đang ở trạng thái "Đã tiếp nhận" (chưa phân công, chưa xử lý, chưa duyệt, chưa đánh giá) nhưng nhóm "Đánh giá" VẪN hiển thị trên màn Chi tiết vụ việc — hiển thị với nội dung "Chưa có thông tin".
- Theo SRS: FR-V.I-07 (UC57) §SCR-V.I-03 – Thành phần màn hình row 11 (Accordion 8 — Đánh giá) (srs-fr-05-vu-viec.md dòng 1726), cột "Điều kiện hiển thị": chỉ hiển thị khi vụ việc ở trạng thái "Hoàn thành" hoặc "Đã đánh giá". Kỳ vọng của đối tác trùng khớp với SRS.
- Nguyên nhân chung: màn Chi tiết vụ việc đang hiển thị tất cả các nhóm cho mọi trạng thái, không áp dụng điều kiện hiển thị theo trạng thái. Cùng gốc với BUG-KTHSYCHTPL_16 / _17 / _18 / _19.
- Đã verify đúng vai trò và trạng thái của đối tác: đăng nhập tài khoản Cán bộ Nghiệp vụ Địa phương (CB_NV_DP) như đối tác, vụ việc ở trạng thái "Đã tiếp nhận".
- Bug ID: BUG-KTHSYCHTPL_19.</t>
  </si>
  <si>
    <t>Chỉ hiển thị khi thư mục đang ở trạng thái "Nháp" hoặc "Ẩn", không chứa biểu mẫu chưa xóa, và Cán bộ nghiệp vụ thuộc đơn vị sở hữu thư mục.</t>
  </si>
  <si>
    <t>QLHSVV_02</t>
  </si>
  <si>
    <r>
      <rPr>
        <rFont val="Times New Roman"/>
        <color rgb="FF1155CC"/>
        <sz val="12.0"/>
        <u/>
      </rPr>
      <t>QLTMBMHD_13.jpg</t>
    </r>
  </si>
  <si>
    <t>Kiểm tra hiển thị nút chức năng chỉnh sửa</t>
  </si>
  <si>
    <t xml:space="preserve">1. Chọn menu "Vụ việc HTPL"
2. Kiểm tra hiển thị nút chức năng chỉnh sửa
</t>
  </si>
  <si>
    <t>- Các trạng thái cho phép chỉnh sửa nội dung: Mới tạo, Chờ tiếp nhận, Đã tiếp nhận, Đang kiểm tra, Yêu cầu bổ sung, Đang xử lý. 
- Các trạng thái Đã phân công, Chờ phê duyệt, Đã duyệt, Hoàn thành, Đã đánh giá, Từ chối — không cho phép chỉnh sửa nội dung (chỉ xem).</t>
  </si>
  <si>
    <t>- Các trạng thái: Đang xử lý, Đang kiểm tra không hiển thị nút chức năng cho phép sửa</t>
  </si>
  <si>
    <r>
      <rPr>
        <rFont val="Times New Roman"/>
        <color rgb="FF1155CC"/>
        <sz val="13.0"/>
        <u/>
      </rPr>
      <t>QLHSVV_01.jpg</t>
    </r>
  </si>
  <si>
    <t>Kênh Từ tư vấn nhanh</t>
  </si>
  <si>
    <t>✅ Xác nhận lỗi. Theo SRS SCR-VII-01 (Cột Hành động), nút "Xóa" chỉ được hiển thị khi thư mục ở trạng thái Nháp/Ẩn VÀ rỗng (không chứa biểu mẫu). Thực tế nút Xóa hiển thị cả trên thư mục Đã công khai và thư mục còn biểu mẫu bên trong. Chi tiết: bug-report-bieu-mau-batch1.md (BUG-QLTMBMHD_13).</t>
  </si>
  <si>
    <t>✅ Bug ĐÚNG – chuyển dev.
- Web sai: trên danh sách "Vụ việc HTPL", vụ việc ở trạng thái "Đang kiểm tra" và "Đang xử lý" chỉ có nút Xem, KHÔNG có nút Sửa.
- Theo SRS FR-V.I-07 (UC57) §Processing bước 2 (srs-fr-05-vu-viec.md dòng 593): hệ thống chỉ CẤM chỉnh sửa khi vụ việc ở "Hoàn thành" và "Đã đánh giá"; các trạng thái còn lại (gồm "Đang kiểm tra", "Đang xử lý") PHẢI cho phép chỉnh sửa. SCR-V.I-01 thành phần #21 (dòng 1631) cũng quy định cột "Hành động" luôn có Xem / Sửa / Xóa.
- Verify: tài khoản CB Nghiệp vụ - Địa phương (CB_NV_DP), đơn vị Sở Tư pháp An Giang, ngày 12/07/2026. Đã tạo đủ dữ liệu 3 trạng thái để đối chiếu trên cùng màn hình: VV-STP-AG-20260712-003 (Đang xử lý) và VV-STP-AG-20260712-001 (Đang kiểm tra) đều KHÔNG có nút Sửa; VV-STP-AG-20260712-002 (Đã tiếp nhận) có nút Sửa.
- Bug ID: BUG-QLHSVV_02</t>
  </si>
  <si>
    <t>Không cho chọn</t>
  </si>
  <si>
    <t>QLHSVV_03</t>
  </si>
  <si>
    <t>Kiểm tra form chỉnh sửa</t>
  </si>
  <si>
    <t>1. Đăng nhập tài khoản 
2. Tồn tại bản ghi được phép chỉnh sửa</t>
  </si>
  <si>
    <t xml:space="preserve">1. Chọn menu "Vụ việc HTPL"
2. Tìm kiếm và nhấn nút Chỉnh sửa tại dòng bản ghi
</t>
  </si>
  <si>
    <t>QLTMBMHD_17</t>
  </si>
  <si>
    <t>Mở Nhóm 2 "Nội dung yêu cầu" và chỉnh sửa trực tiếp các trường: Tiêu đề, Nội dung vụ việc / Vướng mắc, Lĩnh vực pháp lý, Loại hình hỗ trợ, Ghi chú.</t>
  </si>
  <si>
    <t>Hệ thống không cho phép chỉnh sửa Lĩnh vực, Loại hình và Ghi chú</t>
  </si>
  <si>
    <r>
      <rPr>
        <rFont val="Times New Roman"/>
        <color rgb="FF1155CC"/>
        <sz val="13.0"/>
        <u/>
      </rPr>
      <t>QLHSVV_03.jpg</t>
    </r>
  </si>
  <si>
    <t>Kiểm tra hiển thị nút chức năng Xóa hàng loạt</t>
  </si>
  <si>
    <t>Chỉ hiển thị khi đã chọn ít nhất một thư mục bằng ô chọn ở đầu dòng; chỉ có hiệu lực trên các thư mục đang ở trạng thái "Nháp" hoặc "Ẩn" và đã rỗng (không chứa biểu mẫu chưa xóa)</t>
  </si>
  <si>
    <t>✅ Bug ĐÚNG – chuyển dev.
- Web sai: biểu mẫu chỉnh sửa vụ việc (Nhóm 2 "Nội dung yêu cầu") chỉ cho nhập 3 trường Tiêu đề, Nội dung yêu cầu, Vướng mắc. Lĩnh vực và Loại hình bị khóa (in ra chữ tĩnh, không phải danh sách chọn); trường Ghi chú KHÔNG có trong biểu mẫu.
- Theo SRS FR-V.I-07 (UC57) §Inputs (srs-fr-05-vu-viec.md dòng 586): "ghi_chu" là trường nhập hợp lệ của chức năng chỉnh sửa vụ việc → phải cho sửa. Theo SCR-V.I-01 thành phần #21 (dòng 1631), nút Sửa phải mở biểu mẫu MH-05.2; tại MH-05.2 (SCR-V.I-02, dòng 1673-1676) thì Lĩnh vực pháp luật và Loại hình hỗ trợ là danh sách chọn bắt buộc, Ghi chú là ô nhập → cả 3 trường đều phải sửa được.
- Verify: tài khoản CB Nghiệp vụ - Trung ương (CB_NV_TW) — đúng vai trò đối tác dùng, ngày 12/07/2026, vụ việc VV-BTP-TW-20260712-006 ở trạng thái "Đã tiếp nhận" (trạng thái cho phép sửa), đã có sẵn Lĩnh vực + Loại hình.
- Bug ID: BUG-QLHSVV_03</t>
  </si>
  <si>
    <t xml:space="preserve">Hệ thống cho phép tích chọn các thư mục ở trạng thái Công khai và các thư mục chứa biểu mẫu </t>
  </si>
  <si>
    <t xml:space="preserve"> QLTMBMHD_17.webm</t>
  </si>
  <si>
    <t>QLHSVV_05</t>
  </si>
  <si>
    <t>Thêm tài liệu</t>
  </si>
  <si>
    <t>1. Chọn menu "Vụ việc HTPL"
2. Tìm kiếm và nhấn nút Chỉnh sửa tại dòng bản ghi
3. Tệp hợp lệ</t>
  </si>
  <si>
    <t>Mức Thường</t>
  </si>
  <si>
    <t>Hệ thống thêm tệp vào danh sách và hiển thị thông báo "Đã tải lên {số tệp} tệp".</t>
  </si>
  <si>
    <t>Không có nút chức năng thêm tệp</t>
  </si>
  <si>
    <t>QLHSVV_05.jpg</t>
  </si>
  <si>
    <t>Deadline 15 ngày</t>
  </si>
  <si>
    <t>❌ Không phải lỗi (BA xác nhận 24/07/2026).
- BA chốt: ô "Chọn hàng loạt" được quy định LUÔN HIỂN THỊ, không giới hạn theo trạng thái hay việc thư mục còn biểu mẫu. SRS bản Docs-PM-HTPLDN/.../srs-v3.5/srs-fr-09-bieu-mau.md:624 (SCR-VII-01 hàng 9): "content | Checkbox | checkbox | Chọn hàng loạt | — | luôn hiển thị"; thanh hành động hàng loạt chỉ hiện "khi chọn nhiều" (:630, hàng 15) — không nêu điều kiện đủ-tư-cách cho việc tích chọn. (Bản input/srs-update-2026-5-5/ cùng nội dung ở :610 và :616, đánh số hàng 8 và 14.)
- Hệ thống kiểm điều kiện tại bước bấm xóa nên chỉ xóa thư mục đủ điều kiện, không mất dữ liệu: bản đo 20/07/2026 với cbnv_tw ghi ở ba-confirm/bieu-mau/ba-confirmation-needed-week-3-bieu-mau-tong-hop.md:171 — chỉ 1 yêu cầu xóa được gửi, thư mục còn biểu mẫu "QA Hidden Folder 715" còn nguyên; và :126 ghi rõ đây thuần là câu hỏi cách dùng, không phải lỗi mất dữ liệu.
- Mô hình "tích chọn tự do, kiểm điều kiện khi thực xóa" được GIỮ, nhất quán với thông báo xóa một phần ở QLTMBMHD_20. Kỳ vọng khóa ô tích ngay từ đầu với thư mục đang công khai hoặc còn biểu mẫu là một cải tiến → kính đề nghị Quý đối tác đưa vào danh sách yêu cầu cải tiến và cập nhật Kết quả mong đợi theo SRS. BA sẽ bổ sung một dòng "kiểm điều kiện ở bước xác nhận xóa" vào SCR-VII-01 (:624).</t>
  </si>
  <si>
    <t>✅ Bug ĐÚNG – chuyển dev.
- Web sai: nhóm "Tài liệu đính kèm" trên màn chi tiết vụ việc chỉ có bảng danh sách + trạng thái rỗng "Chưa có tài liệu", KHÔNG có nút thêm tài liệu và không có vùng chọn/kéo thả tệp. Đã kiểm tra cả chế độ sửa (?mode=edit) lẫn chế độ xem — đều không có.
- Theo SRS SCR-V.I-03 §Thành phần màn hình #6 — Accordion 3 "Tài liệu Đính kèm" (srs-fr-05-vu-viec.md dòng 1721): nhóm này phải có nút [+ Thêm tài liệu], hiển thị khi vụ việc ở trạng thái cho phép sửa. FR-V.I-07 (UC57) §Inputs dòng 585 cũng quy định trường "file_bo_sung" (upload tài liệu bổ sung), §Processing bước 4 (dòng 595) "Lưu tài liệu bổ sung" và §Acceptance Criteria (dòng 625) "khi upload tài liệu bổ sung thì validate + lưu + ghi nhật ký".
- Verify: tài khoản CB Nghiệp vụ - Trung ương (CB_NV_TW) — đúng vai trò đối tác dùng, ngày 12/07/2026, vụ việc VV-BTP-TW-20260712-006 ở trạng thái "Đã tiếp nhận" (trạng thái cho phép sửa).
- Do chưa có nút thêm tệp nên chưa kiểm tra được thông báo "Đã tải lên {số tệp} tệp" trong Kết quả mong đợi — cần dev bổ sung chức năng trước.
- Bug ID: BUG-QLHSVV_05</t>
  </si>
  <si>
    <t>TKHSYCHTPL_02</t>
  </si>
  <si>
    <t>QLTMBMHD_19</t>
  </si>
  <si>
    <t>1. Chọn menu "Vụ việc HTPL"
2. Kiểm tra các trường thông tin tìm kiếm</t>
  </si>
  <si>
    <t>- Hệ thống hiển thị các trường thông tin giống với thiết kế
- Trạng thái mặc định cho phép chọn/nhập
- Textbox rỗng, Danh sách chọn mặc định là Tất cả</t>
  </si>
  <si>
    <t>Xóa hàng loạt thành công</t>
  </si>
  <si>
    <t>Không hiển thị trường thông tin tìm kiếm theo "Đơn vị" đối với người dùng cấp Trung ương</t>
  </si>
  <si>
    <r>
      <rPr>
        <rFont val="Times New Roman"/>
        <color rgb="FF1155CC"/>
        <sz val="13.0"/>
        <u/>
      </rPr>
      <t>TKHSYCHTPL_02.jpg</t>
    </r>
  </si>
  <si>
    <t>1. Chọn menu "Biểu mẫu" -&gt; "Thư mục biểu mẫu"
2. Chọn ít nhất một thư mục bằng ô chọn ở đầu dòng
3. Nhấn Xóa hàng loạt và Xác nhận</t>
  </si>
  <si>
    <t>- Hệ thống hiển thị thông điệp "Đã xóa {N} thư mục".</t>
  </si>
  <si>
    <t>- Thông báo không giống với thiết kế và bị duplicate
- Sau khi xóa thành công hệ thống vẫn hiển thị dòng thông báo đã tích chọn và các nút chức năng</t>
  </si>
  <si>
    <r>
      <rPr>
        <rFont val="Times New Roman"/>
        <color rgb="FF1155CC"/>
        <sz val="12.0"/>
        <u/>
      </rPr>
      <t>QLTMBMHD_19.jpg</t>
    </r>
  </si>
  <si>
    <t>✅ BA duyệt 16/07/2026 — chuyển Dev.
- Bổ sung bộ lọc "Đơn vị" vào màn danh sách vụ việc, CHỈ HIỆN với cấp Trung ương. Lý do: cho quyền xem toàn quốc mà không cho công cụ lọc là thiết kế chưa trọn; CB Bộ ngành / Địa phương đã bị giới hạn 1 đơn vị nên với họ trường lọc này vô nghĩa.
- Hiện thanh tìm kiếm có 6 trường (từ khóa, Lĩnh vực PL, Kênh tiếp nhận, Mức SLA, Trạng thái, Từ–Đến ngày) — đúng SRS (srs-fr-05:1622-1628, :645-652) nên trước đây không tính là lỗi; nay BA quyết bổ sung.
- Owner: BA bổ sung don_vi_id vào SCR-V.I-01 (:1622-1628) và FR-V.I-08 §Đầu vào (:645-652) → Dev FE + BE.
- Verify lại: đăng nhập cấp TW → có bộ lọc Đơn vị, lọc ra đúng vụ việc theo đơn vị; đăng nhập Bộ ngành/Địa phương → không thấy bộ lọc này.</t>
  </si>
  <si>
    <t>Mức Phức tạp</t>
  </si>
  <si>
    <t>TKHSYCHTPL_04</t>
  </si>
  <si>
    <t>Deadline 30 ngày</t>
  </si>
  <si>
    <t>Tìm kiếm khoảng thời gian hợp lệ</t>
  </si>
  <si>
    <t>1. Chọn menu "Vụ việc HTPL"
2. Tìm kiếm khoảng thời gian hợp lệ</t>
  </si>
  <si>
    <t>Hệ thống hiển thị các bản ghi không đúng với tiêu chí tìm kiếm</t>
  </si>
  <si>
    <t>✅ Đã tái hiện lỗi: sau khi xóa hàng loạt thành công, thanh "Đã chọn 2 thư mục" và các nút hành động hàng loạt (Công khai/Ẩn/Xóa hàng loạt) vẫn hiển thị với số đếm cũ, dù không còn dòng nào được tích chọn. Theo SRS SCR-VII-01 (#14 Hành động hàng loạt — hiển thị "khi chọn nhiều"), sau khi xóa xong không còn thư mục nào được chọn nên thanh + nút phải tự ẩn/reset. Ghi nhận Open (BUG-QLTMBMHD_19). Riêng phần "thông báo nhân đôi / sai thiết kế": kiểm tra thấy chỉ 1 thông báo "Đã xóa 2 thư mục.", không nhân đôi, đúng mẫu → phần này không tái hiện.</t>
  </si>
  <si>
    <r>
      <rPr>
        <rFont val="Times New Roman"/>
        <color rgb="FF1155CC"/>
        <sz val="13.0"/>
        <u/>
      </rPr>
      <t>TKHSYCHTPL_04.jpg</t>
    </r>
  </si>
  <si>
    <t>QLTMBMHD_20</t>
  </si>
  <si>
    <t>Xóa hàng loạt một phần thành công</t>
  </si>
  <si>
    <t>❌ Không phải bug.
- Đối tác báo: tìm kiếm theo khoảng thời gian nhưng hệ thống hiển thị các bản ghi không đúng tiêu chí tìm kiếm.
- Đã verify đúng điều kiện (tài khoản Cán bộ Nghiệp vụ Trung ương, cùng chức năng Tìm kiếm hồ sơ vụ việc - UC58, dữ liệu có sẵn cả vụ việc trong khoảng lẫn ngoài khoảng lọc): lỗi KHÔNG tái hiện. Chạy 3 khoảng thời gian khác nhau, cả bằng cách điền 2 ô ngày rồi bấm Tìm kiếm lẫn mở thẳng đường dẫn có sẵn tham số:
   + Không lọc: 17 vụ việc.
   + Lọc 01/02/2026 - 31/03/2026: còn đúng 4 vụ việc (DDD-VV-003 ngày 01/02/2026; EEE-VH-011 ngày 01/02/2026; EEE-VH-012 ngày 01/03/2026; EEE-VH-013 ngày 01/03/2026). 13 vụ việc ngoài khoảng đều bị loại đúng.
   + Lọc gọn 1 ngày 01/03/2026: còn đúng 2 vụ việc, đều có Ngày tiếp nhận 01/03/2026.
- Lưu ý để đối tác đối chiếu: bộ lọc khoảng thời gian áp dụng cho cột "Ngày tiếp nhận", không áp dụng cho cột "Deadline thời hạn". Trong ảnh đối tác gửi, các dòng hiển thị đều có Ngày tiếp nhận nằm đúng trong khoảng đã lọc (08/05 - 14/05, khoảng lọc 08/05 - 18/05); ô được bôi đen 08/06/2026 là giá trị của cột "Deadline thời hạn" nên nằm ngoài khoảng lọc là đúng.
→ Đối tác kiểm tra lại. Nếu vẫn thấy bản ghi sai, vui lòng gửi mã vụ việc cụ thể kèm Ngày tiếp nhận của nó để kiểm tra lại.</t>
  </si>
  <si>
    <t>1. Đăng nhập tài khoản 
2. Thư mục còn biểu mẫu</t>
  </si>
  <si>
    <t>TKHSYCHTPL_06</t>
  </si>
  <si>
    <t>Hệ thống hiển thị thông điệp "Đã xóa {X} thư mục. {Y} thư mục không đủ điều kiện xóa (còn biểu mẫu bên trong)".</t>
  </si>
  <si>
    <t>Đơn vị mặc định</t>
  </si>
  <si>
    <t>- Thông báo không giống với thiết kế
- Sau khi xóa thành công hệ thống vẫn hiển thị dòng thông báo đã tích chọn và các nút chức năng</t>
  </si>
  <si>
    <t>1. Chọn menu "Vụ việc HTPL"
2. Tìm kiếm không có kết quả</t>
  </si>
  <si>
    <t>Không có kết quả, các trường dữ liệu để trống và hiển thị thông báo "Không tìm thấy hồ sơ phù hợp".</t>
  </si>
  <si>
    <t>Đúng user</t>
  </si>
  <si>
    <t>Hệ thống hiển thị thông báo "Trống".</t>
  </si>
  <si>
    <r>
      <rPr>
        <rFont val="Times New Roman"/>
        <color rgb="FF1155CC"/>
        <sz val="13.0"/>
        <u/>
      </rPr>
      <t>TKHSYCHTPL_06.jpg</t>
    </r>
  </si>
  <si>
    <r>
      <rPr>
        <rFont val="Times New Roman"/>
        <color rgb="FF1155CC"/>
        <sz val="12.0"/>
        <u/>
      </rPr>
      <t>QLTMBMHD_20.jpg</t>
    </r>
  </si>
  <si>
    <t>✅ Bug ĐÚNG – chuyển dev.
- Web sai: khi tìm kiếm không ra kết quả, vùng danh sách chỉ hiển thị biểu tượng rỗng kèm chữ "Trống". Người dùng dễ hiểu nhầm là hệ thống chưa có dữ liệu, thay vì hiểu là không có hồ sơ khớp tiêu chí tìm kiếm.
- Theo SRS FR-V.I-08 (UC58) §Error Handling dòng E1 (srs-fr-05-vu-viec.md dòng 685): khi "Không có kết quả" (mã INF-VV-TK-01), hệ thống phải hiển thị thông báo "Không tìm thấy hồ sơ phù hợp" (mức INFO). Cùng thông điệp này cũng được quy định ở dòng 144 (INF-VV-01) → đây là chuẩn thống nhất của module Vụ việc.
- Verify: tài khoản CB Nghiệp vụ - Trung ương (CB_NV_TW) — đúng vai trò đối tác dùng, ngày 12/07/2026. Chạy 2 truy vấn đều ra 0 kết quả (từ khóa không tồn tại; và tổ hợp giống đối tác: từ khóa 001 + Kênh Dịch vụ công + Mức SLA Bình thường) — cả 2 lần đều chỉ hiện chữ "Trống", không có câu "Không tìm thấy hồ sơ phù hợp". Hệ thống vẫn có 17 vụ việc khi không lọc, nên đây đúng là ngữ cảnh "tìm kiếm không khớp".
- Bug ID: BUG-TKHSYCHTPL_06</t>
  </si>
  <si>
    <t>- Thao tác XÓA hàng loạt (1 thư mục rỗng + 1 thư mục còn biểu mẫu): đã đạt. Hộp xác nhận ghi "Xóa 1 thư mục? Hành động này không thể hoàn tác. Bạn có chắc không? (1 thư mục không đủ điều kiện (còn biểu mẫu) sẽ được bỏ qua)"; thông báo kết quả ghi "Đã xóa 1/2 thư mục. 1 thư mục không đủ điều kiện (còn biểu mẫu)." — nêu đủ số xử lý được, số bị bỏ qua và lý do.
- Thao tác CÔNG KHAI hàng loạt (1 thư mục có biểu mẫu + 1 thư mục rỗng): thông báo kết quả đã đạt ("Đã công khai 1/2 thư mục. 1 thư mục không đủ điều kiện (rỗng, chưa có biểu mẫu).") NHƯNG hộp xác nhận trước khi chạy chỉ hiện "Công khai 2 thư mục?" kèm câu chung "Đặt cờ công khai cho các thư mục đủ điều kiện (có biểu mẫu). Cổng PLQG sẽ tự cập nhật ở lượt kéo dữ liệu tiếp theo." — không cho người dùng biết sẽ bỏ qua mấy thư mục và vì sao.
- Hộp xác nhận của thao tác ẨN hàng loạt cũng vậy: "Ẩn 2 thư mục? Gỡ cờ công khai cho các thư mục đủ điều kiện." — thiếu số bị bỏ qua và lý do.
- Đề nghị đưa hộp xác nhận của Công khai và Ẩn về cùng cách viết như hộp xác nhận của Xóa (đã đúng).
- Không còn chữ "thất bại" ở bất kỳ thông báo nào — phần này đạt. Thư mục còn biểu mẫu không bị xóa nhầm — đúng.
- Kiểm tra ngày 25/07/2026, tài khoản CB Nghiệp vụ Trung ương.</t>
  </si>
  <si>
    <t>LCNHTCVV_02</t>
  </si>
  <si>
    <t>Upload PDF</t>
  </si>
  <si>
    <t xml:space="preserve">Kiểm tra hiển thị Cửa sổ "Phân công xử lý vụ việc" </t>
  </si>
  <si>
    <t>Thành công</t>
  </si>
  <si>
    <t>1. Đăng nhập tài khoản 
2. Hồ sơ vụ việc đang ở trạng thái "Đang kiểm tra" (sau khi kết luận kiểm tra đạt)</t>
  </si>
  <si>
    <t>1. Chọn menu "Vụ việc HTPL"
2. Tìm kiếm và nhấn Xem chi tiết
3. Bấm nút "Phân công"</t>
  </si>
  <si>
    <t>- Cửa sổ gồm 2 thẻ tương ứng 2 đối tượng phân công và các trường thông tin phân công.
- Hệ thống hiển thị các trường thông tin giống với thiết kế
- Dữ liệu hiển thị đúng định dạng và trường thông tin, dữ liệu là giá trị hiện tại
- Dữ liệu hiển thị không bị tràn/đè lên nhau, đồng nhất ngôn ngữ hiển thị</t>
  </si>
  <si>
    <t>Bảng gợi ý (thẻ "Cá nhân") không giống với thiết kế</t>
  </si>
  <si>
    <t>QLTMBMHD_23</t>
  </si>
  <si>
    <r>
      <rPr>
        <rFont val="Times New Roman"/>
        <color rgb="FF1155CC"/>
        <sz val="13.0"/>
        <u/>
      </rPr>
      <t>LCNHTCVV_02.jpg</t>
    </r>
  </si>
  <si>
    <t>1. Chọn menu "Biểu mẫu" -&gt; "Thư mục biểu mẫu"
2. Áp dụng bộ lọc và nhấn Xuất Excel</t>
  </si>
  <si>
    <t>Hệ thống xuất danh sách thư mục hiện tại ra tệp định dạng XLSX để người dùng tải xuống.</t>
  </si>
  <si>
    <t>File excel thiếu cột thông tin Lĩnh vực</t>
  </si>
  <si>
    <t>✅ Bug ĐÚNG – chuyển dev.
- Web sai: trong cửa sổ "Phân công tư vấn viên", thẻ "Cá nhân", vùng gợi ý người xử lý chỉ là một danh sách xổ xuống, mỗi dòng là một chuỗi chữ gộp dạng "[TVV] Họ tên (Mã) — 0 VV đang xử lý — ĐG: 4.2". Không có bảng theo cột và THIẾU 3 thông tin: Lĩnh vực chuyên môn, Đơn vị quản lý, Điểm ưu tiên.
- Theo SRS FR-V.I-09 (UC59) §Outputs (srs-fr-05-vu-viec.md dòng 750-758), danh sách gợi ý phải có: Họ tên (dòng 752), Lĩnh vực chuyên môn (dòng 754), Đơn vị quản lý (dòng 755), Số vụ việc đang xử lý (dòng 756), Điểm đánh giá trung bình (dòng 757), Điểm ưu tiên (dòng 758). Web hiện chỉ có Họ tên, Số vụ việc đang xử lý và Điểm đánh giá (chỉ hiện khi có điểm).
- Hệ quả nghiệp vụ: theo §Processing - Gợi ý người xử lý, BR-CALC-07 (dòng 735-741), danh sách phải sắp xếp theo điểm ưu tiên (NĐ55 Điều 4) rồi tới khối lượng công việc và điểm đánh giá. Do không hiển thị Điểm ưu tiên và Lĩnh vực chuyên môn, cán bộ không có căn cứ để biết vì sao người này được gợi ý trước người kia, cũng không biết người được gợi ý có đúng lĩnh vực của vụ việc hay không.
- Verify: tài khoản CB Nghiệp vụ - Trung ương (CB_NV_TW) — đúng vai trò đối tác dùng, ngày 12/07/2026, vụ việc VV-BTP-TW-20260712-003 ở trạng thái "Đang kiểm tra" (đã kết luận kiểm tra Đạt), pool gợi ý có sẵn 2 tư vấn viên.
- Bug ID: BUG-LCNHTCVV_02</t>
  </si>
  <si>
    <r>
      <rPr>
        <rFont val="Times New Roman"/>
        <color rgb="FF1155CC"/>
        <sz val="12.0"/>
        <u/>
      </rPr>
      <t>QLTMBMHD_23.jpg</t>
    </r>
  </si>
  <si>
    <t>LCNHTCVV_05</t>
  </si>
  <si>
    <t>Upload Word</t>
  </si>
  <si>
    <t>Kiểm tra giới hạn số ký tự tối đa của các trường thông tin</t>
  </si>
  <si>
    <t xml:space="preserve">1. Chọn menu "Vụ việc HTPL"
2. Tìm kiếm và nhấn Xem chi tiết
3. Bấm nút "Phân công"
</t>
  </si>
  <si>
    <t>Ghi chú phân công Tối đa 1.000 ký tự</t>
  </si>
  <si>
    <t>Hệ thống giới hạn 500 ký tự</t>
  </si>
  <si>
    <r>
      <rPr>
        <rFont val="Times New Roman"/>
        <color rgb="FF1155CC"/>
        <sz val="13.0"/>
        <u/>
      </rPr>
      <t>LCNHTCVV_05.jpg</t>
    </r>
  </si>
  <si>
    <t>✅ Đã tái hiện lỗi: file Excel xuất ra có cột "Lĩnh vực ID" chứa mã định danh (UUID, vd bbbbbbbb-0000-4000-8000-...-001c), không có cột tên Lĩnh vực đọc được. Trên giao diện cột Lĩnh vực hiển thị tên ("Thương mại") nhưng file xuất ra thay bằng UUID → người dùng không đọc được lĩnh vực. Theo SRS SCR-VII-01 Outputs #3 (ten_linh_vuc), danh sách/file xuất cần trường tên lĩnh vực đọc được. Ghi nhận Open (BUG-QLTMBMHD_23).</t>
  </si>
  <si>
    <t>✅ Bug ĐÚNG – chuyển dev.
- Web sai: ô "Ghi chú" trong cửa sổ Phân công bị chặn cứng ở 500 ký tự (thuộc tính giới hạn của ô đang đặt là 500). Đã thử nhập thật: dán 700 ký tự thì ô chỉ nhận 500 và cắt phần còn lại; gõ thêm 400 ký tự nữa vẫn đứng nguyên ở 500. Lỗi xảy ra ở CẢ hai thẻ "Cá nhân" và "Tổ chức tư vấn".
- Theo SRS FR-V.I-09 (UC59) §Inputs dòng 5 (srs-fr-05-vu-viec.md dòng 720): trường ghi_chu_phan_cong có ràng buộc "max 1000 ký tự, lưu vào PHAN_CONG_VU_VIEC.ghi_chu" → phải cho nhập tối đa 1.000 ký tự. Kỳ vọng của đối tác trùng khớp SRS.
- Ghi nhận thêm (cùng bug): ô Ghi chú không có bộ đếm ký tự, nên khi nội dung bị cắt ở 500 người dùng không nhận được cảnh báo nào — đúng hiện tượng chữ bị cắt cụt giữa chừng trong ảnh đối tác gửi.
- Verify: tài khoản CB Nghiệp vụ - Trung ương (CB_NV_TW) — đúng vai trò đối tác dùng, ngày 12/07/2026, vụ việc VV-BTP-TW-20260712-003 ở trạng thái "Đang kiểm tra" (đã kết luận kiểm tra Đạt).
- Bug ID: BUG-LCNHTCVV_05</t>
  </si>
  <si>
    <t>LCNHTCVV_07</t>
  </si>
  <si>
    <t>TKTMBMHD_02</t>
  </si>
  <si>
    <t>Hồ sơ không thuộc đơn vị người dùng</t>
  </si>
  <si>
    <t>1. Đăng nhập tài khoản 
2. Hồ sơ không thuộc đơn vị người dùng</t>
  </si>
  <si>
    <t>Hệ thống hiển thị thông báo "Bạn không có quyền phân công vụ việc của đơn vị khác".</t>
  </si>
  <si>
    <t>Kiểm tra hiển thị danh sách kết quả</t>
  </si>
  <si>
    <t>- Hệ thống hiển thị thông báo không đúng với thiết kế
- Thông báo bị duplicate</t>
  </si>
  <si>
    <r>
      <rPr>
        <rFont val="Times New Roman"/>
        <color rgb="FF1155CC"/>
        <sz val="13.0"/>
        <u/>
      </rPr>
      <t>LCNHTCVV_07.jpg</t>
    </r>
  </si>
  <si>
    <t>1. Chọn menu "Biểu mẫu" -&gt; "Thư mục biểu mẫu"
2. Tìm kiếm thư mục theo tên, lĩnh vực.</t>
  </si>
  <si>
    <t>Upload Excel</t>
  </si>
  <si>
    <t>Hiển thị danh sách kết quả, phân trang mặc định 20 mục mỗi trang, sắp xếp theo ngày tạo giảm dần.</t>
  </si>
  <si>
    <t>Hệ thống để mặc định 100 mục/trang</t>
  </si>
  <si>
    <r>
      <rPr>
        <rFont val="Times New Roman"/>
        <color rgb="FF1155CC"/>
        <sz val="12.0"/>
        <u/>
      </rPr>
      <t>TKTMBMHD_02.jpg</t>
    </r>
  </si>
  <si>
    <t>✅ Bug ĐÚNG – chuyển dev. (Đúng cả 2 ý đối tác nêu)
- Ý 1 - Nội dung thông báo sai: khi cán bộ phân công vụ việc KHÔNG thuộc đơn vị mình, web hiển thị "Đơn vị của người phê duyệt khác đơn vị của bản ghi". Thao tác đang làm là PHÂN CÔNG do Cán bộ Nghiệp vụ thực hiện, không phải phê duyệt → thông báo nói về "người phê duyệt" là sai vai trò, cán bộ đọc không hiểu mình sai ở đâu.
- Theo SRS FR-V.I-09 (UC59) §Error Handling dòng E4 (srs-fr-05-vu-viec.md dòng 773): khi vụ việc không thuộc đơn vị người dùng, hệ thống phải từ chối và hiển thị thông báo "Bạn không có quyền phân công VV của đơn vị khác".
- Ý 2 - Thông báo bị lặp: chỉ bấm Xác nhận 1 lần nhưng hiện ra 2 thông báo lỗi giống hệt nhau xếp chồng, trong khi máy chủ chỉ trả về 1 phản hồi.
- Phần CHẶN thao tác là ĐÚNG: trạng thái vụ việc không thay đổi (vẫn "Đang kiểm tra"). Lỗi chỉ nằm ở nội dung thông báo và việc hiển thị lặp.
- Verify: tài khoản CB Nghiệp vụ - Trung ương (CB_NV_TW) — đúng vai trò đối tác dùng, ngày 12/07/2026. Vụ việc VV-STP-AG-20260712-001 thuộc Sở Tư pháp An Giang (khác đơn vị người đăng nhập), trạng thái "Đang kiểm tra", đã chọn người được phân công rồi mới bấm Xác nhận.
- Cùng nguyên nhân gốc với BUG-KTHSYCHTPL_15 (thông báo chặn theo đơn vị cũng sai vai trò + lặp 2 lần) → đề nghị fix chung 1 lần.
- Bug ID: BUG-LCNHTCVV_07</t>
  </si>
  <si>
    <t>LCNHTCVV_08</t>
  </si>
  <si>
    <t>Phân công thành công</t>
  </si>
  <si>
    <t>✅ Bug ĐÚNG – chuyển dev.
- Màn "Thư viện biểu mẫu → Thư mục" (tìm kiếm thư mục) khi tải kết quả để mặc định 100 mục/trang.
- Theo SRS FR-VII-02 (UC93), BR-DATA-07 (dòng 917) và màn hình SCR-VII-01 (dòng 623): danh sách phân trang mặc định phải là 20 mục/trang (tối đa 100). Cần đổi mặc định về 20/trang.
- Phần sắp xếp theo Ngày tạo giảm dần: hệ thống làm ĐÚNG, không phải lỗi.
- Verify: đăng nhập CB Nghiệp vụ Trung ương (CB_NV_TW), 4 thư mục, dropdown phân trang hiển thị "100 / trang".
- Bug ID: BUG-TKTMBMHD_02.</t>
  </si>
  <si>
    <t>Upload JPG</t>
  </si>
  <si>
    <t>- Hệ thống hiển thị thông báo "Đã phân công cho {họ tên}" và đóng cửa sổ phân công.
- Tạo bản ghi phân công với trạng thái "Chờ xác nhận", lưu loại đối tượng (cá nhân / tổ chức) và ghi chú phân công.
+ Chuyển trạng thái hồ sơ: "Đang kiểm tra" hoặc "Đã tiếp nhận" → "Đã phân công".
+ Ghi người được phân công và thời điểm phân công.</t>
  </si>
  <si>
    <t>Hệ thống hiển thị đồng thời 2 thông báo
- Đã phân công
- Lỗi ERR-STATE-VI-10-01</t>
  </si>
  <si>
    <r>
      <rPr>
        <rFont val="Times New Roman"/>
        <color rgb="FF1155CC"/>
        <sz val="13.0"/>
        <u/>
      </rPr>
      <t>LCNHTCVV_08.webm</t>
    </r>
  </si>
  <si>
    <t>TKTMBMHD_04</t>
  </si>
  <si>
    <t>Open — tái hiện đúng (vai trò CB_NV_TW, VV ở trạng thái "Đang kiểm tra", đã chọn người được phân công rồi bấm Xác nhận).
• 1 lần bấm [Xác nhận] → hiện ĐỒNG THỜI 2 thông báo: xanh "Đã phân công" + đỏ "ERR-STATE-VI-10-01: Vụ việc không ở trạng thái cho phép phân công".
• Thực tế phân công ĐÃ THÀNH CÔNG (trạng thái VV chuyển sang "Đã phân công") ⇒ thông báo lỗi đỏ mâu thuẫn với kết quả thật, cán bộ không biết đã phân công được hay chưa.
• Nguyên nhân: sau khi phân công thành công, màn hình tự tải lại danh sách gợi ý người xử lý; lệnh này bị máy chủ từ chối (VV không còn ở trạng thái được gợi ý) và lỗi đó bị bắn thẳng ra thông báo cho người dùng.
• SRS: FR-V.I-09 (UC59) — SCR-V.I-03 dòng 1768 quy định phân công thành công chỉ hiện 1 thông báo "Đã phân công vụ việc cho {tên người được phân công}. Hệ thống đã gửi thông báo."; câu "Vụ việc không ở trạng thái cho phép phân công" (dòng 770, E1) chỉ dành cho trường hợp phân công BỊ CHẶN.
• Mã "ERR-STATE-VI-10-01" không có trong SRS v3.5.</t>
  </si>
  <si>
    <t>1. Chọn menu "Biểu mẫu" -&gt; "Thư mục biểu mẫu"</t>
  </si>
  <si>
    <t>- Hệ thống hiển thị các trường thông tin giống với thiết kế
- Dữ liệu hiển thị đúng định dạng và trường thông tin
- Dữ liệu hiển thị không bị tràn/đè lên nhau, đồng nhất ngôn ngữ hiển thị
- Giá trị mặc định của các trường thông tin có kiểu dữ liệu Danh sách chọn là Tất cả</t>
  </si>
  <si>
    <t>- Giá trị mặc định của các trường thông tin có kiểu dữ liệu Danh sách chọn là rỗng</t>
  </si>
  <si>
    <r>
      <rPr>
        <rFont val="Times New Roman"/>
        <color rgb="FF1155CC"/>
        <sz val="12.0"/>
        <u/>
      </rPr>
      <t>TKTMBMHD_04.jpg</t>
    </r>
  </si>
  <si>
    <t>QLKH_01</t>
  </si>
  <si>
    <t>Xóa khóa học ở trạng thái "Dự thảo" do chính cán bộ vừa tạo</t>
  </si>
  <si>
    <t>1. Đăng nhập tài khoản Cán bộ nghiệp vụ
2. Có khóa học ở trạng thái "Dự thảo", chưa có học viên đăng ký, do chính tài khoản này tạo</t>
  </si>
  <si>
    <t>Khóa học KH-20260716-006 "QA RV5 - Bang chung double toast" (Dự thảo, 0 học viên)</t>
  </si>
  <si>
    <t>1. Chọn menu "Đào tạo, tập huấn" -&gt; "Khóa học"
2. Trên dòng khóa học Dự thảo, nhấn biểu tượng thùng rác (Xóa)
3. Hộp thoại "Xóa khóa học? Hành động này không thể hoàn tác." hiện ra
4. Nhấn [Xóa] để xác nhận</t>
  </si>
  <si>
    <t>Hệ thống xóa khóa học và hiển thị thông báo thành công; khóa học biến mất khỏi danh sách (quy ước UI-04, srs-v3.5.md:571 — thao tác hợp lệ phải thực hiện được).</t>
  </si>
  <si>
    <t>Xóa LUÔN THẤT BẠI. Hệ thống hiển thị "Lỗi hệ thống, vui lòng thử lại sau" và khóa học vẫn còn nguyên trong danh sách. Tái hiện 2/2 lần trên 2 khóa khác nhau, đều là khóa Dự thảo chưa có học viên.
Phía máy chủ: DELETE /api/v1/khoa-hocs/{id} trả HTTP 500, mã lỗi ERR-SYS-00-00-01, requestId c5e68372-512c-4f17-89d7-810e892bd0aa (đề nghị Dev tra log theo requestId này).
Lưu ý: ERR-SYS-00-00-01 là mã lỗi hệ thống chung (ngoại lệ chưa bắt), KHÔNG phải lỗi nghiệp vụ có kiểm soát. Nếu quy tắc là không cho xóa khóa ở trạng thái nào đó thì hệ thống phải báo đúng lý do nghiệp vụ, chứ không phải lỗi hệ thống.
Tác động: chức năng xóa khóa học coi như không dùng được; dữ liệu khóa học rác không dọn được.
(Lỗi do QA phát hiện thêm trong lúc verify lô 16 case dev-fix ngày 16/07, không thuộc case nào của đối tác nên mở dòng mới.)</t>
  </si>
  <si>
    <t>rv5-BUG-KH-XOA-500-loi-he-thong.png</t>
  </si>
  <si>
    <t>Verify 17/07/2026 (lần đầu, sau khi dev báo fix): ĐÃ FIX THẬT → Pass.
Xóa khóa học nay chạy đúng: bấm biểu tượng thùng rác trên khóa "Dự thảo" do chính cán bộ vừa tạo → hiện hộp thoại "Xóa khóa học? Hành động này không thể hoàn tác." → bấm [Xóa] → hệ thống báo "Xóa khóa học thành công", danh sách giảm từ 17 xuống 16 kết quả, bản ghi biến mất khỏi danh sách. Máy chủ trả về thành công thay vì lỗi hệ thống "Loi he thong, vui long thu lai sau" (ERR-SYS-00-00-01) như trước.
Kiểm diện rộng: đã xóa liên tiếp 9 khóa học khác nhau, THÀNH CÔNG 9/9 lần, không lần nào thất bại. Danh sách 17 → 8 kết quả.
Lợi ích phụ: trong 9 khóa xóa được có đúng 5 khóa rác mà vòng verify trước KHÔNG xóa nổi vì chính lỗi này. Trước đây phải nhờ Dev/DBA xóa giúp — nay QA đã tự dọn sạch, không cần Dev/DBA can thiệp nữa.
Căn cứ: quy ước UI-04 (srs-v3.5.md dòng 571) — thao tác hợp lệ phải cho kết quả đúng, xóa được thì báo thành công và bản ghi biến mất.
GHI NHẬN THÊM (không thuộc case này): thao tác xóa hiện 3 khung thông báo "Xóa khóa học thành công" giống hệt nhau, dù chỉ gọi máy chủ 1 lần và chỉ 1 bản ghi bị xóa. Đây là lỗi thông báo lặp cùng gốc với dòng QLKH_02 (trước chỉ ghi nhận ở thao tác Tạo, nay lan sang thao tác Xóa) — đã bổ sung vào QLKH_02, không mở dòng riêng.
Bug ID: BUG-KH-XOA-500 (Closed). Tài khoản verify: cbnv_tw (CB_NV_TW).</t>
  </si>
  <si>
    <t>- Mở màn Thư viện biểu mẫu &gt; Thư mục lần đầu: hai ô lọc "Lĩnh vực" và "Trạng thái" đã đổi chữ hiển thị thành "Tất cả", nhưng vẫn là chữ gợi ý mờ (xám nhạt) chứ chưa phải giá trị đang được chọn. Khi người dùng thực sự chọn một mục thì chữ mới đậm lên — nên nhìn vào ô lọc lúc mới mở màn vẫn không biết đang để "Tất cả" hay đang bỏ trống.
- Mở danh sách chọn của ô "Lĩnh vực": chỉ có 10 lĩnh vực (Thuế, Lao động, Đất đai, Dân sự, Thương mại, Hình sự, Hành chính, Sở hữu trí tuệ, Doanh nghiệp, Đầu tư), KHÔNG có mục "Tất cả".
- Ô "Trạng thái" đã có đủ 4 mục (Tất cả / Nháp / Đã công khai / Đã ẩn) và "Tất cả" đứng đầu — phần này đạt; nhưng lúc mới mở màn mục "Tất cả" không được đánh dấu là đang chọn.
- Chọn Trạng thái = Nháp rồi chọn lại "Tất cả" thì danh sách trở về đủ 4 thư mục — phần này đạt.
- Kiểm tra ngày 25/07/2026, tài khoản CB Nghiệp vụ Trung ương.</t>
  </si>
  <si>
    <t>File &gt;20MB</t>
  </si>
  <si>
    <t>QLKH_02</t>
  </si>
  <si>
    <t>Tạo khóa học mới thành công — kiểm tra thông báo hiển thị</t>
  </si>
  <si>
    <t>1. Đăng nhập tài khoản Cán bộ nghiệp vụ
2. Có sẵn Chương trình đào tạo đã duyệt và Giảng viên đang hoạt động để chọn</t>
  </si>
  <si>
    <t>Tên khóa học: "QA RV5 - Anh double toast"; Chương trình: CTDT-SEED-0001; Giảng viên: GV-BTP-TW-0003; Thời gian: 01/12/2026 - 20/12/2026</t>
  </si>
  <si>
    <t>1. Chọn menu "Đào tạo, tập huấn" -&gt; "Khóa học"
2. Nhấn [Thêm mới]
3. Điền đủ các trường bắt buộc
4. Nhấn nút [Thêm mới] ĐÚNG MỘT LẦN
5. Quan sát thông báo ở phía trên màn hình</t>
  </si>
  <si>
    <t>Một thao tác thành công thì hiển thị MỘT thông báo "Tạo khóa học thành công" (quy ước UI-04, srs-v3.5.md:571).</t>
  </si>
  <si>
    <t>Hệ thống hiển thị HAI khung thông báo "Tạo khóa học thành công" giống hệt nhau, xếp chồng lên nhau cùng lúc. Tái hiện 3/3 lần.
Đo cụ thể: chỉ gửi máy chủ 1 lần (POST /api/v1/khoa-hocs -&gt; 201); 2 khung thông báo cách nhau 2-2.5 mili-giây (cùng một nhịp xử lý, không phải gửi lại); chỉ 1 bản ghi được tạo (danh sách 12 -&gt; 13).
=&gt; Chỉ là lỗi hiển thị, KHÔNG tạo trùng dữ liệu.
Phạm vi: đã đo 4 thao tác, chỉ thao tác Tạo khóa học bị lặp. Trình duyệt kết quả khóa học / Lưu điểm danh / Xóa khóa học đều chỉ hiện 1 thông báo. Không phải lỗi toàn hệ thống.
Khoanh vùng giúp Dev: chuỗi "Tạo khóa học thành công" chỉ tồn tại đúng 1 lần trong toàn bộ mã giao diện (đã tìm trên toàn bộ 191 chunk), nằm trong hook tạo khóa học; máy chủ KHÔNG trả về câu thông báo nào (phản hồi chỉ có success/data/meta); trang chỉ có 1 gốc React và 1 hệ thống thông báo. =&gt; Nhiều khả năng hàm xử lý thành công của luồng tạo khóa học đang chạy 2 lần. Không chỉ được đích danh dòng mã vì bản triển khai không kèm source map.
(Lỗi do QA phát hiện thêm trong lúc verify lô 16 case dev-fix ngày 16/07, không thuộc case nào của đối tác nên mở dòng mới.)</t>
  </si>
  <si>
    <t>rv5-BUG-FE-TOAST-LAP-2-thong-bao.png</t>
  </si>
  <si>
    <t>TKTMBMHD_06</t>
  </si>
  <si>
    <t>Đã kiểm tra lại ngày 17/07/2026: lỗi ĐÃ ĐƯỢC SỬA. Mỗi thao tác thành công chỉ hiện đúng 1 thông báo.
Kết quả đo trên bản dev mới nhất (3 phép đo độc lập):
- Tạo khóa học lần 1 (ngay sau khi tải lại trang): gọi máy chủ 1 lần, hiện 1 thông báo.
- Tạo khóa học lần 2 (không tải lại trang): gọi máy chủ 1 lần, hiện 1 thông báo.
- Xóa khóa học: gọi máy chủ 1 lần, hiện 1 thông báo.
Danh sách tăng đúng 1 bản ghi mỗi lần tạo, không có bản ghi trùng.
ĐÍNH CHÍNH TỪ PHÍA KIỂM THỬ: trong ngày 17/07 ô này từng bị ghi nhầm là "Reopen" kèm mô tả "lỗi vẫn còn, từ lần tạo thứ 2 trở đi vẫn hiện 2 thông báo, và lan sang cả thao tác Xóa (3 thông báo)". Kết luận đó SAI và đã được thu hồi ngay trong ngày. Nguyên nhân nằm ở công cụ đo của phía kiểm thử, không phải ở phần mềm: công cụ đếm thông báo bị cài chồng nhiều lần trong cùng một phiên trang mà không gỡ bản cũ, nên MỘT thông báo thật bị đếm thành nhiều. Số lần "lặp" mà công cụ báo thực chất bằng đúng số lần công cụ được cài, và trở về 1 mỗi khi tải lại trang — đó là đặc tính của công cụ đo, không phải hành vi của phần mềm. Công cụ đo đã được sửa và bổ sung bước tự kiểm bắt buộc trước mỗi lần đo.
Ghi nhận "thao tác Xóa hiện 3 thông báo" cũng thuộc kết luận sai nói trên, đã gỡ. Đo lại bằng công cụ đã sửa: xóa khóa học chỉ hiện 1 thông báo, không lặp.
Xin lỗi Dev vì thông tin sai lệch này. Lỗi ghi nhận ở vòng trước (bấm Thêm mới một lần hiện 2 thông báo giống hệt nhau) là có thật trên bản cũ và đã có ảnh chụp màn hình, nhưng bản dev hiện tại đã xử lý đúng. Case đóng.</t>
  </si>
  <si>
    <t>QLKH_03</t>
  </si>
  <si>
    <t>1. Chọn menu "Biểu mẫu" -&gt; "Thư mục biểu mẫu"
2. Nhập/chọn tiêu chí tìm kiếm</t>
  </si>
  <si>
    <t>Mở tab Điểm danh của một buổi học CHƯA điểm danh — kiểm tra trạng thái hiển thị ban đầu</t>
  </si>
  <si>
    <t>1. Đăng nhập tài khoản cán bộ nghiệp vụ (cbnv_tw).
2. Khóa học có từ 2 buổi học trở lên, trong đó có ít nhất 1 buổi CHƯA được điểm danh lần nào.</t>
  </si>
  <si>
    <t>Hệ thống hiển thị thông điệp "Không tìm thấy thư mục phù hợp".</t>
  </si>
  <si>
    <t>Khóa học KH-SEED-0001 "Khóa học pháp luật doanh nghiệp seed" — có 2 buổi cùng ngày 20/02/2026 (buổi SÁNG 08:00-11:00 đã điểm danh "Có mặt"; buổi CHIỀU 14:00-17:00 CHƯA điểm danh lần nào). Học viên: "QA Import Reverify12 OK".</t>
  </si>
  <si>
    <t>1. Chọn menu "Đào tạo, tập huấn" -&gt; "Khóa học"
2. Nhấn xem chi tiết khóa học KH-SEED-0001
3. Chọn tab "Điểm danh"
4. Ở ô chọn buổi học, chọn buổi CHIỀU (14:00-17:00) — là buổi CHƯA từng điểm danh
5. Quan sát cột "Trạng thái" của học viên</t>
  </si>
  <si>
    <t>Buổi học chưa điểm danh lần nào thì cột Trạng thái phải để TRỐNG (chưa chọn gì), để cán bộ biết là chưa điểm danh và tự chọn. Không được tự tick sẵn một trạng thái nào.</t>
  </si>
  <si>
    <t>Hệ thống TỰ TICK SẴN "Vắng không phép" cho học viên, dù buổi này chưa hề được điểm danh lần nào. Kiểm tra dữ liệu đã lưu thì buổi CHIỀU không có bản ghi điểm danh nào (trạng thái rỗng), nhưng màn hình lại hiển thị như thể học viên đã bị đánh vắng không phép. Đã tải lại trang hoàn toàn rồi chọn thẳng buổi CHIỀU (không đụng buổi SÁNG) — vẫn tick sẵn "Vắng không phép", nên không phải do dính trạng thái từ buổi xem trước đó.</t>
  </si>
  <si>
    <r>
      <rPr>
        <rFont val="Times New Roman"/>
        <color rgb="FF1155CC"/>
        <sz val="12.0"/>
        <u/>
      </rPr>
      <t>TKTMBMHD_06.jpg</t>
    </r>
  </si>
  <si>
    <t>rv7-BUG-DD-VANG-MA-buoi-chua-diem-danh.png</t>
  </si>
  <si>
    <t>Verify 17/07/2026 (lần đầu, sau khi dev báo fix): ĐÃ FIX THẬT → Pass.
Buổi chưa điểm danh nay hiển thị đúng: mở đúng khóa KH-SEED-0001, chọn buổi CHIỀU 20/02/2026 (14:00-17:00) — buổi chưa từng điểm danh — thì cột Trạng thái của học viên "QA Import Reverify12 OK" để TRỐNG hoàn toàn, cả 3 ô "Có mặt" / "Vắng có phép" / "Vắng không phép" đều không được chọn. Trước đây ô "Vắng không phép" bị tô xanh đậm.
Đối chứng buổi SÁNG (đã điểm danh "Có mặt") vẫn hiển thị đúng "Có mặt" → màn hình đọc đúng dữ liệu đã lưu, rỗng ở buổi CHIỀU là do fix đúng chứ không phải màn hình hỏng. Đã kiểm bằng phiên đăng nhập sạch, vào thẳng buổi CHIỀU (không mở buổi SÁNG trước). Ghi nhận thêm: khóa "Đã kết thúc" nay mất hẳn nút "Lưu điểm danh"/"Import Excel", chỉ còn "Xuất Excel", các ô chọn đều khóa — khớp luôn với fix của KTDGKQHT_03.
QA TỰ ĐÍNH CHÍNH 2 điểm SAI trong ghi nhận trước của chính QA:
1. "Sai tỷ lệ chuyên cần → sai kết quả Đạt/Không đạt (BR-KQ-02)" — SAI. BR-KQ-02 tính tỷ lệ chuyên cần = (Có mặt + Vắng có phép) / TỔNG SỐ BUỔI. Mẫu số là tổng số buổi, nên buổi "chưa điểm danh" và buổi "vắng không phép" cho ra cùng một tỷ lệ. Lỗi này KHÔNG ảnh hưởng chuyên cần. Tác hại thật chỉ là ghi sai sự thật vào hồ sơ học viên.
2. "Khóa DDD-KH-011 bản ghi seed hỏng" — SAI. Dữ liệu KHÔNG hỏng: đăng nhập đúng đơn vị sở hữu khóa thì đọc lịch học bình thường và thêm buổi học thành công. Nguyên nhân thật: khóa thuộc đơn vị khác, cán bộ không có quyền, nhưng hệ thống báo "Khóa học không tồn tại" thay vì báo không có quyền → khiến cả QA lẫn Dev chẩn đoán nhầm. Đề nghị tách thành mục riêng (Minor), không thuộc QLKH_03.
Phần CHƯA kiểm được: nhánh khóa "Đang diễn ra" (bấm Lưu khi chưa chọn ai) chưa kiểm được độc lập — thêm học viên vào khóa đang diễn ra bị từ chối "Chỉ có thể đăng ký khóa học đã duyệt". Ý này hiện chỉ có xác nhận từ Dev. Lưu ý bug gốc được log trên chính khóa "Đã kết thúc", nên QLKH_03 đã được verify đúng 1:1 tiền đề gốc; nhánh "Đang diễn ra" là hệ quả phụ, không thuộc TC này.</t>
  </si>
  <si>
    <t>✅ Bug ĐÚNG – chuyển dev.
- Màn tìm kiếm thư mục (Thư viện biểu mẫu → Thư mục): khi tìm không có kết quả, hệ thống hiển thị thông báo "Trống".
- Theo SRS FR-VII-02 (UC93) §Error Handling E2 (dòng 199), mã INF-TM-TK-01: thông báo phải là "Không tìm thấy thư mục phù hợp".
- Verify: đăng nhập CB Nghiệp vụ Trung ương (CB_NV_TW), tìm từ khóa "zzzqa123khongtontai" → 0 kết quả → màn hiện "Trống".
- Bug ID: BUG-TKTMBMHD_06.</t>
  </si>
  <si>
    <t>10 file</t>
  </si>
  <si>
    <t>TKTMBMHD_07</t>
  </si>
  <si>
    <t>Phê duyệt hồ sơ tư vấn viên</t>
  </si>
  <si>
    <t>CB Phê duyệt xem xét và phê duyệt hồ sơ đã thẩm định để công nhận Tư vấn viên.</t>
  </si>
  <si>
    <t>1. Chọn menu "Biểu mẫu" -&gt; "Thư mục biểu mẫu"
2. Nhập/chọn tiêu chí tìm kiếm
3. Bấm nút Xóa bộ lọc</t>
  </si>
  <si>
    <t xml:space="preserve">- Xóa toàn bộ giá trị đã nhập tại các điều kiện tìm kiếm và bộ lọc (Tìm kiếm, Lọc lĩnh vực, Lọc trạng thái, Khoảng ngày tạo).
+ Đưa tab phân loại về "Tất cả".
+ Hiển thị lại danh sách mặc định (toàn bộ thư mục trong phạm vi phân quyền, sắp xếp theo ngày tạo giảm dần).
</t>
  </si>
  <si>
    <t>11 file</t>
  </si>
  <si>
    <t>Không đưa về tab "Tất cả"</t>
  </si>
  <si>
    <r>
      <rPr>
        <rFont val="Times New Roman"/>
        <color rgb="FF1155CC"/>
        <sz val="12.0"/>
        <u/>
      </rPr>
      <t>TKTMBMHD_07.webm</t>
    </r>
  </si>
  <si>
    <t>✅ Bug đúng (BA duyệt 24/07/2026). Loại 2 — SRS đã được chốt bổ sung, Dev FE làm theo bản mới.
Yêu cầu nghiệp vụ: nút "Xóa bộ lọc" trên màn Thư viện biểu mẫu &gt; Thư mục phải đưa màn về đúng trạng thái mặc định hoàn toàn, gồm CẢ dãy tab phân loại: xóa từ khóa tìm kiếm, xóa mọi trường trong thanh lọc (lĩnh vực, trạng thái, khoảng ngày), đưa tab phân loại về "Tất cả", và trả danh sách về sắp xếp mặc định theo ngày tạo giảm dần. Hiện nút chỉ xóa từ khóa và các trường lọc, giữ nguyên tab đang đứng nên người dùng tưởng đã hết lọc mà danh sách vẫn bị tab lọc tiếp.
Căn cứ SRS: srs-v3.5/srs-fr-09-bieu-mau.md:622 (SCR-VII-01 #7 — "Nút Xóa bộ lọc | button | [Xóa bộ lọc] | click → xóa từ khóa + mọi trường lọc (lĩnh vực, trạng thái, khoảng ngày) + đưa tab về "Tất cả" + về sắp xếp mặc định"), :623 (#8 Tab phân loại — "Tất cả / Đã công khai / Nháp / Đã ẩn (số đếm)"). (BA trích :605/:609 theo bản SRS trước khi cập nhật — khi đó SRS chưa mô tả nút này; bản hiện hành đã bổ sung tại :622.) Mức Minor.
── CÁCH VERIFY sau Dev fix ──
Precondition: cbnv_tw / Test@1234 (CB Nghiệp vụ Trung ương) · https://18.143.165.120.nip.io/bieu-mau/thu-muc · cần ≥1 thư mục ở tab "Nháp" và tổng số thư mục ở tab "Tất cả" phải LỚN HƠN số ở tab "Nháp" (nếu bằng nhau thì tạo thêm 1 thư mục rồi công khai nó, để hai con số khác nhau — nếu không sẽ không phân biệt được tab đã reset hay chưa).
1) Ghi lại số đếm trên tab "Tất cả" và trên tab "Nháp".
2) Bấm tab "Nháp"; gõ zzzqa123 vào ô tìm kiếm; chọn ô lọc Lĩnh vực = Thương mại; chọn khoảng ngày tạo 01/07/2026 – 24/07/2026.
3) Bấm nút [Xóa bộ lọc].
4) Đọc: URL trên thanh địa chỉ · tab nào đang được làm nổi bật · nội dung ô tìm kiếm · giá trị 2 ô lọc và khoảng ngày · số thư mục đang hiển thị · thư mục ở dòng đầu bảng.
✅ PASS khi ĐỦ 4 điều: (i) ô tìm kiếm trắng, ô Lĩnh vực và Trạng thái về mặc định, khoảng ngày trống; (ii) tab đang nổi bật là "Tất cả" và URL không còn tham số tab=NHAP lẫn keyword; (iii) số thư mục hiển thị bằng đúng số đếm của tab "Tất cả" đã ghi ở bước 1, không phải số của tab "Nháp"; (iv) dòng đầu bảng là thư mục có ngày tạo mới nhất.
❌ FAIL nếu: sau khi bấm nút, tab vẫn là "Nháp" (URL còn tab=NHAP) hoặc số thư mục hiển thị vẫn bằng số của tab "Nháp" — dù ô tìm kiếm và các ô lọc đã trắng.
⚠️ Xóa được từ khóa và các trường lọc mà giữ tab = VẪN FAIL. Điều kiện tab về "Tất cả" là phần chính của case này, không phải phần phụ.</t>
  </si>
  <si>
    <t>Tổng &gt;100MB</t>
  </si>
  <si>
    <t>CKTMBMHDLCTT_02</t>
  </si>
  <si>
    <t>Kiểm tra hiển thị nút chức năng công khai</t>
  </si>
  <si>
    <t>- Chỉ hiển thị khi thư mục đang ở trạng thái "Nháp" hoặc "Ẩn", có tối thiểu một biểu mẫu bên trong, và Cán bộ nghiệp vụ thuộc đơn vị sở hữu thư mục.</t>
  </si>
  <si>
    <t>Nút chức năng hiển thị ở cả các thư mục không có biểu mẫu nào bên trong</t>
  </si>
  <si>
    <r>
      <rPr>
        <rFont val="Times New Roman"/>
        <color rgb="FF1155CC"/>
        <sz val="12.0"/>
        <u/>
      </rPr>
      <t>CKTMBMHDLCTT_02.jpg</t>
    </r>
  </si>
  <si>
    <t>✅ Bug ĐÚNG – chuyển dev.
- Web hiện tại: thư mục KHÔNG có biểu mẫu (Số biểu mẫu = 0, trạng thái Nháp) vẫn hiển thị nút "Công khai" ở cột Hành động.
- Theo đặc tả (FR-VII-03 / UC94, màn hình SCR-VII-01, mục Cột Hành động, dòng 615): nút "Công khai" chỉ được hiển thị khi thư mục ở trạng thái Nháp/Ẩn VÀ có ít nhất 1 biểu mẫu bên trong. Thư mục rỗng không đủ điều kiện công khai (dòng 220, 250: "Thư mục chưa có biểu mẫu, không thể công khai").
- Verify: đăng nhập cbnv_tw (CB Nghiệp vụ Trung ương), tạo thư mục rỗng "BM-B3-0720-Rong-1" (0 biểu mẫu, Nháp) → nút "Công khai" vẫn hiện. Đối chiếu thư mục có 1 biểu mẫu và thư mục đã công khai đều hiển thị nút đúng.
- Bug ID: BUG-CKTMBMHDLCTT_02.</t>
  </si>
  <si>
    <t>CKTMBMHDLCTT_07</t>
  </si>
  <si>
    <t>Công khai hàng loạt thành công</t>
  </si>
  <si>
    <t>1. Chọn menu "Biểu mẫu" -&gt; "Thư mục biểu mẫu"
2. Chọn ít nhất 1 thư mục hợp lệ
3. Bấm nút "Công khai hàng loạt" và Xác nhận</t>
  </si>
  <si>
    <t>Hệ thống hiển thị thông điệp "Đã công khai {N} thư mục".</t>
  </si>
  <si>
    <t>- Sau khi công khai thành công hệ thống vẫn hiển thị dòng thông báo đã tích chọn và các nút chức năng</t>
  </si>
  <si>
    <r>
      <rPr>
        <rFont val="Times New Roman"/>
        <color rgb="FF1155CC"/>
        <sz val="12.0"/>
        <u/>
      </rPr>
      <t>CKTMBMHDLCTT_07.jpg</t>
    </r>
  </si>
  <si>
    <t>Lưu hợp lệ</t>
  </si>
  <si>
    <t>Tạo mới thành công</t>
  </si>
  <si>
    <t>✅ Bug đúng (BA duyệt 24/07/2026). Loại 2 — SRS đã được chốt bổ sung, Dev FE làm theo bản mới.
Yêu cầu nghiệp vụ: sau khi thao tác CÔNG KHAI HÀNG LOẠT thư mục chạy xong, hệ thống phải tự bỏ chọn toàn bộ thư mục đang tích, ẩn thanh hành động hàng loạt, và tải lại danh sách theo bộ lọc / tab đang áp. Hiện thanh vẫn báo "Đã chọn 2 thư mục" và các checkbox vẫn tích sau khi công khai xong; khi người dùng đứng ở tab con thì lựa chọn đó trỏ vào bản ghi đã rời khỏi tab, dễ dẫn tới bấm tiếp một thao tác hàng loạt khác lên đúng nhóm bản ghi cũ.
Căn cứ SRS: srs-v3.5/srs-fr-09-bieu-mau.md:274 (FR-VII-03 §Postconditions — "Sau khi hoàn tất thao tác hàng loạt (công khai/ẩn/xóa), hệ thống tự bỏ chọn toàn bộ, ẩn thanh hành động hàng loạt, tải lại danh sách theo bộ lọc/tab hiện tại"), :630 (SCR-VII-01 #15 Hành động hàng loạt — "click → batch; xong tự bỏ chọn toàn bộ + ẩn thanh hành động hàng loạt + tải lại danh sách theo bộ lọc/tab hiện tại"). (BA trích :616 và :261-262 theo bản SRS trước khi cập nhật; số dòng hiện hành là :630 và :274.) Mức Minor.
Cùng một chỗ sửa dùng chung cho cả 3 thao tác hàng loạt: công khai (case này), ẩn (CKTMBMHDLCTT_10), xóa (QLTMBMHD_19) — theo BA nên xử lý một lần.
── CÁCH VERIFY sau Dev fix ──
Precondition: cbnv_tw / Test@1234 (CB Nghiệp vụ Trung ương) · https://18.143.165.120.nip.io/bieu-mau/thu-muc · cần 2 thư mục ĐỦ ĐIỀU KIỆN công khai = trạng thái Nháp hoặc Đã ẩn VÀ bên trong có ≥1 biểu mẫu. Chưa có thì bấm [+ Thêm thư mục] tạo "QA-DESELECT-A" và "QA-DESELECT-B" (lĩnh vực Thương mại), rồi mở từng thư mục thêm 1 biểu mẫu với tệp .docx bất kỳ dưới 20MB.
1) Bấm tab "Nháp" (hoặc "Đã ẩn") — đứng ở tab con, KHÔNG đứng tab "Tất cả". Ghi lại số đếm trên tab đó.
2) Tích checkbox 2 thư mục QA-DESELECT-A và QA-DESELECT-B; kiểm thanh hành động hàng loạt hiện lên và đọc đúng "Đã chọn 2 thư mục".
3) Bấm [Công khai hàng loạt] rồi xác nhận trên hộp thoại.
4) Ngay sau khi thông báo kết quả hiện ra, KHÔNG tải lại trang, đọc lại vùng đầu bảng và từng checkbox.
✅ PASS khi ĐỦ 3 điều: (i) thanh "Đã chọn N thư mục" cùng các nút [Công khai hàng loạt] [Ẩn hàng loạt] [Xóa hàng loạt] [Bỏ chọn] biến mất hoàn toàn; (ii) đếm số checkbox còn ở trạng thái tích = 0, kể cả checkbox chọn-tất-cả ở đầu bảng; (iii) danh sách tự tải lại theo tab đang đứng — 2 thư mục vừa công khai không còn nằm trong tab đó và số đếm trên tab giảm đi 2.
❌ FAIL nếu: vẫn nhìn thấy thanh "Đã chọn 2 thư mục"; HOẶC còn ≥1 checkbox tích; HOẶC phải bấm [Bỏ chọn] hay tải lại trang mới hết lựa chọn.
⚠️ Nếu đứng tab "Tất cả" thì 2 thư mục vẫn nằm trong danh sách nên bỏ qua điều kiện (iii) và chỉ chấm (i)+(ii) — muốn chấm đủ 3 điều kiện thì phải đứng tab con như bước 1.
⚠️ Case này chỉ chấm việc bỏ chọn sau thao tác. Nội dung câu thông báo kết quả thuộc case CKTMBMHDLCTT_08, không dùng để chấm ở đây.
Ảnh lỗi cũ: image/BUG-CKTMBMHDLCTT_07-web.png</t>
  </si>
  <si>
    <t>CKTMBMHDLCTT_08</t>
  </si>
  <si>
    <t>Nhấn Hủy</t>
  </si>
  <si>
    <t>Công khai hàng loạt một phần thành công</t>
  </si>
  <si>
    <t>1. Chọn menu "Biểu mẫu" -&gt; "Thư mục biểu mẫu"
2. Chọn thư mục hợp lệ và không hợp lệ
3. Bấm nút "Công khai hàng loạt" và Xác nhận</t>
  </si>
  <si>
    <t>Không lưu</t>
  </si>
  <si>
    <t>Hệ thống hiển thị thông điệp "Đã công khai {X} thư mục. {Y} thư mục không đủ điều kiện (trống hoặc đã công khai)".</t>
  </si>
  <si>
    <t>Hệ thống hiển thị thông báo "Công khai 0/2 thư mục, 2 thất bại."</t>
  </si>
  <si>
    <r>
      <rPr>
        <rFont val="Times New Roman"/>
        <color rgb="FF1155CC"/>
        <sz val="12.0"/>
        <u/>
      </rPr>
      <t>CKTMBMHDLCTT_08.webm</t>
    </r>
  </si>
  <si>
    <t>✅ Bug đúng (BA duyệt 24/07/2026). Loại 2 — SRS đã được chốt bổ sung mẫu thông báo, Dev sửa cả CÁCH ĐẾM và CHỮ theo bản mới.
Yêu cầu nghiệp vụ khi CÔNG KHAI HÀNG LOẠT xong một phần (vừa có thư mục công khai được, vừa có thư mục bị bỏ qua): thông báo phải cho người dùng biết bao nhiêu thư mục đã xử lý được trên tổng số đã chọn, bao nhiêu bị bỏ qua và vì sao; số thư mục thành công phải đếm đúng thực tế; và phải gọi trường hợp bị bỏ qua là "không đủ điều kiện" chứ không phải "thất bại" — vì thư mục rỗng bị bỏ qua là điều kiện nghiệp vụ, không phải lỗi hệ thống. Áp cho cả hộp thoại xác nhận trước khi chạy và thông báo kết quả sau khi chạy.
Căn cứ SRS: srs-v3.5/srs-fr-09-bieu-mau.md:258-261 (§Error Handling FR-VII-03) — ":258 Mẫu thông báo thao tác hàng loạt (dùng chung cho modal xác nhận + toast): Dùng cụm "không đủ điều kiện", KHÔNG dùng "thất bại"; đếm đúng số thư mục thành công (X/Y)"; ":260 Xong một phần: "Đã {hành động} {X}/{Y} thư mục. {Z} thư mục không đủ điều kiện ({lý do})""; ":261 Biến {lý do} theo hành động: xóa → "còn biểu mẫu"; công khai → "rỗng, chưa có biểu mẫu"; ẩn → "chưa công khai"". Cùng mẫu này cũng được đặt tại :135-138 (§Error Handling FR-VII-01). Điều kiện bỏ qua khi công khai là thư mục rỗng — :255 (ERR-CK-01 "Thư mục chưa có biểu mẫu, không thể công khai"). (BA trích :131 và :250-251 theo bản SRS trước khi cập nhật.) Mức Minor.
Về cách đếm: cột Kết quả thực tế của đối tác ghi "Công khai 0/2 thư mục, 2 thất bại", còn bảng đối chiếu điều kiện của QA ngày 20/07/2026 (reverify-week-3/cond/CKTMBMHDLCTT_08.md) ghi nhận thông báo đo được là "Công khai 1/2 thư mục, 1 thất bại" và thư mục đủ điều kiện đã chuyển sang Đã công khai. Hai nguồn lệch nhau ở con số, nên bước verify dưới đây chấm CẢ con số lẫn chữ.
── CÁCH VERIFY sau Dev fix ──
Precondition: cbnv_tw / Test@1234 (CB Nghiệp vụ Trung ương) · https://18.143.165.120.nip.io/bieu-mau/thu-muc · cần đúng 2 thư mục dựng sẵn: (A) "QA-CK-DU" trạng thái Nháp và bên trong có 1 biểu mẫu .docx (đủ điều kiện công khai); (B) "QA-CK-RONG" trạng thái Nháp và KHÔNG có biểu mẫu nào (không đủ điều kiện). Tạo bằng [+ Thêm thư mục], lĩnh vực Thương mại.
1) Tích checkbox cả QA-CK-DU và QA-CK-RONG (đúng 2 thư mục, không tích thêm).
2) Bấm [Công khai hàng loạt] → ĐỌC NGUYÊN VĂN câu trong hộp thoại xác nhận trước khi bấm đồng ý.
3) Xác nhận → đọc nguyên văn thông báo kết quả (câu này chỉ hiện vài giây, nên đọc ngay hoặc quay lại màn hình khi thao tác).
4) Kiểm trạng thái sau thao tác của từng thư mục trên bảng.
✅ PASS khi ĐỦ 4 điều: (i) thông báo kết quả nêu số thành công trên tổng đúng là 1/2 — đúng 1 thư mục công khai được trên 2 thư mục đã chọn; (ii) thông báo kết quả KHÔNG chứa chữ "thất bại"; (iii) thông báo kết quả nêu 1 thư mục "không đủ điều kiện" kèm lý do đúng cho hành động công khai là rỗng / chưa có biểu mẫu; (iv) QA-CK-DU chuyển sang Đã công khai, QA-CK-RONG vẫn giữ Nháp.
❌ FAIL nếu: thông báo còn chữ "thất bại"; HOẶC đếm 0/2 trong khi QA-CK-DU thực tế đã chuyển sang Đã công khai; HOẶC chỉ nêu số mà không nêu lý do bị bỏ qua; HOẶC hộp thoại xác nhận ở bước 2 dùng chữ "thất bại".
⚠️ Case này chấm nội dung câu thông báo và con số. Việc thanh "Đã chọn 2 thư mục" có tự mất sau thao tác hay không thuộc case CKTMBMHDLCTT_07 — không dùng để chấm ở đây.
⚠️ Nếu chọn 2 thư mục mà cả 2 đều đủ điều kiện thì rơi vào mẫu "toàn bộ đủ điều kiện" (:259) chứ không phải mẫu một phần — phải giữ đúng cấu hình 1 đủ + 1 rỗng như Precondition, nếu không kết quả không dùng để chấm case này.</t>
  </si>
  <si>
    <t>Double click Lưu</t>
  </si>
  <si>
    <t>CKTMBMHDLCTT_10</t>
  </si>
  <si>
    <t>Chỉ tạo 1 bản ghi</t>
  </si>
  <si>
    <t>Ẩn hàng loạt thành công</t>
  </si>
  <si>
    <t>1. Chọn menu "Biểu mẫu" -&gt; "Thư mục biểu mẫu"
2. Chọn ít nhất 1 thư mục hợp lệ
3. Bấm nút "Ẩn hàng loạt" và Xác nhận</t>
  </si>
  <si>
    <t>Hệ thống hiển thị thông điệp "Đã ẩn {N} thư mục".</t>
  </si>
  <si>
    <t>- Sau khi ẩn thành công hệ thống vẫn hiển thị dòng thông báo đã tích chọn và các nút chức năng</t>
  </si>
  <si>
    <r>
      <rPr>
        <rFont val="Times New Roman"/>
        <color rgb="FF1155CC"/>
        <sz val="12.0"/>
        <u/>
      </rPr>
      <t>CKTMBMHDLCTT_10.jpg</t>
    </r>
  </si>
  <si>
    <t>✅ Bug đúng (BA duyệt 24/07/2026). Loại 2 — SRS đã được chốt bổ sung, Dev FE làm theo bản mới.
Yêu cầu nghiệp vụ: sau khi thao tác ẨN HÀNG LOẠT thư mục chạy xong, hệ thống phải tự bỏ chọn toàn bộ thư mục đang tích, ẩn thanh hành động hàng loạt, và tải lại danh sách theo bộ lọc / tab đang áp. Hiện sau khi ẩn xong thanh vẫn báo "Đã chọn 2 thư mục" và các checkbox vẫn tích; nếu người dùng đang đứng ở tab "Đã công khai" thì các thư mục vừa ẩn đã rời khỏi tab, nên lựa chọn còn lại trỏ vào bản ghi không còn trên màn — bấm tiếp một thao tác hàng loạt khác sẽ tác động lên đúng nhóm bản ghi cũ đó.
Căn cứ SRS: srs-v3.5/srs-fr-09-bieu-mau.md:274 (FR-VII-03 §Postconditions — "Sau khi hoàn tất thao tác hàng loạt (công khai/ẩn/xóa), hệ thống tự bỏ chọn toàn bộ, ẩn thanh hành động hàng loạt, tải lại danh sách theo bộ lọc/tab hiện tại"), :630 (SCR-VII-01 #15 Hành động hàng loạt — "xong tự bỏ chọn toàn bộ + ẩn thanh hành động hàng loạt + tải lại danh sách theo bộ lọc/tab hiện tại"). (BA trích :616 và :261-262 theo bản SRS trước khi cập nhật; số dòng hiện hành là :630 và :274.) Mức Minor.
Cùng một chỗ sửa với CKTMBMHDLCTT_07 (công khai hàng loạt) và QLTMBMHD_19 (xóa hàng loạt) — nhưng phải verify riêng đường ẩn hàng loạt, vì đây là nhánh xử lý khác.
── CÁCH VERIFY sau Dev fix ──
Precondition: cbnv_tw / Test@1234 (CB Nghiệp vụ Trung ương) · https://18.143.165.120.nip.io/bieu-mau/thu-muc · cần 2 thư mục ĐANG Ở TRẠNG THÁI Đã công khai. Chưa có thì tạo 2 thư mục "QA-AN-A" và "QA-AN-B" (lĩnh vực Thương mại), thêm 1 biểu mẫu .docx vào mỗi thư mục, rồi công khai từng thư mục bằng nút Công khai ở cột Hành động của từng dòng.
1) Bấm tab "Đã công khai" — đứng ở tab này, KHÔNG đứng tab "Tất cả". Ghi lại số đếm trên tab.
2) Tích checkbox QA-AN-A và QA-AN-B; kiểm thanh hành động hàng loạt hiện lên với chữ "Đã chọn 2 thư mục".
3) Bấm [Ẩn hàng loạt] rồi xác nhận.
4) Ngay sau khi thông báo kết quả hiện, KHÔNG tải lại trang, đọc lại vùng đầu bảng và từng checkbox.
✅ PASS khi ĐỦ 3 điều: (i) thanh "Đã chọn N thư mục" và các nút [Công khai hàng loạt] [Ẩn hàng loạt] [Xóa hàng loạt] [Bỏ chọn] biến mất hoàn toàn; (ii) số checkbox còn tích = 0, kể cả checkbox chọn-tất-cả ở đầu bảng; (iii) danh sách tự tải lại theo tab "Đã công khai" — QA-AN-A và QA-AN-B không còn trong tab này, số đếm trên tab giảm đi 2.
❌ FAIL nếu: vẫn thấy thanh "Đã chọn 2 thư mục"; HOẶC còn ≥1 checkbox tích; HOẶC phải bấm [Bỏ chọn] hay tải lại trang mới hết lựa chọn; HOẶC 2 thư mục đã chuyển sang Đã ẩn mà tab "Đã công khai" vẫn giữ nguyên số đếm cũ.
⚠️ Nếu chỉ sửa cho đường công khai hàng loạt mà không sửa đường ẩn thì case này vẫn FAIL — phải test lại chính nút [Ẩn hàng loạt], không suy ra từ kết quả của CKTMBMHDLCTT_07.
⚠️ Case này chỉ chấm việc bỏ chọn. Nội dung câu thông báo khi ẩn xong một phần thuộc case CKTMBMHDLCTT_11.
Ảnh lỗi cũ: image/BUG-CKTMBMHDLCTT_10-web.png</t>
  </si>
  <si>
    <t>CKTMBMHDLCTT_11</t>
  </si>
  <si>
    <t>Sửa hỏi đáp vướng mắc pháp lý</t>
  </si>
  <si>
    <t>Ẩn hàng loạt một phần thành công</t>
  </si>
  <si>
    <t>1. Chọn menu "Biểu mẫu" -&gt; "Thư mục biểu mẫu"
2. Chọn thư mục hợp lệ và không hợp lệ
3. Bấm nút "Ẩn hàng loạt" và Xác nhận</t>
  </si>
  <si>
    <t xml:space="preserve"> Hệ thống hiển thị thông điệp "Đã ẩn {X} thư mục. {Y} thư mục không đủ điều kiện (không ở trạng thái công khai)".</t>
  </si>
  <si>
    <t>Thông báo không giống với thiết kế</t>
  </si>
  <si>
    <r>
      <rPr>
        <rFont val="Times New Roman"/>
        <color rgb="FF1155CC"/>
        <sz val="12.0"/>
        <u/>
      </rPr>
      <t>CKTMBMHDLCTT_11.jpg</t>
    </r>
  </si>
  <si>
    <t>✅ Bug đúng (BA duyệt 24/07/2026). Loại 2 — SRS đã được chốt bổ sung mẫu thông báo, Dev sửa cả CÁCH ĐẾM và CHỮ theo bản mới.
Yêu cầu nghiệp vụ khi ẨN HÀNG LOẠT xong một phần (có thư mục ẩn được, có thư mục bị bỏ qua vì chưa công khai): thông báo phải nêu số thư mục ẩn được trên tổng số đã chọn, số thư mục bị bỏ qua và lý do; và phải gọi nhóm bị bỏ qua là "không đủ điều kiện" chứ không phải "thất bại" — thư mục chưa công khai thì không thể ẩn, đó là điều kiện nghiệp vụ chứ không phải lỗi hệ thống. Áp cho cả hộp thoại xác nhận và thông báo kết quả.
Căn cứ SRS: srs-v3.5/srs-fr-09-bieu-mau.md:258-261 (§Error Handling FR-VII-03) — ":258 Mẫu thông báo thao tác hàng loạt (dùng chung cho modal xác nhận + toast): Dùng cụm "không đủ điều kiện", KHÔNG dùng "thất bại"; đếm đúng số thư mục thành công (X/Y)"; ":260 Xong một phần: "Đã {hành động} {X}/{Y} thư mục. {Z} thư mục không đủ điều kiện ({lý do})""; ":261 lý do cho hành động ẩn = "chưa công khai"". (BA trích :250-251 theo bản SRS trước khi cập nhật; trước đây SRS chỉ có ERR-CK-01 / WRN-CK-01 cho công khai đơn lẻ, không có mẫu cho hàng loạt một phần và không có mẫu cho hướng ẩn.) Mức Minor.
Bảng đối chiếu điều kiện của QA ngày 20/07/2026 (reverify-week-3/cond/CKTMBMHDLCTT_11.md) ghi nhận thông báo đo được là "Ẩn 1/2 thư mục, 1 thất bại" — con số đúng, phần lệch là chữ "thất bại" và thiếu lý do. Bước verify dưới đây vẫn chấm cả con số để chắc chắn.
── CÁCH VERIFY sau Dev fix ──
Precondition: cbnv_tw / Test@1234 (CB Nghiệp vụ Trung ương) · https://18.143.165.120.nip.io/bieu-mau/thu-muc · cần đúng 2 thư mục dựng sẵn: (A) "QA-AN-DU" đang ở trạng thái Đã công khai (đủ điều kiện ẩn) — tạo thư mục, thêm 1 biểu mẫu .docx rồi bấm Công khai ở cột Hành động; (B) "QA-AN-NHAP" trạng thái Nháp, chưa từng công khai (không đủ điều kiện ẩn).
1) Đứng tab "Tất cả" để thấy được cả 2 thư mục; tích checkbox QA-AN-DU và QA-AN-NHAP (đúng 2 thư mục).
2) Bấm [Ẩn hàng loạt] → ĐỌC NGUYÊN VĂN câu trong hộp thoại xác nhận trước khi đồng ý.
3) Xác nhận → đọc nguyên văn thông báo kết quả (câu này chỉ hiện vài giây, đọc ngay khi vừa bấm).
4) Kiểm trạng thái sau thao tác của từng thư mục trên bảng.
✅ PASS khi ĐỦ 4 điều: (i) thông báo kết quả nêu số thành công trên tổng đúng là 1/2; (ii) KHÔNG chứa chữ "thất bại"; (iii) nêu 1 thư mục "không đủ điều kiện" kèm lý do đúng cho hành động ẩn là chưa công khai; (iv) QA-AN-DU chuyển sang Đã ẩn, QA-AN-NHAP vẫn giữ Nháp.
❌ FAIL nếu: thông báo còn chữ "thất bại"; HOẶC nêu số mà không nêu lý do bị bỏ qua; HOẶC con số không khớp trạng thái thực tế sau thao tác; HOẶC hộp thoại xác nhận ở bước 2 dùng chữ "thất bại".
⚠️ Lý do phải đúng theo hành động ẩn là chưa công khai. Nếu dùng lý do của hành động công khai (rỗng, chưa có biểu mẫu) hay của hành động xóa (còn biểu mẫu) thì vẫn FAIL — đây chính là điểm dễ sai khi dev dùng chung một câu cho cả 3 thao tác.
⚠️ Không chấm case này bằng kết quả của CKTMBMHDLCTT_08 (công khai hàng loạt) — hai hành động có lý do khác nhau nên phải chạy riêng nút [Ẩn hàng loạt].</t>
  </si>
  <si>
    <t>Mở màn sửa</t>
  </si>
  <si>
    <t>1. Mở màn hình
 2. Thực hiện theo TC
 3. Nhấn Lưu/Xóa</t>
  </si>
  <si>
    <t>Hiển thị dữ liệu</t>
  </si>
  <si>
    <t>QLBMHD_02</t>
  </si>
  <si>
    <t xml:space="preserve">Kiểm tra hiển thị các trường thông tin </t>
  </si>
  <si>
    <t xml:space="preserve">1. Chọn menu "Biểu mẫu" -&gt; "Danh sách biểu mẫu"
</t>
  </si>
  <si>
    <t>Sửa nội dung</t>
  </si>
  <si>
    <t>Thiếu Ô chọn biểu mẫu và các cột thông tin: Cơ quan ban hành, Định dạng</t>
  </si>
  <si>
    <r>
      <rPr>
        <rFont val="Times New Roman"/>
        <color rgb="FF1155CC"/>
        <sz val="12.0"/>
        <u/>
      </rPr>
      <t>QLBMHD_02.jpg</t>
    </r>
  </si>
  <si>
    <t>Cập nhật thành công</t>
  </si>
  <si>
    <t>✅ Bug ĐÚNG (một phần) – chuyển dev.
- Cột "Cơ quan ban hành": web THIẾU. Theo SRS FR-VII-04 (UC95), màn Quản lý biểu mẫu SCR-VII-02 (dòng 657): cột "Cơ quan ban hành" phải LUÔN hiển thị. Danh sách hiện có 11 cột (Mã BM, Tên biểu mẫu, Loại TL, Thư mục, Kích thước, Trạng thái, Đã công khai, Ảnh đại diện, Ngày tạo, Sync Cổng, Hành động) — không có cột này. Bug BUG-QLBMHD_02.
- Bộ lọc "Định dạng": thực tế ĐÃ CÓ trên thanh lọc (Thư mục/Lĩnh vực/Loại hình/Định dạng) — đúng SRS dòng 640, không thiếu.
- "Ô chọn biểu mẫu" (checkbox chọn dòng): SRS SCR-VII-02 không quy định thao tác chọn hàng loạt cho biểu mẫu → cần BA xác nhận có bổ sung không.
- Verify: tài khoản cbnv_tw (CB Nghiệp vụ - Trung ương), màn Danh sách biểu mẫu, 20/07/2026.</t>
  </si>
  <si>
    <t>Xóa nội dung</t>
  </si>
  <si>
    <t>QLBMHD_03</t>
  </si>
  <si>
    <t>Kiểm tra nút chức năng "+ Thêm mới"</t>
  </si>
  <si>
    <t>1. Chọn menu "Biểu mẫu" -&gt; "Danh sách biểu mẫu"
2. Nhấn "+ Thêm mới"</t>
  </si>
  <si>
    <t>Hệ thống mở biểu mẫu tạo biểu mẫu với các trường: Thư mục, Tên biểu mẫu, Loại hình, Lĩnh vực, Mô tả, Tệp đính kèm, Thứ tự hiển thị, công tắc "Công khai trên Cổng PLQG" (khi bật hiển thị thêm Ảnh đại diện công khai, Mô tả công khai, Tệp đính kèm công khai), Cơ quan ban hành (chỉ đọc, tự gán theo đơn vị của người đăng nhập).</t>
  </si>
  <si>
    <t>- Khi bật công tắc Công khai, form thêm mới thiếu trường thông tin Cơ quan ban hành
- Tệp đính kèm công khai cho phép tệp định dạng không đúng với thiết kế(Thiết kế cho phép PDF, DOC, DOCX, XLS, XLSX - Hệ thống hiện tại cho phép cả tệp định dạng .jpg, .png, .gif)</t>
  </si>
  <si>
    <r>
      <rPr>
        <rFont val="Times New Roman"/>
        <color rgb="FF1155CC"/>
        <sz val="12.0"/>
        <u/>
      </rPr>
      <t>QLBMHD_03.jpg</t>
    </r>
  </si>
  <si>
    <t>Đổi lĩnh vực</t>
  </si>
  <si>
    <t>✅ Bug ĐÚNG (một phần) – chuyển dev.
- Trường "Cơ quan ban hành": form Thêm/Sửa biểu mẫu THIẾU. Theo SRS FR-VII-04 (UC95), màn SCR-VII-02 #21 (dòng 658) + Inputs #14 (dòng 304): form phải hiển thị trường "Cơ quan ban hành" read-only (auto = đơn vị của tài khoản). Web thiếu trường này cả khi bật lẫn tắt switch Công khai. Bug BUG-QLBMHD_03.
- "Tệp đính kèm cho phép sai định dạng (.jpg/.png/.gif)": KHÔNG tái hiện. Trường "File đính kèm công khai" hiện chỉ nhận .pdf/.doc/.docx/.xls/.xlsx (đúng thiết kế SRS). Định dạng ảnh .jpg/.png/.gif chỉ nhận ở trường "Ảnh đại diện" — đúng vì trường đó là ảnh. → Ý này đề nghị đối tác kiểm tra lại (bản mới đã đúng định dạng).
- Verify: tài khoản cbnv_tw (CB Nghiệp vụ - Trung ương), form Thêm biểu mẫu, 20/07/2026.</t>
  </si>
  <si>
    <t>Đổi mức độ</t>
  </si>
  <si>
    <t>Deadline cập nhật</t>
  </si>
  <si>
    <t>QLBMHD_06</t>
  </si>
  <si>
    <t>Kiểm tra kích thước tệp không vượt 20 MB.</t>
  </si>
  <si>
    <t>Hệ thống hiển thị thông điệp "Tệp vượt quá giới hạn 20 MB. Kích thước hiện tại: {size} MB".</t>
  </si>
  <si>
    <t>Thông báo hiển thị không giống với thiết kế</t>
  </si>
  <si>
    <r>
      <rPr>
        <rFont val="Times New Roman"/>
        <color rgb="FF1155CC"/>
        <sz val="12.0"/>
        <u/>
      </rPr>
      <t>QLBMHD_06.jpg</t>
    </r>
  </si>
  <si>
    <t>Thêm file</t>
  </si>
  <si>
    <t>Upload thành công</t>
  </si>
  <si>
    <t>Xóa file</t>
  </si>
  <si>
    <t>✅ Bug đúng (BA duyệt 24/07/2026) — lỗi ở CHỮ thông báo, chức năng chặn đã đạt. Dev FE: khi người dùng chọn tệp biểu mẫu vượt 20MB, thông báo phải dùng chuỗi đã văn bản hóa trong SRS — nêu việc vượt GIỚI HẠN 20MB và kích thước thực của tệp theo dạng đã quy định.
Căn cứ SRS (bản Docs-PM-HTPLDN/.../srs-v3.5/): srs-fr-09-bieu-mau.md:354 — "| E2 | File quá 20MB | ERR-BM-02 | 'File vượt quá giới hạn 20MB. Kích thước: {size}MB' | ERROR |" (bản input/srs-update-2026-5-5/ cùng nội dung ở :343). Mức Cosmetic/Minor.
── CÁCH VERIFY sau Dev fix ──
Precondition: cbnv_tw / Test@1234 tại https://18.143.165.120.nip.io/bieu-mau/them-moi (form Thêm biểu mẫu). Cần 1 tệp .docx lớn hơn 20MB — nếu chưa có thì nhồi ảnh/nội dung vào 1 tệp Word cho tới khoảng 21MB, đặt tên big-21mb.docx (đúng tệp đã dùng khi đo 20/07/2026).
1) Cài bộ bắt thông báo tools/toast-capture.js (CẤM lọc trùng) TRƯỚC khi chọn tệp.
2) Ở ô "File biểu mẫu" chọn big-21mb.docx.
3) Ghi lại nguyên văn thông báo + số khung thông báo + số yêu cầu gửi lên máy chủ.
✅ PASS khi đủ 3 điều: (i) thông báo nêu đủ 2 thành phần theo chuỗi ERR-BM-02 — cụm "vượt quá giới hạn 20MB" và kích thước thực của tệp trình bày dạng "Kích thước: 21.0MB"; (ii) đúng 1 khung thông báo (không lặp); (iii) tệp KHÔNG được đính kèm vào form.
❌ FAIL nếu: vẫn là chữ hiện trạng "File vượt quá 20MB (21.0 MB)" — thiếu chữ "giới hạn", kích thước đặt trong ngoặc; HOẶC thông báo bỏ mất số kích thước thực; HOẶC hiện 2 khung thông báo trùng nội dung; HOẶC tệp &gt;20MB được đính kèm.
⚠️ Bẫy 1 — KHÔNG đổi ngưỡng: 20MB phải giữ nguyên, đây thuần là case chữ thông báo.
⚠️ Bẫy 2 — nếu BA chọn giọng "Tệp… / Kích thước hiện tại:…" theo cột Kết quả mong đợi thì phải sửa chuỗi SRS :354 TRƯỚC, sau đó chấm PASS theo chuỗi SRS đang hiệu lực tại thời điểm re-verify.
Nguồn quan sát hiện trạng: ba-confirm/bieu-mau/ba-confirmation-needed-week-3-bieu-mau-tong-hop.md:585-586 + reverify-audit/QLBMHD_06/toast-capture.md (đo 20/07/2026, cbnv_tw, 1 khung, 0 yêu cầu ghi).</t>
  </si>
  <si>
    <t>Xóa thành công</t>
  </si>
  <si>
    <t>QLBMHD_07</t>
  </si>
  <si>
    <t>Tệp hỏng</t>
  </si>
  <si>
    <t>Quá 10 file</t>
  </si>
  <si>
    <t>Hệ thống hiển thị thông điệp "Tệp không hợp lệ hoặc bị hỏng".</t>
  </si>
  <si>
    <r>
      <rPr>
        <rFont val="Times New Roman"/>
        <color rgb="FF1155CC"/>
        <sz val="12.0"/>
        <u/>
      </rPr>
      <t>QLBMHD_07.jpg</t>
    </r>
  </si>
  <si>
    <t>✅ Bug đúng (BA duyệt 24/07/2026) — lỗi ở CHỮ thông báo, chức năng chặn đã đạt. Dev FE: khi tệp tải lên không đọc được / bị hỏng, thông báo phải dùng chuỗi đã văn bản hóa cho tình huống ĐÓ; và phải tách rõ với tình huống sai định dạng — hai điều kiện lỗi khác nhau, không dùng chung một chuỗi.
Căn cứ SRS (bản Docs-PM-HTPLDN/.../srs-v3.5/): srs-fr-09-bieu-mau.md:356 — "| E4 | File bị lỗi/corrupt | ERR-BM-04 | 'File không hợp lệ hoặc bị hỏng' | ERROR |"; và :353 — "| E1 | File format không hợp lệ | ERR-BM-01 | 'Chỉ chấp nhận file doc, docx, xls, xlsx' | ERROR |" (bản input/srs-update-2026-5-5/ tương ứng :345 và :342). Mức Cosmetic/Minor.
Lưu ý về hiện trạng: bản đo trên môi trường UAT hiện tại ngày 20/07/2026 (cbnv_tw, tệp corrupt.docx) ghi thông báo là "Nội dung file không khớp định dạng. Vui lòng tải lên file gốc đúng loại đã chọn." (ba-confirm/bieu-mau/ba-confirmation-needed-week-3-bieu-mau-tong-hop.md:616), còn chuỗi chung "Upload file thất bại. Vui lòng thử lại." là điều đối tác quan sát trên môi trường khác (:611). Cả hai đều lệch ERR-BM-04 nên kết luận không đổi.
── CÁCH VERIFY sau Dev fix ──
Precondition: cbnv_tw / Test@1234 tại https://18.143.165.120.nip.io/bieu-mau/them-moi. Cần 2 tệp: corrupt.docx = ghi vài trăm byte rác (chuỗi ký tự bất kỳ) rồi đặt đuôi .docx, KHÔNG phải tệp Word thật; và test.txt = tệp văn bản thường (sai định dạng hẳn). Cài tools/toast-capture.js trước mỗi lần chọn tệp.
1) Chọn corrupt.docx vào ô "File biểu mẫu" → ghi nguyên văn thông báo.
2) Xóa tệp khỏi ô, chọn test.txt → ghi nguyên văn thông báo lần 2.
3) Kiểm tra sau cả 2 bước: tệp có bị đính kèm vào form hay không.
✅ PASS khi đủ 3 điều: (i) bước 1 thông báo mang nội dung chuỗi ERR-BM-04 "File không hợp lệ hoặc bị hỏng"; (ii) bước 2 thông báo mang nội dung chuỗi ERR-BM-01 "Chỉ chấp nhận file doc, docx, xls, xlsx" — hai tình huống ra hai chuỗi KHÁC nhau; (iii) cả 2 tệp đều không được đính kèm.
❌ FAIL nếu: bước 1 vẫn ra chữ hiện trạng "Nội dung file không khớp định dạng…"; HOẶC bước 1 và bước 2 ra cùng một chuỗi (lẫn ERR-BM-01 vào ERR-BM-04); HOẶC quay về thông báo chung "Upload file thất bại. Vui lòng thử lại."; HOẶC tệp hỏng được đính kèm thành công.
⚠️ Bẫy 1 — chức năng chặn hiện ĐÃ đúng; chỉ sửa chữ, tuyệt đối không nới lỏng để tệp hỏng đi qua được.
⚠️ Bẫy 2 — nếu BA chọn giọng "Tệp không hợp lệ hoặc bị hỏng" theo cột Kết quả mong đợi thì sửa chuỗi SRS :356 TRƯỚC, rồi chấm PASS theo chuỗi SRS đang hiệu lực lúc re-verify.
Nguồn quan sát hiện trạng: ba-confirm/bieu-mau/ba-confirmation-needed-week-3-bieu-mau-tong-hop.md:610-617 + reverify-audit/QLBMHD_07/toast-capture.md (đo 20/07/2026, cbnv_tw).</t>
  </si>
  <si>
    <t>QLBMHD_08</t>
  </si>
  <si>
    <t>Có mã độc</t>
  </si>
  <si>
    <t>Hệ thống hiển thị thông điệp "Tệp chứa mã độc, không thể lưu trữ".</t>
  </si>
  <si>
    <r>
      <rPr>
        <rFont val="Times New Roman"/>
        <color rgb="FF1155CC"/>
        <sz val="12.0"/>
        <u/>
      </rPr>
      <t>QLBMHD_08.jpg</t>
    </r>
  </si>
  <si>
    <t>- Phần chặn và chữ thông báo: ĐÃ ĐẠT trên giao diện.
- Tệp .docx đúng cấu trúc Office có chèn chuỗi thử diệt virus (EICAR) bên trong nội dung: bị TỪ CHỐI, yêu cầu tải lên trả mã 400 với mã lỗi ERR-BM-07, thông báo hiện lên đúng chữ "Tệp chứa mã độc, không thể lưu trữ", dòng tệp chuyển sang trạng thái lỗi và tệp không được đính kèm vào biểu mẫu.
- Tệp rác đổi đuôi .docx cũng bị từ chối với đúng thông báo mã độc nêu trên (trước đây bị chặn ở bước kiểm định dạng).
- Kiểm tra lại danh sách biểu mẫu: không sinh ra bản ghi nào từ các lần thử trên.
- Việc bộ quét đọc được nội dung BÊN TRONG tệp nén Office đã được chứng minh qua kết quả trên.
- Còn 1 việc chưa thể xác nhận từ phía kiểm thử: bộ quét mã độc chạy TRƯỚC khi ghi tệp vào kho lưu trữ (không quan sát được từ giao diện). Theo hướng dẫn kiểm thử của case, cần Dev/An toàn thông tin xác nhận bằng văn bản điểm này rồi mới đóng case. Rất mong đội phát triển bổ sung xác nhận, sau đó chúng tôi sẽ chuyển sang Pass ngay.
- Kiểm tra ngày 25/07/2026, tài khoản CB Nghiệp vụ Trung ương.</t>
  </si>
  <si>
    <t>QLBMHD_09</t>
  </si>
  <si>
    <t>Tải tệp bị gián đoạn</t>
  </si>
  <si>
    <t>Hệ thống hiển thị thông điệp "Tải tệp bị gián đoạn, vui lòng thử lại" và dọn tệp chưa hoàn tất khỏi kho lưu trữ.</t>
  </si>
  <si>
    <r>
      <rPr>
        <rFont val="Times New Roman"/>
        <color rgb="FF1155CC"/>
        <sz val="12.0"/>
        <u/>
      </rPr>
      <t>QLBMHD_09.webm</t>
    </r>
  </si>
  <si>
    <t>✅ Bug đúng (BA duyệt 24/07/2026) — lỗi ở CHỮ thông báo, chức năng báo lỗi đã có. Dev FE/BE: khi việc tải tệp bị ngắt giữa chừng do mất kết nối, hệ thống phải dừng trạng thái chờ và hiện thông báo gián đoạn theo chuỗi đã văn bản hóa, KHÔNG được im lặng và không dùng thông báo chung; đồng thời dọn tệp mồ côi còn sót trong kho lưu trữ.
Căn cứ SRS (bản Docs-PM-HTPLDN/.../srs-v3.5/): srs-fr-09-bieu-mau.md:393 — "| EC-01 | Upload bị ngắt giữa chừng (mất mạng) | Dọn blob mồ côi trong storage. ERR-BM-06 'Upload bị gián đoạn, vui lòng thử lại' |" (bản input/srs-update-2026-5-5/ ở :381). Quy ước dùng chung UI-10 (srs-v3.5.md:579, bản Docs): "…dừng trạng thái chờ (spinner), hiển thị thông báo 'Lưu thất bại. Vui lòng kiểm tra kết nối và thử lại.' kèm nút Thử lại; KHÔNG nuốt lỗi trong im lặng" — quy ước UI-10 chỉ có ở bản Docs, bản input chưa có. Mức Minor.
⚠️ BA duyệt case là lỗi nhưng CHƯA chốt dùng ERR-BM-06 hay UI-10 cho tình huống ngắt giữa chừng → phần PASS dưới đây chấp nhận một trong hai chuỗi đã văn bản hóa, và KHÔNG chấp nhận thông báo chung.
── CÁCH VERIFY sau Dev fix ──
Precondition: cbnv_tw / Test@1234 tại https://18.143.165.120.nip.io/bieu-mau/them-moi. Cần 1 tệp .docx hợp lệ khoảng 15-19MB (đủ lớn để việc tải lên chạy vài giây) — đặt tên big-15mb.docx. Cài tools/toast-capture.js trước khi chọn tệp.
1) Chọn big-15mb.docx, ĐỢI thanh tiến trình chạy tới khoảng 30-60% RỒI mới ngắt mạng (chuyển máy sang chế độ ngoại tuyến). Đây là tình huống ngắt GIỮA CHỪNG.
2) Ghi nguyên văn thông báo + trạng thái dòng tệp trong danh sách tải lên; xác nhận thanh chờ đã dừng, không quay vô hạn.
3) Bật mạng lại, kiểm tra người dùng có cách thử lại ngay được không.
4) Mở /bieu-mau/danh-sach xác nhận không có biểu mẫu rác nào sinh ra từ lần tải lỗi.
✅ PASS khi đủ 3 điều: (i) thông báo ở bước 2 mang nội dung MỘT trong hai chuỗi đã văn bản hóa — ERR-BM-06 "Upload bị gián đoạn, vui lòng thử lại" (SRS :393) hoặc UI-10 "Lưu thất bại. Vui lòng kiểm tra kết nối và thử lại." (srs-v3.5.md:579); (ii) thanh chờ dừng, dòng tệp chuyển sang trạng thái lỗi, và người dùng thử lại được sau khi có mạng; (iii) bước 4 không có bản ghi biểu mẫu nào được tạo.
❌ FAIL nếu: không có thông báo nào (im lặng) hoặc thanh chờ quay mãi; HOẶC thông báo là chuỗi chung "Upload file thất bại. Vui lòng thử lại." / "Không kết nối được máy chủ."; HOẶC sinh ra biểu mẫu rác.
⚠️ Bẫy 1 — ngắt mạng TRƯỚC khi bắt đầu tải là tình huống KHÁC (bản đo 20/07/2026 làm theo cách đó và nhận "Không kết nối được máy chủ."). Không dùng cách đó làm phép thử của case này; phải ngắt khi thanh tiến trình đã chạy được một phần.
⚠️ Bẫy 2 — nếu BA đã chốt 1 trong 2 chuỗi trước lúc re-verify thì lấy chuỗi đã chốt và ghi rõ trong kết quả.
⚠️ Bẫy 3 — phần "dọn tệp mồ côi trong kho lưu trữ" KHÔNG thấy được từ giao diện: cần Dev xác nhận ở tầng máy chủ; chưa có xác nhận thì ghi là Minor tồn đọng, không tự chấm PASS cho phần đó.
Nguồn quan sát hiện trạng: ba-confirm/bieu-mau/ba-confirmation-needed-week-3-bieu-mau-tong-hop.md:672-683 + reverify-audit/QLBMHD_09/toast-capture.md (đo 20/07/2026, cbnv_tw).</t>
  </si>
  <si>
    <t>QLBMHD_10</t>
  </si>
  <si>
    <t>Thêm mới biểu mẫu công khai</t>
  </si>
  <si>
    <t>Chỉ cập nhật 1 lần</t>
  </si>
  <si>
    <t>- Hệ thống hiển thị thông điệp "Đã thêm biểu mẫu" và trả về danh sách.
- Tạo bản ghi biểu mẫu, gán trạng thái "Nháp"; Cơ quan ban hành tự gán theo đơn vị của người đăng nhập.
- Kiểm tra điều kiện công khai, lưu ảnh đại diện công khai, mô tả công khai và tệp đính kèm công khai, ghi nhận thời gian đăng tải; nếu tắt công tắc thì không đặt thời gian đăng tải.</t>
  </si>
  <si>
    <t>Hệ thống hiển thị thông báo lỗi "Upload file thất bại. Vui lòng thử lại." mặc dù tải lên file hợp lệ</t>
  </si>
  <si>
    <r>
      <rPr>
        <rFont val="Times New Roman"/>
        <color rgb="FF1155CC"/>
        <sz val="12.0"/>
        <u/>
      </rPr>
      <t>QLBMHD_10.jpg</t>
    </r>
  </si>
  <si>
    <t>QLBMHD_11</t>
  </si>
  <si>
    <t>Thêm mới khi thư mục đã ở trạng thái "Công khai"</t>
  </si>
  <si>
    <t>1. Đăng nhập tài khoản 
2. Thư mục đã ở trạng thái "Công khai"</t>
  </si>
  <si>
    <t>Biểu mẫu mới được đánh dấu công khai theo thư mục</t>
  </si>
  <si>
    <t>Hệ thống hiển thị thông báo lỗi "Biểu mẫu chỉ chấp nhận file .doc, .docx, .xls, .xlsx" mặc dù tải lên file hợp lệ</t>
  </si>
  <si>
    <r>
      <rPr>
        <rFont val="Times New Roman"/>
        <color rgb="FF1155CC"/>
        <sz val="12.0"/>
        <u/>
      </rPr>
      <t>QLBMHD_11.webm</t>
    </r>
  </si>
  <si>
    <t>Xóa hỏi đáp vướng mắc pháp lý</t>
  </si>
  <si>
    <t>QLBMHD_12</t>
  </si>
  <si>
    <t>Kiểm tra hiển thị nút chức năng Sửa biểu mẫu</t>
  </si>
  <si>
    <t>Chỉ hiển thị khi biểu mẫu ở trạng thái "Nháp" hoặc "Ẩn", và Cán bộ nghiệp vụ thuộc đơn vị sở hữu biểu mẫu.</t>
  </si>
  <si>
    <t>Nút chức năng hiển thị ở cả các biểu mẫu có trạng thái Công khai</t>
  </si>
  <si>
    <r>
      <rPr>
        <rFont val="Times New Roman"/>
        <color rgb="FF1155CC"/>
        <sz val="12.0"/>
        <u/>
      </rPr>
      <t>QLBMHD_12.jpg</t>
    </r>
  </si>
  <si>
    <t>❌ Không phải lỗi (BA xác nhận 24/07/2026).
- BA chốt: nút "Sửa" trên màn Danh sách biểu mẫu KHÔNG bị ràng buộc theo trạng thái biểu mẫu. SRS bản Docs-PM-HTPLDN/.../srs-v3.5/srs-fr-09-bieu-mau.md:663 (SCR-VII-02 hàng 12 — Cột Hành động) ghi nguyên văn "Xem trước (mặc định) / Tải về / Sửa / Xóa", không kèm điều kiện trạng thái nào; điều kiện phần chỉnh sửa ở :383 ("Given CB NV chỉnh sửa When cập nhật + upload lại file (nếu cần) Then validate và lưu") cũng không giới hạn trạng thái. (Bản input/srs-update-2026-5-5/ cùng nội dung ở :649 và :372.)
- Cơ chế công khai của Nhóm VII là Cổng Pháp luật quốc gia tự lấy dữ liệu định kỳ kèm ghi nhật ký (:50 — BR-FLOW-07, cơ chế Cổng tự kéo qua FR-XII-11) → nội dung sau khi sửa được đồng bộ lại ở lượt kéo tiếp theo.
- Kỳ vọng "Sửa chỉ hiện ở biểu mẫu Nháp/Ẩn" là ràng buộc quản trị nội dung mà đặc tả chưa đặt ra → kính đề nghị Quý đối tác đưa vào danh sách yêu cầu cải tiến và cập nhật lại Kết quả mong đợi của QLBMHD_12 theo SRS. BA sẽ bổ sung một câu làm rõ nguyên tắc này vào SCR-VII-02 (:663).</t>
  </si>
  <si>
    <t>QLBMHD_13</t>
  </si>
  <si>
    <t>Kiểm tra nút chức năng "Sửa</t>
  </si>
  <si>
    <t>1. Chọn menu "Biểu mẫu" -&gt; "Danh sách biểu mẫu"
2. Nhấn "Sửa"</t>
  </si>
  <si>
    <t>Hệ thống mở biểu mẫu chỉnh sửa với dữ liệu hiện tại, cho phép thay tệp đính kèm.</t>
  </si>
  <si>
    <t>Hệ thống không hiển thị file đính kèm mặc dù tồn tại file</t>
  </si>
  <si>
    <r>
      <rPr>
        <rFont val="Times New Roman"/>
        <color rgb="FF1155CC"/>
        <sz val="12.0"/>
        <u/>
      </rPr>
      <t>QLBMHD_13.webm</t>
    </r>
  </si>
  <si>
    <t>Xóa 1 câu hỏi</t>
  </si>
  <si>
    <t>- Đã kiểm tra trên một biểu mẫu MỚI tạo qua luồng chuẩn (mã BM-20260724-005, tệp đính kèm qa-edit-src.docx, 931 B).
- Phần đã đạt: form Chỉnh sửa nay CÓ hiện tên tệp đang đính kèm (qa-edit-src.docx).
- Phần đã đạt: sửa Tên biểu mẫu rồi bấm Lưu mà KHÔNG chọn lại tệp thì lưu thành công, ô File biểu mẫu không báo lỗi bắt buộc; sau khi lưu, tệp đính kèm vẫn nguyên tệp cũ (đúng tên, kích thước vẫn 931 B).
- Còn thiếu 1: không tải được tệp đang đính kèm ngay trên form Chỉnh sửa. Tên tệp chỉ là dòng chữ, không bấm vào được; nút duy nhất cạnh tên tệp là "Gỡ bỏ tập tin", không có nút hay liên kết tải tệp về.
- Còn thiếu 2: form chưa nói rõ để trống ô tải tệp nghĩa là giữ nguyên tệp hiện tại. Toàn bộ chữ ở vùng File biểu mẫu chỉ có "Kéo thả hoặc click để chọn file" và "Chỉ chấp nhận: .doc, .docx, .xls, .xlsx — Tối đa 20MB". Người dùng vẫn dễ hiểu nhầm là phải tải đè tệp mới.
- Kiểm tra ngày 25/07/2026, tài khoản CB Nghiệp vụ Trung ương.</t>
  </si>
  <si>
    <t>QLBMHD_14</t>
  </si>
  <si>
    <t>Sửa thành công</t>
  </si>
  <si>
    <t>Hệ thống hiển thị thông điệp "Đã cập nhật biểu mẫu".</t>
  </si>
  <si>
    <t>- Hệ thống hiển thị thông báo "Biểu mẫu chỉ chấp nhận file .doc, .docx, .xls, .xlsx" mặc dù upload file ảnh đại diện hợp lệ</t>
  </si>
  <si>
    <r>
      <rPr>
        <rFont val="Times New Roman"/>
        <color rgb="FF1155CC"/>
        <sz val="12.0"/>
        <u/>
      </rPr>
      <t>QLBMHD_14.webm</t>
    </r>
  </si>
  <si>
    <t>Chọn Không</t>
  </si>
  <si>
    <t>Không xóa</t>
  </si>
  <si>
    <t>QLBMHD_15</t>
  </si>
  <si>
    <t>Kiểm tra nút chức năng "Xem"</t>
  </si>
  <si>
    <t>1. Chọn menu "Biểu mẫu" -&gt; "Danh sách biểu mẫu"
2. Nhấn "Xem"</t>
  </si>
  <si>
    <t>Màn hình không có nủt chức năng</t>
  </si>
  <si>
    <r>
      <rPr>
        <rFont val="Times New Roman"/>
        <color rgb="FF1155CC"/>
        <sz val="12.0"/>
        <u/>
      </rPr>
      <t>QLBMHD_15.jpg</t>
    </r>
  </si>
  <si>
    <t>QLBMHD_16</t>
  </si>
  <si>
    <t>Kiểm tra nút chức năng Tải về trong màn hình chi tiết biểu mẫu</t>
  </si>
  <si>
    <t>1. Chọn menu "Biểu mẫu" -&gt; "Danh sách biểu mẫu"
2. Nhấn "Xem"
3. Nhấn tải về</t>
  </si>
  <si>
    <t>Chọn Có</t>
  </si>
  <si>
    <t xml:space="preserve">- Truyền tệp gốc về máy người dùng, giữ nguyên tên tệp gốc.
</t>
  </si>
  <si>
    <t>Tên tệp gốc không được giữ nguyên</t>
  </si>
  <si>
    <r>
      <rPr>
        <rFont val="Times New Roman"/>
        <color rgb="FF1155CC"/>
        <sz val="12.0"/>
        <u/>
      </rPr>
      <t>QLBMHD_16.webm</t>
    </r>
  </si>
  <si>
    <t>Re-verify 2026-07-23 (cbnv_tw): ✅ PASS trên DỮ LIỆU MỚI. Tạo biểu mẫu mới BM-20260723-001, upload file gốc "GOCFILE-abc123-QLBMHD16.xlsx" (khác tên biểu mẫu) → bấm Tải về: /download 302, content-disposition = "GOCFILE-abc123-QLBMHD16.xlsx" = ĐÚNG TÊN FILE GỐC, giữ nguyên theo SRS srs-fr-09-bieu-mau.md:335.
Cơ chế fix: luồng upload nay lưu đúng tên file thật vào trường tenFile; /download đặt content-disposition = tenFile.
Verdict "Reopen" (22/07) test nhầm trên record CŨ (BM-20260715-001) vốn có tenFile lỗi từ trước fix → nay đã thu hồi.
Caveat: record cũ tạo TRƯỚC fix vẫn tải ra tên biểu mẫu (legacy data trong tenFile) — cần dev backfill/migrate nếu áp dụng cho record cũ.</t>
  </si>
  <si>
    <t>QLBMHD_17</t>
  </si>
  <si>
    <t>Kiểm tra nút chức năng "Xem trước"</t>
  </si>
  <si>
    <t>Không có quyền</t>
  </si>
  <si>
    <t>1. Chọn menu "Biểu mẫu" -&gt; "Danh sách biểu mẫu"
2. Nhấn "Xem trước"</t>
  </si>
  <si>
    <t>- Hệ thống mở cửa sổ xem trước nội dung biểu mẫu.</t>
  </si>
  <si>
    <t>Hệ thống mở hộp thoại tải file về máy</t>
  </si>
  <si>
    <r>
      <rPr>
        <rFont val="Times New Roman"/>
        <color rgb="FF1155CC"/>
        <sz val="12.0"/>
        <u/>
      </rPr>
      <t>QLBMHD_17.webm</t>
    </r>
  </si>
  <si>
    <t>Không được xóa</t>
  </si>
  <si>
    <t>Xác nhận lỗi (đúng như phản ánh) — tái hiện được trên hệ thống hiện tại.
- Bấm "Xem trước" ở màn Chi tiết KHÔNG mở cửa sổ xem trước trực tuyến; hệ thống mở file thô khiến trình duyệt hiện hộp thoại tải file.
- Bằng chứng: nút Xem trước mở endpoint /preview trỏ thẳng tới file gốc (docx/xlsx) phục vụ inline, không có bước chuyển đổi để xem trước; giao diện không có khung xem trước.
- Theo SRS FR-VII-04 (Xử lý Xem trực tuyến): DOC/DOCX phải chuyển sang PDF preview, XLS/XLSX phải hiển thị bảng read-only; nếu không hỗ trợ thì thông báo rồi mới chuyển sang tải về.
- Đề nghị Dev bổ sung xem trước trực tuyến (BE convert + FE khung xem trước). Cùng gốc với QLBMHD_18 (DOCX) và QLBMHD_19 (XLSX).</t>
  </si>
  <si>
    <t>QLBMHD_18</t>
  </si>
  <si>
    <t>Xem trước tệp DOC hoặc DOCX</t>
  </si>
  <si>
    <t>Chuyển đổi thành tệp PDF để hiển thị xem trước trực tuyến.</t>
  </si>
  <si>
    <r>
      <rPr>
        <rFont val="Times New Roman"/>
        <color rgb="FF1155CC"/>
        <sz val="12.0"/>
        <u/>
      </rPr>
      <t>QLBMHD_18.webm</t>
    </r>
  </si>
  <si>
    <t>Double click Xóa</t>
  </si>
  <si>
    <t>Chỉ xóa 1 lần</t>
  </si>
  <si>
    <t>Xác nhận lỗi (đúng như phản ánh) — tái hiện được trên hệ thống hiện tại.
- Xem trước file DOC/DOCX KHÔNG chuyển đổi sang PDF preview; hệ thống mở file .docx thô khiến trình duyệt hiện hộp thoại tải file.
- Bằng chứng: với biểu mẫu định dạng DOCX, nút Xem trước mở endpoint /preview trỏ thẳng tới file .docx gốc (phục vụ inline), không có bản PDF convert.
- Theo SRS FR-VII-04 (Xử lý Xem trực tuyến, bước "Nếu doc/docx: chuyển đổi sang PDF preview").
- Đề nghị Dev BE bổ sung chuyển đổi DOCX → PDF để xem trước. Cùng gốc với QLBMHD_17 và QLBMHD_19.</t>
  </si>
  <si>
    <t>QLBMHD_19</t>
  </si>
  <si>
    <t>Xem trước tệp XLS hoặc XLSX</t>
  </si>
  <si>
    <t>Hiển thị nội dung dạng bảng ở chế độ chỉ đọc.</t>
  </si>
  <si>
    <r>
      <rPr>
        <rFont val="Times New Roman"/>
        <color rgb="FF1155CC"/>
        <sz val="12.0"/>
        <u/>
      </rPr>
      <t>QLBMHD_19.webm</t>
    </r>
  </si>
  <si>
    <t>Xác nhận lỗi (đúng như phản ánh) — tái hiện được trên hệ thống hiện tại.
- Xem trước file XLS/XLSX KHÔNG hiển thị bảng read-only; hệ thống mở file .xlsx thô khiến trình duyệt hiện hộp thoại tải file.
- Bằng chứng: với biểu mẫu định dạng XLSX, nút Xem trước mở endpoint /preview trỏ thẳng tới file .xlsx gốc (phục vụ inline), không có bảng read-only.
- Theo SRS FR-VII-04 (Xử lý Xem trực tuyến, bước "Nếu xls/xlsx: hiển thị preview dạng bảng (read-only)").
- Đề nghị Dev BE bổ sung hiển thị XLSX dạng bảng read-only để xem trước. Cùng gốc với QLBMHD_17 và QLBMHD_18.</t>
  </si>
  <si>
    <t>TKBMHD_03</t>
  </si>
  <si>
    <t>- Các trường thông tin có kiểu dữ liệu Danh sách chọn giá trị mặc định không phải là Tất cả
- Trường thông tin Định dạng thừa giá trị "PDF"</t>
  </si>
  <si>
    <r>
      <rPr>
        <rFont val="Times New Roman"/>
        <color rgb="FF1155CC"/>
        <sz val="12.0"/>
        <u/>
      </rPr>
      <t>TKBMHD_03.jpg</t>
    </r>
  </si>
  <si>
    <t>Quản lý thông tin hỏi đáp, vướng mắc pháp lý</t>
  </si>
  <si>
    <t>- Ý (b) — bỏ PDF khỏi ô lọc Định dạng: ĐÃ ĐẠT. Danh sách chọn của ô Định dạng chỉ còn đúng 5 mục: Tất cả, DOC, DOCX, XLS, XLSX — không còn mục PDF.
- Lọc chạy đúng: chọn DOCX ra 9 biểu mẫu, chọn XLSX ra 2 biểu mẫu, chọn lại Tất cả trở về đúng 11 biểu mẫu như lúc mới mở màn.
- Ý (a) — 4 ô lọc mặc định Tất cả: CHƯA ĐẠT. Khi mới mở màn Danh sách biểu mẫu (chưa bấm gì), cả 4 ô Thư mục, Lĩnh vực, Loại hình, Định dạng đều chỉ hiện chữ Tất cả dưới dạng chữ mờ gợi ý (màu xám nhạt), không phải giá trị đang được chọn: ô còn rỗng, và khi mở danh sách chọn thì mục Tất cả không được đánh dấu là đang chọn.
- Đối chiếu cho thấy đây không phải hạn chế hiển thị: sau khi người dùng tự tay chọn mục Tất cả thì chữ Tất cả chuyển sang màu đậm như một giá trị đã chọn, và mục Tất cả trong danh sách được đánh dấu. Nghĩa là trạng thái lúc mới mở màn vẫn là ô trống.
- Theo tiêu chí, hai ý (a) và (b) phải cùng đạt mới tính đạt, nên case này còn mở vì ý (a).
- Kiểm tra ngày 25/07/2026, tài khoản CB Nghiệp vụ Trung ương.</t>
  </si>
  <si>
    <t>Quản lý các trường dữ liệu chi tiết của từng yêu cầu (nội dung, người gửi, lĩnh vực, thời gian gửi...).</t>
  </si>
  <si>
    <t>· Đã đăng nhập, có quyền Quản lý hỏi đáp.</t>
  </si>
  <si>
    <t>1. Vào menu Trang chủ &gt; Hỏi đáp pháp lý</t>
  </si>
  <si>
    <r>
      <rPr>
        <rFont val="Times New Roman"/>
        <color rgb="FF1155CC"/>
        <sz val="12.0"/>
        <u/>
      </rPr>
      <t>QLTTHDVMPL_01.jpg</t>
    </r>
  </si>
  <si>
    <t>TKBMHD_04</t>
  </si>
  <si>
    <t>1. Chọn menu "Biểu mẫu" -&gt; "Danh sách biểu mẫu"
2. Nhập/chọn tiêu chí tìm kiếm</t>
  </si>
  <si>
    <t>Hệ thống hiển thị thông điệp "Không tìm thấy biểu mẫu phù hợp".</t>
  </si>
  <si>
    <r>
      <rPr>
        <rFont val="Times New Roman"/>
        <color rgb="FF1155CC"/>
        <sz val="12.0"/>
        <u/>
      </rPr>
      <t>TKBMHD_04.jpg</t>
    </r>
  </si>
  <si>
    <t>✅ Bug ĐÚNG – chuyển dev.
- Màn tìm kiếm biểu mẫu (Biểu mẫu → Danh sách biểu mẫu): khi tìm không có kết quả, hệ thống hiển thị thông báo "Trống".
- Theo SRS FR-VII-05 (UC96) §Error Handling E1 (dòng 435), mã INF-BM-TK-01: thông báo phải là "Không tìm thấy biểu mẫu phù hợp".
- Verify: đăng nhập CB Nghiệp vụ Trung ương (CB_NV_TW), tìm từ khóa "zzzqa123khongtontai" → 0 kết quả → màn hiện "Trống".
- Bug ID: BUG-TKBMHD_04.</t>
  </si>
  <si>
    <t>CKBMHDLCTT_01</t>
  </si>
  <si>
    <t>Công khai biểu mẫu, hợp đồng lên cổng thông tin</t>
  </si>
  <si>
    <t>Kiểm tra truy cập màn hình danh sách hỏi đáp</t>
  </si>
  <si>
    <t>Đăng tải các biểu mẫu/hợp đồng đã được phê duyệt lên Cổng.</t>
  </si>
  <si>
    <t>Tài khoản Cán bộ TW/BN/ĐP đã đăng nhập và có quyền xem màn hình</t>
  </si>
  <si>
    <t>1. Đăng nhập tài khoản 
2. Tồn tại biểu mẫu ở trạng thái Chưa công khai/Nháp/Ẩn</t>
  </si>
  <si>
    <t>Tài khoản hợp lệ</t>
  </si>
  <si>
    <t>1. Đăng nhập hệ thống
 2. Vào menu Trang chủ &gt; Hỏi đáp pháp lý</t>
  </si>
  <si>
    <t>1. Chọn menu "Biểu mẫu" -&gt; "Danh sách biểu mẫu"
2. Chọn biểu mẫu và nhấn Sửa 
3. Bật công tắc công khai 
4. Nhập dữ liệu hợp lệ và Nhấn Lưu</t>
  </si>
  <si>
    <t>Hiển thị đúng màn hình 'Quản lý hỏi đáp, vướng mắc pháp lý'; có breadcrumb, tiêu đề màn hình, bộ lọc, tab trạng thái, bảng danh sách và phân trang</t>
  </si>
  <si>
    <t>Hệ thống hiển thị thông báo lỗi "Biểu mẫu chỉ chấp nhận file .doc, .docx, .xls, .xlsx" ở trường thông tin Ảnh đại diện</t>
  </si>
  <si>
    <r>
      <rPr>
        <rFont val="Times New Roman"/>
        <color rgb="FF1155CC"/>
        <sz val="12.0"/>
        <u/>
      </rPr>
      <t>QLTTHDVMPL_02.jpg</t>
    </r>
  </si>
  <si>
    <t xml:space="preserve"> CKBMHDLCTT_01.webm</t>
  </si>
  <si>
    <t>Kiểm tra các cột thông tin hiển thị trên bảng</t>
  </si>
  <si>
    <t>Có dữ liệu hỏi đáp</t>
  </si>
  <si>
    <t>Danh sách có ít nhất 1 bản ghi</t>
  </si>
  <si>
    <t>IBMHD_02</t>
  </si>
  <si>
    <t>1. Truy cập màn hình
 2. Quan sát header bảng</t>
  </si>
  <si>
    <t>Bảng hiển thị đủ các cột: checkbox, Mã HĐ, Nội dung, Lĩnh vực PL, Người gửi, Kênh, Trạng thái, Mức độ, SLA/Thời hạn, Ngày tạo, Hành động</t>
  </si>
  <si>
    <r>
      <rPr>
        <rFont val="Times New Roman"/>
        <color rgb="FF1155CC"/>
        <sz val="12.0"/>
        <u/>
      </rPr>
      <t>QLTTHDVMPL_03.jpg</t>
    </r>
  </si>
  <si>
    <t>Màn hình không có "Tệp Excel mô tả dữ liệu"  và nút "Tải mẫu Excel" để tải về mẫu mặc định.</t>
  </si>
  <si>
    <r>
      <rPr>
        <rFont val="Times New Roman"/>
        <color rgb="FF1155CC"/>
        <sz val="12.0"/>
        <u/>
      </rPr>
      <t>IBMHD_02.jpg</t>
    </r>
  </si>
  <si>
    <t>❌ Không phải lỗi (BA xác nhận 24/07/2026).
- Màn Nhập hàng loạt chỉ gồm "Thư mục đích" + ô tải nhiều tệp nội dung là ĐÚNG đặc tả hiện hành: SCR-VII-03 nay còn 5 mục và KHÔNG còn "Tải file Excel mô tả kèm / [Tải mẫu Excel]" (srs-fr-09-bieu-mau.md:687-691). §Inputs FR-VII-06 chỉ nhận 2 trường thu_muc_id + files (:473-474); không bước xử lý nào đọc tệp mô tả (:480-485).
- BA chọn hướng bỏ mục này khỏi đặc tả thay vì bắt Dev thêm một ô không có bước xử lý nào dùng tới → Dev không phải sửa code.
- Đề nghị đối tác cập nhật Kết quả mong đợi theo SCR-VII-03 hiện hành. Nếu vẫn muốn nhập kèm thông tin mô tả bằng tệp Excel thì đó là phát triển mới → đưa vào danh sách yêu cầu cải tiến.</t>
  </si>
  <si>
    <t>IBMHD_03</t>
  </si>
  <si>
    <t>Kiểm tra dữ liệu từng dòng hiển thị đúng thông tin chi tiết theo yêu cầu đề bài</t>
  </si>
  <si>
    <t>Có dữ liệu hỏi đáp đã tạo</t>
  </si>
  <si>
    <t>Kiểm tra chức năng "Tải mẫu Excel"</t>
  </si>
  <si>
    <t>Bản ghi có mã, nội dung, lĩnh vực, người gửi, kênh, trạng thái, mức độ, SLA, ngày tạo</t>
  </si>
  <si>
    <t>1. Truy cập danh sách
 2. Đối chiếu thông tin 1 bản ghi với dữ liệu trong hệ thống/DB/API</t>
  </si>
  <si>
    <t>1. Chọn menu "Biểu mẫu" -&gt; "Danh sách biểu mẫu"
2. Bấm nút "Tải mẫu Excel"</t>
  </si>
  <si>
    <t>- Thông tin trên danh sách khớp với dữ liệu nguồn: mã hỏi đáp, nội dung ngắn gọn, lĩnh vực, người gửi, kênh, trạng thái, mức độ, SLA/thời hạn, ngày tạo
- Thông tin hiển thị rõ ràng và chính xác, không lỗi font, ghi đè/tràn dữ liệu</t>
  </si>
  <si>
    <t>Hệ thống cho tải về tệp XLSX mẫu chứa định dạng cột (Tên biểu mẫu, Loại hình, Lĩnh vực, Mô tả) để NSD điền thông tin kèm các tệp biểu mẫu cần nhập.</t>
  </si>
  <si>
    <t>Thông tin cột SLA/Thời hạn hiển thị không rõ ràng, khó tiếp cận</t>
  </si>
  <si>
    <r>
      <rPr>
        <rFont val="Times New Roman"/>
        <color rgb="FF1155CC"/>
        <sz val="12.0"/>
        <u/>
      </rPr>
      <t>IBMHD_03.jpg</t>
    </r>
  </si>
  <si>
    <r>
      <rPr>
        <rFont val="Times New Roman"/>
        <color rgb="FF1155CC"/>
        <sz val="12.0"/>
        <u/>
      </rPr>
      <t>QLTTHDVMPL_04.png</t>
    </r>
  </si>
  <si>
    <t>❌ Không phải lỗi (BA xác nhận 24/07/2026).
- Nút "Tải mẫu Excel" là thành phần đi kèm ô "Tải file Excel mô tả kèm"; ô đó đã được bỏ khỏi đặc tả nên màn không có nút này là đúng: SCR-VII-03 hiện còn 5 mục, không còn dòng nào yêu cầu tệp mẫu Excel (srs-fr-09-bieu-mau.md:687-691). Không có tệp mô tả nào được luồng nhập đọc tới thì cũng không có tệp mẫu để phát cho người dùng.
- Dev không phải sửa code.
- Đề nghị đối tác cập nhật Kết quả mong đợi. Nhu cầu tệp mẫu đi liền gói phát triển mới đã nêu ở IBMHD_02 → đưa chung vào danh sách yêu cầu cải tiến.</t>
  </si>
  <si>
    <t>IBMHD_04</t>
  </si>
  <si>
    <t>Kiểm tra chức năng "Chọn tệp"</t>
  </si>
  <si>
    <t xml:space="preserve">1. Chọn menu "Biểu mẫu" -&gt; "Danh sách biểu mẫu"
2. Kéo thả hoặc chọn tệp trên ô tải tệp
</t>
  </si>
  <si>
    <t>Hệ thống kiểm tra sơ bộ từng tệp về định dạng, kích thước và điền vào bảng kiểm tra kèm trạng thái "Hợp lệ" hoặc "Lỗi"(kèm lý do)</t>
  </si>
  <si>
    <t>Thông tin file lỗi không có trong bảng kiểm tra</t>
  </si>
  <si>
    <r>
      <rPr>
        <rFont val="Times New Roman"/>
        <color rgb="FF1155CC"/>
        <sz val="12.0"/>
        <u/>
      </rPr>
      <t>IBMHD_04.webm</t>
    </r>
  </si>
  <si>
    <t>Kiểm tra nội dung câu hỏi dài được rút gọn trên danh sách</t>
  </si>
  <si>
    <t>Có bản ghi có nội dung dài</t>
  </si>
  <si>
    <t>Nội dung câu hỏi &gt; độ rộng cột</t>
  </si>
  <si>
    <t>1. Truy cập danh sách
 2. Quan sát cột Nội dung</t>
  </si>
  <si>
    <t>Nội dung dài được hiển thị dạng rút gọn/dấu '...' và không làm vỡ giao diện bảng</t>
  </si>
  <si>
    <r>
      <rPr>
        <rFont val="Times New Roman"/>
        <color rgb="FF1155CC"/>
        <sz val="12.0"/>
        <u/>
      </rPr>
      <t>QLTTHDVMPL_05.jpg</t>
    </r>
  </si>
  <si>
    <t>✅ Bug đúng (BA duyệt 24/07/2026). Loại 1 — phần mềm chưa khớp đặc tả màn; SRS đồng thời được bổ sung cột "Lý do/Ghi chú" theo đúng kỳ vọng của đối tác.
Yêu cầu nghiệp vụ: Bảng kiểm tra ở màn Nhập biểu mẫu hàng loạt phải liệt kê MỌI tệp người dùng đã chọn thành một dòng riêng — cả tệp hợp lệ và tệp không hợp lệ — mỗi dòng có trạng thái Hợp lệ hay Lỗi và có lý do khi bị Lỗi; dòng thống kê phải đếm cả số tệp lỗi. Người nhập một lô tới 50 tệp cần một bảng đối soát đầy đủ trước khi bấm ghi, không thể chỉ nhìn thông báo chớp nhoáng ở bước chọn tệp rồi tự nhớ tệp nào bị loại.
Căn cứ SRS: srs-v3.5/srs-fr-09-bieu-mau.md:689 (SCR-VII-03 #3 Bảng kiểm tra — "STT, Tên file, Định dạng, Kích thước, Trạng thái (Hợp lệ/Lỗi), Lý do/Ghi chú"), :690 (#4 Thống kê — "Tổng: {N} file. Hợp lệ: {X}. Lỗi: {Y}"), :481 (FR-VII-06 Processing bước 2 — "Kiểm tra từng file: định dạng + kích thước; liệt kê đầy đủ mọi tệp không hợp lệ kèm lý do vào bảng kiểm tra + đếm "Lỗi: {Y}""). (BA trích :675/:676/:468 theo bản SRS trước khi cập nhật; số dòng hiện hành là :689/:690/:481.) Mức Minor.
── CÁCH VERIFY sau Dev fix ──
Precondition: cbnv_bn / Test@1234 (CB Nghiệp vụ — vai trò mà case chỉ định; cbnv_tw cùng vai trò cũng dùng được) · https://18.143.165.120.nip.io/bieu-mau/nhap-hang-loat · cần 1 thư mục đích bất kỳ đang tồn tại và 4 tệp chuẩn bị trước: 2 tệp .docx hợp lệ dưới 20MB (đặt tên qa-ok-1.docx, qa-ok-2.docx); 1 tệp sai định dạng qa-loi.txt; 1 tệp .docx nặng hơn 20MB (đặt tên qa-nang.docx — tạo bằng cách nhúng ảnh hoặc nhân nội dung cho tới khoảng 22MB).
1) Chọn Thư mục đích.
2) Chọn hoặc kéo thả CẢ 4 tệp trong CÙNG một lượt (không chọn từng tệp một).
3) Đọc Bảng kiểm tra: đếm số dòng, đọc cột Trạng thái và cột Lý do/Ghi chú của từng dòng.
4) Đọc dòng thống kê phía dưới bảng.
5) Đọc nhãn trên nút xác nhận nhập.
✅ PASS khi ĐỦ 4 điều: (i) Bảng kiểm tra có đúng 4 dòng — mỗi tệp một dòng, KỂ CẢ qa-loi.txt và qa-nang.docx; (ii) 2 dòng của qa-loi.txt và qa-nang.docx mang trạng thái Lỗi và cột Lý do/Ghi chú ghi rõ nguyên nhân tương ứng là sai định dạng và vượt giới hạn 20MB kèm dung lượng thực; (iii) dòng thống kê ghi tổng 4 tệp, hợp lệ 2, lỗi 2; (iv) nút xác nhận vẫn cho nhập đúng 2 tệp hợp lệ.
❌ FAIL nếu: Bảng kiểm tra chỉ có 2 dòng của 2 tệp hợp lệ; HOẶC dòng thống kê ghi tổng 2 và lỗi 0; HOẶC bảng có dòng tệp lỗi nhưng không có cột Lý do/Ghi chú; HOẶC cả lô bị chặn, 2 tệp hợp lệ cũng không nhập được.
⚠️ Việc app đã báo lý do bằng thông báo ngay tại bước chọn tệp KHÔNG thay thế được dòng trong Bảng kiểm tra — vẫn phải có dòng riêng cho tệp lỗi kèm lý do mới tính PASS. Bảng đối chiếu điều kiện QA ngày 20/07/2026 (reverify-week-3/cond/IBMHD_04.md) ghi nhận app hiện chặn sớm ở bước chọn và bảng chỉ liệt kê tệp hợp lệ.
⚠️ Giữ lô test nhỏ (4 tệp, tổng dưới 500MB). Chọn quá 50 tệp hoặc tổng quá 500MB sẽ rơi vào nhánh chặn cả lô, không dùng để chấm case này.
Ảnh lỗi cũ: image/BUG-IBMHD_04-step1-valid-2-reject-txt.png ; image/BUG-IBMHD_04-step2-bang-kiem-tra.png</t>
  </si>
  <si>
    <t>IBMHD_07</t>
  </si>
  <si>
    <t>Một số lỗi</t>
  </si>
  <si>
    <t>Kiểm tra mã hỏi đáp hiển thị dạng link có thể bấm</t>
  </si>
  <si>
    <t>1. Chọn menu "Biểu mẫu" -&gt; "Danh sách biểu mẫu"
2. Kéo thả hoặc chọn tệp trên ô tải tệp
3. Bấm nút "Xác nhận nhập {X} tệp hợp lệ"</t>
  </si>
  <si>
    <t>Hệ thống hiển thị thông điệp "Nhập thành công {X} tệp. {Y} tệp lỗi: xem chi tiết" kèm bảng chi tiết lý do từng tệp lỗi.</t>
  </si>
  <si>
    <t>Có bản ghi trong danh sách</t>
  </si>
  <si>
    <t>Mã HĐ bất kỳ</t>
  </si>
  <si>
    <t>Hệ thống không hiển thị "{Y} tệp lỗi: xem chi tiết" kèm bảng chi tiết lý do từng tệp lỗi.</t>
  </si>
  <si>
    <r>
      <rPr>
        <rFont val="Times New Roman"/>
        <color rgb="FF1155CC"/>
        <sz val="12.0"/>
        <u/>
      </rPr>
      <t>IBMHD_07.webm</t>
    </r>
  </si>
  <si>
    <t>1. Truy cập danh sách
 2. Bấm vào Mã HĐ</t>
  </si>
  <si>
    <t>Điều hướng/mở màn hình chi tiết hỏi đáp tương ứng với đúng bản ghi đã chọn</t>
  </si>
  <si>
    <r>
      <rPr>
        <rFont val="Times New Roman"/>
        <color rgb="FF1155CC"/>
        <sz val="12.0"/>
        <u/>
      </rPr>
      <t>QLTTHDVMPL_06.jpg</t>
    </r>
  </si>
  <si>
    <t>- Kịch bản: thư mục đích QA-IMPORT-KQ mới tạo (trống). Chọn 4 tệp trong 1 lượt: 2 tệp .docx hợp lệ, 1 tệp qa-loi.txt sai định dạng, 1 tệp qa-hong.docx đúng đuôi nhưng nội dung hỏng.
- Phần đã đạt: 2 tệp hợp lệ vẫn được nhập bình thường, không bị chặn cả lô — mở danh sách lọc theo thư mục QA-IMPORT-KQ đếm đúng 2 biểu mẫu.
- Còn lỗi 1: màn kết quả cuối ghi "Nhập biểu mẫu hoàn tất: 2 thành công / 0 lỗi" — báo 0 lỗi trong khi thực tế có 2 tệp bị loại: qa-loi.txt bị loại ngay lúc chọn tệp, qa-hong.docx bị loại lúc tải lên (có thông báo "Tệp không hợp lệ hoặc bị hỏng" và dòng đếm ở bước chọn tệp ghi "Đã tải lên thành công: 2/3 · Có file lỗi"). Người dùng nhìn màn kết quả vẫn không biết mình mất 2 tệp nào.
- Còn lỗi 2: màn kết quả không có lối xem chi tiết tệp lỗi. Toàn màn chỉ có dòng kết quả và 2 nút "Quay lại danh sách" / "Nhập tiếp"; không có bảng liệt kê tên tệp lỗi kèm lý do.
- Ghi nhận thêm: ở bước Kiểm tra, bảng kiểm tra có liệt kê qa-loi.txt kèm lý do, nhưng qa-hong.docx không có dòng nào trong bảng đó.
- Kiểm tra ngày 25/07/2026, tài khoản CB Nghiệp vụ Bộ ngành.</t>
  </si>
  <si>
    <t>IBMHD_10</t>
  </si>
  <si>
    <t>Vượt tổng dung lượng</t>
  </si>
  <si>
    <t>Hệ thống hiển thị thông điệp "Tổng dung lượng tối đa 500 MB".</t>
  </si>
  <si>
    <r>
      <rPr>
        <rFont val="Times New Roman"/>
        <color rgb="FF1155CC"/>
        <sz val="12.0"/>
        <u/>
      </rPr>
      <t>IBMHD_10.webm</t>
    </r>
  </si>
  <si>
    <t>Đã kiểm tra lại, không tái hiện được lỗi. Khi tổng dung lượng vượt 500MB, hệ thống hiển thị cảnh báo 'Tổng dung lượng tối đa 500MB mỗi lần import' và chặn tiếp tục (kiểm tra ở bước 'Kiểm tra và tiếp tục' sau khi đã chọn thư mục đích) — đúng theo UC98.</t>
  </si>
  <si>
    <t>IBMHD_11</t>
  </si>
  <si>
    <t>"Hủy"</t>
  </si>
  <si>
    <t>Kiểm tra các tab trạng thái và số lượng hiển thị</t>
  </si>
  <si>
    <t>Có dữ liệu ở các trạng thái</t>
  </si>
  <si>
    <t>Tất cả, Mới, Đang xử lý, Chờ phê duyệt, Đã duyệt, Công khai, Hoàn thành</t>
  </si>
  <si>
    <t>1. Chọn menu "Biểu mẫu" -&gt; "Danh sách biểu mẫu"
2. Kéo thả hoặc chọn tệp trên ô tải tệp
3. Bấm nút "Hủy"</t>
  </si>
  <si>
    <t>1. Truy cập màn hình
 2. Quan sát các tab và badge số lượng</t>
  </si>
  <si>
    <t>Hệ thống hiển thị cửa sổ xác nhận hủy bỏ. Sau khi NSD xác nhận, hệ thống đóng biểu mẫu nhập hàng loạt và quay về màn hình quản lý biểu mẫu, không lưu bất kỳ tệp nào vừa chọn.</t>
  </si>
  <si>
    <t>Hiển thị đủ tab trạng thái theo thiết kế; badge số lượng khớp với dữ liệu tương ứng</t>
  </si>
  <si>
    <r>
      <rPr>
        <rFont val="Times New Roman"/>
        <color rgb="FF1155CC"/>
        <sz val="12.0"/>
        <u/>
      </rPr>
      <t>IBMHD_11.webm</t>
    </r>
  </si>
  <si>
    <r>
      <rPr>
        <rFont val="Times New Roman"/>
        <color rgb="FF1155CC"/>
        <sz val="12.0"/>
        <u/>
      </rPr>
      <t>QLTTHDVMPL_07.jpg</t>
    </r>
  </si>
  <si>
    <t>✅ Bug đúng (BA duyệt 24/07/2026). Loại 1 — vi phạm quy ước dùng chung toàn hệ thống, không cần đặt thêm quy định mới.
Yêu cầu nghiệp vụ: khi người dùng bấm Hủy trên màn Nhập biểu mẫu hàng loạt trong lúc đang có dữ liệu nhập dở chưa lưu (đã chọn thư mục đích và/hoặc đã tải tệp lên nhưng chưa bấm nhập), hệ thống phải hỏi xác nhận trước khi rời màn, cho người dùng chọn ở lại tiếp tục hay rời đi và bỏ dữ liệu; chỉ được rời màn khi người dùng chọn rời. Hiện bấm Hủy là chuyển màn ngay, người dùng mất toàn bộ tệp vừa tải mà không được cảnh báo.
Căn cứ SRS: srs-v3.5/srs-v3.5.md:577 — quy ước dùng chung UI-08 "Xác nhận rời form": "Hỏi xác nhận (hộp thoại "Ở lại / Rời đi") khi người dùng rời hoặc hủy một form đang nhập dở còn dữ liệu chưa lưu. Áp cho mọi form nhập liệu toàn hệ thống". FR-VII-06 (srs-v3.5/srs-fr-09-bieu-mau.md:457-519) và SCR-VII-03 (:677-691) không liệt kê riêng nút Hủy, nên căn cứ là quy ước chung UI-08 chứ không phải điều khoản riêng của Nhóm VII. Mức Minor, ưu tiên thấp.
── CÁCH VERIFY sau Dev fix ──
Precondition: cbnv_bn / Test@1234 (CB Nghiệp vụ — vai trò case chỉ định) · https://18.143.165.120.nip.io/bieu-mau/nhap-hang-loat · cần 1 thư mục đích đang tồn tại và 1 tệp .docx hợp lệ dưới 20MB.
1) Mở màn Nhập hàng loạt, chọn Thư mục đích, tải lên tệp .docx và đợi tệp hiện thành dòng trong Bảng kiểm tra (lúc này form đang có dữ liệu chưa lưu).
2) Bấm [Hủy]. Đọc URL trên thanh địa chỉ ngay sau khi bấm.
3) Trên hộp thoại vừa hiện, chọn phương án ở lại → kiểm màn hình và kiểm tệp đã tải còn trong Bảng kiểm tra hay không.
4) Bấm [Hủy] lần nữa → lần này chọn phương án rời đi.
5) Mở lại màn Nhập hàng loạt, KHÔNG chọn thư mục và KHÔNG tải tệp nào, bấm [Hủy] ngay.
✅ PASS khi ĐỦ 3 điều: (i) bước 2 xuất hiện hộp thoại hỏi xác nhận và màn vẫn còn ở /bieu-mau/nhap-hang-loat, chưa điều hướng đi đâu; (ii) bước 3 chọn ở lại thì vẫn ở màn Nhập hàng loạt, thư mục đích và tệp đã tải còn nguyên, không phải làm lại; (iii) bước 4 chọn rời đi thì mới điều hướng khỏi màn Nhập hàng loạt.
❌ FAIL nếu: bước 2 chuyển màn ngay (ví dụ sang /bieu-mau/danh-sach) mà không có hộp thoại nào; HOẶC có hộp thoại nhưng chọn ở lại vẫn bị rời màn, hoặc ở lại được mà tệp đã tải bị xóa mất.
⚠️ Bước 5 (form còn trắng, chưa chọn và chưa tải gì) KHÔNG bắt buộc phải hỏi xác nhận, vì UI-08 chỉ áp khi form còn dữ liệu chưa lưu. Hỏi xác nhận cả khi form trắng thì không tính FAIL, nhưng cũng không được dùng làm bằng chứng PASS — bằng chứng PASS phải lấy từ bước 2 khi form đã có tệp.
⚠️ Điều hướng xảy ra tức thì sau khi bấm Hủy nghĩa là KHÔNG có hộp thoại chặn, không phải hộp thoại hiện quá nhanh. Bảng đối chiếu điều kiện QA ngày 20/07/2026 (reverify-week-3/cond/IBMHD_11.md) đã ghi nhận đúng hiện tượng này.
Ảnh lỗi cũ: image/BUG-IBMHD_11-huy-navigated-no-confirm.png</t>
  </si>
  <si>
    <t>QLDMLVPL_02</t>
  </si>
  <si>
    <t>Kiểm tra hiển thị Danh sách loại danh mục (cột tab bên trái)</t>
  </si>
  <si>
    <t xml:space="preserve">1. Chọn menu "Quản trị hệ thống"
</t>
  </si>
  <si>
    <t>Cho phép NSD chọn 1 trong 15 loại danh mục để xem/chỉnh sửa nội dung tương ứng. Tab đang chọn được tô màu nổi bật, bao gồm 15 loại theo thiết kế</t>
  </si>
  <si>
    <t>Danh sách hiển thị 15 loại danh mục</t>
  </si>
  <si>
    <r>
      <rPr>
        <rFont val="Times New Roman"/>
        <color rgb="FF1155CC"/>
        <sz val="12.0"/>
        <u/>
      </rPr>
      <t>QLDMLVPL_02.jpg</t>
    </r>
  </si>
  <si>
    <t>Kiểm tra bấm tab Mới</t>
  </si>
  <si>
    <t>Có bản ghi trạng thái Mới</t>
  </si>
  <si>
    <t>Tab Mới</t>
  </si>
  <si>
    <t>1. Bấm tab Mới</t>
  </si>
  <si>
    <t>Danh sách chỉ hiển thị bản ghi trạng thái Mới; tab Mới được active; số lượng hiển thị đúng</t>
  </si>
  <si>
    <t>✅ Bug ĐÚNG – chuyển dev.
- Web sai: màn Quản trị hệ thống → Danh mục dùng chung chỉ hiển thị 14 tab loại danh mục, thiếu tab "Tỉnh/Thành phố".
- Expected theo SRS: SCR-VIII-01 §Thành phần màn hình (dòng 1569) + FR-VIII-30 (dòng 1477-1505) quy định 15 tab, gồm cả "Tỉnh/Thành phố" (FR-VIII-30) và "Lĩnh vực kinh doanh" (FR-VIII-31). App có "Lĩnh vực kinh doanh" nhưng thiếu "Tỉnh/Thành phố".
- Verify: đăng nhập admin (QTHT), kiểm tra DOM xác nhận màn không render tab "Tỉnh/Thành phố" (không phải bị cuộn ẩn). Tab đang chọn vẫn tô nổi bật đúng.
- Bug ID: BUG-QLDMLVPL_02.</t>
  </si>
  <si>
    <r>
      <rPr>
        <rFont val="Times New Roman"/>
        <color rgb="FF1155CC"/>
        <sz val="12.0"/>
        <u/>
      </rPr>
      <t>QLTTHDVMPL_08.jpg</t>
    </r>
  </si>
  <si>
    <t>QLDMLVPL_09</t>
  </si>
  <si>
    <t>Kiểm tra các trường thông tin trên màn hình/popup thêm mới</t>
  </si>
  <si>
    <t>1. Chọn menu "Quản trị hệ thống"
2. Bấm vào tên loại danh mục ở cột bên trái
3. Nhấn "Thêm mới"</t>
  </si>
  <si>
    <t>Màn hình/popup thêm mới có trường thông tin "Danh mục cha" nhưng tài liệu SRS không có</t>
  </si>
  <si>
    <r>
      <rPr>
        <rFont val="Times New Roman"/>
        <color rgb="FF1155CC"/>
        <sz val="12.0"/>
        <u/>
      </rPr>
      <t>QLDMLVPL_09.jpg</t>
    </r>
  </si>
  <si>
    <t>✅ Bug đúng (BA 24/07/2026). Dev FE: form Thêm mới của tab danh mục phẳng "Lĩnh vực pháp lý" không được hiển thị trường "Danh mục cha" — mẫu dùng chung TPL-DM-CRUD §Inputs chung chỉ có 5 trường mã / tên / mô tả / thứ tự / trạng thái (srs-fr-10-quan-tri.md:77-83); FR-VIII-01 §trường riêng chỉ thêm loai_danh_muc = LINH_VUC_PL do hệ thống gán (:194-197); modal CRUD của SCR-VIII-01 cũng chỉ liệt kê 5 trường + nút (:1590-1595). Ghi chú SRS :85 chốt danh_muc_cha_id chỉ áp cho loại danh mục có cấu trúc cây. Kèm theo: backend không lưu danh mục cha cho loại phẳng, dọn dữ liệu nếu có bản ghi phẳng đã bị gán cha. Sửa ở component form danh mục dùng chung → áp cho mọi tab phẳng. Minor.
── CÁCH VERIFY sau Dev fix ──
Precondition: account admin (vai trò QTHT); Quản trị hệ thống → Danh mục dùng chung → tab "Lĩnh vực pháp lý".
1) Bấm [Thêm mới] → liệt kê toàn bộ nhãn trường trong form.
2) Nhập Mã = LVPL_TEST_01, Tên = "Kiểm thử LVPL", các ô còn lại để trống → Lưu.
3) Bấm Sửa trên bản ghi vừa tạo → liệt kê lại nhãn trường.
✅ PASS khi: cả form Thêm mới lẫn form Sửa KHÔNG còn trường "Danh mục cha" (không dropdown, không placeholder "Chọn danh mục cha (tùy chọn)"); bộ trường còn lại đúng Mã, Tên, Mô tả, Thứ tự, Trạng thái; bước 2 lưu thành công.
❌ FAIL nếu: trường "Danh mục cha" vẫn hiển thị (kể cả khi bị làm mờ / vô hiệu hóa), hoặc chỉ ẩn ở form Thêm mà form Sửa vẫn còn.
⚠️ KHÔNG tính FAIL khi tab "Cơ quan đơn vị" và "Lĩnh vực kinh doanh" vẫn còn trường cha — 2 loại này có cấu trúc cây, SRS :85 cho phép giữ.
Dọn data: xóa bản ghi LVPL_TEST_01 sau khi kiểm.</t>
  </si>
  <si>
    <t>QLDMLVPL_14</t>
  </si>
  <si>
    <t>Hủy thêm mới khi đang nhập</t>
  </si>
  <si>
    <t>Kiểm tra bấm tab Đang xử lý</t>
  </si>
  <si>
    <t>Có bản ghi trạng thái Đang xử lý</t>
  </si>
  <si>
    <t>1. Chọn menu "Quản trị hệ thống"
2. Bấm vào tên loại danh mục ở cột bên trái
3. Nhấn "Thêm mới"
4. Nhập dữ liệu hợp lệ và Nhấn Hủy</t>
  </si>
  <si>
    <t>Tab Đang xử lý</t>
  </si>
  <si>
    <t>Hệ thống hiển thị thông báo xác nhận "Bạn có muốn bỏ các thay đổi chưa lưu?" trước khi đóng.</t>
  </si>
  <si>
    <t>1. Bấm tab Đang xử lý</t>
  </si>
  <si>
    <t>Danh sách chỉ hiển thị bản ghi trạng thái Đang xử lý; tab được active</t>
  </si>
  <si>
    <t>Hệ thống không hiển thị thông báo xác nhận</t>
  </si>
  <si>
    <r>
      <rPr>
        <rFont val="Times New Roman"/>
        <color rgb="FF1155CC"/>
        <sz val="12.0"/>
        <u/>
      </rPr>
      <t>QLDMLVPL_14.webm</t>
    </r>
  </si>
  <si>
    <r>
      <rPr>
        <rFont val="Times New Roman"/>
        <color rgb="FF1155CC"/>
        <sz val="12.0"/>
        <u/>
      </rPr>
      <t>QLTTHDVMPL_09.jpg</t>
    </r>
  </si>
  <si>
    <t>✅ Bug đúng (BA 24/07/2026). Dev FE: đóng hoặc hủy form Thêm/Sửa danh mục khi còn dữ liệu chưa lưu thì phải hỏi xác nhận trước khi rời — quy ước dùng chung UI-08: "Hỏi xác nhận (hộp thoại Ở lại / Rời đi) khi người dùng rời hoặc hủy một form đang nhập dở còn dữ liệu chưa lưu. Áp cho mọi form nhập liệu toàn hệ thống" (srs-v3.5.md:577); SCR-VIII-01 §Quy tắc tương tác đã trỏ UI-08 (srs-fr-10-quan-tri.md:1622). Hiện web đóng thẳng, dữ liệu nhập dở mất im lặng. Bổ sung dirty-check ở component form danh mục dùng chung → sửa 1 lần áp cho mọi tab. Minor.
── CÁCH VERIFY sau Dev fix ──
Precondition: account admin (QTHT); Danh mục dùng chung → tab "Lĩnh vực pháp lý".
1) [Thêm mới] → KHÔNG nhập gì → bấm nút đóng (X); lặp lại với nút Hủy.
2) [Thêm mới] → chỉ nhập Mô tả = "abc" (bỏ trống Mã/Tên) → bấm X.
3) Ở hộp thoại vừa hiện, chọn phương án ở lại → kiểm form còn mở và ô Mô tả vẫn là "abc".
4) Bấm X lần nữa → chọn phương án rời đi / bỏ thay đổi.
✅ PASS khi: bước 2 và 4 đều hiện hộp thoại xác nhận TRƯỚC khi đóng; bước 3 form vẫn mở và giữ nguyên dữ liệu đã nhập; bước 4 form đóng và danh sách không phát sinh bản ghi mới.
❌ FAIL nếu: bước 2 form đóng thẳng không hỏi, hoặc chọn ở lại mà form vẫn đóng / mất dữ liệu đã nhập.
⚠️ Bước 1 (form trắng, chưa nhập gì) KHÔNG hỏi là ĐÚNG UI-08 — chỉ hỏi khi còn dữ liệu chưa lưu; đừng tính FAIL. Câu chữ nút không cần y hệt "Ở lại / Rời đi", miễn có hỏi xác nhận và 2 lựa chọn rõ nghĩa.</t>
  </si>
  <si>
    <t>QLDMLVPL_16</t>
  </si>
  <si>
    <t>Kiểm tra các trường thông tin trên màn hình/popup sửa</t>
  </si>
  <si>
    <t>1. Chọn menu "Quản trị hệ thống"
2. Bấm vào tên loại danh mục ở cột bên trái
3. Nhấn "Sửa"</t>
  </si>
  <si>
    <t>- Hệ thống hiển thị các trường thông tin giống với thiết kế. dữ liệu hiện tại
- Dữ liệu hiển thị đúng định dạng và trường thông tin
- Dữ liệu hiển thị không bị tràn/đè lên nhau, đồng nhất ngôn ngữ hiển thị</t>
  </si>
  <si>
    <t>Màn hình/popup sửa có trường thông tin "Danh mục cha" nhưng tài liệu SRS không có</t>
  </si>
  <si>
    <r>
      <rPr>
        <rFont val="Times New Roman"/>
        <color rgb="FF1155CC"/>
        <sz val="12.0"/>
        <u/>
      </rPr>
      <t>QLDMLVPL_16.jpg</t>
    </r>
  </si>
  <si>
    <t>Kiểm tra sắp xếp theo Ngày tạo</t>
  </si>
  <si>
    <t>Có nhiều bản ghi khác ngày tạo</t>
  </si>
  <si>
    <t>Cột Ngày tạo</t>
  </si>
  <si>
    <t>1. Bấm biểu tượng sắp xếp ở cột Ngày tạo
 2. Bấm lại lần nữa</t>
  </si>
  <si>
    <t>Lần 1 danh sách sắp xếp tăng/giảm theo ngày tạo; lần 2 đảo chiều sắp xếp; dữ liệu đúng thứ tự</t>
  </si>
  <si>
    <t>Danh sách không cập nhật lại thứ tự khi nhấn vào cột Ngày tạo</t>
  </si>
  <si>
    <r>
      <rPr>
        <rFont val="Times New Roman"/>
        <color rgb="FF1155CC"/>
        <sz val="12.0"/>
        <u/>
      </rPr>
      <t>QLTTHDVMPL_10.webm</t>
    </r>
  </si>
  <si>
    <t>✅ Bug đúng (BA 24/07/2026). BA chốt tại Cụm A "Danh mục cha thừa trên form Thêm/Sửa danh mục phẳng": tab "Lĩnh vực pháp lý" là danh mục phẳng nên form Sửa (Chỉnh sửa danh mục) không được hiển thị trường "Danh mục cha". Mẫu dùng chung TPL-DM-CRUD §Inputs chung chỉ 5 trường mã/tên/mô tả/thứ tự/trạng thái (srs-fr-10-quan-tri.md:77-83); FR-VIII-01 (UC99) §trường riêng chỉ thêm loai_danh_muc = LINH_VUC_PL do hệ thống gán (:194-197); ghi chú SRS :85 chốt danh_muc_cha_id chỉ áp cho loại danh mục cấu trúc cây. Dev FE ẩn trường cha ở component form dùng chung cho loại phẳng; backend không persist danh_muc_cha_id cho loại phẳng, dọn dữ liệu nếu có bản ghi phẳng đã bị gán cha. Sửa 1 lần ở component → áp cả form Thêm lẫn form Sửa. Minor.
── CÁCH VERIFY sau Dev fix ──
Precondition: account admin (vai trò QTHT); Quản trị hệ thống → Danh mục dùng chung → tab "Lĩnh vực pháp lý"; chọn 1 bản ghi lĩnh vực có sẵn.
1) Bấm [Sửa] trên một bản ghi Lĩnh vực pháp lý đang có → liệt kê toàn bộ nhãn trường trong form Chỉnh sửa.
2) Đối chiếu với form [Thêm mới] cùng tab.
3) (chống gỡ nhầm) Mở tab "Lĩnh vực kinh doanh" (danh mục cấu trúc cây) → bấm Sửa 1 bản ghi.
✅ PASS khi: form Sửa tab Lĩnh vực pháp lý chỉ còn Mã, Tên, Mô tả, Thứ tự, Trạng thái — KHÔNG còn trường/dropdown "Danh mục cha" (kể cả placeholder "Chọn danh mục cha (tùy chọn)"); dữ liệu Mã/Tên của bản ghi vẫn nạp đúng khi mở Sửa.
❌ FAIL nếu: form Sửa còn ô "Danh mục cha" (kể cả khi làm mờ/vô hiệu hóa), HOẶC chỉ ẩn ở form Thêm mà form Sửa vẫn còn.
⚠️ Tab cấu trúc cây (Lĩnh vực kinh doanh, Cơ quan đơn vị) VẪN giữ trường cha là ĐÚNG SRS :85 — không báo lỗi ở đó.</t>
  </si>
  <si>
    <t>QLDMLVPL_19</t>
  </si>
  <si>
    <t>Xóa Mục danh mục đang được tham chiếu</t>
  </si>
  <si>
    <t>1. Đăng nhập tài khoản 
2. Mục danh mục đang được tham chiếu</t>
  </si>
  <si>
    <t>1. Chọn menu "Quản trị hệ thống"
2. Bấm vào tên loại danh mục ở cột bên trái
3. Nhấn Xóa</t>
  </si>
  <si>
    <t>Hệ thống không xóa và hiển thị thông báo "Không thể xóa. Mục danh mục đang được sử dụng bởi {số lượng} bản ghi {loại bản ghi}".</t>
  </si>
  <si>
    <r>
      <rPr>
        <rFont val="Times New Roman"/>
        <color rgb="FF1155CC"/>
        <sz val="12.0"/>
        <u/>
      </rPr>
      <t>QLDMLVPL_19.jpg</t>
    </r>
  </si>
  <si>
    <t>Kiểm tra hiển thị số lượng bản ghi và phân trang</t>
  </si>
  <si>
    <t>Có nhiều hơn 20 bản ghi</t>
  </si>
  <si>
    <t>Dữ liệu 44 bản ghi</t>
  </si>
  <si>
    <t>1. Truy cập màn hình
 2. Quan sát dòng 'Hiển thị 1-20 / 44 kết quả' và các nút trang</t>
  </si>
  <si>
    <t>Hiển thị đúng khoảng bản ghi hiện tại, tổng số kết quả và các nút trang</t>
  </si>
  <si>
    <r>
      <rPr>
        <rFont val="Times New Roman"/>
        <color rgb="FF1155CC"/>
        <sz val="12.0"/>
        <u/>
      </rPr>
      <t>QLTTHDVMPL_11.jpg</t>
    </r>
  </si>
  <si>
    <t>QLDMLVPL_21</t>
  </si>
  <si>
    <t>1. Chọn menu "Quản trị hệ thống"
2. Bấm vào tên loại danh mục ở cột bên trái
3. Bấm vào tiêu đề cột cần sắp xếp</t>
  </si>
  <si>
    <t xml:space="preserve">- Hệ thống sắp xếp danh sách theo cột đó, luân phiên tăng dần / giảm dần qua mỗi lần bấm.
- Mặc định: hệ thống sắp xếp theo cột "Thứ tự" tăng dần, kế đến theo "Tên" tăng dần.
</t>
  </si>
  <si>
    <r>
      <rPr>
        <rFont val="Times New Roman"/>
        <color rgb="FF1155CC"/>
        <sz val="12.0"/>
        <u/>
      </rPr>
      <t>QLDMLVPL_21.webm</t>
    </r>
  </si>
  <si>
    <t>Kiểm tra chuyển sang trang tiếp theo</t>
  </si>
  <si>
    <t>Có nhiều hơn 1 trang dữ liệu</t>
  </si>
  <si>
    <t>Bấm trang 2 hoặc nút &gt;</t>
  </si>
  <si>
    <t>1. Bấm trang 2 hoặc nút chuyển trang</t>
  </si>
  <si>
    <t>Danh sách tải dữ liệu trang 2; không trùng dữ liệu trang 1; chỉ số hiển thị cập nhật đúng</t>
  </si>
  <si>
    <r>
      <rPr>
        <rFont val="Times New Roman"/>
        <color rgb="FF1155CC"/>
        <sz val="12.0"/>
        <u/>
      </rPr>
      <t>QLTTHDVMPL_12.jpg</t>
    </r>
  </si>
  <si>
    <t>QLDMLHHT_06</t>
  </si>
  <si>
    <r>
      <rPr>
        <rFont val="Times New Roman"/>
        <color rgb="FF1155CC"/>
        <sz val="12.0"/>
        <u/>
      </rPr>
      <t>QLDMLHHT_06.jpg</t>
    </r>
  </si>
  <si>
    <t>✅ Bug đúng (BA 24/07/2026). Dev FE: tab "Loại hình hỗ trợ" là danh mục phẳng nên form Thêm/Sửa không được có trường "Danh mục cha" — TPL-DM-CRUD §Inputs chung liệt kê đúng 5 trường (srs-fr-10-quan-tri.md:77-83); FR-VIII-02 §trường riêng chỉ thêm loai_danh_muc = LOAI_HINH_HO_TRO do hệ thống gán (:233-237); SRS :85 giới hạn danh mục cha cho loại cấu trúc cây. Backend không lưu danh mục cha cho loại phẳng; dọn dữ liệu nếu có bản ghi đã bị gán cha. Minor.
── CÁCH VERIFY sau Dev fix ──
Precondition: account admin (QTHT); tab "Loại hình hỗ trợ" (có sẵn seed: Tư vấn PL, Tham gia tố tụng, Đào tạo/bồi dưỡng, Hòa giải, Đại diện ngoài tố tụng — SRS :239).
1) [Thêm mới] → đọc danh sách nhãn trường trong form.
2) Đóng form, bấm Sửa ở bản ghi "Tư vấn PL" → đọc lại danh sách nhãn trường.
3) Xem bảng danh sách của tab: kiểm các dòng hiển thị phẳng.
✅ PASS khi: cả 2 form chỉ còn Mã, Tên, Mô tả, Thứ tự, Trạng thái — không có trường/dropdown "Danh mục cha"; bảng danh sách không có cột cha, không có mức thụt lề thể hiện quan hệ cha–con.
❌ FAIL nếu: còn ô "Danh mục cha" ở bất kỳ form nào, hoặc form Sửa của bản ghi cũ vẫn nạp và hiện giá trị cha đã lưu trước đó.
⚠️ Case này chỉ soi tab "Loại hình hỗ trợ"; tab cấu trúc cây (Cơ quan đơn vị, Lĩnh vực kinh doanh) giữ trường cha là ĐÚNG SRS :85 — không báo lỗi ở đó.</t>
  </si>
  <si>
    <t>Kiểm tra thay đổi số bản ghi/trang</t>
  </si>
  <si>
    <t>Có nhiều bản ghi</t>
  </si>
  <si>
    <t>Chọn 10/trang, 20/trang nếu hệ thống hỗ trợ</t>
  </si>
  <si>
    <t>1. Mở dropdown số dòng/trang
 2. Chọn giá trị khác</t>
  </si>
  <si>
    <t>Danh sách cập nhật số dòng theo lựa chọn; phân trang và tổng số kết quả cập nhật đúng</t>
  </si>
  <si>
    <r>
      <rPr>
        <rFont val="Times New Roman"/>
        <color rgb="FF1155CC"/>
        <sz val="12.0"/>
        <u/>
      </rPr>
      <t>QLTTHDVMPL_13.jpg</t>
    </r>
  </si>
  <si>
    <t>QLDMLHHT_11</t>
  </si>
  <si>
    <r>
      <rPr>
        <rFont val="Times New Roman"/>
        <color rgb="FF1155CC"/>
        <sz val="12.0"/>
        <u/>
      </rPr>
      <t>QLDMLHHT_11.webm</t>
    </r>
  </si>
  <si>
    <t>✅ Bug đúng (BA 24/07/2026). Dev FE: bổ sung dirty-check cho form Sửa danh mục — theo UI-08 (srs-v3.5.md:577) hệ thống phải hỏi xác nhận khi người dùng rời/hủy form đang sửa dở còn thay đổi chưa lưu, áp cho mọi form nhập liệu; SCR-VIII-01 §Quy tắc tương tác đã trỏ UI-08 (srs-fr-10-quan-tri.md:1622). Hiện đóng form Sửa là mất thay đổi im lặng, không hỏi. Minor.
── CÁCH VERIFY sau Dev fix ──
Precondition: account admin (QTHT); tab "Loại hình hỗ trợ", bản ghi seed "Hòa giải".
1) Bấm Sửa "Hòa giải" → ghi lại giá trị Thứ tự gốc → đổi Thứ tự thành 9 → bấm nút đóng (X).
2) Ở hộp thoại, chọn phương án ở lại → kiểm ô Thứ tự vẫn đang là 9 và form vẫn mở.
3) Bấm Hủy → chọn phương án rời đi / bỏ thay đổi.
4) Mở lại Sửa "Hòa giải" → kiểm Thứ tự.
✅ PASS khi: bước 1 và 3 đều hỏi xác nhận trước khi đóng; bước 2 form giữ nguyên giá trị 9; bước 4 bản ghi trở về đúng Thứ tự gốc (thay đổi bị bỏ, không lưu ngầm).
❌ FAIL nếu: form đóng thẳng không hỏi ở bước 1 hoặc 3; hoặc sau khi chọn bỏ thay đổi mà bản ghi vẫn bị ghi đè Thứ tự = 9.
⚠️ Mở form Sửa rồi đóng ngay khi CHƯA sửa gì thì không hỏi — đúng UI-08 (:577), không tính FAIL.</t>
  </si>
  <si>
    <t>QLDMLHHT_13</t>
  </si>
  <si>
    <r>
      <rPr>
        <rFont val="Times New Roman"/>
        <color rgb="FF1155CC"/>
        <sz val="12.0"/>
        <u/>
      </rPr>
      <t>QLDMLHHT_13.jpg</t>
    </r>
  </si>
  <si>
    <t>Kiểm tra icon Xem chi tiết</t>
  </si>
  <si>
    <t>Icon mắt tại cột Hành động</t>
  </si>
  <si>
    <t>1. Bấm icon Xem của 1 bản ghi</t>
  </si>
  <si>
    <t>Mở màn hình chi tiết đúng bản ghi; thông tin chi tiết khớp với dòng đã chọn</t>
  </si>
  <si>
    <r>
      <rPr>
        <rFont val="Times New Roman"/>
        <color rgb="FF1155CC"/>
        <sz val="12.0"/>
        <u/>
      </rPr>
      <t>QLTTHDVMPL_14.jpg</t>
    </r>
  </si>
  <si>
    <t>✅ Bug đúng (BA 24/07/2026, Cụm A form Thêm/Sửa danh mục phẳng). Dev FE: tab "Loại hình hỗ trợ" là danh mục phẳng nên form Sửa không được có trường "Danh mục cha". TPL-DM-CRUD §Inputs chung liệt kê đúng 5 trường (srs-fr-10-quan-tri.md:77-83); FR-VIII-02 (UC100) §trường riêng chỉ thêm loai_danh_muc = LOAI_HINH_HO_TRO do hệ thống gán (:233-237); ghi chú :85 giới hạn danh mục cha cho loại cấu trúc cây. Dev FE ẩn trường cha; backend không lưu danh mục cha cho loại phẳng, dọn dữ liệu bản ghi đã lỡ gán cha. Minor.
── CÁCH VERIFY sau Dev fix ──
Precondition: account admin (QTHT); tab "Loại hình hỗ trợ" (seed: Tư vấn PL, Tham gia tố tụng, Đào tạo/bồi dưỡng, Hòa giải, Đại diện ngoài tố tụng — SRS :239).
1) Bấm [Sửa] bản ghi "Tư vấn PL" → đọc danh sách nhãn trường trong form Chỉnh sửa.
2) Xem bảng danh sách tab: kiểm các dòng hiển thị phẳng (không cột cha, không thụt lề cha–con).
✅ PASS khi: form Sửa chỉ còn Mã, Tên, Mô tả, Thứ tự, Trạng thái — không có trường/dropdown "Danh mục cha"; giá trị bản ghi "Tư vấn PL" nạp đúng; bảng danh sách phẳng.
❌ FAIL nếu: form Sửa còn ô "Danh mục cha", HOẶC form Sửa của bản ghi cũ vẫn nạp và hiển thị giá trị cha đã lưu trước đó.
⚠️ Chỉ soi tab "Loại hình hỗ trợ"; tab cấu trúc cây (Cơ quan đơn vị, Lĩnh vực kinh doanh) giữ trường cha là ĐÚNG SRS :85.</t>
  </si>
  <si>
    <t>QLDMLHHT_16</t>
  </si>
  <si>
    <r>
      <rPr>
        <rFont val="Times New Roman"/>
        <color rgb="FF1155CC"/>
        <sz val="12.0"/>
        <u/>
      </rPr>
      <t>QLDMLHHT_16.webm</t>
    </r>
  </si>
  <si>
    <t>QLDMLHHT_18</t>
  </si>
  <si>
    <r>
      <rPr>
        <rFont val="Times New Roman"/>
        <color rgb="FF1155CC"/>
        <sz val="12.0"/>
        <u/>
      </rPr>
      <t>QLDMLHHT_18.webm</t>
    </r>
  </si>
  <si>
    <t>Kiểm tra chọn từng bản ghi bằng checkbox</t>
  </si>
  <si>
    <t>Checkbox từng dòng</t>
  </si>
  <si>
    <t>1. Tick checkbox 1 dòng
 2. Bỏ tick checkbox</t>
  </si>
  <si>
    <t>Dòng được chọn/bỏ chọn đúng; trạng thái checkbox phản ánh chính xác</t>
  </si>
  <si>
    <t>QLDMCTHT_06</t>
  </si>
  <si>
    <r>
      <rPr>
        <rFont val="Times New Roman"/>
        <color rgb="FF1155CC"/>
        <sz val="12.0"/>
        <u/>
      </rPr>
      <t>QLTTHDVMPL_15.jpg</t>
    </r>
  </si>
  <si>
    <t>- Màn hình/popup thêm mới có trường thông tin "Danh mục cha" nhưng tài liệu SRS không có
- Định dạng ngày không giống với thiết kế(hệ thống hiển thị định dạng yyyy-mm-dd, tài liệu SRS yêu cầu định dạng dd/mm/yyyy</t>
  </si>
  <si>
    <r>
      <rPr>
        <rFont val="Times New Roman"/>
        <color rgb="FF1155CC"/>
        <sz val="12.0"/>
        <u/>
      </rPr>
      <t>QLDMCTHT_06.jpg</t>
    </r>
  </si>
  <si>
    <t>✅ Bug đúng (BA duyệt 24/07/2026) — 2 ý trên form Thêm mới danh mục tab "Chương trình hỗ trợ".
Dev FE (1): không hiển thị trường "Danh mục cha" ở các loại danh mục phẳng — mẫu form dùng chung TPL-DM-CRUD chỉ khai 5 trường mã/tên/mô tả/thứ tự/trạng thái (srs-fr-10-quan-tri.md:77-83), ghi chú BA :85 chốt trường cha chỉ áp cho danh mục có cấu trúc cây (Cơ quan đơn vị, Lĩnh vực kinh doanh).
Dev FE (2): 2 ô ngày "Thời gian bắt đầu" / "Thời gian kết thúc" (:260-261) phải theo quy ước ngày dùng chung ngày/tháng/năm — DG-01 (srs-v3.5.md:950) và UI-06 (srs-v3.5.md:575) — thay cho dạng năm-tháng-ngày đang dùng. Mức Minor.
── CÁCH VERIFY sau Dev fix ──
Precondition: tài khoản admin (vai trò QTHT), mở Quản trị hệ thống &gt; Danh mục dùng chung &gt; tab "Chương trình hỗ trợ" (/quan-tri/danh-muc/CHUONG_TRINH_HT) &gt; bấm [+ Thêm mới].
1) Đọc toàn bộ nhãn trường trong form Thêm mới.
2) Xem chữ gợi ý của 2 ô "Thời gian bắt đầu" / "Thời gian kết thúc" khi còn trống.
3) Chọn ngày 01/01/2020 cho "Thời gian bắt đầu" rồi đọc lại giá trị hiện trong ô.
✅ PASS khi: (a) form KHÔNG còn trường "Danh mục cha"; (b) chữ gợi ý 2 ô ngày theo thứ tự ngày-tháng-năm; (c) sau khi chọn, ô hiện 01/01/2020 chứ không phải 2020-01-01.
❌ FAIL nếu: còn trường "Danh mục cha", hoặc ô ngày còn hiển thị/gợi ý theo thứ tự năm-tháng-ngày.
⚠️ Hai tab "Cơ quan đơn vị" và "Lĩnh vực kinh doanh" VẪN được phép có trường cha (danh mục cấu trúc cây) — không tính FAIL ở 2 tab đó.</t>
  </si>
  <si>
    <t>Kiểm tra checkbox chọn tất cả trên trang hiện tại</t>
  </si>
  <si>
    <t>Có nhiều bản ghi trên trang</t>
  </si>
  <si>
    <t>QLDMCTHT_11</t>
  </si>
  <si>
    <t>Checkbox header</t>
  </si>
  <si>
    <t>1. Tick checkbox ở header
 2. Bỏ tick checkbox ở header</t>
  </si>
  <si>
    <t>Tất cả bản ghi trên trang hiện tại được chọn/bỏ chọn; không ảnh hưởng dữ liệu trang khác nếu chưa tải</t>
  </si>
  <si>
    <r>
      <rPr>
        <rFont val="Times New Roman"/>
        <color rgb="FF1155CC"/>
        <sz val="12.0"/>
        <u/>
      </rPr>
      <t>QLTTHDVMPL_16.jpg</t>
    </r>
  </si>
  <si>
    <r>
      <rPr>
        <rFont val="Times New Roman"/>
        <color rgb="FF1155CC"/>
        <sz val="12.0"/>
        <u/>
      </rPr>
      <t>QLDMCTHT_11.webm</t>
    </r>
  </si>
  <si>
    <t>✅ Bug đúng (BA duyệt 24/07/2026). Dev FE: bổ sung kiểm tra "còn thay đổi chưa lưu" + hộp thoại xác nhận trước khi đóng form Thêm/Sửa danh mục còn dữ liệu nhập dở. Căn cứ quy ước dùng chung UI-08 (srs-v3.5.md:577) — "hỏi xác nhận khi rời hoặc hủy một form đang nhập dở còn dữ liệu chưa lưu, áp cho mọi form nhập liệu toàn hệ thống" — đã được dẫn chiếu vào §Quy tắc tương tác màn Quản lý danh mục (srs-fr-10-quan-tri.md:1622). Sửa 1 lần ở component form danh mục dùng chung là áp cho cả 8 tab. Mức Major (mất dữ liệu người dùng đang nhập).
── CÁCH VERIFY sau Dev fix ──
Precondition: admin (QTHT), tab "Chương trình hỗ trợ" (/quan-tri/danh-muc/CHUONG_TRINH_HT).
1) [+ Thêm mới] → nhập Mã = CT_TEST_11, Tên = "CT test 11" (chưa Lưu) → bấm nút đóng (X) góc phải.
2) Ở hộp thoại vừa hiện, chọn phương án ở lại → kiểm tra form còn nguyên, Mã/Tên vừa nhập chưa mất.
3) Bấm đóng lần nữa → chọn phương án bỏ thay đổi → kiểm tra danh sách KHÔNG có record CT_TEST_11.
4) Lặp bước 1 nhưng bấm nút Hủy thay cho nút X.
5) Đối chứng: mở [+ Thêm mới], không nhập gì, bấm X.
✅ PASS khi: bước 1 và 4 đều hỏi xác nhận trước khi đóng; bước 2 giữ nguyên dữ liệu đang nhập; bước 3 đóng form và không tạo record; bước 5 đóng thẳng KHÔNG hỏi.
❌ FAIL nếu: form đóng thẳng làm mất dữ liệu mà không hỏi ở bước 1 hoặc bước 4; hoặc vẫn hỏi khi form chưa nhập gì (bước 5).
⚠️ Chữ trên hộp thoại và tên 2 nút KHÔNG cần đúng từng chữ — chỉ cần hỏi rõ ràng và cho 2 lựa chọn: tiếp tục nhập hoặc bỏ thay đổi.</t>
  </si>
  <si>
    <t>QLDMCTHT_13</t>
  </si>
  <si>
    <t>Kiểm tra xuất Excel danh sách hiện tại</t>
  </si>
  <si>
    <t>Có dữ liệu danh sách</t>
  </si>
  <si>
    <t>Nút Xuất Excel</t>
  </si>
  <si>
    <t>1. Lọc dữ liệu nếu cần
 2. Bấm Xuất Excel
 3. Mở file tải về</t>
  </si>
  <si>
    <t>File Excel được tải về thành công; dữ liệu trong file khớp với danh sách/điều kiện lọc; đúng các cột cần xuất</t>
  </si>
  <si>
    <r>
      <rPr>
        <rFont val="Times New Roman"/>
        <color rgb="FF1155CC"/>
        <sz val="12.0"/>
        <u/>
      </rPr>
      <t>QLTTHDVMPL_17.jpg</t>
    </r>
  </si>
  <si>
    <t>- Màn hình/popup sửa có trường thông tin "Danh mục cha" nhưng tài liệu SRS không có
- Định dạng ngày không giống với thiết kế(hệ thống hiển thị định dạng yyyy-mm-dd, tài liệu SRS yêu cầu định dạng dd/mm/yyyy</t>
  </si>
  <si>
    <r>
      <rPr>
        <rFont val="Times New Roman"/>
        <color rgb="FF1155CC"/>
        <sz val="12.0"/>
        <u/>
      </rPr>
      <t>QLDMCTHT_13.jpg</t>
    </r>
  </si>
  <si>
    <t>- Mở "Sửa" một chương trình hỗ trợ, chọn lại Thời gian kết thúc rồi bấm Đồng ý thì hệ thống báo "Dữ liệu không hợp lệ" và không lưu được; form vẫn mở, tải lại trang thì giá trị vừa chọn mất hẳn.
- Kèm theo là dòng nhắc ngày phải ở dạng năm-tháng-ngày, trong khi ô trên màn đang hiển thị và nhận ngày theo dạng ngày/tháng/năm.
- Ô "Thời gian bắt đầu" vẫn đang có sẵn giá trị 01/01/2020 trên form, không hề bỏ trống, nhưng hệ thống vẫn báo thiếu ngày bắt đầu.
- Lỗi lặp lại cả khi gõ tay lẫn khi chọn ngày từ lịch. Thêm mới một chương trình hỗ trợ cũng bị chặn y hệt, nên hiện không tạo mới lẫn không sửa được bản ghi nào ở mục Chương trình hỗ trợ.
- Hai điểm còn lại của phiếu đã đạt: form Sửa không còn ô "Danh mục cha", và ngày đang lưu nạp lên form đúng 01/01/2020 theo dạng ngày/tháng/năm.</t>
  </si>
  <si>
    <t>QLDMTTVV_06</t>
  </si>
  <si>
    <t>- Màn hình/popup thêm mới có trường thông tin "Danh mục cha" nhưng tài liệu SRS không có
- Thứ tự không bắt buộc nhưng màn hình/popup thêm mới đánh dấu là bắt buộc</t>
  </si>
  <si>
    <r>
      <rPr>
        <rFont val="Times New Roman"/>
        <color rgb="FF1155CC"/>
        <sz val="12.0"/>
        <u/>
      </rPr>
      <t>QLDMTTVV_06.jpg</t>
    </r>
  </si>
  <si>
    <t>Kiểm tra nút Làm mới</t>
  </si>
  <si>
    <t>Danh sách đang hiển thị</t>
  </si>
  <si>
    <t>Nút Làm mới</t>
  </si>
  <si>
    <t>1. Bấm Làm mới</t>
  </si>
  <si>
    <t>Danh sách được tải lại; dữ liệu mới nhất hiển thị; không làm lỗi giao diện</t>
  </si>
  <si>
    <r>
      <rPr>
        <rFont val="Times New Roman"/>
        <color rgb="FF1155CC"/>
        <sz val="12.0"/>
        <u/>
      </rPr>
      <t>QLTTHDVMPL_18.jpg</t>
    </r>
  </si>
  <si>
    <t>✅ Bug đúng (BA 24/07/2026) — 2 ý trên cùng form, xử lý khác nhau. Ý 1 (LỖI, Dev sửa): form Thêm mới tab "Tình trạng vụ việc" không được hiển thị trường "Danh mục cha" — TPL-DM-CRUD §Inputs chung chỉ 5 trường mã/tên/mô tả/thứ tự/trạng thái (srs-fr-10-quan-tri.md:77-83), ghi chú :85 giới hạn danh_muc_cha_id cho loại danh mục cấu trúc cây, FR-VIII-04 §Inputs trường riêng chỉ thêm mau_hien_thi và loai_danh_muc (:284-288). Mức độ nặng hơn các tab phẳng khác vì ô chọn cha ở tab này nạp CHÍNH các bản ghi tình trạng vụ việc cùng loại làm cha chọn được → người dùng có thể tạo phân cấp trong danh mục mà đặc tả quy định là phẳng, ảnh hưởng việc dựng luồng trạng thái vụ việc → Dev kiểm tầng lưu trữ, không lưu danh mục cha cho loại phẳng, dọn bản ghi đã bị gán cha. Ý 2 (KHÔNG phải lỗi — Loại 2, cập nhật đặc tả, Dev KHÔNG sửa code): ô "Thứ tự" bắt buộc là ĐÚNG — đặc tả riêng FR-VIII-04 đặt thu_tu = bắt buộc "Thứ tự hiển thị trong workflow" (:286) và mẫu chung đã được BA bổ sung ghi chú ngoại lệ ngay tại dòng thu_tu (:82 — "Mặc định không bắt buộc; ngoại lệ FR-VIII-04 (Tình trạng vụ việc) = bắt buộc vì thứ tự quyết định vị trí trạng thái trong luồng xử lý"); đề nghị đối tác cập nhật Kết quả mong đợi, bỏ kỳ vọng "Thứ tự không bắt buộc".
── CÁCH VERIFY sau Dev fix ──
Precondition: account admin (vai trò QTHT); Quản trị hệ thống → Danh mục dùng chung → tab "Tình trạng vụ việc" (/quan-tri/danh-muc/TINH_TRANG_VU_VIEC).
1) Bấm [Thêm mới] → liệt kê nhãn toàn bộ trường + ghi nhận trường nào có dấu bắt buộc.
2) Để trống ô "Thứ tự", nhập Mã = TTVV_TEST_01, Tên = "Kiểm thử tình trạng" → bấm Lưu.
3) Nhập Thứ tự = 99, Màu hiển thị = một mã màu bất kỳ → Lưu.
4) Mở lại TTVV_TEST_01 bằng [Sửa] → soát danh sách trường.
✅ PASS khi: (a) bước 1 và bước 4 KHÔNG còn trường/ô chọn "Danh mục cha", và không còn cách nào gán 1 tình trạng vụ việc làm cha của tình trạng khác; (b) bước 2 bị chặn lưu kèm thông báo yêu cầu nhập Thứ tự — hành vi này ĐÚNG theo :82 + :286, KHÔNG phải lỗi; (c) bước 3 lưu thành công, bản ghi mới xuất hiện trong danh sách đúng vị trí thứ tự 99.
❌ FAIL nếu: còn trường "Danh mục cha" (kể cả tùy chọn / để mờ), HOẶC ô "Thứ tự" bị hạ thành không bắt buộc (bước 2 lưu được) — bỏ ràng buộc này là sửa ngược đặc tả.
⚠️ Bẫy FAIL-oan: bước 2 bị chặn lưu là KẾT QUẢ ĐÚNG. Chỉ báo lỗi khi chặn mà không có thông báo, hoặc thông báo sai nội dung.
⚠️ Trường "Màu hiển thị" là trường riêng hợp lệ của tab này (:287) — không nằm trong 5 trường chung nhưng KHÔNG phải trường thừa.
Dọn dữ liệu: xóa TTVV_TEST_01 sau verify.</t>
  </si>
  <si>
    <t>QLDMTTVV_11</t>
  </si>
  <si>
    <r>
      <rPr>
        <rFont val="Times New Roman"/>
        <color rgb="FF1155CC"/>
        <sz val="12.0"/>
        <u/>
      </rPr>
      <t>QLDMTTVV_11.webm</t>
    </r>
  </si>
  <si>
    <t>Kiểm tra giao diện khi màn hình nhỏ/zoom</t>
  </si>
  <si>
    <t>Có quyền truy cập</t>
  </si>
  <si>
    <t>Zoom 125%, màn hình laptop</t>
  </si>
  <si>
    <t>1. Mở màn hình ở kích thước nhỏ hoặc zoom trình duyệt
 2. Quan sát bảng và bộ lọc</t>
  </si>
  <si>
    <t>Giao diện không vỡ; bảng có scroll ngang nếu cần; nút chức năng vẫn thao tác được</t>
  </si>
  <si>
    <r>
      <rPr>
        <rFont val="Times New Roman"/>
        <color rgb="FF1155CC"/>
        <sz val="12.0"/>
        <u/>
      </rPr>
      <t>QLTTHDVMPL_19.jpg</t>
    </r>
  </si>
  <si>
    <t>✅ Bug đúng (BA 24/07/2026). Dev FE: khi người dùng đóng hoặc hủy form Thêm/Sửa danh mục tab "Tình trạng vụ việc" mà form còn dữ liệu nhập dở chưa lưu, hệ thống phải hỏi xác nhận trước khi rời và chỉ hủy dữ liệu sau khi người dùng đồng ý — đây là quy ước dùng chung UI-08 của toàn hệ thống: "Hỏi xác nhận (hộp thoại Ở lại / Rời đi) khi người dùng rời hoặc hủy một form đang nhập dở còn dữ liệu chưa lưu. Áp cho mọi form nhập liệu toàn hệ thống" (srs-v3.5.md:577, chốt UAT tuần 2 — NHSYC_08); §Quy tắc tương tác của màn Quản lý Danh mục cũng đã dẫn chiếu UI-08 (srs-fr-10-quan-tri.md:1622). Hiện web đóng thẳng, mất dữ liệu, không hỏi, không gửi yêu cầu nào lên hệ thống. Bổ sung ở component form danh mục dùng chung → áp 1 lần cho mọi tab danh mục. Minor.
── CÁCH VERIFY sau Dev fix ──
Precondition: account admin (vai trò QTHT); tab "Tình trạng vụ việc" (/quan-tri/danh-muc/TINH_TRANG_VU_VIEC).
1) [Thêm mới] → nhập Mã = TTVV_DIRTY_01, Tên = "Thử bỏ thay đổi" → bấm nút đóng (X) góc phải.
2) Ở hộp thoại xác nhận, chọn phương án Ở LẠI → kiểm 2 giá trị vừa nhập còn nguyên trong form.
3) Bấm nút Hủy của form → ở hộp thoại chọn phương án RỜI ĐI → form đóng về danh sách; kiểm danh sách KHÔNG có bản ghi TTVV_DIRTY_01.
4) [Sửa] bản ghi "Mới tạo" → đổi Tên thành "Mới tạo X" → bấm X → chọn Ở LẠI → xác nhận Tên trong form vẫn là "Mới tạo X"; sau đó chọn Rời đi rồi mở lại bản ghi kiểm Tên đã trở về "Mới tạo" (không bị lưu ngầm).
5) [Thêm mới] → KHÔNG nhập gì → bấm X.
✅ PASS khi: bước 1/3/4 đều hiện hộp thoại xác nhận trước khi đóng; chọn ở lại thì dữ liệu đang nhập còn nguyên; chọn rời đi thì form đóng và KHÔNG có bản ghi/thay đổi nào bị lưu; hộp thoại xuất hiện ở cả chiều Thêm và chiều Sửa, cả nút X và nút Hủy.
❌ FAIL nếu: bất kỳ trường hợp còn dữ liệu chưa lưu nào đóng thẳng không hỏi; hoặc hỏi nhưng chọn ở lại vẫn mất dữ liệu; hoặc chọn rời đi lại lưu bản ghi vào danh sách.
⚠️ Bẫy FAIL-oan: bước 5 (form trắng, chưa nhập gì) PHẢI đóng thẳng không hỏi — UI-08 chỉ áp khi còn dữ liệu chưa lưu; hỏi cả khi form trắng là làm sai quy ước, không tính PASS.
⚠️ Cùng 1 lần Dev fix ở component dùng chung sẽ áp cho 8 tab danh mục trong cụm — nhưng dòng này chỉ đóng khi verify ĐÚNG tab "Tình trạng vụ việc".</t>
  </si>
  <si>
    <t>QLDMTTVV_13</t>
  </si>
  <si>
    <t>- Màn hình/popup sửa có trường thông tin "Danh mục cha" nhưng tài liệu SRS không có</t>
  </si>
  <si>
    <r>
      <rPr>
        <rFont val="Times New Roman"/>
        <color rgb="FF1155CC"/>
        <sz val="12.0"/>
        <u/>
      </rPr>
      <t>QLDMTTVV_13.jpg</t>
    </r>
  </si>
  <si>
    <t>Tìm kiếm hỏi đáp, vướng mắc được tổng hợp</t>
  </si>
  <si>
    <t>✅ Bug đúng (BA 24/07/2026). Dev FE: form Sửa danh mục tab "Tình trạng vụ việc" không được hiển thị trường "Danh mục cha" — TPL-DM-CRUD §Inputs chung chỉ 5 trường mã/tên/mô tả/thứ tự/trạng thái (srs-fr-10-quan-tri.md:77-83); ghi chú :85 chốt danh_muc_cha_id chỉ áp cho loại danh mục cấu trúc cây; FR-VIII-04 §Inputs trường riêng chỉ thêm mau_hien_thi + loai_danh_muc (:284-288); Tree View chỉ được đặc tả cho tab Cơ quan đơn vị (:1597-1604). Vì ô chọn cha ở tab này nạp chính các bản ghi tình trạng vụ việc cùng loại, form Sửa cho phép gán 1 tình trạng làm con của tình trạng khác → Dev kiểm tầng lưu trữ (không lưu danh mục cha cho loại phẳng) và dọn dữ liệu các bản ghi đã bị gán cha. Minor. Ghi chú: dấu bắt buộc ở ô "Thứ tự" của form Sửa là ĐÚNG đặc tả (ngoại lệ FR-VIII-04 tại :82 + :286) — không sửa, đã trả lời tại dòng QLDMTTVV_06.
── CÁCH VERIFY sau Dev fix ──
Precondition: account admin (vai trò QTHT); tab "Tình trạng vụ việc" có sẵn các bản ghi seed (Mới tiếp nhận, Đang kiểm tra, Đã phân công, Đang xử lý, Chờ bổ sung, Hoàn thành, Từ chối — :290).
1) [Sửa] bản ghi đầu danh sách (vd "Mới tạo" / "Mới tiếp nhận") → đọc đủ nhãn trường, cuộn hết form.
2) [Sửa] thêm 2 bản ghi khác (vd "Đang xử lý", "Hoàn thành") → soát lại danh sách trường.
3) Ở 1 bản ghi, đổi Mô tả thành "kiem thu sua" → Lưu → mở lại [Sửa] xác nhận Mô tả đã đổi.
4) Kiểm dữ liệu tồn dư: xem danh sách/chi tiết các bản ghi tình trạng vụ việc — không bản ghi nào còn hiển thị một tình trạng khác là cha của nó.
✅ PASS khi: cả 3 bản ghi mở form Sửa đều KHÔNG có trường/ô chọn "Danh mục cha"; không còn cách nào gán quan hệ cha-con giữa các tình trạng vụ việc; sửa + lưu bình thường; bước 4 không phát hiện bản ghi nào còn quan hệ cha tồn dư từ trước.
❌ FAIL nếu: form Sửa còn trường "Danh mục cha" (dù để trống / mờ / tùy chọn), hoặc bản ghi cũ vẫn giữ quan hệ cha đã gán trước khi fix (thiếu bước dọn dữ liệu).
⚠️ Verify trên form SỬA — chiều Thêm mới do dòng QLDMTTVV_06 phụ trách.
⚠️ Trường "Màu hiển thị" và dấu bắt buộc của "Thứ tự" là ĐÚNG đặc tả riêng FR-VIII-04 — đừng báo là trường thừa / ràng buộc sai.</t>
  </si>
  <si>
    <t>Cung cấp công cụ tìm kiếm toàn văn, nâng cao theo lĩnh vực, thời gian đối với các yêu cầu hỏi đáp đã tổng hợp.</t>
  </si>
  <si>
    <t>Lưu ý uc 11.14.19 sẽ trùng chức năng tìm kiếm</t>
  </si>
  <si>
    <r>
      <rPr>
        <rFont val="Times New Roman"/>
        <color rgb="FF1155CC"/>
        <sz val="12.0"/>
        <u/>
      </rPr>
      <t>TKHDVMTH_01.jpg</t>
    </r>
  </si>
  <si>
    <t>QLDMCQDVQL_05</t>
  </si>
  <si>
    <t>1. Đăng nhập tài khoản 
2. Không tồn tại dữ liệu phù hợp với tiêu chí tìm kiếm</t>
  </si>
  <si>
    <t>1. Chọn menu "Quản trị hệ thống"
2. Bấm vào tên loại danh mục ở cột bên trái
3. Nhập từ khóa không có kết quả</t>
  </si>
  <si>
    <t>Hệ thống để trống vùng kết quả và hiển thị thông báo "Không tìm thấy mục danh mục phù hợp".</t>
  </si>
  <si>
    <t>Hệ thống không hiển thị thông báo</t>
  </si>
  <si>
    <r>
      <rPr>
        <rFont val="Times New Roman"/>
        <color rgb="FF1155CC"/>
        <sz val="12.0"/>
        <u/>
      </rPr>
      <t>QLDMCQDVQL_05.jpg</t>
    </r>
  </si>
  <si>
    <t>❌ Không phải lỗi (BA xác nhận 24/07/2026).
- BA chốt: phần mềm không vi phạm điều khoản nào của đặc tả. Bảng quy tắc dữ liệu dùng chung của hệ thống (srs-v3.5.md:948-957) chưa ban hành quy ước về câu thông báo khi tìm kiếm không có kết quả; phần Tìm kiếm của mẫu danh mục dùng chung (srs-fr-10-quan-tri.md:132-138) và màn Quản lý danh mục (:1583, :1619-1622) cũng không mô tả nội dung câu thông báo khi rỗng. Đã mở file đặc tả kiểm lại ngày 24/07/2026: chưa có quy ước nào cho trạng thái rỗng khi tìm kiếm.
- Ghi nhận quan sát của Quý đối tác là chính xác (vùng cây để trắng, không có thông báo), nhưng đây là kỳ vọng về trải nghiệm sử dụng, không bắt buộc cho luồng nghiệp vụ.
- Hướng xử lý: BA sẽ bổ sung một quy ước dùng chung mới, phân biệt "tìm kiếm không có kết quả" với "danh sách chưa có bản ghi", rồi áp một lần cho toàn hệ thống thay vì sửa lẻ từng màn. Kính đề nghị Quý đối tác đưa nội dung này vào danh sách yêu cầu cải tiến.</t>
  </si>
  <si>
    <t>Kiểm tra tìm kiếm theo nội dung câu hỏi</t>
  </si>
  <si>
    <t>Có dữ liệu chứa từ khóa cần tìm</t>
  </si>
  <si>
    <t>Từ khóa: 'Doanh nghiệp'</t>
  </si>
  <si>
    <t>1. Nhập từ khóa vào ô tìm kiếm
 2. Bấm Tìm kiếm</t>
  </si>
  <si>
    <t>Danh sách chỉ hiển thị các bản ghi có nội dung/mã/người gửi phù hợp với từ khóa; số lượng kết quả được cập nhật đúng</t>
  </si>
  <si>
    <t>QLDMCQDVQL_12</t>
  </si>
  <si>
    <r>
      <rPr>
        <rFont val="Times New Roman"/>
        <color rgb="FF1155CC"/>
        <sz val="12.0"/>
        <u/>
      </rPr>
      <t>TKHDVMTH_02.jpg</t>
    </r>
  </si>
  <si>
    <t>Hệ thống không hiển thị thông báo xác nhận trước khi đóng.</t>
  </si>
  <si>
    <r>
      <rPr>
        <rFont val="Times New Roman"/>
        <color rgb="FF1155CC"/>
        <sz val="12.0"/>
        <u/>
      </rPr>
      <t>QLDMCQDVQL_12.webm</t>
    </r>
  </si>
  <si>
    <t>- Ở mục Cơ quan đơn vị, chọn một đơn vị trên cây rồi bấm Sửa, nhập nội dung mới vào ô Địa chỉ (hoặc sửa ô Tên đơn vị) nhưng chưa bấm Lưu.
- Bấm Hủy: hệ thống thoát khỏi chế độ chỉnh sửa ngay lập tức, không hiện hộp thoại hỏi xác nhận, nội dung vừa nhập mất hẳn.
- Đang sửa dở mà bấm chọn một đơn vị khác trên cây: khung thông tin chuyển thẳng sang đơn vị mới, cũng không có cảnh báo nào, nội dung đang nhập bị bỏ.
- Chọn lại đúng đơn vị vừa sửa thì các ô trở về giá trị cũ, xác nhận là dữ liệu đang nhập đã mất mà người dùng không được hỏi trước.
- Khung chỉnh sửa hiện chỉ có hai nút Hủy và Lưu; đã thử trên hai đơn vị khác nhau, kết quả giống nhau.</t>
  </si>
  <si>
    <t>QLDMTCTV_01</t>
  </si>
  <si>
    <t>Quản lý danh mục Tổ chức tư vấn</t>
  </si>
  <si>
    <t>Quan trị hệ thống</t>
  </si>
  <si>
    <t>Quản lý danh sách các Tổ chức tư vấn tham gia mạng lưới.</t>
  </si>
  <si>
    <t>1. Chọn menu "Quản trị hệ thống"
2. Chọn loại danh mục "Tổ chức tư vấn"</t>
  </si>
  <si>
    <t>Màn hình chức năng không có danh mục "Tổ chức tư vấn"</t>
  </si>
  <si>
    <t>QLDMTCTV_01.jpg</t>
  </si>
  <si>
    <t>Kiểm tra tìm kiếm theo mã hỏi đáp</t>
  </si>
  <si>
    <t>Có bản ghi có mã HĐ cụ thể</t>
  </si>
  <si>
    <t>Mã HĐ: HD-20260624-001</t>
  </si>
  <si>
    <t>1. Nhập mã HĐ vào ô tìm kiếm
 2. Bấm Tìm kiếm</t>
  </si>
  <si>
    <t>Hiển thị đúng bản ghi có mã HĐ tương ứng; không hiển thị bản ghi không liên quan</t>
  </si>
  <si>
    <r>
      <rPr>
        <rFont val="Times New Roman"/>
        <color rgb="FF1155CC"/>
        <sz val="12.0"/>
        <u/>
      </rPr>
      <t>TKHDVMTH_03.jpg</t>
    </r>
  </si>
  <si>
    <t xml:space="preserve">
- Đối tác phản ánh: màn hình không có mục "Tổ chức tư vấn" để quản lý danh sách tổ chức tư vấn tham gia mạng lưới.
- Chức năng Quản lý Tổ chức tư vấn HIỆN CÓ trong hệ thống, nằm ở menu "Mạng lưới Tư vấn viên → Tổ chức tư vấn" (không nằm trong "Danh mục dùng chung"). Màn này quản lý danh sách tổ chức tư vấn tham gia mạng lưới đầy đủ: có các trạng thái Đang hoạt động / Chờ phê duyệt / Mới đăng ký / Đã từ chối / Tạm dừng / Vô hiệu hóa, tìm kiếm, lọc theo lĩnh vực/đơn vị/loại hình, xuất Excel; hiện có 3 tổ chức.
- Theo thiết kế cập nhật, Tổ chức tư vấn được quản lý trong Mạng lưới Tư vấn viên, không còn là một mục trong Danh mục dùng chung.
→ Đối tác kiểm tra lại tại menu Mạng lưới Tư vấn viên → Tổ chức tư vấn.</t>
  </si>
  <si>
    <t>QLDMLDN_06</t>
  </si>
  <si>
    <t>- Màn hình/popup thêm mới có trường thông tin "Danh mục cha" nhưng tài liệu SRS không có
- Tiêu chí doanh thu SRS mô tả không bắt buộc nhưng hệ thống đánh dấu bắt buộc</t>
  </si>
  <si>
    <r>
      <rPr>
        <rFont val="Times New Roman"/>
        <color rgb="FF1155CC"/>
        <sz val="12.0"/>
        <u/>
      </rPr>
      <t>QLDMLDN_06.jpg</t>
    </r>
  </si>
  <si>
    <t>Kiểm tra tìm kiếm theo người gửi</t>
  </si>
  <si>
    <t>Có bản ghi người gửi cụ thể</t>
  </si>
  <si>
    <t>Người gửi: Nguyễn Văn A</t>
  </si>
  <si>
    <t>1. Nhập tên người gửi vào ô tìm kiếm
 2. Bấm Tìm kiếm</t>
  </si>
  <si>
    <t>Danh sách hiển thị các bản ghi của người gửi phù hợp</t>
  </si>
  <si>
    <r>
      <rPr>
        <rFont val="Times New Roman"/>
        <color rgb="FF1155CC"/>
        <sz val="12.0"/>
        <u/>
      </rPr>
      <t>TKHDVMTH_04.jpg</t>
    </r>
  </si>
  <si>
    <t>✅ Bug đúng (BA 24/07/2026). Dev FE: form Thêm mới tab "Loại doanh nghiệp" không được hiển thị trường "Danh mục cha" — TPL-DM-CRUD §Inputs chung chỉ 5 trường (srs-fr-10-quan-tri.md:77-83); FR-VIII-07 §trường riêng chỉ thêm tieu_chi_doanh_thu, tieu_chi_lao_dong (đều không bắt buộc) và loai_danh_muc do hệ thống gán (:400-406); ghi chú SRS :85 giới hạn danh mục cha cho loại cấu trúc cây. Backend không lưu danh mục cha cho loại phẳng. Minor.
── CÁCH VERIFY sau Dev fix ──
Precondition: account admin (QTHT); tab "Loại doanh nghiệp" (seed: DN siêu nhỏ, DN nhỏ, DN vừa — SRS :408).
1) [Thêm mới] → đọc nhãn từng trường, đánh dấu ô nào có dấu * bắt buộc.
2) Nhập Mã = LDN_TEST, Tên = "DN kiểm thử", để TRỐNG Tiêu chí doanh thu và Tiêu chí số lao động → Lưu.
3) Bấm Sửa bản ghi "DN vừa" → đọc lại nhãn trường.
✅ PASS khi: form Thêm mới và form Sửa đều không còn "Danh mục cha"; bộ trường còn lại đúng Mã*, Tên*, Mô tả, Thứ tự, Tiêu chí doanh thu, Tiêu chí số lao động, Trạng thái; bước 2 lưu thành công vì 2 ô tiêu chí là không bắt buộc (SRS :404-405).
❌ FAIL nếu: còn ô "Danh mục cha"; hoặc bước 2 bị chặn lưu chỉ vì 2 ô tiêu chí để trống; hoặc việc ẩn trường cha làm mất luôn 2 ô tiêu chí riêng của tab này.
⚠️ Ý "Tiêu chí doanh thu bị bắt buộc" đối tác báo trước đây đã KHÔNG còn tái hiện khi QA verify 21/07 — chỉ kiểm lại, không log mới nếu đang đúng.
Dọn data: xóa bản ghi LDN_TEST sau khi kiểm.</t>
  </si>
  <si>
    <t>QLDMLDN_11</t>
  </si>
  <si>
    <r>
      <rPr>
        <rFont val="Times New Roman"/>
        <color rgb="FF1155CC"/>
        <sz val="12.0"/>
        <u/>
      </rPr>
      <t>QLDMLDN_11.webm</t>
    </r>
  </si>
  <si>
    <t>Kiểm tra tìm kiếm khi không có kết quả</t>
  </si>
  <si>
    <t>Có quyền truy cập màn hình</t>
  </si>
  <si>
    <t>Từ khóa không tồn tại: xyz999</t>
  </si>
  <si>
    <t>1. Nhập từ khóa không tồn tại
 2. Bấm Tìm kiếm</t>
  </si>
  <si>
    <t>Hiển thị trạng thái không có dữ liệu/kết quả; không lỗi giao diện; phân trang hiển thị phù hợp</t>
  </si>
  <si>
    <r>
      <rPr>
        <rFont val="Times New Roman"/>
        <color rgb="FF1155CC"/>
        <sz val="12.0"/>
        <u/>
      </rPr>
      <t>TKHDVMTH_05.jpg</t>
    </r>
  </si>
  <si>
    <t>✅ Bug đúng (BA 24/07/2026). Dev FE: bổ sung dirty-check + hỏi xác nhận khi đóng form danh mục còn dữ liệu chưa lưu, theo quy ước dùng chung UI-08 (srs-v3.5.md:577 — áp cho mọi form nhập liệu toàn hệ thống); SCR-VIII-01 §Quy tắc tương tác đã trỏ UI-08 (srs-fr-10-quan-tri.md:1622). Dirty-check phải bắt cả các trường riêng của tab, không chỉ 5 trường chuẩn. Minor.
── CÁCH VERIFY sau Dev fix ──
Precondition: account admin (QTHT); tab "Loại doanh nghiệp".
1) [Thêm mới] → chỉ nhập Tiêu chí doanh thu = "≤ 3 tỷ" (Mã/Tên và các ô khác để trống) → bấm Hủy.
2) Ở hộp thoại, chọn phương án ở lại → kiểm ô Tiêu chí doanh thu vẫn còn "≤ 3 tỷ".
3) Bấm nút đóng (X) → chọn phương án rời đi.
4) Nếu form còn đóng được bằng phím Esc hoặc bấm ra vùng ngoài form: lặp lại bước 1 với 2 lối đóng đó.
✅ PASS khi: mọi lối đóng form đang có dữ liệu chưa lưu (Hủy, X, và Esc/bấm ngoài nếu có) đều hỏi xác nhận; chọn ở lại thì dữ liệu còn nguyên; chọn rời đi thì form đóng và danh sách không thêm bản ghi.
❌ FAIL nếu: bất kỳ lối đóng nào bỏ qua hộp thoại, đóng thẳng và làm mất dữ liệu; hoặc chỉ hỏi khi nhập Mã/Tên mà không hỏi khi chỉ nhập ô Tiêu chí doanh thu.
⚠️ Nếu FE không cho đóng form bằng Esc / bấm ra ngoài thì bỏ qua bước 4, KHÔNG tính FAIL.</t>
  </si>
  <si>
    <t>QLDMLDN_13</t>
  </si>
  <si>
    <t>- Màn hình/popup sửa có trường thông tin "Danh mục cha" nhưng tài liệu SRS không có
- Tiêu chí doanh thu SRS mô tả không bắt buộc nhưng hệ thống đánh dấu bắt buộc</t>
  </si>
  <si>
    <r>
      <rPr>
        <rFont val="Times New Roman"/>
        <color rgb="FF1155CC"/>
        <sz val="12.0"/>
        <u/>
      </rPr>
      <t>QLDMLDN_13.jpg</t>
    </r>
  </si>
  <si>
    <t>Kiểm tra lọc theo Lĩnh vực PL</t>
  </si>
  <si>
    <t>Có dữ liệu thuộc nhiều lĩnh vực</t>
  </si>
  <si>
    <t>Lĩnh vực: Thuế</t>
  </si>
  <si>
    <t>1. Chọn Lĩnh vực pháp luật = Thuế
 2. Bấm Tìm kiếm</t>
  </si>
  <si>
    <t>Danh sách chỉ hiển thị bản ghi thuộc lĩnh vực Thuế; số lượng kết quả đúng</t>
  </si>
  <si>
    <t>✅ Bug đúng phần "Danh mục cha" (BA 24/07/2026, Cụm A form Thêm/Sửa danh mục phẳng). Dev FE: tab "Loại doanh nghiệp" là danh mục phẳng nên form Sửa không được hiển thị trường "Danh mục cha" — TPL-DM-CRUD §Inputs chung chỉ 5 trường (srs-fr-10-quan-tri.md:77-83); FR-VIII-07 (UC105) §trường riêng chỉ thêm tieu_chi_doanh_thu, tieu_chi_lao_dong (đều không bắt buộc) + loai_danh_muc do hệ thống gán (:400-406); ghi chú :85 giới hạn danh mục cha cho loại cấu trúc cây. Backend không lưu danh mục cha cho loại phẳng. Ý thứ 2 đối tác nêu ("Tiêu chí doanh thu bị đánh dấu bắt buộc") nay KHÔNG còn tái hiện (QA kiểm 21/07: ô không có dấu *, lưu được khi để trống — đúng SRS :404-405) → không phải lỗi. Minor.
── CÁCH VERIFY sau Dev fix ──
Precondition: account admin (QTHT); tab "Loại doanh nghiệp" (seed: DN siêu nhỏ, DN nhỏ, DN vừa — SRS :408).
1) Bấm [Sửa] bản ghi "DN vừa" → đọc nhãn từng trường, đánh dấu ô nào có dấu * bắt buộc.
2) Xóa trống ô Tiêu chí doanh thu và Tiêu chí số lao động → Lưu.
✅ PASS khi: (a) form Sửa không còn "Danh mục cha"; (b) bộ trường còn lại đúng Mã*, Tên*, Mô tả, Thứ tự, Tiêu chí doanh thu, Tiêu chí số lao động, Trạng thái; (c) bước 2 lưu thành công vì 2 ô tiêu chí không bắt buộc (SRS :404-405).
❌ FAIL nếu: còn ô "Danh mục cha"; HOẶC bước 2 bị chặn lưu chỉ vì 2 ô tiêu chí để trống (tái hiện lại lỗi đánh dấu bắt buộc); HOẶC ẩn trường cha làm mất luôn 2 ô tiêu chí riêng của tab.
⚠️ Tab cấu trúc cây giữ trường cha là đúng SRS :85 — không log lỗi ở đó.</t>
  </si>
  <si>
    <r>
      <rPr>
        <rFont val="Times New Roman"/>
        <color rgb="FF1155CC"/>
        <sz val="12.0"/>
        <u/>
      </rPr>
      <t>TKHDVMTH_06.jpg</t>
    </r>
  </si>
  <si>
    <t>QLDMLDN_16</t>
  </si>
  <si>
    <r>
      <rPr>
        <rFont val="Times New Roman"/>
        <color rgb="FF1155CC"/>
        <sz val="12.0"/>
        <u/>
      </rPr>
      <t>QLDMLDN_16.jpg</t>
    </r>
  </si>
  <si>
    <t>Kiểm tra lọc theo trạng thái</t>
  </si>
  <si>
    <t>Có dữ liệu nhiều trạng thái</t>
  </si>
  <si>
    <t>Trạng thái: Mới</t>
  </si>
  <si>
    <t>1. Chọn Trạng thái = Mới
 2. Bấm Tìm kiếm</t>
  </si>
  <si>
    <t>Danh sách chỉ hiển thị các bản ghi có trạng thái Mới</t>
  </si>
  <si>
    <t>- Tổng số bản ghi trên các tab hiển thị không đúng số lượng</t>
  </si>
  <si>
    <r>
      <rPr>
        <rFont val="Times New Roman"/>
        <color rgb="FF1155CC"/>
        <sz val="12.0"/>
        <u/>
      </rPr>
      <t>TKHDVMTH_07.webm</t>
    </r>
  </si>
  <si>
    <t>QLDMHSDNHT_06</t>
  </si>
  <si>
    <t xml:space="preserve">- Màn hình/popup thêm mới có trường thông tin "Danh mục cha" nhưng tài liệu SRS không có
</t>
  </si>
  <si>
    <r>
      <rPr>
        <rFont val="Times New Roman"/>
        <color rgb="FF1155CC"/>
        <sz val="12.0"/>
        <u/>
      </rPr>
      <t>QLDMHSDNHT_06.jpg</t>
    </r>
  </si>
  <si>
    <t>Khi chọn trạng thái "Tiếp nhận", hệ thống hiển thị các bản ghi bao gồm "Đang xử lý" và "Tiếp nhận"</t>
  </si>
  <si>
    <t>TKHDVMTH_07_v2.webm</t>
  </si>
  <si>
    <t>✅ Bug đúng (BA duyệt 24/07/2026). Dev FE: không hiển thị trường "Danh mục cha" trên form Thêm mới danh mục "Hồ sơ đề nghị hỗ trợ". FR-VIII-08 dùng mẫu dùng chung TPL-DM-CRUD, trường riêng chỉ gồm thành phần hồ sơ bắt buộc/tùy chọn (srs-fr-10-quan-tri.md:412-427); mẫu chung chỉ 5 trường mã/tên/mô tả/thứ tự/trạng thái (:77-83) và ghi chú BA :85 chốt trường cha chỉ áp cho danh mục cấu trúc cây. Đề nghị Dev kiểm tầng lưu trữ: không lưu quan hệ cha cho danh mục phẳng, dọn lại bản ghi phẳng đã lỡ gán cha. Mức Cosmetic — sửa 1 lần ở component form danh mục dùng chung là áp cho mọi tab phẳng.
── CÁCH VERIFY sau Dev fix ──
Precondition: admin (QTHT), Quản trị hệ thống &gt; Danh mục dùng chung &gt; tab "Hồ sơ đề nghị hỗ trợ" (/quan-tri/danh-muc/HO_SO_DE_NGHI_HT) &gt; [+ Thêm mới].
1) Đọc toàn bộ nhãn trường trong form Thêm mới.
2) Tạo thử 1 record: Mã = HSTEST01, Tên = "HS test 146" → Lưu.
3) Mở lại form Sửa của chính record HSTEST01 vừa tạo.
✅ PASS khi: (a) form Thêm mới KHÔNG còn trường "Danh mục cha"; (b) bước 2 lưu thành công; (c) form Sửa record vừa tạo cũng không có trường "Danh mục cha" và giữ đúng Mã/Tên đã nhập.
❌ FAIL nếu: form còn ô chọn "Danh mục cha" (kể cả khi để trống hoặc bị làm mờ), hoặc việc bỏ trường này làm hỏng chức năng lưu.
⚠️ Xóa record HSTEST01 sau khi kiểm để không lẫn vào dữ liệu nghiệp vụ.</t>
  </si>
  <si>
    <t>QLDMHSDNHT_11</t>
  </si>
  <si>
    <r>
      <rPr>
        <rFont val="Times New Roman"/>
        <color rgb="FF1155CC"/>
        <sz val="12.0"/>
        <u/>
      </rPr>
      <t>QLDMHSDNHT_11.webm</t>
    </r>
  </si>
  <si>
    <t>Kiểm tra nhập Từ ngày lớn hơn Đến ngày</t>
  </si>
  <si>
    <t>Từ ngày 25/06/2026, Đến ngày 24/06/2026</t>
  </si>
  <si>
    <t>1. Nhập Từ ngày &gt; Đến ngày
 2. Bấm Tìm kiếm</t>
  </si>
  <si>
    <t>Hệ thống hiển thị thông báo lỗi hợp lệ, không thực hiện tìm kiếm sai dữ liệu</t>
  </si>
  <si>
    <r>
      <rPr>
        <rFont val="Times New Roman"/>
        <sz val="12.0"/>
        <u/>
      </rPr>
      <t>TKHDVMTH_11.jpg</t>
    </r>
  </si>
  <si>
    <t>✅ Bug đúng (BA duyệt 24/07/2026). Dev FE: bổ sung kiểm tra "còn thay đổi chưa lưu" + hộp thoại xác nhận trước khi đóng form Thêm/Sửa danh mục "Hồ sơ đề nghị hỗ trợ". Căn cứ UI-08 (srs-v3.5.md:577) áp cho mọi form nhập liệu toàn hệ thống, đã dẫn chiếu vào §Quy tắc tương tác màn Quản lý danh mục (srs-fr-10-quan-tri.md:1622). Dùng chung component với 7 tab danh mục còn lại. Mức Major (mất dữ liệu đang nhập).
── CÁCH VERIFY sau Dev fix ──
Precondition: admin (QTHT), tab "Hồ sơ đề nghị hỗ trợ" (/quan-tri/danh-muc/HO_SO_DE_NGHI_HT), đã có ≥1 record để mở form Sửa.
1) Bấm "Sửa" một record có sẵn → đổi Mô tả thành "sua do dang 147" (chưa Lưu) → bấm đóng (X).
2) Chọn phương án ở lại → kiểm tra Mô tả vừa gõ còn nguyên trong form.
3) Bấm đóng lần nữa → chọn bỏ thay đổi → mở lại form Sửa chính record đó và đọc Mô tả.
4) Mở form Sửa một record khác, chỉ thêm/sửa 1 dòng trong khối "Thành phần hồ sơ" (không đụng Mã/Tên) → bấm X.
✅ PASS khi: bước 1 và bước 4 đều hỏi xác nhận trước khi đóng; bước 2 giữ nguyên nội dung đang nhập; bước 3 Mô tả trở về đúng giá trị cũ (thay đổi bị bỏ như đã chọn).
❌ FAIL nếu: form đóng thẳng không hỏi ở bước 1; hoặc chỉ hỏi khi sửa Mã/Tên mà bỏ qua thay đổi trong khối "Thành phần hồ sơ" (bước 4); hoặc chọn ở lại nhưng dữ liệu bị xóa trắng.
⚠️ Nhãn nút trên hộp thoại không cần đúng từng chữ — chỉ cần hỏi rõ và có đủ 2 lựa chọn.</t>
  </si>
  <si>
    <t>QLDMHSDNHT_13</t>
  </si>
  <si>
    <t xml:space="preserve">- Màn hình/popup sửa có trường thông tin "Danh mục cha" nhưng tài liệu SRS không có
</t>
  </si>
  <si>
    <r>
      <rPr>
        <rFont val="Times New Roman"/>
        <color rgb="FF1155CC"/>
        <sz val="12.0"/>
        <u/>
      </rPr>
      <t>QLDMHSDNHT_13.jpg</t>
    </r>
  </si>
  <si>
    <t>- Mở [Sửa] một danh mục "Hồ sơ đề nghị hỗ trợ" đang có (đã thử "Đơn đề nghị hỗ trợ" và "Hồ sơ chứng minh điều kiện"): trường "Danh mục cha" đã được gỡ, nhưng khối "Thành phần bắt buộc → Thành phần 1" hiện ra hoàn toàn trống.
- Hai ô "Mã thành phần" và "Tên thành phần" có dấu * bắt buộc nhưng không nạp dữ liệu của bản ghi đang sửa; nút xóa khối "Thành phần 1" bị làm mờ, không bấm được.
- Bấm [Đồng ý] để lưu thì bị chặn, hiện lỗi "Mã thành phần là bắt buộc" và "Tên thành phần là bắt buộc" → không lưu được thay đổi trên bản ghi cũ nếu không tự nhập thêm một thành phần mới.
- Ngoài ra, cột "Loại" (Bắt buộc / Tùy chọn) hiển thị ở danh sách không có ô tương ứng trên biểu mẫu để xem hoặc chỉnh sửa.</t>
  </si>
  <si>
    <t>Kiểm tra lọc theo kênh tiếp nhận</t>
  </si>
  <si>
    <t>Có dữ liệu nhiều kênh</t>
  </si>
  <si>
    <t>QLDMHSDNTT_06</t>
  </si>
  <si>
    <t>Kênh: Trực tiếp/Hệ thống khác/Cổng PLQG</t>
  </si>
  <si>
    <t>1. Chọn Kênh tiếp nhận
 2. Bấm Tìm kiếm</t>
  </si>
  <si>
    <t>Danh sách chỉ hiển thị bản ghi đúng kênh tiếp nhận đã chọn</t>
  </si>
  <si>
    <r>
      <rPr>
        <rFont val="Times New Roman"/>
        <color rgb="FF1155CC"/>
        <sz val="12.0"/>
        <u/>
      </rPr>
      <t>TKHDVMTH_08.jpg</t>
    </r>
  </si>
  <si>
    <t>- Màn hình/popup thêm mới có trường thông tin "Danh mục cha" nhưng tài liệu SRS không có
- Thành phần hồ sơ SRS mô tả không bắt buộc nhưng hệ thống đánh dấu bắt buộc nhập ít nhất 1 thành phần</t>
  </si>
  <si>
    <r>
      <rPr>
        <rFont val="Times New Roman"/>
        <color rgb="FF1155CC"/>
        <sz val="12.0"/>
        <u/>
      </rPr>
      <t>QLDMHSDNTT_06.jpg</t>
    </r>
  </si>
  <si>
    <t>✅ Bug đúng (BA 24/07/2026) — 2 điểm trên cùng form Thêm mới tab "Hồ sơ đề nghị thanh toán". (1) Dev FE bỏ hiển thị trường "Danh mục cha" ở danh mục phẳng: TPL-DM-CRUD §Inputs chung chỉ 5 trường (srs-fr-10-quan-tri.md:77-83), ghi chú :85 giới hạn danh mục cha cho loại cấu trúc cây, FR-VIII-09 §trường riêng cũng không khai (:440-445). (2) Dev FE nới validation khối "Thành phần hồ sơ": FR-VIII-09 ghi thanh_phan_ho_so kiểu structured, cột Bắt buộc = N (:444) → hệ thống phải cho lưu danh mục khi chưa khai thành phần nào; hiện web dựng sẵn "Thành phần 1" với Mã*/Tên* và khóa nút xóa dòng đầu nên không tồn tại cách lưu 0 thành phần. Ghi chú BA: nếu sau này nghiệp vụ muốn ép ≥1 thành phần thì phải đổi đặc tả (FR-VIII-09 sang Y + min 1); theo SRS hiện hành là nới ràng buộc. Major (chặn một cách lưu mà SRS cho phép).
── CÁCH VERIFY sau Dev fix ──
Precondition: account admin (QTHT); tab "Hồ sơ đề nghị thanh toán" → [Thêm mới].
1) Đọc toàn bộ nhãn trường của form.
2) Ở khối "Thành phần hồ sơ": thử xóa hết các dòng thành phần đang dựng sẵn, kể cả dòng đầu tiên.
3) Nhập Mã = HSTT_TEST, Tên = "Hồ sơ TT kiểm thử", để danh sách thành phần RỖNG → Lưu.
4) Mở lại bản ghi vừa tạo → kiểm nội dung đã lưu.
✅ PASS khi: (a) form không còn trường "Danh mục cha"; (b) bước 2 xóa được toàn bộ dòng thành phần, nút xóa của dòng đầu không bị vô hiệu; (c) bước 3 lưu thành công — có phản hồi thành công và bản ghi xuất hiện trong danh sách, không còn lỗi tại chỗ kiểu "Mã thành phần là bắt buộc"; (d) bước 4 bản ghi tồn tại với 0 thành phần.
❌ FAIL nếu: nút xóa dòng thành phần đầu tiên vẫn bị vô hiệu; hoặc bấm Lưu với danh sách thành phần rỗng bị chặn ngay tại form (không phát sinh yêu cầu nào lên máy chủ); hoặc "Danh mục cha" vẫn hiển thị.
⚠️ Khi người dùng ĐÃ khai 1 thành phần thì Mã/Tên của thành phần đó vẫn bắt buộc — đúng thiết kế, không tính FAIL. Yêu cầu ở đây chỉ là bỏ ép "tối thiểu 1 thành phần".
Dọn data: xóa bản ghi HSTT_TEST sau khi kiểm.</t>
  </si>
  <si>
    <t>Kiểm tra lọc theo mức độ phức tạp</t>
  </si>
  <si>
    <t>Có dữ liệu nhiều mức độ</t>
  </si>
  <si>
    <t>Mức độ: Thường</t>
  </si>
  <si>
    <t>1. Chọn Mức độ phức tạp = Thường
 2. Bấm Tìm kiếm</t>
  </si>
  <si>
    <t>Danh sách chỉ hiển thị bản ghi có mức độ Thường</t>
  </si>
  <si>
    <t>QLDMHSDNTT_11</t>
  </si>
  <si>
    <r>
      <rPr>
        <rFont val="Times New Roman"/>
        <color rgb="FF1155CC"/>
        <sz val="12.0"/>
        <u/>
      </rPr>
      <t>TKHDVMTH_09.jpg</t>
    </r>
  </si>
  <si>
    <r>
      <rPr>
        <rFont val="Times New Roman"/>
        <color rgb="FF1155CC"/>
        <sz val="12.0"/>
        <u/>
      </rPr>
      <t>QLDMHSDNTT_11.webm</t>
    </r>
  </si>
  <si>
    <t>✅ Bug đúng (BA 24/07/2026). Dev FE: bổ sung dirty-check + hỏi xác nhận khi đóng form danh mục còn thay đổi chưa lưu — UI-08 (srs-v3.5.md:577) áp cho MỌI form nhập liệu toàn hệ thống, SCR-VIII-01 §Quy tắc tương tác đã trỏ UI-08 (srs-fr-10-quan-tri.md:1622). Với tab này dirty-check phải tính cả dữ liệu nhập dở trong khối "Thành phần hồ sơ", không chỉ 5 ô chính. Minor.
── CÁCH VERIFY sau Dev fix ──
Precondition: account admin (QTHT); tab "Hồ sơ đề nghị thanh toán".
1) [Thêm mới] → chỉ nhập Mã thành phần = "TP01" trong khối Thành phần hồ sơ, để trống Mã/Tên danh mục → bấm nút đóng (X).
2) Chọn phương án ở lại → kiểm "TP01" vẫn còn trong khối thành phần.
3) Bấm Hủy → chọn phương án rời đi / bỏ thay đổi.
4) Mở lại [Thêm mới] → kiểm trạng thái form.
✅ PASS khi: bước 1 và 3 đều hỏi xác nhận trước khi đóng; bước 2 form vẫn mở và giữ "TP01"; bước 4 form mở lại hoàn toàn trắng và danh sách không phát sinh bản ghi mới.
❌ FAIL nếu: đóng thẳng không hỏi ở bước 1/3; hoặc sau khi bỏ thay đổi, mở lại form vẫn còn dữ liệu cũ.
⚠️ Dữ liệu nhập dở ở khối "Thành phần hồ sơ" CŨNG tính là thay đổi chưa lưu theo UI-08 — dirty-check chỉ soi Mã/Tên danh mục là chưa đạt.</t>
  </si>
  <si>
    <t>Kiểm tra lọc theo khoảng ngày hợp lệ</t>
  </si>
  <si>
    <t>QLDMHSDNTT_13</t>
  </si>
  <si>
    <t>Có dữ liệu trong khoảng ngày</t>
  </si>
  <si>
    <t>Từ ngày 22/06/2026, Đến ngày 24/06/2026</t>
  </si>
  <si>
    <t>1. Nhập Từ ngày
 2. Nhập Đến ngày
 3. Bấm Tìm kiếm</t>
  </si>
  <si>
    <t>Danh sách chỉ hiển thị bản ghi có ngày tạo nằm trong khoảng đã chọn, bao gồm ngày bắt đầu và ngày kết thúc nếu có dữ liệu</t>
  </si>
  <si>
    <r>
      <rPr>
        <rFont val="Times New Roman"/>
        <color rgb="FF1155CC"/>
        <sz val="12.0"/>
        <u/>
      </rPr>
      <t>TKHDVMTH_10.jpg</t>
    </r>
  </si>
  <si>
    <t>- Màn hình/popup sửa có trường thông tin ""Danh mục cha"" nhưng tài liệu SRS không có
- Thành phần hồ sơ SRS mô tả không bắt buộc nhưng hệ thống đánh dấu bắt buộc nhập ít nhất 1 thành phần</t>
  </si>
  <si>
    <r>
      <rPr>
        <rFont val="Times New Roman"/>
        <color rgb="FF1155CC"/>
        <sz val="12.0"/>
        <u/>
      </rPr>
      <t>QLDMHSDNTT_13.jpg</t>
    </r>
  </si>
  <si>
    <t>✅ Bug đúng (BA 24/07/2026) — 2 điểm trên form Sửa tab "Hồ sơ đề nghị thanh toán". (1) Dev FE bỏ trường "Danh mục cha" ở danh mục phẳng (TPL-DM-CRUD §Inputs chung 5 trường — srs-fr-10-quan-tri.md:77-83; ghi chú :85 chỉ cho loại cấu trúc cây; FR-VIII-09 §trường riêng không khai — :440-445) và không lưu giá trị cha cho loại phẳng, dọn dữ liệu cũ nếu đã lỡ gán. (2) Dev FE nới validation khối "Thành phần hồ sơ" ở cả luồng Sửa: FR-VIII-09 ghi thanh_phan_ho_so Bắt buộc = N (:444) nên phải sửa được một danh mục về 0 thành phần và lưu thành công. Major.
── CÁCH VERIFY sau Dev fix ──
Precondition: account admin (QTHT); tab "Hồ sơ đề nghị thanh toán", cần 1 bản ghi đã có ≥1 thành phần (chưa có thì tạo trước rồi mới test Sửa).
1) Bấm Sửa bản ghi đó → đọc nhãn trường trong form Sửa.
2) Xóa lần lượt toàn bộ dòng thành phần, kể cả dòng đầu tiên → Lưu.
3) Mở lại bản ghi → đếm số thành phần.
4) Sửa tiếp: thêm lại 1 thành phần (Mã TP01, Tên "Đơn đề nghị") → Lưu.
✅ PASS khi: (a) form Sửa không còn trường "Danh mục cha"; (b) bước 2 lưu thành công với danh sách thành phần rỗng; (c) bước 3 bản ghi vẫn tồn tại và hiển thị 0 thành phần, không tự khôi phục dòng cũ; (d) bước 4 thêm lại thành phần và lưu bình thường.
❌ FAIL nếu: không xóa được dòng thành phần đầu tiên trong form Sửa; hoặc lưu bị chặn khi danh sách thành phần rỗng; hoặc form Sửa vẫn hiển thị / nạp sẵn giá trị "Danh mục cha".
⚠️ Bản ghi tạo TRƯỚC khi fix có thể đã lưu sẵn danh mục cha trong CSDL — nếu form đã ẩn trường mà dữ liệu cũ còn thì đó là việc dọn dữ liệu, không phải lỗi ẩn trường. Muốn kết luận phần ẩn trường thì kiểm trên bản ghi TẠO MỚI sau khi fix.</t>
  </si>
  <si>
    <t>QLCHTHXLHS_02</t>
  </si>
  <si>
    <t>Kiểm tra kết hợp nhiều điều kiện lọc</t>
  </si>
  <si>
    <t>Kiểm tra hiển thị Thanh thẻ (tab) ở đầu trang</t>
  </si>
  <si>
    <t>Có dữ liệu thỏa mãn nhiều điều kiện</t>
  </si>
  <si>
    <t>Từ khóa + Lĩnh vực Thuế + Trạng thái Mới + Kênh Hệ thống khác</t>
  </si>
  <si>
    <t>1. Chọn menu "Quản trị hệ thống"=&gt; "Cấu hình hệ thống"</t>
  </si>
  <si>
    <t>1. Nhập/chọn các điều kiện lọc
 2. Bấm Tìm kiếm</t>
  </si>
  <si>
    <t>Danh sách hiển thị đúng các bản ghi thỏa mãn đồng thời tất cả điều kiện lọc</t>
  </si>
  <si>
    <t>- SRS yêu cầu 4 thẻ hiển thị: "Thời hạn xử lý / SLA", "Phân công mặc định", "Mẫu phản hồi", "Quy trình hỗ trợ" nhưng hiện tại hệ thống hiển thị 3 thẻ: "Thời hạn xử lý / SLA", "Mẫu phản hồi", "Quản lý ngày lễ"</t>
  </si>
  <si>
    <r>
      <rPr>
        <rFont val="Times New Roman"/>
        <color rgb="FF1155CC"/>
        <sz val="12.0"/>
        <u/>
      </rPr>
      <t>QLCHTHXLHS_02.jpg</t>
    </r>
  </si>
  <si>
    <r>
      <rPr>
        <rFont val="Times New Roman"/>
        <color rgb="FF1155CC"/>
        <sz val="12.0"/>
        <u/>
      </rPr>
      <t>TKHDVMTH_12.jpg</t>
    </r>
  </si>
  <si>
    <t>✅ Loại 2 — cập nhật đặc tả rồi Dev làm theo đặc tả mới (BA duyệt 24/07/2026). Web đang ĐÚNG với 3 thẻ; kỳ vọng 4 thẻ của Quý đối tác dựa trên bản thiết kế cũ đã bỏ (thẻ "Phân công mặc định" và "Quy trình hỗ trợ" bỏ từ 07/05/2026 — srs-fr-10-quan-tri.md:1741). BA đã cập nhật màn Cấu hình hệ thống thành 3 thẻ: Thời hạn xử lý/SLA — Mẫu phản hồi — Quản lý ngày lễ (:1737, :1756), kèm quyền và nội dung thẻ ngày lễ (:1746, :1776-1782). Lý do giữ thẻ "Quản lý ngày lễ": lịch nghỉ lễ là đầu vào bắt buộc để tính thời hạn theo "ngày làm việc" đúng luật (NĐ 55/2019/NĐ-CP Điều 8; NĐ 18/2026/NĐ-CP). Dev KHÔNG sửa web. Kính đề nghị Quý đối tác cập nhật lại Kết quả mong đợi của test case.
── CÁCH VERIFY theo đặc tả mới ──
Precondition: admin (QTHT), mở màn Cấu hình hệ thống (/quan-tri/cau-hinh).
1) Đếm số thẻ và đọc tên từng thẻ.
2) Bấm lần lượt từng thẻ, xác nhận mỗi thẻ mở đúng nội dung: bảng cấu hình thời hạn / danh sách mẫu phản hồi / danh sách ngày nghỉ lễ theo năm.
3) Ở thẻ "Quản lý ngày lễ", kiểm tra có thao tác thêm - sửa - xóa ngày lễ.
✅ PASS khi: tài khoản quản trị thấy đúng 3 thẻ theo thứ tự Thời hạn xử lý (SLA) → Mẫu phản hồi → Quản lý ngày lễ; mỗi thẻ mở đúng nội dung; thẻ ngày lễ cho thêm/sửa/xóa được; KHÔNG còn thẻ "Phân công mặc định" hay "Quy trình hỗ trợ".
❌ FAIL nếu: xuất hiện lại thẻ "Phân công mặc định"/"Quy trình hỗ trợ"; hoặc thiếu thẻ "Quản lý ngày lễ"; hoặc thẻ mở sai nội dung.
⚠️ Tài khoản không phải quản trị hệ thống nhìn thấy ÍT thẻ hơn là đúng thiết kế (ẩn thẻ theo quyền) — không tính FAIL.</t>
  </si>
  <si>
    <t>QLCHTHXLHS_03</t>
  </si>
  <si>
    <t>Kiểm tra hiển thị Bảng cấu hình SLA (thẻ "Thời hạn xử lý / SLA")</t>
  </si>
  <si>
    <t xml:space="preserve">- Bảng thông tin hiển thị không giống với tài liệu SRS mô tả
+ Tài liệu yêu cầu Loại yêu cầu là tên loại(1 cột) nhưng prototype đang tách riêng thành 2 cột, chỉ có 4 giá trị nhưng hệ thống đang hiển thị 6 giá trị
+ SRS có 2 cột riêng biệt là Cảnh báo mức 1 và mức 2 nhưng hệ thống hiển thị gộp chung là Vùng cảnh báo
+ Thiếu cột thông tin Quá hạn (%), Số ngày bổ sung tối đa, Khung cảnh báo giải thích mức SLA, Cảnh báo về ảnh hưởng khi lưu
+ SRS không có Hệ số quá hạn nhưng prototype có trường thông tin này
 </t>
  </si>
  <si>
    <r>
      <rPr>
        <rFont val="Times New Roman"/>
        <color rgb="FF1155CC"/>
        <sz val="12.0"/>
        <u/>
      </rPr>
      <t>QLCHTHXLHS_03.webm</t>
    </r>
  </si>
  <si>
    <t>Kiểm tra nút Xóa bộ lọc</t>
  </si>
  <si>
    <t>Đang có điều kiện lọc được nhập/chọn</t>
  </si>
  <si>
    <t>- Bảng cấu hình thời hạn xử lý (SLA) hiện chỉ có các cột: Loại yêu cầu, Tên loại, Thời hạn (ngày LV), Vùng cảnh báo, Email, Thông báo app, Hành động — vẫn chưa có cột Số ngày bổ sung tối đa.
- Mở cửa sổ Sửa của dòng Vụ việc hỗ trợ pháp lý thì đã có ô Số ngày bổ sung tối đa với giá trị 5, tức là dữ liệu đã có nhưng chưa được đưa ra ngoài bảng để xem nhanh.
- Khối cảnh báo về ảnh hưởng khi lưu cấu hình cũng chưa xuất hiện trên thẻ SLA; nội dung này hiện chỉ nằm bên trong cửa sổ Sửa nên người dùng chỉ thấy khi đã mở cửa sổ.
- Các điểm còn lại đã đạt: không còn Hệ số quá hạn ở cả bảng và cửa sổ Sửa; xóa trắng Số ngày bổ sung tối đa bị chặn kèm thông báo yêu cầu nhập số nguyên dương và giá trị cũ giữ nguyên; dòng Hỏi đáp pháp luật không có ô này; khung giải thích 4 mức cảnh báo hiển thị đầy đủ ở đầu thẻ.</t>
  </si>
  <si>
    <t>Có ít nhất 1 bộ lọc đã set</t>
  </si>
  <si>
    <t>1. Nhập/chọn bộ lọc
 2. Bấm Xóa bộ lọc</t>
  </si>
  <si>
    <t>Toàn bộ điều kiện lọc được reset về mặc định; danh sách quay về trạng thái ban đầu</t>
  </si>
  <si>
    <t>QLCHTHXLHS_05</t>
  </si>
  <si>
    <r>
      <rPr>
        <rFont val="Times New Roman"/>
        <color rgb="FF1155CC"/>
        <sz val="12.0"/>
        <u/>
      </rPr>
      <t>TKHDVMTH_13.jpg</t>
    </r>
  </si>
  <si>
    <t>Bật/tắt gửi thư điện tử</t>
  </si>
  <si>
    <t>1. Chọn menu "Quản trị hệ thống"=&gt; "Cấu hình hệ thống"
2. Bấm công tắc "Gửi thư điện tử cảnh báo" trên dòng</t>
  </si>
  <si>
    <t>Hệ thống bật hoặc tắt chế độ gửi thư cảnh báo cho loại yêu cầu tương ứng. Trạng thái mới chỉ được ghi nhận vào cơ sở dữ liệu sau khi NSD bấm "Lưu cấu hình".</t>
  </si>
  <si>
    <t>Hệ thống không cho phép bật/tắt trên dòng</t>
  </si>
  <si>
    <r>
      <rPr>
        <rFont val="Times New Roman"/>
        <color rgb="FF1155CC"/>
        <sz val="12.0"/>
        <u/>
      </rPr>
      <t>QLCHTHXLHS_05.webm</t>
    </r>
  </si>
  <si>
    <t>✅ Loại 2 — cập nhật đặc tả rồi Dev làm theo đặc tả mới (BA duyệt 24/07/2026). Web đang ĐÚNG: thẻ SLA đã đổi sang bảng chỉ đọc kèm nút "Sửa" từng dòng mở cửa sổ, nút bật/tắt "Gửi email" sửa trong cửa sổ đó — chức năng cấu hình không mất và an toàn hơn khi thao tác nhiều dòng. BA đã cập nhật đặc tả màn Cấu hình hệ thống theo mô hình này (srs-fr-10-quan-tri.md:1769-1770, ghi chú :1774), thay cho thiết kế gốc bật/tắt ngay trên dòng kèm một nút Lưu chung. Dev KHÔNG sửa code. Kính đề nghị Quý đối tác cập nhật Kết quả mong đợi theo mô hình sửa qua cửa sổ.
── CÁCH VERIFY theo đặc tả mới ──
Precondition: admin (QTHT), /quan-tri/cau-hinh → thẻ "Thời hạn xử lý (SLA)", chú ý dòng VU_VIEC.
1) Ghi lại trạng thái bật/tắt hiện tại của cột "Gửi email" ở dòng VU_VIEC.
2) Bấm "Sửa" dòng VU_VIEC → tìm mục bật/tắt gửi email cảnh báo trong cửa sổ → đảo trạng thái → xác nhận lưu.
3) Đóng cửa sổ và đọc lại cột "Gửi email" dòng VU_VIEC; sau đó tải lại trang và đọc lần nữa.
✅ PASS khi: mục gửi email sửa được trong cửa sổ Sửa, lưu báo thành công, và giá trị trên bảng đổi đúng theo giá trị mới kể cả sau khi tải lại trang.
❌ FAIL nếu: cửa sổ Sửa không có mục bật/tắt gửi email; hoặc lưu xong giá trị không đổi; hoặc giá trị quay về cũ sau khi tải lại trang.
⚠️ Nút bật/tắt ngay trên dòng của bảng KHÔNG bấm được là đúng thiết kế mới (bảng chỉ đọc) — không tính FAIL.</t>
  </si>
  <si>
    <t>QLCHTHXLHS_06</t>
  </si>
  <si>
    <t>Bật/tắt gửi thông báo trong hệ thống</t>
  </si>
  <si>
    <t>1. Chọn menu "Quản trị hệ thống"=&gt; "Cấu hình hệ thống"
2. Bấm công tắc "Gửi thông báo trong hệ thống" trên dòng</t>
  </si>
  <si>
    <t>II.2</t>
  </si>
  <si>
    <t>Hệ thống bật hoặc tắt chế độ gửi thông báo trong ứng dụng cho loại yêu cầu tương ứng. Trạng thái mới chỉ được ghi nhận vào cơ sở dữ liệu sau khi NSD bấm "Lưu cấu hình".</t>
  </si>
  <si>
    <r>
      <rPr>
        <rFont val="Times New Roman"/>
        <color rgb="FF1155CC"/>
        <sz val="12.0"/>
        <u/>
      </rPr>
      <t>QLCHTHXLHS_06.webm</t>
    </r>
  </si>
  <si>
    <t>Quản lý tiếp nhận xử lý hỏi đáp, vướng mắc pháp lý</t>
  </si>
  <si>
    <t>✅ Loại 2 — cập nhật đặc tả rồi Dev làm theo đặc tả mới (BA duyệt 24/07/2026). Web đang ĐÚNG: nút bật/tắt "Gửi thông báo app" nằm trong cửa sổ Sửa của từng dòng cấu hình thời hạn, bảng để chỉ đọc. BA đã cập nhật đặc tả theo mô hình sửa qua cửa sổ (srs-fr-10-quan-tri.md:1769-1770, ghi chú :1774), thay cho thiết kế gốc bật/tắt trên dòng kèm nút Lưu chung. Dev KHÔNG sửa code. Kính đề nghị Quý đối tác cập nhật Kết quả mong đợi.
── CÁCH VERIFY theo đặc tả mới ──
Precondition: admin (QTHT), /quan-tri/cau-hinh → thẻ "Thời hạn xử lý (SLA)", chú ý dòng HO_SO_HT.
1) Ghi lại trạng thái cột "Thông báo app" của dòng HO_SO_HT và của dòng VU_VIEC.
2) Bấm "Sửa" dòng HO_SO_HT → đảo trạng thái mục gửi thông báo trong ứng dụng → xác nhận lưu.
3) Đọc lại cột "Thông báo app" dòng HO_SO_HT, rồi bấm "Sửa" lại chính dòng đó để đối chiếu giá trị trong cửa sổ.
4) Đọc lại cột "Thông báo app" dòng VU_VIEC.
✅ PASS khi: giá trị dòng HO_SO_HT đổi đúng ở cả bảng và cửa sổ Sửa sau khi lưu, và dòng VU_VIEC giữ nguyên như bước 1.
❌ FAIL nếu: cửa sổ Sửa thiếu mục bật/tắt thông báo trong ứng dụng; hoặc giá trị không lưu được; hoặc thao tác làm đổi luôn dòng khác.
⚠️ Nút bật/tắt ngay trên dòng của bảng không bấm được là đúng thiết kế mới — không tính FAIL.</t>
  </si>
  <si>
    <t>QLCHTHXLHS_07</t>
  </si>
  <si>
    <t>Kiểm tra màn hình/popup chỉnh sửa khi nhấn vàp biểu tượng chỉnh sửa tại dòng</t>
  </si>
  <si>
    <t>1. Chọn menu "Quản trị hệ thống"=&gt; "Cấu hình hệ thống"
2. Nhấn vàp biểu tượng chỉnh sửa tại dòng</t>
  </si>
  <si>
    <t>- Hệ thống hiển thị các trường thông tin giống với thiết kế, hệ thống tự động nhập giá trị hiện tại
- Dữ liệu hiển thị đúng định dạng và trường thông tin
- Dữ liệu hiển thị không bị tràn/đè lên nhau, đồng nhất ngôn ngữ hiển thị</t>
  </si>
  <si>
    <t>- Thiếu trường thông tin "Số ngày bổ sung tối đa"
- SRS không có Hệ số quá hạn nhưng prototype có trường thông tin này</t>
  </si>
  <si>
    <r>
      <rPr>
        <rFont val="Times New Roman"/>
        <color rgb="FF1155CC"/>
        <sz val="12.0"/>
        <u/>
      </rPr>
      <t>QLCHTHXLHS_07.jpg</t>
    </r>
  </si>
  <si>
    <t>Tiếp nhận xử lý hỏi đáp, vướng mắc pháp lý</t>
  </si>
  <si>
    <t>Thực hiện thao tác tiếp nhận và chuyển yêu cầu vào quy trình phân công xử lý.</t>
  </si>
  <si>
    <t>- User CB_NV đã đăng nhập.
 - Tồn tại bản ghi ở trạng thái Mới có đơn vị xử lý thuộc tài khoản đang đăng nhập.</t>
  </si>
  <si>
    <t>1. Vào menu Trang chủ &gt; Hỏi đáp pháp lý
2/ Mở danh sách tab "Mới".
3. Chọn bản ghi ở trạng thái Mới có đơn vị xử lý thuộc tài khoản đang đăng nhập..
4. Nhấn [Tiếp nhận].
5. Xác nhận tiếp nhận</t>
  </si>
  <si>
    <t xml:space="preserve">- Tại bước 4: Hệ thống mở hộp thoại xác nhận có trường "Ghi chú tiếp nhận" (không bắt buộc, tối đa 1.000 ký tự)
- Tại bước 5: 
+ Chuyển trạng thái hỏi đáp: "Mới" → "Tiếp nhận".
+ Ghi nhận người tiếp nhận là NSD đang đăng nhập và thời điểm tiếp nhận là thời điểm hiện tại.
+ Tính thời hạn xử lý = ngày tiếp nhận + N ngày làm việc (N lấy từ cấu hình thời hạn xử lý hỏi đáp).
+ Lưu ghi chú tiếp nhận (nếu có) vào nhật ký thao tác.
+ Lưu vết thao tác theo quy định.
</t>
  </si>
  <si>
    <r>
      <rPr>
        <rFont val="Times New Roman"/>
        <color rgb="FF1155CC"/>
        <sz val="12.0"/>
        <u/>
      </rPr>
      <t>TNXLHDVMPL_01.jpg</t>
    </r>
  </si>
  <si>
    <t>- Đã bổ sung trường "Số ngày bổ sung tối đa" vào form và đã bỏ trường "Hệ số quá hạn" khỏi form — phần này đã đúng.
- Tuy nhiên trường "Số ngày bổ sung tối đa" chưa bắt buộc và chưa chặn giá trị 0 với loại yêu cầu khác Hỏi đáp: khi sửa cấu hình loại "Vụ việc hỗ trợ pháp lý", nhập 0 hoặc để trống vẫn lưu thành công, không hiện thông báo lỗi.
- Đề nghị với loại khác Hỏi đáp phải bắt buộc nhập và chỉ chấp nhận số nguyên dương (&gt; 0); nhập 0 hoặc bỏ trống cần báo lỗi "Số ngày bổ sung tối đa phải là số nguyên dương".</t>
  </si>
  <si>
    <t>QLDMTCDGHQ_06</t>
  </si>
  <si>
    <t>- Màn hình/popup có trường thông tin ""Danh mục cha"" nhưng tài liệu SRS không có</t>
  </si>
  <si>
    <t>Tiếp nhận và mở chi tiết — Stepper hiển thị đúng</t>
  </si>
  <si>
    <r>
      <rPr>
        <rFont val="Times New Roman"/>
        <color rgb="FF1155CC"/>
        <sz val="12.0"/>
        <u/>
      </rPr>
      <t>QLDMTCDGHQ_06.jpg</t>
    </r>
  </si>
  <si>
    <t>- User CB_NV đã đăng nhập.
- Tiếp nhận bản ghi ở uc TNXLHDVMPL_01 thành công.</t>
  </si>
  <si>
    <t>1. Click vào bản ghi đã tiếp nhận.
2. Kiểm tra SCR-II-02 (Chi tiết).</t>
  </si>
  <si>
    <t>- Stepper 6 bước hiển thị, bước "Tiếp nhận" được highlight active.
 - Accordion Thông tin câu hỏi hiển thị đầy đủ.</t>
  </si>
  <si>
    <r>
      <rPr>
        <rFont val="Times New Roman"/>
        <color rgb="FF1155CC"/>
        <sz val="12.0"/>
        <u/>
      </rPr>
      <t>TNXLHDVMPL_02.jpg</t>
    </r>
  </si>
  <si>
    <t>✅ Bug đúng (BA 24/07/2026). Dev FE: form Thêm mới tab "Tiêu chí đánh giá hiệu quả" không được hiển thị trường "Danh mục cha" — TPL-DM-CRUD §Inputs chung chỉ 5 trường (srs-fr-10-quan-tri.md:77-83); FR-VIII-11 §trường riêng chỉ thêm trọng số, thang điểm min, thang điểm max và loai_danh_muc do hệ thống gán (:546-553); ghi chú SRS :85 giới hạn danh mục cha cho loại cấu trúc cây. Khi ẩn trường cha phải giữ nguyên 3 trường riêng của tab. Minor.
── CÁCH VERIFY sau Dev fix ──
Precondition: account admin (QTHT); tab "Tiêu chí đánh giá hiệu quả".
1) [Thêm mới] → đọc nhãn từng trường.
2) Nhập Mã = TCHQ_TEST, Tên = "Tiêu chí kiểm thử", Trọng số = 10, Thang điểm min = 1, Thang điểm max = 5 → Lưu.
3) Bấm Sửa bản ghi vừa tạo → đọc lại nhãn trường.
✅ PASS khi: form Thêm mới và form Sửa đều không còn "Danh mục cha"; bộ trường còn lại đúng Mã*, Tên*, Mô tả, Thứ tự, Trọng số*, Thang điểm min*, Thang điểm max*, Trạng thái (SRS :548-553); bước 2 lưu thành công.
❌ FAIL nếu: còn ô "Danh mục cha"; hoặc việc ẩn trường cha làm mất/ẩn nhầm một trong 3 trường Trọng số, Thang điểm min, Thang điểm max.
⚠️ Sau khi lưu, hệ thống báo cảnh báo tổng trọng số khác 100% là ĐÚNG đặc tả (SRS :559-560 và :566 — chỉ cảnh báo, vẫn cho lưu) — không tính FAIL.
Dọn data: xóa bản ghi TCHQ_TEST sau khi kiểm.</t>
  </si>
  <si>
    <t>QLDMTCDGHQ_12</t>
  </si>
  <si>
    <r>
      <rPr>
        <rFont val="Times New Roman"/>
        <color rgb="FF1155CC"/>
        <sz val="12.0"/>
        <u/>
      </rPr>
      <t>QLDMTCDGHQ_12.jpg</t>
    </r>
  </si>
  <si>
    <t>Tiếp nhận vào Thứ 6 — deadline tính đúng ngày làm việc</t>
  </si>
  <si>
    <t>- User CB_NV đã đăng nhập.
 - HD-011 ở trạng thái MOI.
 - Hôm nay là Thứ 6.</t>
  </si>
  <si>
    <t>1. Tiếp nhận HD-011 vào Thứ 6 (18/04/2026).
 2. Kiểm tra deadline.</t>
  </si>
  <si>
    <t>- Deadline = Thứ 6 (18/04) + 5 ngày làm việc = skip Thứ 7+CN → Thứ 5 (24/04/2026) hoặc muộn hơn nếu có NGAY_LE.
 - SLA chỉ đếm T2-T6, trừ nghỉ lễ.</t>
  </si>
  <si>
    <r>
      <rPr>
        <rFont val="Times New Roman"/>
        <color rgb="FF1155CC"/>
        <sz val="12.0"/>
        <u/>
      </rPr>
      <t>TNXLHDVMPL_03.jpg</t>
    </r>
  </si>
  <si>
    <t>✅ Bug đúng (BA 24/07/2026, Cụm A). Dev FE: form Sửa tab "Tiêu chí đánh giá hiệu quả" không được hiển thị trường "Danh mục cha" — TPL-DM-CRUD §Inputs chung chỉ 5 trường (srs-fr-10-quan-tri.md:77-83); FR-VIII-11 (UC109) §trường riêng chỉ thêm trọng số, thang điểm min, thang điểm max + loai_danh_muc do hệ thống gán (:546-553); ghi chú :85 giới hạn danh mục cha cho loại cấu trúc cây. Khi ẩn trường cha phải giữ nguyên 3 trường riêng của tab. Minor.
── CÁCH VERIFY sau Dev fix ──
Precondition: account admin (QTHT); tab "Tiêu chí đánh giá hiệu quả"; chọn 1 tiêu chí có sẵn.
1) Bấm [Sửa] một tiêu chí đang có → đọc nhãn từng trường.
2) Chỉnh Trọng số/Thang điểm rồi Lưu để kiểm form vẫn hoạt động.
✅ PASS khi: form Sửa không còn "Danh mục cha"; bộ trường còn lại đúng Mã*, Tên*, Mô tả, Thứ tự, Trọng số*, Thang điểm min*, Thang điểm max*, Trạng thái (SRS :548-553); lưu thành công.
❌ FAIL nếu: còn ô "Danh mục cha"; HOẶC ẩn trường cha làm mất/ẩn nhầm một trong 3 trường Trọng số, Thang điểm min, Thang điểm max.
⚠️ Sau khi lưu, hệ thống cảnh báo tổng trọng số khác 100% là ĐÚNG đặc tả (SRS :559-560, :566 — chỉ cảnh báo, vẫn cho lưu) — không tính FAIL. Tab cấu trúc cây giữ trường cha là đúng SRS :85.</t>
  </si>
  <si>
    <t>QLDMTCDGHQ_17</t>
  </si>
  <si>
    <t>Chuyển trang</t>
  </si>
  <si>
    <t>1. Đăng nhập tài khoản 
2. Tổng số mục danh mục trong tab đang chọn lớn hơn 20</t>
  </si>
  <si>
    <t xml:space="preserve">1. Chọn menu "Quản trị hệ thống"
2. Bấm vào tên loại danh mục ở cột bên trái
3. Bấm số trang hoặc nút "‹" / "›" </t>
  </si>
  <si>
    <t xml:space="preserve">- Chuyển sang trang trước / sau.
- Hệ thống hiển thị thông tin "Hiển thị {từ}-{đến} / {tổng} kết quả".
</t>
  </si>
  <si>
    <t>Lỗi phân trang</t>
  </si>
  <si>
    <t>Tiếp nhận bản ghi đã bị xóa → lỗi</t>
  </si>
  <si>
    <t>- User CB_NV đã đăng nhập.
 - HD-013 ở MOI trên danh sách.
 - CB khác đã xóa mềm HD-013 (is_deleted=1).</t>
  </si>
  <si>
    <r>
      <rPr>
        <rFont val="Times New Roman"/>
        <color rgb="FF1155CC"/>
        <sz val="12.0"/>
        <u/>
      </rPr>
      <t>QLDMTCDGHQ_17.webm</t>
    </r>
  </si>
  <si>
    <t>1. CB_NV nhấn [Tiếp nhận] HD-013 (đã bị xóa nhưng danh sách chưa refresh).</t>
  </si>
  <si>
    <t>- Lỗi **ERR-TN-02**: "Hỏi đáp không tồn tại hoặc đã bị xóa".
 - Không thay đổi trạng thái.</t>
  </si>
  <si>
    <r>
      <rPr>
        <rFont val="Times New Roman"/>
        <color rgb="FF1155CC"/>
        <sz val="12.0"/>
        <u/>
      </rPr>
      <t>TNXLHDVMPL_04.jpg</t>
    </r>
  </si>
  <si>
    <t>QLDMTCDGHTCP_06</t>
  </si>
  <si>
    <t>Tiếp nhận bản ghi ở trạng thái TIEP_NHAN → bị chặn</t>
  </si>
  <si>
    <t>- User CB_NV đã đăng nhập.
 - HD-015 đã ở TIEP_NHAN.</t>
  </si>
  <si>
    <t>- Tên trường thông tin "Tỷ lệ phần trăm", "Mức chi phí tối đa" không giống với thiết kế
- Màn hình/popup có trường thông tin ""Danh mục cha"" nhưng tài liệu SRS không có</t>
  </si>
  <si>
    <r>
      <rPr>
        <rFont val="Times New Roman"/>
        <color rgb="FF1155CC"/>
        <sz val="12.0"/>
        <u/>
      </rPr>
      <t>QLDMTCDGHTCP_06.jpg</t>
    </r>
  </si>
  <si>
    <t>1. Thử nhấn [Tiếp nhận] cho HD-015.</t>
  </si>
  <si>
    <t xml:space="preserve">- Nút [Tiếp nhận] bị ẩn cho bản ghi không ở trạng thái MOI.
</t>
  </si>
  <si>
    <r>
      <rPr>
        <rFont val="Times New Roman"/>
        <color rgb="FF1155CC"/>
        <sz val="12.0"/>
        <u/>
      </rPr>
      <t>TNXLHDVMPL_05.jpg</t>
    </r>
  </si>
  <si>
    <t>✅ Bug đúng (BA 24/07/2026) — ý 1 là lỗi, ý 2 KHÔNG phải lỗi. Dev FE (ý 1): form Thêm mới của tab "Tiêu chí đánh giá hỗ trợ chi phí" không được hiển thị trường "Danh mục cha" — đây là danh mục phẳng, không phân cấp: mẫu dùng chung TPL-DM-CRUD §Inputs chung chỉ có 5 trường mã / tên / mô tả / thứ tự / trạng thái (srs-fr-10-quan-tri.md:77-83); ghi chú :85 chốt "danh_muc_cha_id chỉ áp cho các loại danh mục có cấu trúc cây/phân cấp"; modal CRUD của SCR-VIII-01 cũng chỉ liệt kê 5 trường + nút Hủy/Lưu (:1590-1595); FR-VIII-12 §Inputs trường riêng chỉ thêm quy_mo_dn, muc_ho_tro_phan_tram, tran_ho_tro_nam (:582-587). Kèm theo: backend không lưu danh mục cha cho loại phẳng, dọn dữ liệu nếu có bản ghi phẳng đã bị gán cha. Ý 2 (nhãn 2 trường bổ sung): đặc tả chỉ đặt tên CỘT trong bảng danh sách là "Mức hỗ trợ (%)" / "Trần hỗ trợ/năm (VNĐ)" (:1617), KHÔNG ràng buộc chữ trên nhãn của form nhập → nhãn hiện tại không vi phạm đặc tả; BA khuyến nghị đồng bộ cách gọi giữa form và bảng danh sách như yêu cầu cải tiến ưu tiên thấp, đối tác KHÔNG cần đổi Kết quả mong đợi. Minor.
── CÁCH VERIFY sau Dev fix ──
Precondition: account admin (vai trò QTHT); Quản trị hệ thống → Danh mục dùng chung → tab "Tiêu chí đánh giá hỗ trợ chi phí" (/quan-tri/danh-muc/TIEU_CHI_DG_CHI_PHI).
1) Bấm [Thêm mới] → đếm số trường trong form + đọc đủ nhãn từng trường.
2) Nhập Mã = TCCP_TEST_01, Tên = "Kiểm thử tiêu chí chi phí", Quy mô doanh nghiệp = Siêu nhỏ, ô phần trăm = 100, ô mức tiền = 3.000.000 → Lưu.
3) Mở lại bản ghi TCCP_TEST_01 bằng [Sửa] → soát lại danh sách trường một lần nữa.
✅ PASS khi: cả bước 1 và bước 3 KHÔNG còn trường/ô chọn "Danh mục cha"; form vẫn đủ 5 trường chung (mã, tên, mô tả, thứ tự, trạng thái) + 3 trường riêng của tab (quy mô DN, ô phần trăm, ô mức tiền); bản ghi TCCP_TEST_01 lưu thành công và không mang danh mục cha nào.
❌ FAIL nếu: form còn trường "Danh mục cha" ở bất kỳ bước nào (kể cả dạng tùy chọn, để mờ, không chặn lưu), hoặc thiếu 1 trong 8 trường hợp lệ nêu trên, hoặc bản ghi lưu xong vẫn gắn danh mục cha.
⚠️ KHÔNG tính FAIL nếu nhãn 2 trường vẫn ghi "Tỷ lệ phần trăm" / "Mức chi phí tối đa" — BA chốt nhãn form không vi phạm đặc tả; đồng bộ nhãn là cải tiến tách riêng, không phải điều kiện đóng bug này.
⚠️ Tab "Cơ quan đơn vị" và "Lĩnh vực kinh doanh" VẪN phải giữ trường cha (danh mục cấu trúc cây, :85) — mất trường cha ở 2 tab đó mới là lỗi ngược, đừng nhầm.
Dọn dữ liệu: xóa TCCP_TEST_01 sau khi verify xong.</t>
  </si>
  <si>
    <t>QLDMTCDGHTCP_12</t>
  </si>
  <si>
    <r>
      <rPr>
        <rFont val="Times New Roman"/>
        <color rgb="FF1155CC"/>
        <sz val="12.0"/>
        <u/>
      </rPr>
      <t>QLDMTCDGHTCP_12.jpg</t>
    </r>
  </si>
  <si>
    <t>CB NV BN tiếp nhận bản ghi thuộc đơn vị khác → bị chặn</t>
  </si>
  <si>
    <t>✅ Bug đúng (BA 24/07/2026) — ý 1 là lỗi, ý 2 KHÔNG phải lỗi. Dev FE (ý 1): form Sửa của tab "Tiêu chí đánh giá hỗ trợ chi phí" không được hiển thị trường "Danh mục cha" — TPL-DM-CRUD §Inputs chung 5 trường (srs-fr-10-quan-tri.md:77-83) + ghi chú :85 (danh_muc_cha_id chỉ dành cho loại danh mục cấu trúc cây) + modal CRUD SCR-VIII-01 (:1590-1595) đều không có trường cha; FR-VIII-12 §trường riêng chỉ thêm quy_mo_dn / muc_ho_tro_phan_tram / tran_ho_tro_nam (:582-587). Vì Thêm và Sửa dùng cùng component form danh mục dùng chung, sửa 1 lần là hết cả 2 chiều; kèm theo backend không lưu danh mục cha cho loại phẳng + dọn dữ liệu bản ghi phẳng đã bị gán cha (3 bản ghi seed theo NĐ18/2026: Siêu nhỏ, Nhỏ, Vừa — :589). Ý 2 (nhãn 2 trường bổ sung): đặc tả chỉ quy định tên CỘT bảng danh sách "Mức hỗ trợ (%)" / "Trần hỗ trợ/năm (VNĐ)" (:1617), không ràng buộc nhãn trên form → không phải lỗi; đồng bộ nhãn là cải tiến ưu tiên thấp, đối tác KHÔNG cần đổi Kết quả mong đợi. Minor.
── CÁCH VERIFY sau Dev fix ──
Precondition: account admin (vai trò QTHT); tab "Tiêu chí đánh giá hỗ trợ chi phí" đã có sẵn 3 bản ghi seed (Siêu nhỏ / Nhỏ / Vừa).
1) Bấm [Sửa] trên bản ghi "Siêu nhỏ" → đọc đủ nhãn trường trong form, kiểm cả vùng cuộn xuống cuối form.
2) Đổi ô phần trăm 100 → 90, giữ nguyên các trường khác → Lưu → mở lại [Sửa] xem giá trị đã là 90.
3) Lặp bước 1 cho 2 bản ghi còn lại ("Nhỏ", "Vừa") để chắc không phải chỉ 1 bản ghi được ẩn trường.
4) Trả ô phần trăm của "Siêu nhỏ" về 100 → Lưu (hoàn nguyên dữ liệu seed).
✅ PASS khi: cả 3 bản ghi mở form Sửa đều KHÔNG có trường "Danh mục cha"; sửa + lưu thành công, giá trị đọc lại đúng giá trị vừa nhập; không bản ghi nào còn dữ liệu danh mục cha tồn dư.
❌ FAIL nếu: form Sửa còn trường "Danh mục cha" ở bất kỳ bản ghi nào, hoặc lưu xong giá trị không đổi / báo lỗi, hoặc bản ghi cũ vẫn hiển thị một danh mục cha đã gán trước đây.
⚠️ Verify trên form SỬA (không phải Thêm mới) — QLDMTCDGHTCP_06 phụ trách chiều Thêm; hai dòng đóng độc lập dù cùng 1 lần Dev fix.
⚠️ KHÔNG tính FAIL nếu nhãn vẫn là "Tỷ lệ phần trăm" / "Mức chi phí tối đa" (BA chốt không vi phạm đặc tả).</t>
  </si>
  <si>
    <t>- User CB_NV_BN (Bộ KH&amp;ĐT) đã đăng nhập.
 - Bản ghi thuộc đơn vị TW ở MOI.</t>
  </si>
  <si>
    <t>1. Thử truy cập/tiếp nhận bản ghi (thuộc TW).</t>
  </si>
  <si>
    <t>- Bản ghi KHÔNG xuất hiện trong danh sách CB_NV_BN (BR-AUTH-08).</t>
  </si>
  <si>
    <t>QLDMLTK_06</t>
  </si>
  <si>
    <r>
      <rPr>
        <rFont val="Times New Roman"/>
        <color rgb="FF1155CC"/>
        <sz val="12.0"/>
        <u/>
      </rPr>
      <t>TNXLHDVMPL_06.jpg</t>
    </r>
  </si>
  <si>
    <r>
      <rPr>
        <rFont val="Times New Roman"/>
        <color rgb="FF1155CC"/>
        <sz val="12.0"/>
        <u/>
      </rPr>
      <t>QLDMLTK_06.jpg</t>
    </r>
  </si>
  <si>
    <t>✅ Bug đúng (BA 24/07/2026). Dev FE: tab "Loại tài khoản" là danh mục phẳng nên form Thêm/Sửa không được có trường "Danh mục cha" — TPL-DM-CRUD §Inputs chung chỉ 5 trường (srs-fr-10-quan-tri.md:77-83); FR-VIII-13 §trường riêng chỉ thêm loai_danh_muc = LOAI_TAI_KHOAN do hệ thống gán (:602-606); modal CRUD SCR-VIII-01 cũng chỉ 5 trường + nút (:1590-1595); ghi chú :85 giới hạn danh mục cha cho loại cấu trúc cây. Backend không lưu danh mục cha cho loại phẳng. Minor.
── CÁCH VERIFY sau Dev fix ──
Precondition: account admin (QTHT); tab "Loại tài khoản" (seed 11 loại: CB NV TW … QTHT — SRS :608).
1) [Thêm mới] → đọc nhãn từng trường.
2) Bấm Sửa bản ghi "QTHT" → đọc lại nhãn trường, kiểm không còn ô cha nạp sẵn giá trị.
3) Đóng form → xem bảng danh sách 11 loại.
✅ PASS khi: cả form Thêm mới và form Sửa chỉ còn Mã, Tên, Mô tả, Thứ tự, Trạng thái — không còn "Danh mục cha"; bảng danh sách hiển thị phẳng, không cột cha, không thụt lề cha–con.
❌ FAIL nếu: còn ô "Danh mục cha" ở form Thêm hoặc form Sửa, kể cả khi để trống hoặc bị vô hiệu hóa.
⚠️ Đừng lấy bản ghi seed để thử xóa — loại tài khoản đang gán cho tài khoản người dùng sẽ bị từ chối xóa theo ràng buộc SRS :609; đó không phải lỗi của lần fix này.</t>
  </si>
  <si>
    <t>Quản lý thông tin tiếp nhận xử lý hỏi đáp, vướng mắc pháp lý</t>
  </si>
  <si>
    <t>Quản lý các thông tin liên quan đến quá trình xử lý (người phân công, thời hạn xử lý, trạng thái luân chuyển).</t>
  </si>
  <si>
    <t>Lưu ý uc 13 và 18 gần tương tự nhau</t>
  </si>
  <si>
    <t>QLDMLTK_12</t>
  </si>
  <si>
    <r>
      <rPr>
        <rFont val="Times New Roman"/>
        <color rgb="FF1155CC"/>
        <sz val="12.0"/>
        <u/>
      </rPr>
      <t>QLDMLTK_11.jpg</t>
    </r>
  </si>
  <si>
    <t>✅ Bug đúng (BA 24/07/2026, Cụm A). Dev FE: tab "Loại tài khoản" là danh mục phẳng nên form Sửa không được có trường "Danh mục cha" — TPL-DM-CRUD §Inputs chung chỉ 5 trường (srs-fr-10-quan-tri.md:77-83); FR-VIII-13 (UC111) §trường riêng chỉ thêm loai_danh_muc = LOAI_TAI_KHOAN do hệ thống gán (:602-606); modal CRUD SCR-VIII-01 cũng chỉ 5 trường + nút (:1590-1595); ghi chú :85 giới hạn danh mục cha cho loại cấu trúc cây. Backend không lưu danh mục cha cho loại phẳng. Minor.
── CÁCH VERIFY sau Dev fix ──
Precondition: account admin (QTHT); tab "Loại tài khoản" (seed 11 loại: CB NV TW … QTHT — SRS :608).
1) Bấm [Sửa] bản ghi "QTHT" → đọc nhãn từng trường, kiểm không còn ô cha nạp sẵn giá trị.
2) Đóng form → xem bảng danh sách 11 loại (kiểm phẳng, không cột cha, không thụt lề cha–con).
✅ PASS khi: form Sửa chỉ còn Mã, Tên, Mô tả, Thứ tự, Trạng thái — không còn "Danh mục cha"; bản ghi "QTHT" nạp đúng giá trị; bảng danh sách phẳng.
❌ FAIL nếu: còn ô "Danh mục cha" ở form Sửa, kể cả khi để trống hoặc bị vô hiệu hóa.
⚠️ Đừng lấy bản ghi seed để thử xóa — loại tài khoản đang gán cho tài khoản người dùng sẽ bị từ chối xóa theo ràng buộc SRS :609, đó không phải lỗi của lần fix này. Tab cấu trúc cây giữ trường cha là đúng :85.</t>
  </si>
  <si>
    <t>Xem danh sách đang xử lý — hard filter đúng trạng thái</t>
  </si>
  <si>
    <t>- User CB_NV đã đăng nhập.
 - Tồn tại bản ghi ở TIEP_NHAN, DA_PHAN_CONG, DANG_XU_LY, và DA_DUYET.</t>
  </si>
  <si>
    <t>QLVT_14</t>
  </si>
  <si>
    <t>1. Mở tab "Đang xử lý".
 2. Kiểm tra danh sách.</t>
  </si>
  <si>
    <t xml:space="preserve">- Chỉ hiển thị `trang_thai IN (TIEP_NHAN, DA_PHAN_CONG, DANG_XU_LY)`.
 - KHÔNG hiển thị MOI, DA_DUYET, CONG_KHAI, HOAN_THANH.
 </t>
  </si>
  <si>
    <r>
      <rPr>
        <rFont val="Times New Roman"/>
        <color rgb="FF1155CC"/>
        <sz val="12.0"/>
        <u/>
      </rPr>
      <t>QLTNXLHDVM_01.jpg</t>
    </r>
  </si>
  <si>
    <t>1. Chọn menu "Quản trị hệ thống" =&gt; "Vai trò"
2. Bấm vào tiêu đề cột cần sắp xếp</t>
  </si>
  <si>
    <t xml:space="preserve">- Hệ thống sắp xếp danh sách theo cột đó, luân phiên tăng dần / giảm dần qua mỗi lần bấm.
- Mặc định: hệ thống sắp xếp theo "Tên vai trò" tăng dần.
</t>
  </si>
  <si>
    <t>Không thực hiện được sắp xếp theo cột thông tin</t>
  </si>
  <si>
    <r>
      <rPr>
        <rFont val="Times New Roman"/>
        <color rgb="FF1155CC"/>
        <sz val="12.0"/>
        <u/>
      </rPr>
      <t>QLVT_14.jpg</t>
    </r>
  </si>
  <si>
    <t>Cập nhật thời hạn xử lý kèm lý do thành công</t>
  </si>
  <si>
    <t>- User CB_NV đã đăng nhập.
 - Bản ghi ở **DANG_XU_LY**</t>
  </si>
  <si>
    <t>1. Mở chi tiết Bản ghi.
 2. Nhập thời hạn mới
 3. Nhập lý do thay đổi.
 4. Click [Lưu].</t>
  </si>
  <si>
    <t>Cập nhật thành công, hệ thống hiển thị thông báo "Đã cập nhật thời hạn" và tải lại thông tin trên màn hình.</t>
  </si>
  <si>
    <t>❌ Không phải lỗi (BA xác nhận 24/07/2026).
- BA chốt: hệ thống KHÔNG có quy ước chung buộc mọi màn danh sách phải cho bấm tiêu đề cột để sắp xếp; chức năng này chỉ bật ở màn đặc tả ghi rõ. Màn Vai trò SCR-VIII-02 (srs-fr-10-quan-tri.md:1626-1645) mô tả 10 thành phần màn hình, cột "Tên vai trò" (:1639) không quy định hành vi sắp xếp và màn này không có §Quy tắc tương tác; Acceptance Criteria của FR-VIII-14 (:668) chỉ nêu "danh sách vai trò, phân trang". Đối chiếu: màn Danh mục dùng chung được bật bấm-cột-sắp-xếp RIÊNG cột "Tên" theo STT69 UAT 02/06/2026 (:1585, :1621) — cho thấy chức năng chỉ bật nơi đặc tả ghi rõ. Vậy việc màn Vai trò không cho bấm cột để sắp xếp là đúng thiết kế, không phải lỗi; riêng kỳ vọng "mặc định sắp theo Tên vai trò tăng dần" thì phần mềm đang đáp ứng.
- Bấm tiêu đề cột để sắp xếp là chức năng mới ngoài đặc tả, không bắt buộc cho luồng nghiệp vụ; nếu áp dụng thì nên chuẩn hóa một lần cho toàn hệ thống thay vì xử lý lẻ từng màn. Kính đề nghị Quý đối tác đưa nội dung này vào danh sách yêu cầu cải tiến và cập nhật lại Kết quả mong đợi của QLVT_14 theo đặc tả hiện hành.</t>
  </si>
  <si>
    <r>
      <rPr>
        <rFont val="Times New Roman"/>
        <color rgb="FF1155CC"/>
        <sz val="12.0"/>
        <u/>
      </rPr>
      <t>QLTNXLHDVM_02.jpg</t>
    </r>
  </si>
  <si>
    <t>QLTKND_02</t>
  </si>
  <si>
    <t xml:space="preserve">1. Chọn menu "Quản trị hệ thống" =&gt; "Tài khoản &amp; Phân quyền"
</t>
  </si>
  <si>
    <t>Xem lịch sử Timeline (AUDIT_LOG)</t>
  </si>
  <si>
    <t>- User CB_NV đã đăng nhập.
 - Bản ghi có lịch sử: MOI → TIEP_NHAN → DA_PHAN_CONG → DANG_XU_LY.</t>
  </si>
  <si>
    <t>- Trường thông tin đơn vị dữ liệu không hiển thị theo Danh sách chọn dạng cây
- Các trường có kiểu dữ liệu Danh sách chọn có giá trị mặc định là rỗng(SRS yêu cầu giá trị mặc định là Tất cả)
- Trạng thái có 5 giá trị(SRS yêu cầu trạng thái có 4 giá trị)</t>
  </si>
  <si>
    <r>
      <rPr>
        <rFont val="Times New Roman"/>
        <color rgb="FF1155CC"/>
        <sz val="12.0"/>
        <u/>
      </rPr>
      <t>QLTKND_02.jpg</t>
    </r>
  </si>
  <si>
    <t>1. Mở chi tiết bản ghi vừa cập nhật.
 2. Mở Accordion "lịch sử xử lý" (Timeline).</t>
  </si>
  <si>
    <t>Hệ thống hiển thị dòng thời gian liệt kê toàn bộ các thao tác đã thực hiện trên hỏi đáp theo thứ tự thời gian, gồm các cột: thời điểm, người thực hiện, hành động, giá trị cũ → giá trị mới.</t>
  </si>
  <si>
    <r>
      <rPr>
        <rFont val="Times New Roman"/>
        <color rgb="FF1155CC"/>
        <sz val="12.0"/>
        <u/>
      </rPr>
      <t>QLTNXLHDVM_03.jpg</t>
    </r>
  </si>
  <si>
    <t>✅ Bug ĐÚNG – chuyển dev.
Màn Quản lý tài khoản người dùng (SCR-VIII-03, FR-VIII-15/UC113), thanh bộ lọc có 3 điểm sai so với đặc tả:
- Bộ lọc "Đơn vị" hiển thị danh sách phẳng (liệt kê các Bộ), không phải dạng cây phân cấp; SCR-VIII-03 dòng 1649 quy định "select (tree) — cây đơn vị phân cấp".
- Bộ lọc "Trạng thái" thiếu lựa chọn "Tất cả" và để trống mặc định; SCR-VIII-03 dòng 1650 liệt kê "Tất cả / Chờ kích hoạt / Hoạt động / Tạm khóa / Vô hiệu hóa".
- Bộ lọc "Trạng thái" đang có 5 giá trị, dư trạng thái "Chờ phân quyền"; đặc tả chỉ còn 4 trạng thái (BA chốt 2026-05-07 bỏ CHO_PHAN_QUYEN — SCR-VIII-03 dòng 1650, SM-TAIKHOAN dòng 2030).
Verify bằng tài khoản admin (vai trò QTHT) trên màn Tài khoản &amp; phân quyền, 21/07/2026.
Bug ID: BUG-QLTKND_02.</t>
  </si>
  <si>
    <t>QLTKND_03</t>
  </si>
  <si>
    <t>Kiểm tra Thẻ trạng thái (tab nhanh)</t>
  </si>
  <si>
    <t>5 thẻ tab hiển thị số lượng tài khoản theo trạng thái: "Tất cả", "Đang hoạt động", "Chờ kích hoạt", "Tạm khóa", "Vô hiệu hóa". Thẻ "Chờ kích hoạt" dùng màu nhấn (vàng) để thu hút chú ý của Quản trị hệ thống về các tài khoản chưa được người dùng kích hoạt.</t>
  </si>
  <si>
    <t>Màn hình hiển thị 6 thẻ tab. Thẻ "Chờ kích hoạt" không có màu nhấn</t>
  </si>
  <si>
    <r>
      <rPr>
        <rFont val="Times New Roman"/>
        <color rgb="FF1155CC"/>
        <sz val="12.0"/>
        <u/>
      </rPr>
      <t>QLTKND_03.jpg</t>
    </r>
  </si>
  <si>
    <t>✅ Bug ĐÚNG – chuyển dev.
Màn Quản lý tài khoản người dùng (SCR-VIII-03, FR-VIII-15/UC113), thanh thẻ tab lọc theo trạng thái hiển thị 6 thẻ: Tất cả / Hoạt động / Chờ kích hoạt / Tạm khóa / Chờ phân quyền / Vô hiệu hóa.
- SCR-VIII-03 dòng 1652 chỉ quy định 4 thẻ tab: "Tất cả / Hoạt động / Chờ kích hoạt / Tạm khóa".
- Thẻ "Chờ phân quyền" là trạng thái ĐÃ BỎ theo BA chốt 2026-05-07 (bỏ CHO_PHAN_QUYEN, SM-TAIKHOAN còn 4 trạng thái — SCR dòng 1650, dòng 2030) → không được xuất hiện.
- Lưu ý: đối tác ghi kỳ vọng "5 thẻ"; đặc tả thực tế là 4 thẻ. Thẻ dư gồm "Chờ phân quyền" (đã bỏ) và "Vô hiệu hóa" (không nằm trong danh sách tab của đặc tả).
- Về ý "thẻ Chờ kích hoạt không có màu nhấn (vàng)": đặc tả KHÔNG quy định màu cho thẻ tab (màu vàng chỉ áp cho badge trạng thái ở cột danh sách — dòng 1659) → không tính là lỗi.
Verify bằng tài khoản admin (vai trò QTHT), 21/07/2026. Bug ID: BUG-QLTKND_03.</t>
  </si>
  <si>
    <t>Cập nhật thời hạn — thiếu lý do → bị chặn</t>
  </si>
  <si>
    <t>- User CB_NV đã đăng nhập.
 - HD-022 ở DANG_XU_LY.</t>
  </si>
  <si>
    <t>QLTKND_06</t>
  </si>
  <si>
    <t>1. Mở chi tiết HD-022.
 2. Nhập thời hạn mới.
 3. Bỏ trống lý do.
 4. Click [Lưu].</t>
  </si>
  <si>
    <t>- Không cho phép lưu khi lý do trống.</t>
  </si>
  <si>
    <t>1. Chọn menu "Quản trị hệ thống" =&gt; "Tài khoản &amp; phân quyền"
2. Nhập từ khóa không có kết quả</t>
  </si>
  <si>
    <r>
      <rPr>
        <rFont val="Times New Roman"/>
        <color rgb="FF1155CC"/>
        <sz val="12.0"/>
        <u/>
      </rPr>
      <t>QLTNXLHDVM_04.jpg</t>
    </r>
  </si>
  <si>
    <t>Không có kết quả, hệ thống để trống vùng kết quả và hiển thị thông báo "Không tìm thấy tài khoản phù hợp".</t>
  </si>
  <si>
    <t>Hệ thống hiển thị thông báo "Trống"</t>
  </si>
  <si>
    <r>
      <rPr>
        <rFont val="Times New Roman"/>
        <color rgb="FF1155CC"/>
        <sz val="12.0"/>
        <u/>
      </rPr>
      <t>QLTKND_06.jpg</t>
    </r>
  </si>
  <si>
    <t>❌ Không phải lỗi (BA xác nhận 24/07/2026).
- BA chốt: phần mềm không vi phạm quy định nào của đặc tả. Đặc tả nền chưa ban hành quy ước dùng chung về câu thông báo khi tìm kiếm không có kết quả — bảng "Quy tắc dữ liệu chung bổ sung" hiện chỉ có DG-01…DG-08, không có quy tắc nào về nội dung thông báo khi danh sách rỗng (srs-v3.5.md:948-957); nhóm quy ước giao diện cũng chỉ tới UI-11 (srs-v3.5.md:577-580). Màn Quản lý Tài khoản NSD (SCR-VIII-03) chỉ đặc tả ô tìm kiếm theo username / email / họ tên với hành vi "change → filter" (srs-fr-10-quan-tri.md:1661), không quy định câu chữ khi 0 kết quả → hiển thị "Trống" chưa cấu thành lỗi.
- Cải tiến: BA sẽ bổ sung 1 quy ước dùng chung mới phân biệt 2 trạng thái rỗng (tìm kiếm không có kết quả → thông báo theo ngữ cảnh "không tìm thấy … phù hợp"; danh sách chưa có bản ghi → thông báo hướng dẫn thêm mới), sau đó Dev áp cho thành phần trạng thái rỗng dùng chung toàn hệ thống. Kính đề nghị Quý đối tác đưa nội dung này vào danh sách yêu cầu cải tiến.</t>
  </si>
  <si>
    <t>QLTKND_15</t>
  </si>
  <si>
    <t>Kiểm tra trùng tên đăng nhập</t>
  </si>
  <si>
    <t>1. Đăng nhập tài khoản 
2. Tên đăng nhập đã tồn tại</t>
  </si>
  <si>
    <t>1. Chọn menu "Quản trị hệ thống" =&gt; "Tài khoản &amp; phân quyền"
2. Nhấn "Thêm mới"
3. Nhập trùng tên đăng nhập và Nhấn Lưu</t>
  </si>
  <si>
    <t>Hệ thống hiển thị thông báo "Tên đăng nhập '{giá trị}' đã tồn tại"</t>
  </si>
  <si>
    <r>
      <rPr>
        <rFont val="Times New Roman"/>
        <color rgb="FF1155CC"/>
        <sz val="12.0"/>
        <u/>
      </rPr>
      <t>QLTKND_15.jpg</t>
    </r>
  </si>
  <si>
    <t>CB NV ĐP xem timeline bản ghi thuộc đơn vị khác → bị chặn</t>
  </si>
  <si>
    <t>- User CB_NV_DP (Sở TP HN) đã đăng nhập.
 - Bản ghi thuộc đơn vị TW ở DANG_XU_LY.</t>
  </si>
  <si>
    <t>1. Thử truy cập chi tiết bản ghi (đơn vị TW).</t>
  </si>
  <si>
    <t xml:space="preserve">- Bản ghi KHÔNG xuất hiện trong danh sách tab "Đang xử lý" của CB_NV_DP.
</t>
  </si>
  <si>
    <r>
      <rPr>
        <rFont val="Times New Roman"/>
        <color rgb="FF1155CC"/>
        <sz val="12.0"/>
        <u/>
      </rPr>
      <t>QLTNXLHDVM_05.jpg</t>
    </r>
  </si>
  <si>
    <t>✅ Bug ĐÚNG – chuyển dev.
Màn Thêm tài khoản (SCR-VIII-03, FR-VIII-15/UC113): khi thêm TK với tên đăng nhập trùng, 1 lần bấm "Thêm mới" (đo được đúng 1 request POST) nhưng hệ thống hiện 2 thông báo lỗi cùng lúc: "Username đã tồn tại trong hệ thống" và "Tên đăng nhập 'cbnv_tw' đã tồn tại".
- Đo bằng bộ bắt thông báo: 1 request → 2 khung thông báo (KHÔNG tạo bản ghi trùng — chỉ 1 POST bị hệ thống từ chối). Tái hiện ≥5/5 lần.
- Đặc tả FR-VIII-15 §Error Handling E1 (ERR-TK-01, dòng 727) chỉ yêu cầu 1 thông báo "Username '{username}' đã tồn tại".
Verify bằng tài khoản admin (vai trò QTHT), 21/07/2026. Bug ID: BUG-QLTKND_15.</t>
  </si>
  <si>
    <t>QLTKND_17</t>
  </si>
  <si>
    <t>Kiểm tra trùng thư điện tử</t>
  </si>
  <si>
    <t>1. Đăng nhập tài khoản 
2. Thư điện tử đã tồn tại</t>
  </si>
  <si>
    <t>1. Chọn menu "Quản trị hệ thống" =&gt; "Tài khoản &amp; phân quyền"
2. Nhấn "Thêm mới"
3. Nhập trùng tthư điện tử và Nhấn Lưu</t>
  </si>
  <si>
    <t>Hệ thống hiển thị thông báo "Thư điện tử '{giá trị}' đã được sử dụng".</t>
  </si>
  <si>
    <t>Xem danh sách đã xử lý — Read-only</t>
  </si>
  <si>
    <r>
      <rPr>
        <rFont val="Times New Roman"/>
        <color rgb="FF1155CC"/>
        <sz val="12.0"/>
        <u/>
      </rPr>
      <t>QLTKND_17.jpg</t>
    </r>
  </si>
  <si>
    <t>- User CB_NV đã đăng nhập.
 - Tồn tại bản ghi ở DA_DUYET, CONG_KHAI, HOAN_THANH.</t>
  </si>
  <si>
    <t>1. Mở tab "Hoàn thành" 
 2. Kiểm tra danh sách.</t>
  </si>
  <si>
    <t>- Chỉ hiển thị `trang_thai IN (DA_DUYET, CONG_KHAI, HOAN_THANH)`.
 - Read-only: KHÔNG có nút [Thêm mới], [Sửa], [Xóa].
 - Cột bổ sung: `nguoi_duyet`, `ngay_duyet`.</t>
  </si>
  <si>
    <t>Không có cột bổ sung Người duyệt, Ngày duyệt</t>
  </si>
  <si>
    <r>
      <rPr>
        <rFont val="Times New Roman"/>
        <color rgb="FF1155CC"/>
        <sz val="12.0"/>
        <u/>
      </rPr>
      <t>QLTNXLHDVM_06.jpg</t>
    </r>
  </si>
  <si>
    <t>chờ cf lại tách trạng thái hay gộp =&gt; tách trạng thái</t>
  </si>
  <si>
    <t>QLTKND_25</t>
  </si>
  <si>
    <t>1. Chọn menu "Quản trị hệ thống" =&gt; "Tài khoản &amp; phân quyền"
2. Bấm vào tiêu đề cột cần sắp xếp</t>
  </si>
  <si>
    <t>Xem chi tiết đã xử lý — hiển thị toàn bộ lịch sử</t>
  </si>
  <si>
    <t>- User CB_NV đã đăng nhập.
 - Bản ghi ở HOAN_THANH.</t>
  </si>
  <si>
    <t xml:space="preserve">- Hệ thống sắp xếp danh sách theo cột đó, luân phiên tăng dần / giảm dần qua mỗi lần bấm.
- Mặc định: hệ thống sắp xếp theo cột "Lần đăng nhập cuối" giảm dần.
</t>
  </si>
  <si>
    <t>1. Click vào Bản ghi.
 2. Xem SCR-II-02 (Chi tiết).</t>
  </si>
  <si>
    <t>Không thực hiện được sắp xếp theo cột</t>
  </si>
  <si>
    <t>- Hiển thị nội dung phản hồi cuối cùng.
 - Thông tin người duyệt + ngày duyệt.
 - Timeline đầy đủ từ MOI → ... → HOAN_THANH.
 - Tất cả trường bị disabled/locked (BR-FLOW-03).</t>
  </si>
  <si>
    <r>
      <rPr>
        <rFont val="Times New Roman"/>
        <color rgb="FF1155CC"/>
        <sz val="12.0"/>
        <u/>
      </rPr>
      <t>QLTKND_25.jpg</t>
    </r>
  </si>
  <si>
    <r>
      <rPr>
        <rFont val="Times New Roman"/>
        <color rgb="FF1155CC"/>
        <sz val="12.0"/>
        <u/>
      </rPr>
      <t>QLTNXLHDVM_07.jpg</t>
    </r>
  </si>
  <si>
    <t>❌ Không phải lỗi (BA xác nhận 24/07/2026).
- BA chốt: phần mềm đúng đặc tả. Hệ thống KHÔNG có quy ước chung buộc mọi màn danh sách cho bấm tiêu đề cột để sắp xếp; chức năng này chỉ bật ở màn nào đặc tả ghi rõ. Tại màn Quản lý Tài khoản NSD (SCR-VIII-03), cột Tên đăng nhập đặc tả hành vi "click → chi tiết" (srs-fr-10-quan-tri.md:1668) và các cột Họ tên / Email / Đơn vị / Vai trò / Trạng thái đều để hành vi "—", tức không có tương tác sắp xếp (:1669-1673). Đối chiếu ngược: màn Danh mục dùng chung được bổ sung sắp xếp bằng bấm tiêu đề CHỈ ở cột Tên theo [STT69 UAT 2026-06-02], các cột khác vẫn không cho sắp xếp (:1585) → cho thấy đây là tính năng bật theo từng màn, không mặc định toàn hệ thống.
- Cải tiến: nếu muốn chuẩn hoá bấm tiêu đề cột để sắp xếp cho MỌI màn danh sách thì đó là quy ước mới, nên quyết một lần ở cấp toàn hệ thống thay vì xử lẻ từng test case. Kính đề nghị Quý đối tác đưa nội dung này vào danh sách yêu cầu cải tiến; trong lúc chờ, cập nhật Kết quả mong đợi của test case theo đặc tả (chỉ sắp xếp mặc định, không bấm cột).</t>
  </si>
  <si>
    <t>CB_PD_TW xem data cấp BN/ĐP — xem được nhưng KHÔNG duyệt được</t>
  </si>
  <si>
    <t>- User CB_PD_TW đã đăng nhập.
 - HD-090 thuộc cấp BN ở DANG_XU_LY.</t>
  </si>
  <si>
    <t>1. Mở tab "Đang xử lý".
 2. Xác nhận HD-090 (cấp BN) CÓ hiển thị.
 3. Click vào HD-090.</t>
  </si>
  <si>
    <t>- BR-AUTH-04: CB_PD_TW CÓ quyền XEM toàn bộ TW + BN + ĐP.
 - HD-090 hiển thị trong danh sách.
 - Nhưng khi chuyển CHO_PHE_DUYET, nút [Phê duyệt] sẽ bị chặn (BR-AUTH-05: phê duyệt cùng cấp).</t>
  </si>
  <si>
    <r>
      <rPr>
        <rFont val="Times New Roman"/>
        <color rgb="FF1155CC"/>
        <sz val="12.0"/>
        <u/>
      </rPr>
      <t>QLTNXLHDVM_08.jpg</t>
    </r>
  </si>
  <si>
    <t>QLTKND_27</t>
  </si>
  <si>
    <t>Gửi liên kết đặt lại mật khẩu</t>
  </si>
  <si>
    <t>1. Chọn menu "Quản trị hệ thống" =&gt; "Tài khoản &amp; phân quyền"
2. Bấm nút "Đặt lại mật khẩu" trên dòng</t>
  </si>
  <si>
    <t xml:space="preserve">- Chỉ hiển thị khi tài khoản ở trạng thái "Đang hoạt động" hoặc "Tạm khóa".
- Hệ thống sinh liên kết đặt lại mật khẩu (hiệu lực 30 phút) và gửi thư điện tử đến địa chỉ đã khai báo của tài khoản để chính người dùng tự đặt mật khẩu mới 
- Hệ thống hiển thị thông báo "Đã gửi liên kết đặt lại mật khẩu đến thư điện tử của người dùng".
</t>
  </si>
  <si>
    <t>Màn hình không hiển thị nút chức năng</t>
  </si>
  <si>
    <r>
      <rPr>
        <rFont val="Times New Roman"/>
        <color rgb="FF1155CC"/>
        <sz val="12.0"/>
        <u/>
      </rPr>
      <t>QLTKND_27.jpg</t>
    </r>
  </si>
  <si>
    <t>Cập nhật thời hạn — thời hạn mới &lt; ngày hiện tại → kiểm tra ràng buộc</t>
  </si>
  <si>
    <t>❌ Không phải lỗi (BA xác nhận 24/07/2026).
- BA chốt: phần mềm đúng đặc tả hiện hành. Tại màn Quản lý Tài khoản NSD, cột Hành động đã BỎ "Đổi MK" theo [STT80 UAT 2026-06-02] — quản trị viên không đặt/đổi mật khẩu người dùng, việc đặt lại mật khẩu chuyển sang "Gửi lại email kích hoạt" (srs-fr-10-quan-tri.md:1674); form tạo/sửa tài khoản cũng đã bỏ trường Mật khẩu theo cùng quyết định, người dùng tự đặt qua link kích hoạt (:1683, :702); luồng tự phục vụ đặt lại mật khẩu là FR-VIII-26 "Quên mật khẩu / Kích hoạt tài khoản lần đầu" (:1273). Vì vậy việc màn không hiển thị nút đặt lại mật khẩu ở mọi trạng thái tài khoản (Đang hoạt động, Tạm khóa) là đúng thiết kế mới, không phải lỗi; kỳ vọng phải có nút này dựa trên bản thiết kế trước 02/06/2026 đã hết hiệu lực.
- Kính đề nghị Quý đối tác cập nhật Kết quả mong đợi của test case, bỏ yêu cầu nút đặt lại mật khẩu. Ngoại lệ: nếu Chủ đầu tư muốn khôi phục quyền đặt mật khẩu cho quản trị viên thì đây là thay đổi chính sách bảo mật, cần chốt riêng.</t>
  </si>
  <si>
    <t>- User CB_NV đã đăng nhập.
 - Bản ghi ở DANG_XU_LY</t>
  </si>
  <si>
    <t>1. Mở chi tiết bản ghi.
 2. Nhập thời hạn mới &lt; ngày hiện tại.
 3. Click [Lưu].</t>
  </si>
  <si>
    <t xml:space="preserve">- Hệ thống chặn không cho cập nhật ngày &lt; thời hạn hiện tại
</t>
  </si>
  <si>
    <r>
      <rPr>
        <rFont val="Times New Roman"/>
        <color rgb="FF1155CC"/>
        <sz val="12.0"/>
        <u/>
      </rPr>
      <t>QLTNXLHDVM_09.jpg</t>
    </r>
  </si>
  <si>
    <t>QLPQTCDL_06</t>
  </si>
  <si>
    <t>Chọn/Bỏ chọn đơn vị</t>
  </si>
  <si>
    <t>1. Chọn menu "Quản trị hệ thống" =&gt; "Vai trò"
2. Bấm vào ô chọn của một nút trên cây đơn vị</t>
  </si>
  <si>
    <t xml:space="preserve">- Hệ thống bật/tắt ô chọn đó và đồng bộ thông tin sang danh sách nhãn đã chọn.
- Khi bật ô chọn ở nút cha, hệ thống tự động bật toàn bộ ô chọn các nút con trực thuộc.
- Khi tắt ô chọn ở nút cha, hệ thống tự động tắt toàn bộ ô chọn các nút con trực thuộc.
</t>
  </si>
  <si>
    <t>Khi bật ô chọn ở nút cha hệ thống không tự động bật toàn bộ các nút con</t>
  </si>
  <si>
    <r>
      <rPr>
        <rFont val="Times New Roman"/>
        <color rgb="FF1155CC"/>
        <sz val="12.0"/>
        <u/>
      </rPr>
      <t>QLPQTCDL_06.webm</t>
    </r>
  </si>
  <si>
    <t>Tìm kiếm thông tin hỏi đáp, vướng mắc pháp lý đã tiếp 
 nhận xử lý</t>
  </si>
  <si>
    <t>Tìm kiếm các yêu cầu đang nằm trong hàng đợi chờ xử lý hoặc đã được phân công xử lý.</t>
  </si>
  <si>
    <t>✅ Bug ĐÚNG – chuyển dev.
- Màn "Cấu hình phân quyền dữ liệu" (Phân quyền chức năng dữ liệu theo đơn vị – FR-VIII-16 / UC114, SCR-VIII-05 dòng 1715): tick ô chọn ở nút cha trên cây đơn vị KHÔNG tự động tick các nút con.
- Kỳ vọng theo SRS (SCR-VIII-05, dòng 1715): tick nút cha (cấp Trung ương) → tự động tick toàn bộ nút con (cấp Bộ/Ngành và Địa phương); bỏ tick cha → con bỏ theo.
- Verify: đăng nhập QTHT (admin), vai trò "Cán bộ Nghiệp vụ Địa phương", tick nút cha "Cục Bổ trợ tư pháp - Bộ Tư pháp" → chỉ nút cha được tick, 84 nút con vẫn trống, "Đã chọn (1 đơn vị)".
- Bug ID: BUG-QLPQTCDL_06.</t>
  </si>
  <si>
    <t>QLPQCN_02</t>
  </si>
  <si>
    <t>Kiểm tra Bộ chọn vai trò</t>
  </si>
  <si>
    <t>1. Chọn menu "Quản trị hệ thống" =&gt; "Vai trò"
2. Nhấn vào số quyền trên dòng tương ứng</t>
  </si>
  <si>
    <t>Lấy từ danh mục Vai trò. Khi chọn vai trò, hệ thống tải toàn bộ quyền hiện có của vai trò vào ma trận ô chọn bên dưới.</t>
  </si>
  <si>
    <t>Màn hình không hiển thị Bộ chọn vai trò</t>
  </si>
  <si>
    <r>
      <rPr>
        <rFont val="Times New Roman"/>
        <color rgb="FF1155CC"/>
        <sz val="12.0"/>
        <u/>
      </rPr>
      <t>QLPQCN_02.webm</t>
    </r>
  </si>
  <si>
    <r>
      <rPr>
        <rFont val="Times New Roman"/>
        <color rgb="FF1155CC"/>
        <sz val="12.0"/>
        <u/>
      </rPr>
      <t>TKHDVMPLDTNXL_01.jpg</t>
    </r>
  </si>
  <si>
    <t>- Màn phân quyền không cho biết đang thao tác trên vai trò nào: tiêu đề chỉ ghi "Phân quyền vai trò", đường dẫn phía trên ghi "Vai trò / Chi tiết / Quyền hạn", không hiển thị tên hay mã vai trò ở bất kỳ vị trí nào trên màn. Người dùng không có cách tự xác nhận mình đang sửa đúng vai trò trước khi bấm Lưu.
- Chức năng "Reset về mặc định" hiện chỉ bỏ các thay đổi chưa lưu, chưa khôi phục bộ quyền mặc định của vai trò: sau khi lưu một tập quyền đã bị sửa rồi bấm Reset, hệ thống trả về đúng tập vừa lưu chứ không trở lại bộ quyền gốc của vai trò, dù thông báo xác nhận ghi là khôi phục bộ quyền mặc định.
- Nút "Reset về mặc định" cũng bị làm mờ khi màn chưa có thay đổi nào, nên không dùng được để đưa vai trò về mặc định ở trạng thái bình thường.
- Phần đã đạt: mở phân quyền từ danh sách vai trò nạp đúng bộ quyền của từng vai trò (hai vai trò kiểm thử cho hai tập quyền khác nhau); nút Reset có hỏi xác nhận trước khi áp, chọn Hủy thì tập quyền giữ nguyên; bấm Lưu và tải lại màn thì kết quả được giữ.</t>
  </si>
  <si>
    <t>QLPQCN_03</t>
  </si>
  <si>
    <t>Kiểm tra Ma trận Phân quyền</t>
  </si>
  <si>
    <t>Ma trận phân quyền không hiển thị theo Cây chức năng(Danh sách cây)</t>
  </si>
  <si>
    <r>
      <rPr>
        <rFont val="Times New Roman"/>
        <color rgb="FF1155CC"/>
        <sz val="12.0"/>
        <u/>
      </rPr>
      <t>QLPQCN_03.webm</t>
    </r>
  </si>
  <si>
    <t>- Màn phân quyền hiển thị 14 nhóm chức năng dạng gập-mở, nhưng 5 nhóm đang lấy mã kỹ thuật làm tên nhóm: BIEU_MAU, CT_HTPLDN, DOANH_NGHIEP, NGUOI_HO_TRO, TU_VAN — trong khi 9 nhóm còn lại có tên tiếng Việt (Báo cáo, Chi trả, Đánh giá, Đào tạo, Hỏi đáp pháp luật, HTPL địa phương, Quản trị hệ thống, Tư vấn viên, Vụ việc HTPL).
- Tên từng quyền bên trong các nhóm đều viết tiếng Việt KHÔNG dấu, ví dụ "Cap nhat bao cao", "Duyet bao cao", "Xem nhat ky kiem toan" — không đồng nhất với phần còn lại của phần mềm.
- Các nội dung khác đã đạt: mọi nhóm mở ra đều có danh sách quyền, gồm cả quyền cơ bản (xem/thêm/sửa/xóa/phê duyệt/xuất) và quyền nghiệp vụ riêng; tích thêm 1 quyền rồi Lưu, tải lại màn vẫn giữ đúng; ô chọn ở đầu nhóm chọn được toàn bộ quyền trong nhóm và Lưu không báo lỗi.</t>
  </si>
  <si>
    <t>QLLHTNHS_06</t>
  </si>
  <si>
    <r>
      <rPr>
        <rFont val="Times New Roman"/>
        <color rgb="FF1155CC"/>
        <sz val="12.0"/>
        <u/>
      </rPr>
      <t>TKHDVMPLDTNXL_02.jpg</t>
    </r>
  </si>
  <si>
    <r>
      <rPr>
        <rFont val="Times New Roman"/>
        <color rgb="FF1155CC"/>
        <sz val="12.0"/>
        <u/>
      </rPr>
      <t>QLLHTNHS_06.jpg</t>
    </r>
  </si>
  <si>
    <t>✅ Bug đúng (BA 24/07/2026). Dev FE: form Thêm mới của tab "Loại hình tiếp nhận" không được hiển thị trường "Danh mục cha" — đây là danh mục phẳng: FR-VIII-18 (UC116) dùng mẫu TPL-DM-CRUD và §Inputs trường riêng chỉ thêm ma, ten, loai_danh_muc = LOAI_HINH_TIEP_NHAN do hệ thống gán (srs-fr-10-quan-tri.md:870-876); §Inputs chung của mẫu chỉ có 5 trường mã/tên/mô tả/thứ tự/trạng thái (:77-83); ghi chú :85 chốt danh_muc_cha_id chỉ áp cho loại danh mục cấu trúc cây; modal CRUD SCR-VIII-01 cũng chỉ liệt kê 5 trường + nút Hủy/Lưu (:1590-1595) và Tree View chỉ đặc tả cho tab Cơ quan đơn vị (:1597-1604). Kèm theo: backend không lưu danh mục cha cho loại phẳng, dọn dữ liệu nếu có bản ghi đã bị gán cha. Sửa ở component form danh mục dùng chung → áp cho mọi tab phẳng. Minor.
── CÁCH VERIFY sau Dev fix ──
Precondition: account admin (vai trò QTHT); Quản trị hệ thống → Danh mục dùng chung → tab "Loại hình tiếp nhận" (/quan-tri/danh-muc/LOAI_HINH_TIEP_NHAN); tab có sẵn 5 bản ghi seed (Trực tuyến (DVC QG), Trực tiếp, Hệ thống khác, Bưu chính, Điện thoại — :878).
1) Bấm [Thêm mới] → liệt kê toàn bộ nhãn trường trong form + đếm số trường.
2) Nhập Mã = LHTN_TEST_01, Tên = "Kiểm thử loại hình tiếp nhận", Thứ tự = 90, các ô còn lại để mặc định → Lưu.
3) Kiểm bản ghi LHTN_TEST_01 xuất hiện trong danh sách, rồi mở [Sửa] xem lại danh sách trường.
✅ PASS khi: form Thêm mới chỉ còn 5 trường chung (mã, tên, mô tả, thứ tự, trạng thái) — KHÔNG có trường "Danh mục cha" và không có trường lạ ngoài đặc tả; lưu thành công; bản ghi mới không mang danh mục cha; form Sửa ở bước 3 cũng không thấy trường cha.
❌ FAIL nếu: còn ô chọn "Danh mục cha" (kể cả để mờ / tùy chọn / không chặn lưu), hoặc lưu xong bản ghi vẫn có quan hệ cha.
⚠️ Ô "Thứ tự" ở tab NÀY là không bắt buộc, mặc định 0 (:82) — khác tab Tình trạng vụ việc; nếu tab này bắt buộc Thứ tự thì là phát hiện mới, không phải điều kiện đóng bug này.
⚠️ 2 tab danh mục cấu trúc cây (Cơ quan đơn vị, Lĩnh vực kinh doanh) VẪN giữ trường cha — không báo lỗi ngược.
Dọn dữ liệu: xóa LHTN_TEST_01 sau verify.</t>
  </si>
  <si>
    <t>QLLHTNHS_12</t>
  </si>
  <si>
    <r>
      <rPr>
        <rFont val="Times New Roman"/>
        <color rgb="FF1155CC"/>
        <sz val="12.0"/>
        <u/>
      </rPr>
      <t>QLLHTNHS_12.jpg</t>
    </r>
  </si>
  <si>
    <r>
      <rPr>
        <rFont val="Times New Roman"/>
        <color rgb="FF1155CC"/>
        <sz val="12.0"/>
        <u/>
      </rPr>
      <t>TKHDVMPLDTNXL_03.jpg</t>
    </r>
  </si>
  <si>
    <t>✅ Bug đúng (BA 24/07/2026, Cụm A). Dev FE: form Sửa tab "Loại hình tiếp nhận" không được hiển thị trường "Danh mục cha" — danh mục phẳng: FR-VIII-18 (UC116) §trường riêng chỉ thêm ma, ten, loai_danh_muc = LOAI_HINH_TIEP_NHAN do hệ thống gán (srs-fr-10-quan-tri.md:870-876); §Inputs chung chỉ 5 trường (:77-83); ghi chú :85 chốt danh_muc_cha_id chỉ áp loại cấu trúc cây; Tree View chỉ đặc tả cho tab Cơ quan đơn vị (:1597-1604). Backend không lưu danh mục cha cho loại phẳng. Minor.
── CÁCH VERIFY sau Dev fix ──
Precondition: admin (QTHT); tab "Loại hình tiếp nhận" (/quan-tri/danh-muc/LOAI_HINH_TIEP_NHAN); seed 5 bản ghi (Trực tuyến (DVC QG), Trực tiếp, Hệ thống khác, Bưu chính, Điện thoại — :878).
1) Bấm [Sửa] bản ghi "Trực tiếp" → liệt kê toàn bộ nhãn trường + đếm số trường.
2) Đối chiếu với form [Thêm mới] cùng tab.
✅ PASS khi: form Sửa chỉ còn 5 trường chung (Mã, Tên, Mô tả, Thứ tự, Trạng thái) — không có ô "Danh mục cha"; bản ghi "Trực tiếp" nạp đúng giá trị Mã/Tên.
❌ FAIL nếu: form Sửa còn ô "Danh mục cha" (kể cả làm mờ/vô hiệu hóa), HOẶC form Sửa của bản ghi cũ hiển thị giá trị cha đã lưu trước đó.
⚠️ Tab cấu trúc cây (Cơ quan đơn vị) giữ trường cha là đúng SRS :85.</t>
  </si>
  <si>
    <t>QLDMKTNHS_06</t>
  </si>
  <si>
    <r>
      <rPr>
        <rFont val="Times New Roman"/>
        <color rgb="FF1155CC"/>
        <sz val="12.0"/>
        <u/>
      </rPr>
      <t>QLDMKTNHS_06.jpg</t>
    </r>
  </si>
  <si>
    <t>✅ Bug đúng (BA duyệt 24/07/2026). Dev FE: không hiển thị trường "Danh mục cha" trên form Thêm mới danh mục "Kênh tiếp nhận". FR-VIII-19 dùng mẫu TPL-DM-CRUD, trường riêng chỉ gồm mã/tên/loại danh mục (srs-fr-10-quan-tri.md:882-895); mẫu chung 5 trường (:77-83) không khai trường cha, ghi chú BA :85 chốt trường cha chỉ dành cho danh mục cấu trúc cây. Mức Cosmetic — dùng chung component với các tab danh mục phẳng khác.
── CÁCH VERIFY sau Dev fix ──
Precondition: admin (QTHT), tab "Kênh tiếp nhận" (/quan-tri/danh-muc/KENH_TIEP_NHAN), đã có record chuẩn (vd CONG_DVC).
1) Bấm [+ Thêm mới] → đọc danh sách nhãn trường của form.
2) Bấm "Sửa" record CONG_DVC → đọc danh sách nhãn trường.
3) Chuyển sang tab "Cơ quan đơn vị" (danh mục cấu trúc cây) và mở form thêm/sửa 1 đơn vị.
✅ PASS khi: cả form Thêm mới lẫn form Sửa của tab Kênh tiếp nhận chỉ còn Mã*, Tên*, Mô tả, Thứ tự, Trạng thái — không có ô chọn danh mục cha; đồng thời tab Cơ quan đơn vị VẪN giữ được quan hệ đơn vị cha.
❌ FAIL nếu: tab Kênh tiếp nhận còn ô chọn danh mục cha; HOẶC bản sửa gỡ luôn quan hệ cha ở tab Cơ quan đơn vị (gỡ nhầm phạm vi, làm hỏng danh mục cây).
⚠️ Trường cha ở tab Kênh tiếp nhận trước đây là tùy chọn và không chặn lưu — bỏ trường KHÔNG được làm thay đổi dữ liệu các bản ghi đang có.</t>
  </si>
  <si>
    <t>QLDMKTNHS_12</t>
  </si>
  <si>
    <r>
      <rPr>
        <rFont val="Times New Roman"/>
        <color rgb="FF1155CC"/>
        <sz val="12.0"/>
        <u/>
      </rPr>
      <t>QLDMKTNHS_12.jpg</t>
    </r>
  </si>
  <si>
    <r>
      <rPr>
        <rFont val="Times New Roman"/>
        <color rgb="FF1155CC"/>
        <sz val="12.0"/>
        <u/>
      </rPr>
      <t>TKHDVMPLDTNXL_04.jpg</t>
    </r>
  </si>
  <si>
    <t>✅ Bug đúng (BA 24/07/2026, Cụm A). Dev FE: không hiển thị trường "Danh mục cha" trên form Sửa danh mục "Kênh tiếp nhận". FR-VIII-19 (UC117) dùng mẫu TPL-DM-CRUD, trường riêng chỉ gồm mã/tên/loại danh mục (srs-fr-10-quan-tri.md:882-895); mẫu chung 5 trường (:77-83) không khai trường cha; ghi chú BA :85 chốt trường cha chỉ dành danh mục cấu trúc cây. Cosmetic — dùng chung component với các tab danh mục phẳng khác.
── CÁCH VERIFY sau Dev fix ──
Precondition: admin (QTHT); tab "Kênh tiếp nhận" (/quan-tri/danh-muc/KENH_TIEP_NHAN), chọn 1 record chuẩn (vd CONG_DVC).
1) Bấm [Sửa] record CONG_DVC → đọc danh sách nhãn trường form Chỉnh sửa.
2) Chuyển sang tab "Cơ quan đơn vị" (danh mục cấu trúc cây) → mở form Sửa 1 đơn vị.
✅ PASS khi: form Sửa tab Kênh tiếp nhận chỉ còn Mã*, Tên*, Mô tả, Thứ tự, Trạng thái — không có ô chọn danh mục cha; đồng thời tab Cơ quan đơn vị VẪN giữ được quan hệ đơn vị cha.
❌ FAIL nếu: tab Kênh tiếp nhận còn ô chọn danh mục cha; HOẶC bản sửa gỡ luôn quan hệ cha ở tab Cơ quan đơn vị (gỡ nhầm phạm vi, làm hỏng danh mục cây).
⚠️ Trường cha ở tab Kênh tiếp nhận trước đây là tùy chọn, không chặn lưu — bỏ trường KHÔNG được làm thay đổi dữ liệu các bản ghi đang có.</t>
  </si>
  <si>
    <t>QLDN_07</t>
  </si>
  <si>
    <t>Mã sai hoặc hết hiệu lực</t>
  </si>
  <si>
    <t>1. Người dùng có tài khoản hợp lệ trên hệ thống
2. Truy cập hệ thống</t>
  </si>
  <si>
    <t>1. Nhập thông tin hợp lệ và nhấn Đăng nhập
2. Nhập Mã sai hoặc hết hiệu lực,</t>
  </si>
  <si>
    <t>Hiển thị thông báo "Mã xác thực không đúng hoặc đã hết hạn" và cho phép nhập lại.</t>
  </si>
  <si>
    <t>- Hệ thống hiển thị thông báo không giống với thiết kế
- Hệ thống không tự động xóa mã đã nhập để người dùng nhập lại</t>
  </si>
  <si>
    <r>
      <rPr>
        <rFont val="Times New Roman"/>
        <color rgb="FF1155CC"/>
        <sz val="12.0"/>
        <u/>
      </rPr>
      <t>QLDN_07.jpg</t>
    </r>
  </si>
  <si>
    <t>✅ Bug ĐÚNG – chuyển dev.
- Nhập sai mã OTP: hệ thống chỉ báo chung chung "Đã có lỗi xảy ra", không đúng thông báo thiết kế.
- Theo SRS FR-VIII-20 (UC118) §Error Handling E6 (dòng 957): phải hiển thị "Mã xác thực không đúng hoặc đã hết hạn".
- Ý phụ (đối tác nêu): hệ thống không tự xóa mã đã nhập; SRS không quy định auto-xóa nên chỉ ghi nhận, ưu tiên sửa nội dung thông báo.
- Verify: env https://18.143.165.120.nip.io, tài khoản cbnv_tw, nhập OTP "000000" → API /auth/verify-otp trả HTTP 401 code ERR-AUTH-VIII-20-06, message "Đã có lỗi xảy ra". Tái hiện trực tiếp trên env được giao.
- Bug ID: BUG-QLDN_07</t>
  </si>
  <si>
    <t>QLDN_10</t>
  </si>
  <si>
    <t>Tài khoản "Vô hiệu hóa"</t>
  </si>
  <si>
    <t>1. Tài khoản "Vô hiệu hóa"
2. Truy cập hệ thống</t>
  </si>
  <si>
    <t>1. Nhập thông tin hợp lệ tài khoản vô hiệu hóa và nhấn Đăng nhập</t>
  </si>
  <si>
    <t>Hệ thống hiển thị thông báo "Tài khoản đã bị vô hiệu hóa".</t>
  </si>
  <si>
    <t>Hệ thống hiển thị thông báo với ngôn ngữ không đồng nhất với ngôn ngữ hiện tại của hệ thống "Account disabled".</t>
  </si>
  <si>
    <r>
      <rPr>
        <rFont val="Times New Roman"/>
        <color rgb="FF1155CC"/>
        <sz val="12.0"/>
        <u/>
      </rPr>
      <t>QLDN_10.webm</t>
    </r>
  </si>
  <si>
    <t>✅ Bug ĐÚNG – chuyển dev.
- Đăng nhập bằng tài khoản đã bị vô hiệu hóa: hệ thống hiển thị thông báo tiếng Anh "Account disabled", không đồng nhất ngôn ngữ với giao diện tiếng Việt.
- Theo thiết kế (UC Đăng nhập – bảng Error Handling E3, ERR-DN-03) phải hiển thị "Tài khoản đã bị vô hiệu hóa".
- Verify: tái hiện trực tiếp — đặt tài khoản về trạng thái Vô hiệu hóa rồi đăng nhập, thông báo trả về đúng chuỗi "Account disabled" (HTTP 401). Trùng khớp mô tả của đối tác.
- Bug ID: BUG-QLDN_10</t>
  </si>
  <si>
    <r>
      <rPr>
        <rFont val="Times New Roman"/>
        <color rgb="FF1155CC"/>
        <sz val="12.0"/>
        <u/>
      </rPr>
      <t>TKHDVMPLDTNXL_05.jpg</t>
    </r>
  </si>
  <si>
    <t>QLDN_12</t>
  </si>
  <si>
    <t>Tài khoản "Tạm khóa" do quản trị viên cật nhật trạng thái Tạm khóa</t>
  </si>
  <si>
    <t>1. Truy cập hệ thống
2. Tài khoản "Tạm khóa"</t>
  </si>
  <si>
    <t>1. Nhập thông tin hợp lệ và nhấn Đăng nhập</t>
  </si>
  <si>
    <t>Hệ thống hiển thị thông báo "Tài khoản đã bị tạm khóa. Vui lòng liên hệ Quản trị hệ thống".</t>
  </si>
  <si>
    <r>
      <rPr>
        <rFont val="Times New Roman"/>
        <color rgb="FF1155CC"/>
        <sz val="12.0"/>
        <u/>
      </rPr>
      <t>QLDN_12.webm</t>
    </r>
  </si>
  <si>
    <t>✅ Bug ĐÚNG – chuyển dev.
- Đăng nhập bằng tài khoản bị QTHT tạm khóa: hệ thống hiển thị "Tài khoản tạm khóa. Vui lòng thử lại sau 0 phút.", không đúng thông báo thiết kế và có phần vô nghĩa ("thử lại sau 0 phút").
- Theo thiết kế (UC Đăng nhập – bảng Error Handling E2, ERR-DN-02) phải hiển thị "Tài khoản đã bị tạm khóa. Vui lòng liên hệ Quản trị hệ thống". Tài khoản do QTHT khóa không có mốc tự mở khóa nên không được hiển thị đồng hồ đếm ngược "thử lại sau X phút".
- Verify: tái hiện trực tiếp — đặt tài khoản về trạng thái Tạm khóa rồi đăng nhập, thông báo trả về đúng chuỗi trên (HTTP 401). Trùng khớp mô tả của đối tác.
- Bug ID: BUG-QLDN_12</t>
  </si>
  <si>
    <t>QLDX_01</t>
  </si>
  <si>
    <t>Quản lý đăng xuất</t>
  </si>
  <si>
    <t>Cán bộ nghiệp vụ TW,BN,ĐP/Cán bộ phê duyệt TW,BN,ĐP/Doanh nghiệp/Người hỗ trợ/Quản 
 trị hệ thống</t>
  </si>
  <si>
    <t>Quản lý quy trình kết thúc phiên làm việc của người dùng.</t>
  </si>
  <si>
    <t>1. Nhấn "Đăng xuất" trong menu thả xuống của ảnh đại diện
2. Bấm "Đồng ý"</t>
  </si>
  <si>
    <t xml:space="preserve">- Hệ thống chuyển về trang đăng nhập kèm thông báo "Đăng xuất thành công".
</t>
  </si>
  <si>
    <r>
      <rPr>
        <rFont val="Times New Roman"/>
        <color rgb="FF1155CC"/>
        <sz val="12.0"/>
        <u/>
      </rPr>
      <t>QLDX_01.webm</t>
    </r>
  </si>
  <si>
    <t>- Các bản ghi của các trạng thái khác vẫn hiển thị
- Số lượng bản ghi ở tab Tất cả hiển thị không đúng với số lượng bản ghi tìm kiếm</t>
  </si>
  <si>
    <r>
      <rPr>
        <rFont val="Times New Roman"/>
        <color rgb="FF1155CC"/>
        <sz val="12.0"/>
        <u/>
      </rPr>
      <t>TKHDVMPLDTNXL_06.webm</t>
    </r>
  </si>
  <si>
    <t>✅ Bug ĐÚNG – chuyển dev.
- Sau khi đăng xuất, hệ thống KHÔNG hiển thị thông báo "Đăng xuất thành công".
- Theo thiết kế (UC Đăng xuất – Outputs: message "Đăng xuất thành công") phải hiển thị thông báo này khi chuyển về trang đăng nhập.
- Verify: đo bằng bộ quan sát (MutationObserver) còn sống suốt thao tác đăng xuất → bắt 0 thông báo; màn đăng nhập sau redirect cũng không có. Tái hiện trực tiếp.
- Bug ID: BUG-QLDX_01</t>
  </si>
  <si>
    <t>QLDX_02</t>
  </si>
  <si>
    <t>Kiểm tra Hộp thoại xác nhận đăng xuất</t>
  </si>
  <si>
    <t xml:space="preserve">1. Nhấn "Đăng xuất" trong menu thả xuống của ảnh đại diện
</t>
  </si>
  <si>
    <t xml:space="preserve">- Thông báo xác nhận Nội dung: "Bạn có chắc muốn đăng xuất khỏi hệ thống?".
- Nút "Đồng ý", Nút "Hủy"
</t>
  </si>
  <si>
    <t>Hệ thống không hiển thị hộp thoại xác nhận</t>
  </si>
  <si>
    <r>
      <rPr>
        <rFont val="Times New Roman"/>
        <color rgb="FF1155CC"/>
        <sz val="12.0"/>
        <u/>
      </rPr>
      <t>QLDX_02.webm</t>
    </r>
  </si>
  <si>
    <t>✅ Bug ĐÚNG – chuyển dev.
- Khi nhấn "Đăng xuất", hệ thống đăng xuất ngay và chuyển về trang đăng nhập, KHÔNG hiển thị hộp thoại xác nhận.
- Theo thiết kế (UC/SCR Đăng xuất – luồng đăng xuất chủ động: Avatar → "Đăng xuất" → hộp thoại xác nhận → mới hủy phiên) phải có bước xác nhận với nút "Đồng ý"/"Hủy".
- Verify: đo bằng bộ quan sát (MutationObserver) suốt thao tác → bắt 0 modal; nhấn "Đăng xuất" chuyển thẳng về trang đăng nhập. Tái hiện trực tiếp.
- Bug ID: BUG-QLDX_02</t>
  </si>
  <si>
    <t>QLDX_03</t>
  </si>
  <si>
    <t>Tự động đăng xuất khi hết phiên</t>
  </si>
  <si>
    <t>1. Không thao tác suốt 25 phút kể từ lần thao tác cuối</t>
  </si>
  <si>
    <t>- Hệ thống hiển thị hộp thoại cảnh báo sắp hết phiên với hai lựa chọn "Gia hạn phiên" hoặc "Đăng xuất".</t>
  </si>
  <si>
    <t>Hệ thống không hiển thị hộp thoại cảnh báo mặc dù đã không thao tác suốt 30 phút kể từ lần thao tác cuối</t>
  </si>
  <si>
    <r>
      <rPr>
        <rFont val="Times New Roman"/>
        <color rgb="FF1155CC"/>
        <sz val="12.0"/>
        <u/>
      </rPr>
      <t>QLDX_03.webm</t>
    </r>
  </si>
  <si>
    <t>QLDKTK_02</t>
  </si>
  <si>
    <r>
      <rPr>
        <rFont val="Times New Roman"/>
        <color rgb="FF1155CC"/>
        <sz val="12.0"/>
        <u/>
      </rPr>
      <t>TKHDVMPLDTNXL_07.jpg</t>
    </r>
  </si>
  <si>
    <t>Kiểm tra Thông tin doanh nghiệp</t>
  </si>
  <si>
    <t>1. Truy cập hệ thống</t>
  </si>
  <si>
    <t>1. Chọn "Đăng ký tài khoản doanh nghiệp"</t>
  </si>
  <si>
    <t>- Thiếu trường thông tin "Tệp đính kèm"
- Tên trường thông tin "Doanh thu (VNĐ)" không giống với thiết kế(Theo tài liệu SRS tên trường là "Doanh thu năm")</t>
  </si>
  <si>
    <r>
      <rPr>
        <rFont val="Times New Roman"/>
        <color rgb="FF1155CC"/>
        <sz val="12.0"/>
        <u/>
      </rPr>
      <t>QLDKTK_02.webm</t>
    </r>
  </si>
  <si>
    <t>- Màn hình hiện tại Thông tin doanh nghiệp hiển thị sau Thông tin tài khoản, góp ý hiển thị Thông tin doanh nghiệp trước, Thông tin tài khoản sau</t>
  </si>
  <si>
    <t>✅ Bug ĐÚNG – chuyển dev.
- Màn Đăng ký tài khoản doanh nghiệp (FR-VIII-22 / UC120, màn SCR-VIII-08) THIẾU trường "Tệp đính kèm" (tải lên Giấy ĐKKD...). Theo SRS SCR-VIII-08 (dòng 1856), form phải có trường "File đính kèm" (tùy chọn, cho tải nhiều tệp).
- Nhãn trường doanh thu đang hiển thị "Doanh thu (VNĐ)", trong khi SRS (SCR-VIII-08 dòng 1848 + FR-VIII-22 Inputs dòng 1046) đặt tên trường là "Doanh thu năm".
- Đã verify trên form đăng ký công khai (không cần đăng nhập), 2026-07-21.
- Bug ID: BUG-QLDKTK_02.</t>
  </si>
  <si>
    <t>QLDKTK_03</t>
  </si>
  <si>
    <t>Kiểm tra Thông tin tài khoản</t>
  </si>
  <si>
    <t>- Thiếu trường thông tin "Tên đăng nhập"
- Màn hình có trường thông tin "Họ và tên người đăng ký", "Số điện thoại" nhưng SRS không yêu cầu 2 trường này</t>
  </si>
  <si>
    <r>
      <rPr>
        <rFont val="Times New Roman"/>
        <color rgb="FF1155CC"/>
        <sz val="12.0"/>
        <u/>
      </rPr>
      <t>QLDKTK_03.webm</t>
    </r>
  </si>
  <si>
    <r>
      <rPr>
        <rFont val="Times New Roman"/>
        <color rgb="FF1155CC"/>
        <sz val="12.0"/>
        <u/>
      </rPr>
      <t>TKHDVMPLDTNXL_08.jpg</t>
    </r>
  </si>
  <si>
    <t>- Mục "Tài khoản đăng nhập" trên biểu mẫu đăng ký hiện chỉ có 3 thành phần: Mật khẩu, Xác nhận mật khẩu và ô cam kết — vẫn chưa có ô Tên đăng nhập ở dạng chỉ đọc.
- Do không có ô này nên khi nhập Mã số thuế (thử 0101234567 rồi đổi sang 0107654321) cũng không có chỗ nào hiển thị tên đăng nhập tương ứng để doanh nghiệp biết mình sẽ đăng nhập bằng gì.
- Phần đã đạt: hai ô "Họ và tên người đăng ký" và "Số điện thoại" của người đăng ký đã được gỡ khỏi mục Tài khoản, không còn tồn tại ẩn trong trang; ô "Điện thoại doanh nghiệp" ở mục Thông tin doanh nghiệp vẫn giữ nguyên và vẫn bắt buộc.
- Đăng ký thử với đầy đủ thông tin bắt buộc vẫn thành công bình thường, không phát sinh lỗi bắt buộc nào liên quan đến hai ô đã gỡ.</t>
  </si>
  <si>
    <t>QLDKTK_04</t>
  </si>
  <si>
    <t>Mã số thuế đã tồn tại trong hệ thống</t>
  </si>
  <si>
    <t>1. Truy cập hệ thống
2. Mã số thuế đã tồn tại trong hệ thống</t>
  </si>
  <si>
    <t>1. Chọn "Đăng ký tài khoản doanh nghiệp"
2. Nhập Mã số thuế đã tồn tại trong hệ thống và nhấn Đăng ký</t>
  </si>
  <si>
    <t>Hệ thống hiển thị thông báo "Mã số thuế này đã có trong hệ thống. Vui lòng dùng chức năng [Quên mật khẩu] với chính mã số thuế của bạn để khôi phục hoặc nhận lại quyền truy cập tài khoản" kèm nút "Quên mật khẩu"</t>
  </si>
  <si>
    <t>Hệ thống hiển thị thông báo thiếu nội dung "Vui lòng dùng chức năng [Quên mật khẩu] với chính mã số thuế của bạn để khôi phục hoặc nhận lại quyền truy cập tài khoản" kèm nút "Quên mật khẩu"</t>
  </si>
  <si>
    <r>
      <rPr>
        <rFont val="Times New Roman"/>
        <color rgb="FF1155CC"/>
        <sz val="12.0"/>
        <u/>
      </rPr>
      <t>QLDKTK_04.jpg</t>
    </r>
  </si>
  <si>
    <t>✅ Bug ĐÚNG – chuyển dev.
- Nhập Mã số thuế đã có hồ sơ trong hệ thống rồi bấm Đăng ký: hệ thống chỉ báo "Mã số thuế này đã có hồ sơ doanh nghiệp trong hệ thống." và KHÔNG hiện hướng dẫn dùng [Quên mật khẩu], cũng KHÔNG có nút "Quên mật khẩu".
- Theo SRS FR-VIII-22 / UC120, lỗi ERR-REG-MST-EXIST (dòng 1082 + AC dòng 1103) phải hiện thông báo đầy đủ: "...Vui lòng dùng chức năng [Quên mật khẩu] với chính mã số thuế của bạn để khôi phục hoặc nhận lại quyền truy cập tài khoản." kèm nút "Quên mật khẩu" dẫn sang chức năng Quên mật khẩu (FR-VIII-26).
- Đã verify với MST 0109998887 (đã tồn tại), 2026-07-21.
- Bug ID: BUG-QLDKTK_04.</t>
  </si>
  <si>
    <t>QLDKTK_08</t>
  </si>
  <si>
    <t>Kiểm tra các trường bắt buộc</t>
  </si>
  <si>
    <t xml:space="preserve">1. Chọn "Đăng ký tài khoản doanh nghiệp"
</t>
  </si>
  <si>
    <t>- Đánh dấu các trường bắt buộc
- Nếu bỏ trống hiển thị thông báo tương ứng với từng trường</t>
  </si>
  <si>
    <t>Trường thông tin "Số điện thoại" không được đánh dấu bắt buộc</t>
  </si>
  <si>
    <r>
      <rPr>
        <rFont val="Times New Roman"/>
        <color rgb="FF1155CC"/>
        <sz val="12.0"/>
        <u/>
      </rPr>
      <t>QLDKTK_08.jpg</t>
    </r>
  </si>
  <si>
    <t>- Trường "Điện thoại doanh nghiệp" (mục Thông tin doanh nghiệp) vẫn chưa được đánh dấu bắt buộc (không có dấu *).
- Để trống trường này rồi bấm Đăng ký: hệ thống không báo lỗi ở "Điện thoại doanh nghiệp" và vẫn cho gửi đăng ký.
- Lưu ý: dấu bắt buộc hiện đang gắn ở trường "Số điện thoại" (mục Thông tin tài khoản), chưa phải ở "Điện thoại doanh nghiệp". Đề nghị bổ sung ràng buộc bắt buộc đúng cho trường "Điện thoại doanh nghiệp" theo yêu cầu.</t>
  </si>
  <si>
    <t>QLDKTK_09</t>
  </si>
  <si>
    <t>Kích hoạt và đặt mật khẩu lần đầu</t>
  </si>
  <si>
    <r>
      <rPr>
        <rFont val="Times New Roman"/>
        <color rgb="FF1155CC"/>
        <sz val="12.0"/>
        <u/>
      </rPr>
      <t>TKHDVMPLDTNXL_09.jpg</t>
    </r>
  </si>
  <si>
    <t>1. Mở thư và bấm liên kết kích hoạt</t>
  </si>
  <si>
    <t>Hệ thống mở biểu mẫu đặt mật khẩu lần đầu</t>
  </si>
  <si>
    <t>Hệ thống không gửi liên kết đến thư điện tử</t>
  </si>
  <si>
    <r>
      <rPr>
        <rFont val="Times New Roman"/>
        <color rgb="FF1155CC"/>
        <sz val="12.0"/>
        <u/>
      </rPr>
      <t>QLDKTK_09.webm</t>
    </r>
  </si>
  <si>
    <t>Chưa tích hợp email thật, hiện nhận email qua MailHog. Link MailHog: http://18.143.165.120:8025/</t>
  </si>
  <si>
    <t>SLHDVM_03</t>
  </si>
  <si>
    <t>Kiểm tra hiển thị Biểu đồ và bảng kết quả</t>
  </si>
  <si>
    <t>1. Đăng nhập hệ thống thành công
2. Có dữ liệu thống kê</t>
  </si>
  <si>
    <t>1. Chọn menu "Báo cáo thống kê"
2. Nhập tiêu chí/điều kiện hợp lệ
3. Nhấn Xem báo cáo</t>
  </si>
  <si>
    <t>Bảng kết quả không giống với thiết kế</t>
  </si>
  <si>
    <r>
      <rPr>
        <rFont val="Times New Roman"/>
        <color rgb="FF1155CC"/>
        <sz val="12.0"/>
        <u/>
      </rPr>
      <t>SLHDVM_03.webm</t>
    </r>
  </si>
  <si>
    <t>❌ Không phải lỗi (BA xác nhận 23/07/2026).
- BA chốt: bảng theo đơn vị của BC Số lượng hỏi đáp/vướng mắc pháp luật (FR-IX-01 / UC124) theo đặc tả chỉ gồm 3 chiều dữ liệu — mã đơn vị, tên đơn vị, số lượng. Đã mở SRS kiểm nguyên văn `srs-v3.5/srs-fr-11-bao-cao.md:166` = "| 6 | theo_don_vi[] | structured | Luôn | {don_vi, ten, so_luong} |". Hai chỉ tiêu Đã trả lời và Tỷ lệ (%) chỉ được khai ở mức TOÀN BÁO CÁO (`:162` da_tra_loi = Số đã trả lời; `:164` ty_le_tra_loi = % đã trả lời), KHÔNG khai ở mức đơn vị → phần mềm hiển thị đúng đặc tả; phần chênh đến từ bản thiết kế PTYC-CT v2.0 riêng của đối tác.
- QA verify 21/07/2026 (cbnv_tw, Kỳ Năm 2026, Toàn quốc): web ra đủ 4 chỉ số (Tổng hỏi đáp 11 · Đã trả lời 9 · Chờ trả lời 2 · Tỷ lệ 81,8%) + donut theo lĩnh vực + biểu đồ xu hướng + 2 bảng {tên, số lượng} — đúng cả 7 nhóm dữ liệu §Output FR-IX-01.
- Không sửa phần mềm đợt này. Đề nghị đối tác đọc lại SRS bản 23/6 và cập nhật Kết quả mong đợi SLHDVM_03 theo §Output (bảng theo đơn vị = Đơn vị + Số lượng). Nếu vẫn muốn 2 cột Đã trả lời + Tỷ lệ (%) ở mức đơn vị thì ghi vào danh sách yêu cầu cải tiến kèm bổ sung §Output FR-IX-01, không xử như lỗi.</t>
  </si>
  <si>
    <r>
      <rPr>
        <rFont val="Times New Roman"/>
        <color rgb="FF1155CC"/>
        <sz val="12.0"/>
        <u/>
      </rPr>
      <t>TKHDVMPLDTNXL_10.jpg</t>
    </r>
  </si>
  <si>
    <t>SLHDVM_06</t>
  </si>
  <si>
    <t>Kiểm tra chức năng Xuất excel</t>
  </si>
  <si>
    <t>1. Chọn menu "Báo cáo thống kê"
2. Nhập tiêu chí/điều kiện
3. Nhấn Xem báo cáo
4. Nhấn Xuất excel</t>
  </si>
  <si>
    <t>Hệ thống xuất toàn bộ và tự động tải tệp về máy người dùng.</t>
  </si>
  <si>
    <t>Hệ thống hiển thị thông báo "Không thể tạo file xuất. Vui lòng thử lại.".</t>
  </si>
  <si>
    <r>
      <rPr>
        <rFont val="Times New Roman"/>
        <color rgb="FF1155CC"/>
        <sz val="12.0"/>
        <u/>
      </rPr>
      <t>SLHDVM_06.webm</t>
    </r>
  </si>
  <si>
    <t>SLHDVM_07</t>
  </si>
  <si>
    <t>Kiểm tra chức năng Xuất PDF</t>
  </si>
  <si>
    <t>1. Chọn menu "Báo cáo thống kê"
2. Nhập tiêu chí/điều kiện
3. Nhấn Xem báo cáo
4. Nhấn Xuất PDF</t>
  </si>
  <si>
    <t>Hệ thống tạo tệp PDF theo đúng mẫu biểu Thông tư số 17/2025/TT-BTP — khổ A4, phông chữ Times New Roman cỡ 13, đầu trang có quốc hiệu và tên cơ quan, cuối trang có ngày ký và chức danh người ký.
- Đặt tên tệp theo định dạng BaoCaoHoiDap_{YYYYMMDD_HHmm}.pdf. Tệp hỗ trợ ký số điện tử khi có yêu cầu.</t>
  </si>
  <si>
    <r>
      <rPr>
        <rFont val="Times New Roman"/>
        <color rgb="FF1155CC"/>
        <sz val="12.0"/>
        <u/>
      </rPr>
      <t>SLHDVM_07.webm</t>
    </r>
  </si>
  <si>
    <t>Có lỗi (khác lỗi ban đầu báo).
- Thao tác Xuất PDF: file VẪN tạo và tải về được — không gặp thông báo "Không thể tạo file xuất".
- Kiểm tra nội dung file PDF: THIẾU header bắt buộc gồm Kỳ báo cáo, Đơn vị, Ngày tạo (bản Excel cùng báo cáo có đủ 4 trường) — chưa đúng chuẩn định dạng báo cáo. Số liệu trong bảng thì đúng.
- Đề nghị dev bổ sung khối header cho file PDF (đồng bộ với Excel). Bug: BUG-EXPORT-PDF-HEADER.</t>
  </si>
  <si>
    <t>SLHDVM_08</t>
  </si>
  <si>
    <t>Kiểm tra chức năng In báo cáo</t>
  </si>
  <si>
    <t>1. Chọn menu "Báo cáo thống kê"
2. Nhập tiêu chí/điều kiện
3. Nhấn Xem báo cáo
4. Nhấn In báo cáo</t>
  </si>
  <si>
    <t xml:space="preserve">Hệ thống dựng bản xem trước định dạng theo Thông tư số 17/2025/TT-BTP (khổ A4, Times New Roman cỡ 13) và mở hộp thoại in của trình duyệt.
</t>
  </si>
  <si>
    <r>
      <rPr>
        <rFont val="Times New Roman"/>
        <color rgb="FF1155CC"/>
        <sz val="12.0"/>
        <u/>
      </rPr>
      <t>TKHDVMPLDTNXL_11.jpg</t>
    </r>
  </si>
  <si>
    <r>
      <rPr>
        <rFont val="Times New Roman"/>
        <color rgb="FF1155CC"/>
        <sz val="12.0"/>
        <u/>
      </rPr>
      <t>SLHDVM_08.jpg</t>
    </r>
  </si>
  <si>
    <t>❌ Không phải lỗi (BA xác nhận 24/07/2026).
- BA chốt: màn Báo cáo thống kê (SCR-IX-01 dùng chung cho 23 loại BC; case này là BC Số lượng hỏi đáp/vướng mắc pháp luật — FR-IX-01 / UC124) theo đặc tả chỉ có 4 nút, không có nút In. Đã mở SRS kiểm nguyên văn `srs-v3.5/srs-fr-11-bao-cao.md`: `:1047` toolbar — Tiêu đề trang + Nút Làm mới; `:1052` Nút Xem báo cáo; `:1053` Nút Xuất Excel (.xlsx); `:1054` Nút Xuất PDF (.pdf). Rà trọn bảng §Thành phần màn hình `:1044`–`:1059` không có thành phần nào tên In báo cáo. (Bản SRS trong input/srs-update-2026-5-5 cùng nội dung, đánh số `:1042` và `:1047`–`:1049`.)
- Quan sát của đối tác là đúng thực tế: QA verify 21/07/2026 (cbnv_tw_02, Kỳ Năm 2026, Toàn quốc, BC Số lượng hỏi đáp ra Tổng hỏi đáp = 11) thấy toolbar đúng 4 nút Làm mới · Xem báo cáo · Xuất Excel · Xuất PDF, không có nút In. Nhưng nhu cầu in ĐÃ được đáp ứng qua Xuất PDF: bấm Xuất PDF mở hộp thoại Tùy chọn in báo cáo PDF (khổ A4/A3/Letter, hướng Dọc/Ngang) rồi in từ file PDF — cách này giữ thể thức văn bản tốt hơn in thẳng nội dung màn hình, và cũng đáp ứng phương thức văn bản giấy của TT 17/2025/TT-BTP Điều 3.5.
- Không sửa phần mềm. Đề nghị đối tác cập nhật Kết quả mong đợi SLHDVM_08: bỏ yêu cầu nút In báo cáo riêng, thay bằng thao tác Xuất PDF rồi in. Nếu Chủ đầu tư vẫn muốn nút In riêng thì ghi vào danh sách yêu cầu cải tiến (nút mở lại bản xem trước PDF rồi in, không in trực tiếp nội dung màn hình) — xử như cải tiến, không phải lỗi.</t>
  </si>
  <si>
    <t>SLHDVM_09</t>
  </si>
  <si>
    <t>Kiểm tra chức năng Xóa bộ lọc</t>
  </si>
  <si>
    <t>1. Chọn menu "Báo cáo thống kê"
2. Nhập tiêu chí/điều kiện
3. Nhấn Xem báo cáo
4. Nhấn Xóa bộ lọc</t>
  </si>
  <si>
    <t>Hệ thống xóa toàn bộ giá trị đã nhập trong các trường lọc và đặt lại về giá trị mặc định (Kỳ = Tháng, Từ ngày = ngày đầu tháng hiện tại, Đến ngày = ngày hiện tại, Đơn vị = đơn vị đăng nhập, các trường khác = "Tất cả"); khu vực kết quả không tự tải lại cho đến khi NSD bấm "Xem báo cáo".</t>
  </si>
  <si>
    <r>
      <rPr>
        <rFont val="Times New Roman"/>
        <color rgb="FF1155CC"/>
        <sz val="12.0"/>
        <u/>
      </rPr>
      <t>SLHDVM_09.jpg</t>
    </r>
  </si>
  <si>
    <r>
      <rPr>
        <rFont val="Times New Roman"/>
        <color rgb="FF1155CC"/>
        <sz val="12.0"/>
        <u/>
      </rPr>
      <t>TKHDVMPLDTNXL_12.jpg</t>
    </r>
  </si>
  <si>
    <t>❌ Không phải lỗi (BA xác nhận 24/07/2026).
- BA chốt: chức năng đặt lại bộ lọc CÓ tồn tại trên màn Báo cáo thống kê (SCR-IX-01; case này là BC Số lượng hỏi đáp/vướng mắc pháp luật — FR-IX-01 / UC124), chỉ khác tên gọi so với kỳ vọng. Đã mở SRS kiểm nguyên văn `srs-v3.5/srs-fr-11-bao-cao.md:1047` = toolbar, Tiêu đề trang, nhãn Báo cáo Thống kê + Nút Làm mới, điều kiện Luôn hiển thị; thanh thao tác `:1052`–`:1054` chỉ có Xem báo cáo / Xuất Excel / Xuất PDF. Rà trọn bảng §Thành phần màn hình `:1044`–`:1059` không có nút tên Xóa bộ lọc, và SRS cũng không quy định bộ giá trị mặc định phải khôi phục sau khi đặt lại. (Bản SRS trong input/srs-update-2026-5-5 cùng nội dung, đánh số `:1042` và `:1047`–`:1049`.)
- QA đã kiểm HÀNH VI nút Làm mới trên chính báo cáo này ngày 21/07/2026 (cbnv_tw_03, Toàn quốc): đặt Kỳ = Năm 2026 + Lĩnh vực = Thuế → Xem báo cáo (ra Tổng hỏi đáp = 11) → bấm Làm mới thì toàn bộ giá trị lọc về trống, vùng kết quả bị xóa và KHÔNG tự tải lại (URL trở về /bao-cao). Tức đúng nội dung Kết quả mong đợi, chỉ khác TÊN nút và khác ở chỗ để trống thay vì điền sẵn Kỳ = Tháng / từ đầu tháng / đến hôm nay.
- Không sửa phần mềm. Đề nghị đối tác cập nhật Kết quả mong đợi SLHDVM_09 (đổi Xóa bộ lọc → Làm mới, mô tả đặt lại về trạng thái khởi tạo trống). Hai điểm ghi vào danh sách yêu cầu cải tiến nếu Chủ đầu tư muốn: thống nhất tên nút đặt lại lọc trên toàn hệ thống (các màn danh sách khác đang dùng Xóa bộ lọc), và điền sẵn giá trị mặc định sau khi đặt lại thay vì để trống.</t>
  </si>
  <si>
    <t>VVDTN_04</t>
  </si>
  <si>
    <t>- Không hiển thị biểu đồ tròn theo lĩnh vực
- Bảng tổng hợp thiếu các cột: Theo kênh, Theo lĩnh vực</t>
  </si>
  <si>
    <r>
      <rPr>
        <rFont val="Times New Roman"/>
        <color rgb="FF1155CC"/>
        <sz val="12.0"/>
        <u/>
      </rPr>
      <t>VVDTN_04.webm</t>
    </r>
  </si>
  <si>
    <t>✅ Bug ĐÚNG – chuyển dev.
- Web (BC Vụ việc đã tiếp nhận) KHÔNG hiển thị mục tổng hợp "theo lĩnh vực" — thiếu cả bảng lẫn biểu đồ theo lĩnh vực. API backend đã trả dữ liệu lĩnh vực (Thương mại: 14) nhưng giao diện không dựng → lỗi hiển thị FE.
- Theo SRS FR-IX-02 (UC125) §Output, báo cáo phải luôn có phần thống kê theo lĩnh vực pháp luật. Các mục theo kênh, theo đơn vị, xu hướng theo kỳ đã hiển thị đúng.
- Đối tác báo "thiếu cột Theo kênh": web thực tế ĐÃ có bảng "Kênh tiếp nhận" (Trực tiếp: 14) → phần này không thiếu; chỉ thiếu phần "theo lĩnh vực".
- Verify: tài khoản cbnv_tw (Toàn quốc), Kỳ Năm 2026, 14 vụ việc. Bug ID: BUG-VVDTN_04.</t>
  </si>
  <si>
    <t>VVDTN_06</t>
  </si>
  <si>
    <t>Phân công xử lý câu hỏi, vướng mắc</t>
  </si>
  <si>
    <r>
      <rPr>
        <rFont val="Times New Roman"/>
        <color rgb="FF1155CC"/>
        <sz val="12.0"/>
        <u/>
      </rPr>
      <t>VVDTN_06.jpg</t>
    </r>
  </si>
  <si>
    <t>Cung cấp công cụ cho CB Nghiệp vụ gán/chuyển yêu cầu hỏi đáp đến Người hỗ trợ/Tổ chức tư vấn phù hợp.</t>
  </si>
  <si>
    <t>VVDTN_07</t>
  </si>
  <si>
    <r>
      <rPr>
        <rFont val="Times New Roman"/>
        <color rgb="FF1155CC"/>
        <sz val="12.0"/>
        <u/>
      </rPr>
      <t>VVDTN_07.jpg</t>
    </r>
  </si>
  <si>
    <t>VVDTN_08</t>
  </si>
  <si>
    <r>
      <rPr>
        <rFont val="Times New Roman"/>
        <color rgb="FF1155CC"/>
        <sz val="12.0"/>
        <u/>
      </rPr>
      <t>VVDTN_08.jpg</t>
    </r>
  </si>
  <si>
    <t>❌ Không phải lỗi (BA xác nhận 24/07/2026).
- BA chốt: BC Vụ việc đã tiếp nhận (FR-IX-02 / UC125) dùng chung màn Báo cáo thống kê SCR-IX-01, mà đặc tả màn này chỉ quy định 4 nút và không có nút In. Đã mở SRS kiểm nguyên văn `srs-v3.5/srs-fr-11-bao-cao.md`: `:1047` toolbar — Tiêu đề trang + Nút Làm mới; `:1052` Nút Xem báo cáo; `:1053` Nút Xuất Excel (.xlsx); `:1054` Nút Xuất PDF (.pdf); rà trọn bảng §Thành phần màn hình `:1044`–`:1059` không có thành phần In báo cáo. (Bản SRS trong input/srs-update-2026-5-5 cùng nội dung, đánh số `:1042` và `:1047`–`:1049`.)
- Quan sát của đối tác là đúng thực tế: QA verify 21/07/2026 (cbnv_tw_02, Kỳ Năm 2026, Toàn quốc, BC Vụ việc đã tiếp nhận ra Tổng vụ việc = 14) thấy toolbar đúng 4 nút Làm mới · Xem báo cáo · Xuất Excel · Xuất PDF. Nhu cầu in đã được đáp ứng qua Xuất PDF (hộp thoại Tùy chọn in báo cáo PDF cho chọn khổ A4/A3/Letter + hướng Dọc/Ngang, in ra từ file PDF), phù hợp phương thức văn bản giấy của TT 17/2025/TT-BTP Điều 3.5.
- Không sửa phần mềm. Đề nghị đối tác cập nhật Kết quả mong đợi VVDTN_08: bỏ yêu cầu nút In báo cáo riêng, thay bằng thao tác Xuất PDF rồi in. Nếu Chủ đầu tư vẫn muốn nút In riêng thì ghi vào danh sách yêu cầu cải tiến (nút mở lại bản xem trước PDF rồi in, không in trực tiếp nội dung màn hình).</t>
  </si>
  <si>
    <t>VVDTN_09</t>
  </si>
  <si>
    <r>
      <rPr>
        <rFont val="Times New Roman"/>
        <color rgb="FF1155CC"/>
        <sz val="12.0"/>
        <u/>
      </rPr>
      <t>VVDTN_09.jpg</t>
    </r>
  </si>
  <si>
    <t>Kiểm tra hiển thị màn hình phân công</t>
  </si>
  <si>
    <t>1. Cán  bộ TW,BN,ĐP đăng nhập thành công
2. Tồn tại bản ghi có trạng thái Tiếp nhận</t>
  </si>
  <si>
    <t>❌ Không phải lỗi (BA xác nhận 24/07/2026).
- BA chốt: BC Vụ việc đã tiếp nhận (FR-IX-02 / UC125) dùng chung màn Báo cáo thống kê SCR-IX-01; chức năng đặt lại bộ lọc CÓ tồn tại nhưng đặc tả đặt tên là Làm mới chứ không phải Xóa bộ lọc. Đã mở SRS kiểm nguyên văn `srs-v3.5/srs-fr-11-bao-cao.md:1047` = toolbar, Tiêu đề trang, nhãn Báo cáo Thống kê + Nút Làm mới, Luôn hiển thị; thanh thao tác `:1052`–`:1054` chỉ có Xem báo cáo / Xuất Excel / Xuất PDF; rà trọn bảng §Thành phần màn hình `:1044`–`:1059` không có nút Xóa bộ lọc và không quy định giá trị mặc định sau khi đặt lại. (Bản SRS trong input/srs-update-2026-5-5 cùng nội dung, đánh số `:1042` và `:1047`–`:1049`.)
- QA verify 21/07/2026 (cbnv_tw_03, Toàn quốc) trên chính BC Vụ việc đã tiếp nhận: liệt kê toolbar ra đúng 4 nút Làm mới · Xem báo cáo · Xuất Excel · Xuất PDF, không có nút tên Xóa bộ lọc — khớp bằng chứng đối tác. Hành vi đặt lại của nút Làm mới đã được kiểm kỹ trên 2 báo cáo đại diện cùng màn (SLHDVM_09 và VVTTG_08): xóa sạch giá trị lọc + xóa vùng kết quả, KHÔNG tự tải lại — tức đúng nội dung Kết quả mong đợi, chỉ khác TÊN nút và khác ở chỗ để trống thay vì điền sẵn mặc định.
- Không sửa phần mềm. Đề nghị đối tác cập nhật Kết quả mong đợi VVDTN_09 (đổi Xóa bộ lọc → Làm mới, mô tả đặt lại về trạng thái khởi tạo trống). Ghi vào danh sách yêu cầu cải tiến nếu Chủ đầu tư muốn: thống nhất tên nút đặt lại lọc toàn hệ thống, và điền sẵn giá trị mặc định (Kỳ = Tháng, từ đầu tháng, đến hôm nay) sau khi đặt lại.</t>
  </si>
  <si>
    <t>1. Chọn "Hỏi đáp pháp lý" 
2. Chọn bản ghi có trạng thái Tiếp nhận
3. Nhấn "Phân công"
4. Kiểm tra popup phân công được hiển thị</t>
  </si>
  <si>
    <t>Popup/màn hình phân công hiển thị đúng với thiết kế</t>
  </si>
  <si>
    <t>Popup/màn hình phân công không giống với thiết kế</t>
  </si>
  <si>
    <t>Báo cáo thống kê vụ việc đang hỗ trợ</t>
  </si>
  <si>
    <r>
      <rPr>
        <rFont val="Times New Roman"/>
        <color rgb="FF000000"/>
        <sz val="12.0"/>
        <u/>
      </rPr>
      <t>PCXLCHVM_01.webm</t>
    </r>
  </si>
  <si>
    <t>Thống kê số lượng vụ việc đang được xử lý theo đơn vị, chuyên gia.</t>
  </si>
  <si>
    <t>Có dữ liệu, hệ thống hiển thị khu vực kết quả gồm các chỉ số tổng hợp, biểu đồ và bảng tổng hợp theo đơn vị.</t>
  </si>
  <si>
    <t>- Đơn vị có dữ liệu thống kê nhưng khi chọn người hỗ trợ hệ thống thông báo  "Không có dữ liệu báo cáo cho kỳ và đơn vị đã chọn".</t>
  </si>
  <si>
    <r>
      <rPr>
        <rFont val="Times New Roman"/>
        <color rgb="FF1155CC"/>
        <sz val="12.0"/>
        <u/>
      </rPr>
      <t>VVDHT_01.webm</t>
    </r>
  </si>
  <si>
    <t>✅ Bug ĐÚNG – chuyển dev.
- Web hiện tại: tại BC Vụ việc đang hỗ trợ (UC126), khi lọc theo "NHT phụ trách" hệ thống luôn báo "Không có dữ liệu", kể cả khi chọn đúng người hỗ trợ đang phụ trách vụ việc trong phạm vi.
- Nguyên nhân quan sát: danh sách chọn NHT gửi đi mã định danh Tư vấn viên, còn báo cáo lại khớp người hỗ trợ theo mã người dùng → hai mã khác nhau nên không lọc ra vụ việc nào.
- Kỳ vọng (SRS FR-IX-03 / UC126, §Input dòng 244 + Tiêu chí chấp nhận dòng 266): lọc theo NHT đang phụ trách phải trả về đúng các vụ việc do NHT đó phụ trách.
- Verify: tài khoản CB Nghiệp vụ Trung ương, kỳ Năm 2026, phạm vi Toàn quốc — khi không lọc ra 7 vụ việc; lọc đúng NHT "QA TVV Seed28 Active" (đang phụ trách 1 vụ) lại ra 0. Kiểm tra trực tiếp: lọc theo mã người dùng ra 1 vụ, lọc theo mã Tư vấn viên ra 0 vụ.
- Bug ID: BUG-VVDHT_01.</t>
  </si>
  <si>
    <t>Kiểm tra hiển thị Chỉ số tổng hợp nhanh</t>
  </si>
  <si>
    <t>- Màn hình hiển thị thiếu các chỉ số: Sắp hết hạn, Quá hạn, Quá hạn nghiêm trọng</t>
  </si>
  <si>
    <r>
      <rPr>
        <rFont val="Times New Roman"/>
        <color rgb="FF1155CC"/>
        <sz val="12.0"/>
        <u/>
      </rPr>
      <t>VVDHT_03.webm</t>
    </r>
  </si>
  <si>
    <t>❌ Không phải lỗi (BA xác nhận 23/07/2026).
- BA chốt: BC Vụ việc đang hỗ trợ (FR-IX-03 / UC126) theo đặc tả phải cho ra 4 trị về hạn xử lý, và phần mềm đã cho ra đủ. Đã mở SRS kiểm nguyên văn `srs-v3.5/srs-fr-11-bao-cao.md:257`–`:260`: tong_dang_xu_ly = Tổng VV đang xử lý, binh_thuong = SLA bình thường, canh_bao = SLA sắp hết hạn, qua_han = SLA quá hạn (cả 4 điều kiện Luôn). Mức Quá hạn nghiêm trọng KHÔNG nằm trong §Output — nó chỉ là một giá trị của bộ lọc đầu vào muc_sla (`:245` = BINH_THUONG / SAP_HET_HAN / QUA_HAN / QUA_HAN_NGHIEM_TRONG). Đặc tả màn SCR-IX-01 cũng không có thành phần thẻ chỉ số / KPI: bảng §Thành phần màn hình `:1044`–`:1059` chỉ có Biểu đồ (`:1055`) và Bảng dữ liệu (`:1056`); khái niệm Chỉ số tổng hợp nhanh đến từ thiết kế PTYC của đối tác.
- Phản ánh thiếu chỉ số KHÔNG tái hiện: QA verify 21/07/2026 (cbnv_tw, Kỳ Năm 2026, Toàn quốc) thấy đủ mọi mức hạn ở bảng Mức SLA (Bình thường 7 · Sắp hết hạn 0 · Quá hạn 0 · Quá hạn nghiêm trọng 0) + biểu đồ cột — số liệu đầy đủ, chỉ khác cách trình bày (bảng/biểu đồ thay vì thẻ số riêng đầu màn).
- Không sửa phần mềm. Đề nghị đối tác cập nhật Kết quả mong đợi VVDHT_03 (chấp nhận các mức SLA trình bày ở bảng Mức SLA + biểu đồ cột). Mong muốn tách mỗi mức thành một thẻ số riêng đầu màn → ghi vào danh sách yêu cầu cải tiến: bổ sung thành phần Khối chỉ số vào SCR-IX-01 và bổ sung Quá hạn nghiêm trọng vào §Output FR-IX-03.</t>
  </si>
  <si>
    <t>- Màn hình hiển thị thiếu biểu đồ cột theo người hỗ trợ
- Bảng tổng hợp không giống với thiết kế</t>
  </si>
  <si>
    <r>
      <rPr>
        <rFont val="Times New Roman"/>
        <color rgb="FF1155CC"/>
        <sz val="12.0"/>
        <u/>
      </rPr>
      <t>VVDHT_04.webm</t>
    </r>
  </si>
  <si>
    <t xml:space="preserve">Phân công xử lý thành công </t>
  </si>
  <si>
    <t>1. Cán  bộ TW,BN,ĐP đăng nhập thành công
2. Tồn tại bản ghi có trạng thái Đang xử lý</t>
  </si>
  <si>
    <t>1. Chọn "Hỏi đáp pháp lý" 
2. Chọn bản ghi có trạng thái Đang xử lý
3. Nhấn "Phân công"
4. Chọn cán bộ, nhập ghi chú và nhấn Phân công</t>
  </si>
  <si>
    <t>✅ Bug ĐÚNG – chuyển dev.
- Web (BC Vụ việc đang hỗ trợ) KHÔNG hiển thị biểu đồ cột theo người hỗ trợ, cũng không có bảng "Người hỗ trợ" (Số vụ việc, Số quá hạn). API backend đã trả dữ liệu theo người hỗ trợ (1 người, số lượng 1) nhưng giao diện không dựng → lỗi hiển thị FE.
- Theo SRS FR-IX-03 (UC126) §Output, báo cáo phải luôn có phần thống kê theo người hỗ trợ (NHT phân công). Ngoài ra bảng theo đơn vị còn thiếu cột "Số quá hạn" so với SRS.
- Verify: tài khoản cbnv_tw (Toàn quốc), Kỳ Năm 2026, 7 vụ việc đang hỗ trợ. Bug ID: BUG-VVDHT_04.</t>
  </si>
  <si>
    <t>- Modal hiện danh sách gợi ý chỉ gồm CB khớp lĩnh vực.
 - Sắp xếp theo workload ASC.
 - Trạng thái: TIEP_NHAN → DANG_XU_LY.
 - Hệ thống hiển thị thông báo thành công.
 - Gửi thông báo cho cán bộ tiếp nhận
 - "Lịch sử xử lý" ghi nhận phân công.</t>
  </si>
  <si>
    <t>VVDHT_06</t>
  </si>
  <si>
    <r>
      <rPr>
        <rFont val="Times New Roman"/>
        <color rgb="FF1155CC"/>
        <sz val="12.0"/>
        <u/>
      </rPr>
      <t>PCXLCHVM_01.webm</t>
    </r>
  </si>
  <si>
    <r>
      <rPr>
        <rFont val="Times New Roman"/>
        <color rgb="FF1155CC"/>
        <sz val="12.0"/>
        <u/>
      </rPr>
      <t>VVDHT_06.jpg</t>
    </r>
  </si>
  <si>
    <t>VVDHT_07</t>
  </si>
  <si>
    <r>
      <rPr>
        <rFont val="Times New Roman"/>
        <color rgb="FF1155CC"/>
        <sz val="12.0"/>
        <u/>
      </rPr>
      <t>VVDHT_07.jpg</t>
    </r>
  </si>
  <si>
    <t>Có lỗi (khác lỗi ban đầu báo).
- Thao tác Xuất PDF: file VẪN tạo và tải về được — không gặp thông báo "Không thể tạo file xuất".
- Kiểm tra nội dung file PDF: THIẾU header bắt buộc gồm Kỳ báo cáo, Đơn vị, Ngày tạo (bản Excel cùng báo cáo có đủ 4 trường) — chưa đúng chuẩn định dạng báo cáo. Số liệu trong bảng thì đúng.
- Thêm (Minor): cột Mức SLA in mã enum thô BINH_THUONG/SAP_HET/QUA_HAN/QUA_HAN_NGHIEM_TRONG thay vì nhãn tiếng Việt "Bình thường/Sắp hết hạn/Quá hạn/..." như màn hình. Bug: BUG-EXPORT-SLA-ENUM.
- Đề nghị dev bổ sung khối header cho file PDF + đổi nhãn SLA sang tiếng Việt. Bug chính: BUG-EXPORT-PDF-HEADER.</t>
  </si>
  <si>
    <t>Phân công lại (re-assign) — thay đổi người xử lý</t>
  </si>
  <si>
    <t>- User CB_NV đã đăng nhập.
 - HD-031 ở DA_PHAN_CONG, `nguoi_xu_ly = CB_A`.</t>
  </si>
  <si>
    <t>VVDHT_08</t>
  </si>
  <si>
    <t>1. Mở chi tiết HD-031.
 2. Nhấn [Phân công].
 3. Chọn CB_B thay CB_A.
 4. Click [Xác nhận].</t>
  </si>
  <si>
    <t>- Cập nhật người xử lý
 - Gửi thông báo cho CB_B.
 - AUDIT_LOG ghi thay đổi (CB_A → CB_B).</t>
  </si>
  <si>
    <r>
      <rPr>
        <rFont val="Times New Roman"/>
        <color rgb="FF1155CC"/>
        <sz val="12.0"/>
        <u/>
      </rPr>
      <t>PCXLCHVM_03.jpg</t>
    </r>
  </si>
  <si>
    <r>
      <rPr>
        <rFont val="Times New Roman"/>
        <color rgb="FF1155CC"/>
        <sz val="12.0"/>
        <u/>
      </rPr>
      <t>VVDHT_08.jpg</t>
    </r>
  </si>
  <si>
    <t>❌ Không phải lỗi (BA xác nhận 24/07/2026).
- BA chốt: BC Vụ việc đang hỗ trợ (FR-IX-03 / UC126) dùng chung màn Báo cáo thống kê SCR-IX-01, mà đặc tả màn này chỉ quy định 4 nút và không có nút In. Đã mở SRS kiểm nguyên văn `srs-v3.5/srs-fr-11-bao-cao.md`: `:1047` toolbar — Tiêu đề trang + Nút Làm mới; `:1052` Nút Xem báo cáo; `:1053` Nút Xuất Excel (.xlsx); `:1054` Nút Xuất PDF (.pdf); rà trọn bảng §Thành phần màn hình `:1044`–`:1059` không có thành phần In báo cáo. (Bản SRS trong input/srs-update-2026-5-5 cùng nội dung, đánh số `:1042` và `:1047`–`:1049`.)
- Quan sát của đối tác là đúng thực tế: QA verify 21/07/2026 (cbnv_tw_02, Kỳ Năm 2026, Toàn quốc, BC Vụ việc đang hỗ trợ ra Tổng vụ việc = 7) thấy toolbar đúng 4 nút Làm mới · Xem báo cáo · Xuất Excel · Xuất PDF. Nhu cầu in đã được đáp ứng qua Xuất PDF (hộp thoại Tùy chọn in báo cáo PDF cho chọn khổ A4/A3/Letter + hướng Dọc/Ngang, in ra từ file PDF), phù hợp phương thức văn bản giấy của TT 17/2025/TT-BTP Điều 3.5.
- Không sửa phần mềm. Đề nghị đối tác cập nhật Kết quả mong đợi VVDHT_08: bỏ yêu cầu nút In báo cáo riêng, thay bằng thao tác Xuất PDF rồi in. Nếu Chủ đầu tư vẫn muốn nút In riêng thì ghi vào danh sách yêu cầu cải tiến (nút mở lại bản xem trước PDF rồi in, không in trực tiếp nội dung màn hình).</t>
  </si>
  <si>
    <t>VVDHT_09</t>
  </si>
  <si>
    <r>
      <rPr>
        <rFont val="Times New Roman"/>
        <color rgb="FF1155CC"/>
        <sz val="12.0"/>
        <u/>
      </rPr>
      <t>VVDHT_09.jpg</t>
    </r>
  </si>
  <si>
    <t>❌ Không phải lỗi (BA xác nhận 24/07/2026).
- BA chốt: BC Vụ việc đang hỗ trợ (FR-IX-03 / UC126) dùng chung màn Báo cáo thống kê SCR-IX-01; chức năng đặt lại bộ lọc CÓ tồn tại nhưng đặc tả đặt tên là Làm mới chứ không phải Xóa bộ lọc. Đã mở SRS kiểm nguyên văn `srs-v3.5/srs-fr-11-bao-cao.md:1047` = toolbar, Tiêu đề trang, nhãn Báo cáo Thống kê + Nút Làm mới, Luôn hiển thị; thanh thao tác `:1052`–`:1054` chỉ có Xem báo cáo / Xuất Excel / Xuất PDF; rà trọn bảng §Thành phần màn hình `:1044`–`:1059` không có nút Xóa bộ lọc và không quy định giá trị mặc định sau khi đặt lại. (Bản SRS trong input/srs-update-2026-5-5 cùng nội dung, đánh số `:1042` và `:1047`–`:1049`.)
- QA verify 21/07/2026 (cbnv_tw_03, Toàn quốc) trên chính BC Vụ việc đang hỗ trợ: liệt kê toolbar ra đúng 4 nút Làm mới · Xem báo cáo · Xuất Excel · Xuất PDF, không có nút tên Xóa bộ lọc — khớp bằng chứng đối tác. Hành vi đặt lại của nút Làm mới đã được kiểm kỹ trên 2 báo cáo đại diện cùng màn (SLHDVM_09 và VVTTG_08): xóa sạch giá trị lọc + xóa vùng kết quả, KHÔNG tự tải lại — đúng nội dung Kết quả mong đợi, chỉ khác TÊN nút và khác ở chỗ để trống thay vì điền sẵn mặc định.
- Không sửa phần mềm. Đề nghị đối tác cập nhật Kết quả mong đợi VVDHT_09 (đổi Xóa bộ lọc → Làm mới, mô tả đặt lại về trạng thái khởi tạo trống). Ghi vào danh sách yêu cầu cải tiến nếu Chủ đầu tư muốn: thống nhất tên nút đặt lại lọc toàn hệ thống, và điền sẵn giá trị mặc định (Kỳ = Tháng, từ đầu tháng, đến hôm nay) sau khi đặt lại.</t>
  </si>
  <si>
    <t>Phân công cho CB có workload quá tải — cảnh báo nhưng vẫn cho phép</t>
  </si>
  <si>
    <t>- User CB_NV đã đăng nhập.
 - HD-032 ở TIEP_NHAN.
 - CB_C đang xử lý 15 yêu cầu (vượt ngưỡng).</t>
  </si>
  <si>
    <t>1. Mở phân công HD-032.
 2. Danh sách gợi ý hiện CB_C với nhãn cảnh báo đỏ.
 3. Chọn CB_C.
 4. Click [Xác nhận].</t>
  </si>
  <si>
    <t>- **WRN-PC-01**: "CB {CB_C} đang xử lý {15} yêu cầu. Xác nhận phân công?".
 - Nhãn cảnh báo đỏ hiển thị trên dòng CB_C.
 - Cho phép lưu sau khi xác nhận (WARNING, KHÔNG block).</t>
  </si>
  <si>
    <r>
      <rPr>
        <rFont val="Times New Roman"/>
        <color rgb="FF1155CC"/>
        <sz val="12.0"/>
        <u/>
      </rPr>
      <t>PCXLCHVM_04.jpg</t>
    </r>
  </si>
  <si>
    <t>- Màn hình hiển thị thiếu các chỉ số: Thành công, Không thành công, Tỷ lệ thành công</t>
  </si>
  <si>
    <r>
      <rPr>
        <rFont val="Times New Roman"/>
        <color rgb="FF1155CC"/>
        <sz val="12.0"/>
        <u/>
      </rPr>
      <t>VVDHTHT_03.jpg</t>
    </r>
  </si>
  <si>
    <t>✅ Bug ĐÚNG – chuyển dev.
- Web (BC Vụ việc đã hoàn thành, UC127) chỉ hiển thị 1 thẻ chỉ số "Tổng vụ việc = 5"; KHÔNG có chỉ số Thành công / Không thành công / Tỷ lệ thành công ở bất kỳ đâu (thẻ KPI, bảng hay biểu đồ). Kiểm tra a11y/DOM: không tồn tại text "thành công" trong khu vực kết quả (chỉ "Kết quả" là nhãn bộ lọc đầu vào).
- API backend đã trả theoKetQua (THANH_CONG: 1, CHUA_XAC_DINH: 4) nhưng giao diện không dựng → lỗi hiển thị FE (bỏ render dữ liệu BE đã có).
- Theo SRS FR-IX-04 (UC127) §Output dòng 300-303, các trị tong_hoan_thanh, thanh_cong, khong_thanh_cong, ty_le_thanh_cong đều bắt buộc "Luôn". Web chỉ hiển thị tong_hoan_thanh.
- Verify: tài khoản cbnv_tw (Toàn quốc), Kỳ Năm 2026, 5 vụ việc đã hoàn thành. Bug ID: BUG-VVDHTHT_03.</t>
  </si>
  <si>
    <t>VVDHTHT_04</t>
  </si>
  <si>
    <t>- Màn hình hiển thị thiếu cột theo mức thời hạn
- SRS yêu cầu hiển thị biểu đồ tròn theo kết quả, hệ thống đang hiển thị biểu đồ tròn theo lĩnh vực
- Bảng kết quả đang hiển thị các cột thông tin Lĩnh vực PL, Số lượng. Tài liệu SRS yêu cầu các cột thông tin: Đơn vị, Tổng hoàn thành, Tỷ lệ thành công</t>
  </si>
  <si>
    <r>
      <rPr>
        <rFont val="Times New Roman"/>
        <color rgb="FF1155CC"/>
        <sz val="12.0"/>
        <u/>
      </rPr>
      <t>VVDHTHT_04.jpg</t>
    </r>
  </si>
  <si>
    <t>Phân công khi trạng thái không hợp lệ (HOAN_THANH) → lỗi</t>
  </si>
  <si>
    <t>- User CB_NV đã đăng nhập.
 - HD-034 ở HOAN_THANH.</t>
  </si>
  <si>
    <t>1. Thử nhấn [Phân công] cho HD-034.</t>
  </si>
  <si>
    <t>- Nút [Phân công] bị ẩn cho HOAN_THANH.
 - Nếu API: **ERR-PC-02**: "Hỏi đáp ở trạng thái 'HOAN_THANH' không thể phân công".</t>
  </si>
  <si>
    <r>
      <rPr>
        <rFont val="Times New Roman"/>
        <color rgb="FF1155CC"/>
        <sz val="12.0"/>
        <u/>
      </rPr>
      <t>PCXLCHVM_05.jpg</t>
    </r>
  </si>
  <si>
    <t>✅ Bug ĐÚNG – chuyển dev (1 ý phụ Reject).
- Web (BC Vụ việc đã hoàn thành, UC127) render CẢ biểu đồ Bar LẪN Donut theo cùng chiều "lĩnh vực" (Thương mại: 100.0%). KHÔNG có biểu đồ/bảng nào thể hiện chiều "kết quả" (thành công/không thành công).
- Đối chiếu SRS: mapping dòng 1063 quy định UC127 = "Bar + Donut" với chiều phân tích gồm "Lĩnh vực PL, Kết quả"; mô tả FR-IX-04 dòng 279 nói báo cáo phân theo "lĩnh vực, kết quả (thành công/không), đơn vị". App bỏ hoàn toàn chiều kết quả (2 biểu đồ trùng chiều lĩnh vực). API backend đã trả theoKetQua nhưng FE không dựng → Open.
- Ý phụ đối tác "thiếu cột theo mức thời hạn": §Output FR-IX-04 KHÔNG có chiều mức thời hạn/SLA (đó là output của FR-IX-03 BC Vụ việc đang hỗ trợ) → ý này KHÔNG phải yêu cầu SRS cho báo cáo này → Reject sub-claim.
- Tổng verdict: Open (≥1 lỗi con Open). Verify: cbnv_tw (Toàn quốc), Kỳ Năm 2026, 5 VV. Bug ID: BUG-VVDHTHT_04.</t>
  </si>
  <si>
    <t>VVDHTHT_06</t>
  </si>
  <si>
    <r>
      <rPr>
        <rFont val="Times New Roman"/>
        <color rgb="FF1155CC"/>
        <sz val="12.0"/>
        <u/>
      </rPr>
      <t>VVDHTHT_06.jpg</t>
    </r>
  </si>
  <si>
    <t>VVDHTHT_07</t>
  </si>
  <si>
    <t>Phân công mà không chọn người xử lý → bị chặn</t>
  </si>
  <si>
    <r>
      <rPr>
        <rFont val="Times New Roman"/>
        <color rgb="FF1155CC"/>
        <sz val="12.0"/>
        <u/>
      </rPr>
      <t>VVDHTHT_07.jpg</t>
    </r>
  </si>
  <si>
    <t>- User CB_NV đã đăng nhập.
 - HD-035 ở TIEP_NHAN.</t>
  </si>
  <si>
    <t>1. Mở phân công HD-035.
 2. Không chọn người xử lý.
 3. Click [Xác nhận].</t>
  </si>
  <si>
    <t>- Hệ thống yêu cầu chọn người xử lý.
 - Nút [Xác nhận] bị disabled hoặc báo lỗi validation.</t>
  </si>
  <si>
    <r>
      <rPr>
        <rFont val="Times New Roman"/>
        <color rgb="FF1155CC"/>
        <sz val="12.0"/>
        <u/>
      </rPr>
      <t>PCXLCHVM_06.jpg</t>
    </r>
  </si>
  <si>
    <t>VVDHTHT_08</t>
  </si>
  <si>
    <r>
      <rPr>
        <rFont val="Times New Roman"/>
        <color rgb="FF1155CC"/>
        <sz val="12.0"/>
        <u/>
      </rPr>
      <t>VVDHTHT_08.jpg</t>
    </r>
  </si>
  <si>
    <t>❌ Không phải lỗi (BA xác nhận 24/07/2026).
- BA chốt: BC Vụ việc đã hoàn thành (FR-IX-04 / UC127) dùng chung màn Báo cáo thống kê SCR-IX-01, mà đặc tả màn này chỉ quy định 4 nút và không có nút In. Đã mở SRS kiểm nguyên văn `srs-v3.5/srs-fr-11-bao-cao.md`: `:1047` toolbar — Tiêu đề trang + Nút Làm mới; `:1052` Nút Xem báo cáo; `:1053` Nút Xuất Excel (.xlsx); `:1054` Nút Xuất PDF (.pdf); rà trọn bảng §Thành phần màn hình `:1044`–`:1059` không có thành phần In báo cáo. (Bản SRS trong input/srs-update-2026-5-5 cùng nội dung, đánh số `:1042` và `:1047`–`:1049`.)
- Quan sát của đối tác là đúng thực tế: QA verify 21/07/2026 (cbnv_tw_02, Kỳ Năm 2026, Toàn quốc, BC Vụ việc đã hoàn thành ra Tổng vụ việc = 5) thấy toolbar đúng 4 nút Làm mới · Xem báo cáo · Xuất Excel · Xuất PDF. Nhu cầu in đã được đáp ứng qua Xuất PDF (hộp thoại Tùy chọn in báo cáo PDF cho chọn khổ A4/A3/Letter + hướng Dọc/Ngang, in ra từ file PDF), phù hợp phương thức văn bản giấy của TT 17/2025/TT-BTP Điều 3.5.
- Không sửa phần mềm. Đề nghị đối tác cập nhật Kết quả mong đợi VVDHTHT_08: bỏ yêu cầu nút In báo cáo riêng, thay bằng thao tác Xuất PDF rồi in. Nếu Chủ đầu tư vẫn muốn nút In riêng thì ghi vào danh sách yêu cầu cải tiến (nút mở lại bản xem trước PDF rồi in, không in trực tiếp nội dung màn hình).</t>
  </si>
  <si>
    <t>CB NV BN phân công — danh sách gợi ý chỉ hiện CB cùng đơn vị</t>
  </si>
  <si>
    <t>- User CB_NV_BN đã đăng nhập.
 - HD-037 ở TIEP_NHAN, thuộc đơn vị BN.</t>
  </si>
  <si>
    <t>1. Mở phân công HD-037.
 2. Kiểm tra danh sách CB gợi ý.</t>
  </si>
  <si>
    <t>VVDHTHT_09</t>
  </si>
  <si>
    <t>- Chỉ hiện CB thuộc cùng đơn vị BN (Row-Level Security).
 - KHÔNG hiện CB TW, BN khác, ĐP.</t>
  </si>
  <si>
    <r>
      <rPr>
        <rFont val="Times New Roman"/>
        <color rgb="FF1155CC"/>
        <sz val="12.0"/>
        <u/>
      </rPr>
      <t>PCXLCHVM_07.jpg</t>
    </r>
  </si>
  <si>
    <r>
      <rPr>
        <rFont val="Times New Roman"/>
        <color rgb="FF1155CC"/>
        <sz val="12.0"/>
        <u/>
      </rPr>
      <t>VVDHTHT_09.jpg</t>
    </r>
  </si>
  <si>
    <t>❌ Không phải lỗi (BA xác nhận 24/07/2026).
- BA chốt: BC Vụ việc đã hoàn thành (FR-IX-04 / UC127) dùng chung màn Báo cáo thống kê SCR-IX-01; chức năng đặt lại bộ lọc CÓ tồn tại nhưng đặc tả đặt tên là Làm mới chứ không phải Xóa bộ lọc. Đã mở SRS kiểm nguyên văn `srs-v3.5/srs-fr-11-bao-cao.md:1047` = toolbar, Tiêu đề trang, nhãn Báo cáo Thống kê + Nút Làm mới, Luôn hiển thị; thanh thao tác `:1052`–`:1054` chỉ có Xem báo cáo / Xuất Excel / Xuất PDF; rà trọn bảng §Thành phần màn hình `:1044`–`:1059` không có nút Xóa bộ lọc và không quy định giá trị mặc định sau khi đặt lại. (Bản SRS trong input/srs-update-2026-5-5 cùng nội dung, đánh số `:1042` và `:1047`–`:1049`.)
- QA verify 21/07/2026 (cbnv_tw_03, Toàn quốc) trên chính BC Vụ việc đã hoàn thành: liệt kê toolbar ra đúng 4 nút Làm mới · Xem báo cáo · Xuất Excel · Xuất PDF, không có nút tên Xóa bộ lọc — khớp bằng chứng đối tác. Hành vi đặt lại của nút Làm mới đã được kiểm kỹ trên 2 báo cáo đại diện cùng màn (SLHDVM_09 và VVTTG_08): xóa sạch giá trị lọc + xóa vùng kết quả, KHÔNG tự tải lại — đúng nội dung Kết quả mong đợi, chỉ khác TÊN nút và khác ở chỗ để trống thay vì điền sẵn mặc định.
- Không sửa phần mềm. Đề nghị đối tác cập nhật Kết quả mong đợi VVDHTHT_09 (đổi Xóa bộ lọc → Làm mới, mô tả đặt lại về trạng thái khởi tạo trống). Ghi vào danh sách yêu cầu cải tiến nếu Chủ đầu tư muốn: thống nhất tên nút đặt lại lọc toàn hệ thống, và điền sẵn giá trị mặc định (Kỳ = Tháng, từ đầu tháng, đến hôm nay) sau khi đặt lại.</t>
  </si>
  <si>
    <t>VVTTG_01</t>
  </si>
  <si>
    <t>Báo cáo thống kê vụ việc theo thời gian</t>
  </si>
  <si>
    <t>Thống kê diễn biến số lượng vụ việc theo các mốc thời gian (ngày, tuần, tháng, quý).</t>
  </si>
  <si>
    <t>Phân công + đặt thời hạn tùy chỉnh (override SLA default)</t>
  </si>
  <si>
    <t>Số liệu thống kê không chính xác</t>
  </si>
  <si>
    <t>- User CB_NV đã đăng nhập.
 - HD-038 ở TIEP_NHAN.
 - SLA mặc định = 5 ngày.</t>
  </si>
  <si>
    <r>
      <rPr>
        <rFont val="Times New Roman"/>
        <color rgb="FF1155CC"/>
        <sz val="12.0"/>
        <u/>
      </rPr>
      <t>VVTTG_01.webm</t>
    </r>
  </si>
  <si>
    <t>1. Mở phân công HD-038.
 2. Ô thời hạn hiện mặc định theo SLA.
 3. Sửa thời hạn = 10 ngày.
 4. Click [Xác nhận].</t>
  </si>
  <si>
    <t>- Phân công thành công với thời hạn = 10 ngày (override SLA default).
 - Deadline tính theo giá trị tùy chỉnh.</t>
  </si>
  <si>
    <r>
      <rPr>
        <rFont val="Times New Roman"/>
        <color rgb="FF1155CC"/>
        <sz val="12.0"/>
        <u/>
      </rPr>
      <t>PCXLCHVM_08.jpg</t>
    </r>
  </si>
  <si>
    <t>- Biểu đồ 'Vụ việc theo thời gian' nay đã có 2 chuỗi Tiếp nhận + Hoàn thành và bảng chi tiết (phần này đã đúng).
- Tuy nhiên số liệu cột 'Tiếp nhận' chưa chính xác: báo cáo hiển thị 6 vụ việc tiếp nhận trong năm 2026, trong khi báo cáo 'Vụ việc đã tiếp nhận' cùng kỳ (Năm 2026, Toàn quốc) lại là 14.
- Cột 'Hoàn thành' (5) thì khớp. Đề nghị rà soát lại cách đếm số vụ việc tiếp nhận theo thời gian để khớp với số thực tế.</t>
  </si>
  <si>
    <t>VVTTG_02</t>
  </si>
  <si>
    <t>Không có chỉ số tổng hợp riêng</t>
  </si>
  <si>
    <t>Hệ thống hiển thị chỉ số tổng hợp</t>
  </si>
  <si>
    <r>
      <rPr>
        <rFont val="Times New Roman"/>
        <color rgb="FF1155CC"/>
        <sz val="12.0"/>
        <u/>
      </rPr>
      <t>VVTTG_02.jpg</t>
    </r>
  </si>
  <si>
    <t>❌ Không phải lỗi (BA xác nhận 24/07/2026).
- BA chốt: ô Tổng vụ việc toàn kỳ trên BC Vụ việc theo thời gian (FR-IX-05 / UC128) chính là chỉ tiêu bắt buộc của mẫu báo cáo chung, không phải phần mềm tự thêm. Đã mở SRS kiểm nguyên văn `srs-v3.5/srs-fr-11-bao-cao.md:327` = "**Template:** Kế thừa TPL-REPORT-FULL (không bổ sung input)"; mẫu chung TPL-REPORT-FULL (`:57`, áp cho cả 23 báo cáo) bắt buộc trường `:100` = "| 7 | tong_ban_ghi | number | Luôn | Tổng số bản ghi |". Với báo cáo vụ việc thì tổng số bản ghi chính là tổng vụ việc toàn kỳ → phần mềm ĐÚNG đặc tả.
- Kết quả mong đợi Không có chỉ số tổng hợp riêng vừa trái đặc tả, vừa không nhất quán với chính test case liền trước VVTTG_01 của đối tác (VVTTG_01 kỳ vọng khu vực kết quả gồm các chỉ số tổng hợp, biểu đồ và bảng). QA verify 21/07/2026 (cbnv_tw, Kỳ Năm 2026, Toàn quốc): màn có 1 ô Tổng vụ việc toàn kỳ = 6 + biểu đồ đường theo kỳ, đúng §Output FR-IX-05 (`:337`–`:339`: trend_data[], theo_don_vi[], chart_type = LINE).
- Không sửa phần mềm. Đề nghị đối tác sửa Kết quả mong đợi VVTTG_02 thành có ô Tổng vụ việc toàn kỳ cho khớp đặc tả; nếu vẫn muốn bỏ ô này thì ghi vào danh sách yêu cầu cải tiến.</t>
  </si>
  <si>
    <t>Phản hồi câu hỏi, vướng mắc</t>
  </si>
  <si>
    <t>VVTTG_03</t>
  </si>
  <si>
    <t>Cung cấp công cụ cho Người hỗ trợ/CB Nghiệp vụ soạn thảo và gửi nội dung phản hồi chính thức cho người gửi.</t>
  </si>
  <si>
    <t>- Biểu đồ đường thể hiện xu hướng tiếp nhận và hoàn thành
- Cột bảng tổng hợp chính: Kỳ thời gian, Số tiếp nhận, Số hoàn thành</t>
  </si>
  <si>
    <t>- Biểu đồ không thể hiện xu hướng
- Màn hình không hiển thị bảng tổng hợp</t>
  </si>
  <si>
    <r>
      <rPr>
        <rFont val="Times New Roman"/>
        <color rgb="FF1155CC"/>
        <sz val="12.0"/>
        <u/>
      </rPr>
      <t>VVTTG_03.jpg</t>
    </r>
  </si>
  <si>
    <t>✅ Bug ĐÚNG – chuyển dev.
- Web (BC Vụ việc theo thời gian, UC128) có 2 lỗi con so SRS FR-IX-05 §Output:
  (1) Biểu đồ trend chỉ có 1 chuỗi "Số vụ việc" (soVuViec). SRS §Output dòng 337 quy định trend_data mỗi kỳ gồm {ky_label, tiếp nhận, hoàn thành} — tức 2 chuỗi (số tiếp nhận + số hoàn thành). BE chỉ trả soVuViec → thiếu chiều tiếp nhận/hoàn thành.
  (2) KHÔNG có bảng chi tiết/tổng hợp dưới biểu đồ. SRS §Output dòng 338 yêu cầu theo_don_vi[] {don_vi, ten, trend_data[]} "Luôn" (BE không trả — hasTheoDonVi=false; UI không hiện bảng nào); AC dòng 342 yêu cầu "biểu đồ trend + bảng chi tiết".
- Đối tác báo "biểu đồ không thể hiện xu hướng": do chọn Kỳ=Năm (1 điểm/năm) hoặc Kỳ=Tháng mặc định range 1 tháng (1 điểm). Kiểm tra API Kỳ=Tháng khoảng cả năm (tuNgay=2026-01-01→denNgay=2026-12-31) trả 12 điểm T01..T12 → đường trend CÓ dựng nhiều điểm. Vậy "không có xu hướng" là do khoảng kỳ/range mặc định, KHÔNG phải lỗi render → không tính là lỗi con Open riêng.
- Tổng verdict: Open (2 lỗi con: thiếu chuỗi tiếp nhận/hoàn thành + thiếu bảng). Verify: cbnv_tw (Toàn quốc). Bug ID: BUG-VVTTG_03.</t>
  </si>
  <si>
    <t>VVTTG_05</t>
  </si>
  <si>
    <r>
      <rPr>
        <rFont val="Times New Roman"/>
        <color rgb="FF1155CC"/>
        <sz val="12.0"/>
        <u/>
      </rPr>
      <t>VVTTG_05.jpg</t>
    </r>
  </si>
  <si>
    <t>Kiểm tra hiển thị màn hình/popup phản hồi</t>
  </si>
  <si>
    <t xml:space="preserve">- User CB_NV đã đăng nhập.
- Tồn tại bản ghi tài khoản đăng nhập được phân công xử lý </t>
  </si>
  <si>
    <t>1. Chọn "Hỏi đáp pháp lý" 
2. Chọn bản ghi có trạng thái Đang xử lý hoặc đã tiếp nhận
3. Nhấn trực tiếp vào bản ghi
4. Kiểm tra popup/màn hình phản hồi được hiển thị</t>
  </si>
  <si>
    <t>- Màn hình/popup phản hồi hiển thị các trường thông tin giống với thiết kế</t>
  </si>
  <si>
    <t>VVTTG_06</t>
  </si>
  <si>
    <t>- Hệ thống hiển thị thiếu trường thông tin "Tệp đính kèm phản hồi"
- Nội dung phản hồi tối đa 5000 ký tự nhưng hệ thống cho phép tối đa 20000 ký tự</t>
  </si>
  <si>
    <r>
      <rPr>
        <rFont val="Times New Roman"/>
        <color rgb="FF1155CC"/>
        <sz val="12.0"/>
        <u/>
      </rPr>
      <t>PHCHVM_02.jpg</t>
    </r>
  </si>
  <si>
    <r>
      <rPr>
        <rFont val="Times New Roman"/>
        <color rgb="FF1155CC"/>
        <sz val="12.0"/>
        <u/>
      </rPr>
      <t>VVTTG_06.jpg</t>
    </r>
  </si>
  <si>
    <t xml:space="preserve">SRS v3.5 STT7 = 20000 =&gt; giới hạn 20000 ký tự là đúng </t>
  </si>
  <si>
    <t>VVTTG_07</t>
  </si>
  <si>
    <r>
      <rPr>
        <rFont val="Times New Roman"/>
        <color rgb="FF1155CC"/>
        <sz val="12.0"/>
        <u/>
      </rPr>
      <t>VVTTG_07.jpg</t>
    </r>
  </si>
  <si>
    <t>❌ Không phải lỗi (BA xác nhận 24/07/2026).
- BA chốt: BC Vụ việc theo thời gian (FR-IX-05 / UC128) dùng chung màn Báo cáo thống kê SCR-IX-01, mà đặc tả màn này chỉ quy định 4 nút và không có nút In. Đã mở SRS kiểm nguyên văn `srs-v3.5/srs-fr-11-bao-cao.md`: `:1047` toolbar — Tiêu đề trang + Nút Làm mới; `:1052` Nút Xem báo cáo; `:1053` Nút Xuất Excel (.xlsx); `:1054` Nút Xuất PDF (.pdf); rà trọn bảng §Thành phần màn hình `:1044`–`:1059` không có thành phần In báo cáo. (Bản SRS trong input/srs-update-2026-5-5 cùng nội dung, đánh số `:1042` và `:1047`–`:1049`.)
- Quan sát của đối tác là đúng thực tế: QA verify 21/07/2026 (cbnv_tw_02, Kỳ Năm 2026, Toàn quốc, BC Vụ việc theo thời gian ra Tổng vụ việc toàn kỳ = 6) thấy toolbar đúng 4 nút Làm mới · Xem báo cáo · Xuất Excel · Xuất PDF. Nhu cầu in đã được đáp ứng qua Xuất PDF (hộp thoại Tùy chọn in báo cáo PDF cho chọn khổ A4/A3/Letter + hướng Dọc/Ngang, in ra từ file PDF), phù hợp phương thức văn bản giấy của TT 17/2025/TT-BTP Điều 3.5.
- Không sửa phần mềm. Đề nghị đối tác cập nhật Kết quả mong đợi VVTTG_07: bỏ yêu cầu nút In báo cáo riêng, thay bằng thao tác Xuất PDF rồi in. Nếu Chủ đầu tư vẫn muốn nút In riêng thì ghi vào danh sách yêu cầu cải tiến (nút mở lại bản xem trước PDF rồi in, không in trực tiếp nội dung màn hình).</t>
  </si>
  <si>
    <t>VVTTG_08</t>
  </si>
  <si>
    <r>
      <rPr>
        <rFont val="Times New Roman"/>
        <color rgb="FF1155CC"/>
        <sz val="12.0"/>
        <u/>
      </rPr>
      <t>VVTTG_08.jpg</t>
    </r>
  </si>
  <si>
    <t>Soạn phản hồi và lưu nháp thành công</t>
  </si>
  <si>
    <t>❌ Không phải lỗi (BA xác nhận 24/07/2026).
- BA chốt: BC Vụ việc theo thời gian (FR-IX-05 / UC128) dùng chung màn Báo cáo thống kê SCR-IX-01; chức năng đặt lại bộ lọc CÓ tồn tại nhưng đặc tả đặt tên là Làm mới chứ không phải Xóa bộ lọc. Đã mở SRS kiểm nguyên văn `srs-v3.5/srs-fr-11-bao-cao.md:1047` = toolbar, Tiêu đề trang, nhãn Báo cáo Thống kê + Nút Làm mới, Luôn hiển thị; thanh thao tác `:1052`–`:1054` chỉ có Xem báo cáo / Xuất Excel / Xuất PDF; rà trọn bảng §Thành phần màn hình `:1044`–`:1059` không có nút Xóa bộ lọc và không quy định giá trị mặc định phải khôi phục sau khi đặt lại. (Bản SRS trong input/srs-update-2026-5-5 cùng nội dung, đánh số `:1042` và `:1047`–`:1049`.)
- QA đã kiểm HÀNH VI nút Làm mới trên chính báo cáo này ngày 21/07/2026 (cbnv_tw_03, Toàn quốc): đặt Kỳ = Năm 2026 → Xem báo cáo (ra Tổng vụ việc toàn kỳ = 6) → bấm Làm mới thì toàn bộ giá trị lọc về trống, vùng kết quả bị xóa và KHÔNG tự tải lại, nút Xem báo cáo / Xuất trở lại trạng thái vô hiệu (URL trở về /bao-cao). Tức đúng nội dung Kết quả mong đợi, chỉ khác TÊN nút và khác ở chỗ để trống thay vì điền sẵn Kỳ = Tháng / từ đầu tháng / đến hôm nay.
- Không sửa phần mềm. Đề nghị đối tác cập nhật Kết quả mong đợi VVTTG_08 (đổi Xóa bộ lọc → Làm mới, mô tả đặt lại về trạng thái khởi tạo trống). Hai điểm ghi vào danh sách yêu cầu cải tiến nếu Chủ đầu tư muốn: thống nhất tên nút đặt lại lọc trên toàn hệ thống, và điền sẵn giá trị mặc định sau khi đặt lại thay vì để trống.</t>
  </si>
  <si>
    <t>1. Chọn "Hỏi đáp pháp lý" 
2. Chọn bản ghi có trạng thái Đang xử lý
3. Nhấn trực tiếp vào bản ghi
4. Nhập thông tin phản hồi hợp lệ và nhấn Lưu nháp</t>
  </si>
  <si>
    <t>Hệ thống lưu hoặc cập nhật nội dung phản hồi hiện tại và giữ nguyên trạng thái hỏi đáp là "Đang xử lý". Không kích hoạt chuyển trạng thái.</t>
  </si>
  <si>
    <t>CLDTBDDDR_03</t>
  </si>
  <si>
    <t>Kiểm tra hiển thị Chỉ số tổng hợp</t>
  </si>
  <si>
    <r>
      <rPr>
        <rFont val="Times New Roman"/>
        <color rgb="FF1155CC"/>
        <sz val="12.0"/>
        <u/>
      </rPr>
      <t>PHCHVM_01.webm</t>
    </r>
  </si>
  <si>
    <t>- Màn hình hiển thị thiếu các chỉ số: Số trực tuyến, Số trực tiếp</t>
  </si>
  <si>
    <r>
      <rPr>
        <rFont val="Times New Roman"/>
        <color rgb="FF1155CC"/>
        <sz val="12.0"/>
        <u/>
      </rPr>
      <t>CLDTBDDDR_03.jpg</t>
    </r>
  </si>
  <si>
    <t>✅ Bug ĐÚNG – chuyển dev.
- Web (BC Lớp đào tạo đang diễn ra, UC129) chỉ hiển thị 1 thẻ chỉ số "Tổng số = 1"; KHÔNG có thẻ chỉ số "Số trực tuyến" và "Số trực tiếp". Hai giá trị này chỉ xuất hiện trong bảng chi tiết theo đơn vị (cột Trực tuyến/Trực tiếp), không có thẻ chỉ số riêng ở đầu báo cáo.
- Theo SRS FR-IX-06 (UC129) §Output, báo cáo phải luôn hiển thị 3 chỉ số: Tổng số đang diễn ra, Số trực tuyến (dòng 377), Số trực tiếp (dòng 378). Web thiếu 2 chỉ số sau.
- API backend trả tổng số ở cấp toàn quốc nhưng số trực tuyến/trực tiếp chỉ nằm trong từng đơn vị → giao diện không dựng thẻ chỉ số tổng cho 2 giá trị này.
- Verify: tài khoản cbnv_tw (Toàn quốc), Kỳ Năm 2026, 1 lớp đang diễn ra. Bug ID: BUG-CLDTBDDDR_03.</t>
  </si>
  <si>
    <t>CLDTBDDDR_04</t>
  </si>
  <si>
    <t>Kiểm tra hiển thị cột kết quả</t>
  </si>
  <si>
    <t>- Biêu đồ cột SRS yêu cầu hiển thị theo hình thức, hệ thống đang hiển thị theo Đơn vị
- Thiếu biểu đồ đường xu hướng theo kỳ
- Bảng tổng hợp SRS yêu cầu: Đơn vị, Số khóa, Số học viên, Theo hình thức. Hệ thống đang hiển thị: Đơn vị, Trực tuyến, Trực tiếp, Tổng số</t>
  </si>
  <si>
    <r>
      <rPr>
        <rFont val="Times New Roman"/>
        <color rgb="FF1155CC"/>
        <sz val="12.0"/>
        <u/>
      </rPr>
      <t>CLDTBDDDR_04.jpg</t>
    </r>
  </si>
  <si>
    <t>❌ Không phải lỗi (BA xác nhận 24/07/2026). Cả 3 ý đối tác nêu đều nằm ngoài đặc tả — BA xếp Loại 3, không sửa phần mềm.
- Ý (a) — biểu đồ cột gom theo ĐƠN VỊ thay vì theo hình thức học: bảng Mapping 23 loại BC chỉ cấp cho BC Lớp đào tạo đang diễn ra (FR-IX-06 / UC129) loại biểu đồ "Bar (snapshot)" — `srs-fr-11-bao-cao.md:1070` — KHÔNG quy định trục ngang chia theo chiều nào; thành phần "Biểu đồ" của màn báo cáo cũng chỉ liệt kê loại biểu đồ (`:1055`). Phần Mô tả FR-IX-06 nêu cả 3 cách chia "theo hình thức (trực tuyến/trực tiếp), lĩnh vực, đơn vị" (`:355`) → app vẽ trục = đơn vị và phân biệt hình thức bằng màu là hợp lệ.
- Ý (b) — thiếu biểu đồ đường thể hiện xu hướng: đây là báo cáo chụp tại một thời điểm nên Mapping chỉ cấp "Bar (snapshot)" (`:1070`), khác BC Lớp đào tạo ĐÃ diễn ra vốn được cấp "Bar + Trend" (`:1071`) → không thiếu so với đặc tả.
- Ý (c) — bảng thiếu cột "Số khóa, Số học viên" ở mức đơn vị: §Output FR-IX-06 khai `theo_don_vi[]` chỉ gồm {don_vi, ten, so_luong} (`:379`); số học viên chỉ nằm trong `ds_khoa_hoc[]` (`:381`) → cột đối tác đòi nằm ngoài §Output, phần app đang hiện (Trực tuyến / Trực tiếp / Tổng số) đã nhiều hơn §Output.
- Đề nghị đối tác cập nhật Kết quả mong đợi CLDTBDDDR_04 theo §Output FR-IX-06 (`:376-381`). Nếu Chủ đầu tư muốn trục theo hình thức học / thêm xu hướng theo kỳ / thêm cột Số học viên mức đơn vị thì mở yêu cầu cải tiến (bổ sung Mapping + §Output), không xử trong đợt fix này.</t>
  </si>
  <si>
    <t>Đính kèm tài liệu VBPL khi phản hồi</t>
  </si>
  <si>
    <t>CLDTBDDDR_06</t>
  </si>
  <si>
    <t>1. Chọn "Hỏi đáp pháp lý" 
2. Chọn bản ghi có trạng thái Đang xử lý
3. Nhấn trực tiếp vào bản ghi
4. Đính kèm tài liệu hợp lệ và nhấn Lưu nháp</t>
  </si>
  <si>
    <t>- File hiển thị trong danh sách đính kèm.
- Lưu nháp thành công.</t>
  </si>
  <si>
    <t>Hệ thống xuất toàn bộ và tự động tải tệp về máy người dùng. Tên tệp xuất: BaoCaoDaoTao_{YYYYMMDD_HHmm}.xlsx hoặc BaoCaoDaoTao_{YYYYMMDD_HHmm}.pdf.</t>
  </si>
  <si>
    <t>Hệ thống hiển thị thiếu trường thông tin "Tệp đính kèm phản hồi"</t>
  </si>
  <si>
    <r>
      <rPr>
        <rFont val="Times New Roman"/>
        <color rgb="FF1155CC"/>
        <sz val="12.0"/>
        <u/>
      </rPr>
      <t>PHCHVM_03.webm</t>
    </r>
  </si>
  <si>
    <r>
      <rPr>
        <rFont val="Times New Roman"/>
        <color rgb="FF1155CC"/>
        <sz val="12.0"/>
        <u/>
      </rPr>
      <t>CLDTBDDDR_06.jpg</t>
    </r>
  </si>
  <si>
    <t>CLDTBDDDR_07</t>
  </si>
  <si>
    <t>Hệ thống tạo tệp PDF theo đúng mẫu biểu Thông tư số 17/2025/TT-BTP — khổ A4, phông chữ Times New Roman cỡ 13, đầu trang có quốc hiệu và tên cơ quan, cuối trang có ngày ký và chức danh người ký.
- Tên tệp xuất: BaoCaoDaoTao_{YYYYMMDD_HHmm}.xlsx hoặc BaoCaoDaoTao_{YYYYMMDD_HHmm}.pdf.</t>
  </si>
  <si>
    <r>
      <rPr>
        <rFont val="Times New Roman"/>
        <color rgb="FF1155CC"/>
        <sz val="12.0"/>
        <u/>
      </rPr>
      <t>CLDTBDDDR_07.jpg</t>
    </r>
  </si>
  <si>
    <t>Gửi phản hồi — nội dung trống → lỗi</t>
  </si>
  <si>
    <t>1. Chọn "Hỏi đáp pháp lý" -&gt; Chọn bản ghi có trạng thái Đang xử lý
 2. Bỏ trống nội dung.
 3. Tick "Đã trả lời".
 4. Click [Gửi].</t>
  </si>
  <si>
    <t>- Lỗi **ERR-PH-01**: "Nội dung phản hồi là bắt buộc".
 - KHÔNG chuyển trạng thái.</t>
  </si>
  <si>
    <t>CLDTBDDDR_08</t>
  </si>
  <si>
    <r>
      <rPr>
        <rFont val="Times New Roman"/>
        <color rgb="FF1155CC"/>
        <sz val="12.0"/>
        <u/>
      </rPr>
      <t>PHCHVM_04.jpg</t>
    </r>
  </si>
  <si>
    <r>
      <rPr>
        <rFont val="Times New Roman"/>
        <color rgb="FF1155CC"/>
        <sz val="12.0"/>
        <u/>
      </rPr>
      <t>CLDTBDDDR_08.jpg</t>
    </r>
  </si>
  <si>
    <t>❌ Không phải lỗi (BA xác nhận 24/07/2026). Yêu cầu có nút "In báo cáo" riêng nằm ngoài đặc tả — BA xếp Loại 3.
- BA chốt: màn Báo cáo thống kê (SCR-IX-01, dùng chung cho cả 23 loại BC) chỉ đặc tả 4 nút — "Làm mới" ở vùng tiêu đề (`srs-fr-11-bao-cao.md:1047`) và "Xem báo cáo" / "Xuất Excel (.xlsx)" / "Xuất PDF (.pdf)" ở thanh thao tác (`:1052-1054`). Đọc hết bảng Thành phần màn hình (`:1046-1059`) không có thành phần nào tên "In báo cáo" → phần mềm không thiếu chức năng so với đặc tả.
- Nhu cầu in đã được đáp ứng qua Xuất PDF: bấm Xuất PDF mở hộp "Tùy chọn in báo cáo PDF" (khổ A4/A3/Letter, dọc/ngang) và file PDF xuất theo mẫu TT17/2025 nên giữ thể thức tốt hơn in trực tiếp từ màn hình. Thông tư 17/2025/TT-BTP Điều 3 khoản 5 cho phép gửi báo cáo bằng văn bản giấy nhưng không buộc phần mềm phải có riêng một nút mang tên "In".
- Đề nghị đối tác sửa Kết quả mong đợi CLDTBDDDR_08: bỏ yêu cầu nút "In báo cáo" riêng, thao tác in thực hiện qua Xuất PDF. Nếu Chủ đầu tư vẫn muốn có nút "In" (mở lại bản xem trước PDF rồi in, KHÔNG in trực tiếp nội dung màn hình) thì mở yêu cầu cải tiến kèm bổ sung thành phần vào SCR-IX-01.</t>
  </si>
  <si>
    <t>CLDTBDDDR_09</t>
  </si>
  <si>
    <r>
      <rPr>
        <rFont val="Times New Roman"/>
        <color rgb="FF1155CC"/>
        <sz val="12.0"/>
        <u/>
      </rPr>
      <t>CLDTBDDDR_09.jpg</t>
    </r>
  </si>
  <si>
    <t>Phản hồi khi trạng thái không hợp lệ (DA_DUYET) → lỗi</t>
  </si>
  <si>
    <t>- User CB_NV đã đăng nhập.
- Tồn tại bản ghi tcó trạng thái Đã duyệt</t>
  </si>
  <si>
    <t>❌ Không phải lỗi (BA xác nhận 24/07/2026). Chức năng đặt lại bộ lọc ĐÃ CÓ, chỉ khác tên gọi — BA xếp Loại 3.
- BA chốt: đặc tả đặt tên chức năng reset bộ lọc là nút "Làm mới", nằm ở vùng tiêu đề màn Báo cáo thống kê — `srs-fr-11-bao-cao.md:1047` ("Tiêu đề trang | label | "Báo cáo Thống kê" + Nút Làm mới"); thanh thao tác chỉ gồm Xem báo cáo / Xuất Excel / Xuất PDF (`:1052-1054`) và cả bảng Thành phần màn hình (`:1046-1059`) không có nút tên "Xóa bộ lọc" → app khác TÊN GỌI chứ không thiếu chức năng. QA đã kiểm: bấm "Làm mới" xóa hết giá trị đang lọc + xóa vùng kết quả, không tự tải lại dữ liệu.
- Bộ giá trị mặc định sau khi đặt lại mà đối tác mong (Kỳ = Tháng, Từ ngày = đầu tháng, Đến ngày = hôm nay, Đơn vị = đơn vị đang đăng nhập, còn lại = "Tất cả") KHÔNG được đặc tả quy định ở bất kỳ dòng nào của SCR-IX-01 → app đưa bộ lọc về trạng thái khởi tạo để trống là hợp lệ.
- Đề nghị đối tác sửa Kết quả mong đợi CLDTBDDDR_09: đổi "Xóa bộ lọc" thành "Làm mới", mô tả kết quả reset là bộ lọc về trạng thái khởi tạo trống. Hai điểm Chủ đầu tư có thể mở yêu cầu cải tiến: (a) thống nhất tên nút reset toàn hệ thống (các màn danh sách khác đang dùng "Xóa bộ lọc"); (b) điền sẵn giá trị mặc định sau khi đặt lại — nếu chốt thì sửa dòng `:1047` của SRS rồi mới giao Dev.</t>
  </si>
  <si>
    <t>1. Chọn "Hỏi đáp pháp lý" -&gt; Chọn bản ghi có trạng thái Đã duyệt
 2. Thử soạn phản hồi.</t>
  </si>
  <si>
    <t xml:space="preserve">- Khu vực soạn phản hồi bị disabled/ẩn.
 </t>
  </si>
  <si>
    <r>
      <rPr>
        <rFont val="Times New Roman"/>
        <color rgb="FF1155CC"/>
        <sz val="12.0"/>
        <u/>
      </rPr>
      <t>PHCHVM_05.jpg</t>
    </r>
  </si>
  <si>
    <t>LDTBDDDR_04</t>
  </si>
  <si>
    <t>Kiểm tra hiển thị Biểu đồ và bảng tổng hợp</t>
  </si>
  <si>
    <t>SRS yêu cầu biểu đồ cột theo hình thức, hệ thống đang hiển thị biểu đồ cột theo Đơn vị</t>
  </si>
  <si>
    <r>
      <rPr>
        <rFont val="Times New Roman"/>
        <color rgb="FF1155CC"/>
        <sz val="12.0"/>
        <u/>
      </rPr>
      <t>CLDTBDDDR_04.jpg</t>
    </r>
  </si>
  <si>
    <t>❌ Không phải lỗi (BA xác nhận 24/07/2026). Chỉ khác chiều xếp cột, số liệu như nhau — BA xếp Loại 3.
- BA chốt: BC Lớp đào tạo đã diễn ra (FR-IX-07 / UC130) được Mapping cấp "Bar + Trend" — `srs-fr-11-bao-cao.md:1071` — tức chỉ quy định LOẠI biểu đồ (cột + đường), KHÔNG quy định mỗi cột phải là đơn vị hay là cách học; thành phần "Biểu đồ" của SCR-IX-01 cũng chỉ liệt kê loại biểu đồ (`:1055`).
- §Output FR-IX-07 có sẵn số liệu ở CẢ HAI chiều: `theo_don_vi[]` {don_vi, ten, so_kh, so_hv} (`:420`) và `theo_hinh_thuc[]` {hinh_thuc, so_kh, so_hv} (`:421`) → app để mỗi cột là một đơn vị và phân biệt cách học (trực tuyến/trực tiếp) bằng màu không trái điều khoản nào; đổi mỗi cột thành một cách học chỉ là cách trình bày khác, không đổi số liệu và không chặn nghiệp vụ.
- Lưu ý khi đối tác rà lại: ảnh đính kèm cho case này là ảnh của báo cáo "Lớp đào tạo ĐANG diễn ra", không phải báo cáo "đã diễn ra" đang xét.
- Đề nghị đối tác cập nhật Kết quả mong đợi LDTBDDDR_04 cho khớp §Output FR-IX-07 (`:418-422`); nếu vẫn muốn mỗi cột là một cách học thì mở yêu cầu cải tiến, không xử trong đợt fix này.</t>
  </si>
  <si>
    <t>LDTBDDDR_06</t>
  </si>
  <si>
    <t>Phản hồi nội dung vượt 5000 ký tự → lỗi</t>
  </si>
  <si>
    <t>1. Soạn phản hồi 5001 ký tự.
 2. Click [Gửi].</t>
  </si>
  <si>
    <r>
      <rPr>
        <rFont val="Times New Roman"/>
        <color rgb="FF1155CC"/>
        <sz val="12.0"/>
        <u/>
      </rPr>
      <t>CLDTBDDDR_06.jpg</t>
    </r>
  </si>
  <si>
    <t>- Lỗi: Nội dung phản hồi tối đa 5000 ký tự (tương tự ERR-HD-02).</t>
  </si>
  <si>
    <t>Hệ thống cho phép nhập tối đa 20000 ký tự</t>
  </si>
  <si>
    <r>
      <rPr>
        <rFont val="Times New Roman"/>
        <color rgb="FF1155CC"/>
        <sz val="12.0"/>
        <u/>
      </rPr>
      <t>PHCHVM_06.jpg</t>
    </r>
  </si>
  <si>
    <t>LDTBDDDR_07</t>
  </si>
  <si>
    <r>
      <rPr>
        <rFont val="Times New Roman"/>
        <color rgb="FF1155CC"/>
        <sz val="12.0"/>
        <u/>
      </rPr>
      <t>CLDTBDDDR_07.jpg</t>
    </r>
  </si>
  <si>
    <t>CGTVPL_04</t>
  </si>
  <si>
    <t>- SRS yêu cầu Biểu đồ tròn theo loại, hệ thống hiển thị biểu đồ tròn theo Đơn vị
- Biểu đồ cột không hiển thị số lượng chuyên gia, chỉ hiển thị số lượng TVV mặc dù tồn tại dữ liệu</t>
  </si>
  <si>
    <r>
      <rPr>
        <rFont val="Times New Roman"/>
        <color rgb="FF1155CC"/>
        <sz val="12.0"/>
        <u/>
      </rPr>
      <t>CGTVPL_04.jpg</t>
    </r>
  </si>
  <si>
    <t>Người soạn KHÔNG phải người được phân công → cảnh báo</t>
  </si>
  <si>
    <t xml:space="preserve">- User CB_NV đã đăng nhập.
- Tồn tại bản ghi tài khoản đăng nhập không được phân công xử lý </t>
  </si>
  <si>
    <t>1. Chọn "Hỏi đáp pháp lý" -&gt; Chọn bản ghi không được phân công xử lý
 2. Soạn phản hồi và nhấn Gửi</t>
  </si>
  <si>
    <t>- **WRN-PH-01**: "Bạn không phải người được phân công. Vẫn muốn phản hồi?".
 - Cho phép tiếp tục nếu xác nhận (WARNING, không block).</t>
  </si>
  <si>
    <r>
      <rPr>
        <rFont val="Times New Roman"/>
        <color rgb="FF1155CC"/>
        <sz val="12.0"/>
        <u/>
      </rPr>
      <t>PHCHVM_07.jpg</t>
    </r>
  </si>
  <si>
    <t>❌ Không phải lỗi (BA xác nhận 24/07/2026) — cả ý chính lẫn ý phụ đều đóng, BA xếp Loại 3.
- Ý chính (biểu đồ tròn chia theo ĐƠN VỊ, đối tác muốn chia theo LOẠI tư vấn viên/chuyên gia): BC Số lượng CG/TVV (FR-IX-08 / UC131) được Mapping cấp "Donut + Bar" — `srs-fr-11-bao-cao.md:1072` — chỉ nêu loại biểu đồ, KHÔNG nói biểu đồ tròn phải chia theo tiêu chí nào; thành phần "Biểu đồ" của SCR-IX-01 cũng chỉ liệt kê loại (`:1055`). Chiều theo LOẠI vốn đã có sẵn trong §Output FR-IX-08 qua `so_tvv` (`:461`), `so_cg` (`:462`) và `theo_don_vi[]` {don_vi, ten, tvv, cg} (`:464`) → không thiếu số liệu, chỉ khác cách vẽ.
- Ý phụ "biểu đồ cột không hiển thị": KHÔNG tái hiện → đóng. QA verify 21/07/2026 (tài khoản cbnv_tw, Kỳ = Năm 2026, Đơn vị = Toàn quốc): biểu đồ cột CÓ render bình thường.
- Đề nghị đối tác cập nhật Kết quả mong đợi CGTVPL_04; nếu vẫn muốn đổi biểu đồ tròn sang chia theo loại thì mở yêu cầu cải tiến — KHÔNG bổ sung §Output/Mapping trong đợt này.
- Ghi chú phạm vi: lỗi "không hiển thị mục thống kê theo lĩnh vực" phát hiện tại cùng màn đã được tách log riêng (BUG-CGTVPL-LINHVUC, `Pass-bug-report-bctk-batch2.md`) và đã đóng — không thuộc case CGTVPL_04 này.</t>
  </si>
  <si>
    <t>CGTVPL_06</t>
  </si>
  <si>
    <t>Hệ thống xuất toàn bộ và tự động tải tệp về máy người dùng. Tên tệp xuất: BaoCaoDanhGia_{YYYYMMDD_HHmm}.xlsx / .pdf</t>
  </si>
  <si>
    <r>
      <rPr>
        <rFont val="Times New Roman"/>
        <color rgb="FF1155CC"/>
        <sz val="12.0"/>
        <u/>
      </rPr>
      <t>CGTVPL_06.jpg</t>
    </r>
  </si>
  <si>
    <t>Gửi phản hồi → thông báo gửi đúng CB PD cùng cấp</t>
  </si>
  <si>
    <t>- User CB_NV_BN đã đăng nhập (cấp BN).
 - HD-049 ở DANG_XU_LY.</t>
  </si>
  <si>
    <t>1. Soạn phản hồi hoàn chỉnh.
 2. Nhấn Gửi.
 3. Kiểm tra CB PD nhận thông báo.</t>
  </si>
  <si>
    <t xml:space="preserve">- Lưu phản hồi hiện tại.
- Tự động chuyển trạng thái hỏi đáp: "Đang xử lý" → "Chờ phê duyệt".
- Gửi thông báo trong phần mềm đến Cán bộ phê duyệt cùng cấp đơn vị.
- Lưu vết thao tác theo quy định.
</t>
  </si>
  <si>
    <t>CGTVPL_07</t>
  </si>
  <si>
    <r>
      <rPr>
        <rFont val="Times New Roman"/>
        <color rgb="FF1155CC"/>
        <sz val="12.0"/>
        <u/>
      </rPr>
      <t>PHCHVM_08.jpg</t>
    </r>
  </si>
  <si>
    <t xml:space="preserve">Hệ thống tạo tệp PDF theo đúng mẫu biểu Thông tư số 17/2025/TT-BTP — khổ A4, phông chữ Times New Roman cỡ 13, đầu trang có quốc hiệu và tên cơ quan, cuối trang có ngày ký và chức danh người ký.
- Tên tệp xuất: BaoCaoChuyenGia_{YYYYMMDD_HHmm}.xlsx / .pdf </t>
  </si>
  <si>
    <r>
      <rPr>
        <rFont val="Times New Roman"/>
        <color rgb="FF1155CC"/>
        <sz val="12.0"/>
        <u/>
      </rPr>
      <t>CGTVPL_07.jpg</t>
    </r>
  </si>
  <si>
    <t>✅ Bug ĐÚNG – chuyển dev.
- Chức năng: Báo cáo thống kê › BC Số lượng CG/TVV › Xuất PDF (FR-IX-08 / UC131).
- Lỗi đối tác báo ("Không thể tạo file xuất") KHÔNG tái hiện: bấm Xuất PDF → "Tạo file thành công", tải được file .pdf.
- Nhưng file PDF xuất ra THIẾU 3/4 dòng thông tin đầu trang bắt buộc: Kỳ báo cáo, Đơn vị, Ngày tạo (chỉ có tiêu đề rồi vào thẳng bảng số liệu). Bản Excel cùng báo cáo có đủ 4 dòng.
- Theo SRS srs-fr-11-bao-cao.md:1093: "Export XLSX/PDF chèn tiêu đề BC + thông tin kỳ + đơn vị + ngày tạo vào header file" — áp dụng cho cả PDF.
- Verify: tài khoản cbnv_tw (CB Nghiệp vụ TW), kỳ Năm 2026, đơn vị Cục Bổ trợ tư pháp, lĩnh vực Thuế, báo cáo có dữ liệu.
- Bug ID: BUG-CGTVPL_07 (thuộc lỗi template PDF dùng chung BUG-EXPORT-PDF-HEADER).</t>
  </si>
  <si>
    <t>DGHQHTPL_03</t>
  </si>
  <si>
    <t>SRS yêu cầu: Điểm trung bình, Tổng số vụ việc đã đánh giá. Hệ thống hiển thị thiếu thẻ chỉ số Tổng số vụ việc đã đánh giá</t>
  </si>
  <si>
    <r>
      <rPr>
        <rFont val="Times New Roman"/>
        <color rgb="FF1155CC"/>
        <sz val="12.0"/>
        <u/>
      </rPr>
      <t>DGHQHTPL_03.jpg</t>
    </r>
  </si>
  <si>
    <t>Phản hồi chính xác 5000 ký tự → boundary accept</t>
  </si>
  <si>
    <t>- User CB_NV đã đăng nhập.
 - HD-050 ở DANG_XU_LY.</t>
  </si>
  <si>
    <t>1. Soạn phản hồi đúng 5000 ký tự.
 2. Click [Gửi].</t>
  </si>
  <si>
    <t>Xác nhận thành công, hệ thống hiển thị "Đã gửi phản hồi đi phê duyệt".</t>
  </si>
  <si>
    <t>Hệ thống hiển thị đồng thời 2 thông báo "Đã lưu nháp phản hồi" và "Đã gửi phản hồi đi phê duyệt". khi nhấn Gửi</t>
  </si>
  <si>
    <r>
      <rPr>
        <rFont val="Times New Roman"/>
        <color rgb="FF1155CC"/>
        <sz val="12.0"/>
        <u/>
      </rPr>
      <t>PHCHVM_09.jpg</t>
    </r>
  </si>
  <si>
    <t>❌ Open — tái hiện đúng lỗi đối tác báo.
- BC Đánh giá hiệu quả HTPL (UC132) chỉ hiển thị 3 thẻ chỉ số: "Tổng đợt đánh giá=2", "Tổng lượt đánh giá=4", "Điểm trung bình chung=59". KHÔNG có thẻ "Tổng số vụ việc đã đánh giá".
- SRS FR-IX-09 §Output (srs-fr-11-bao-cao.md:504) quy định `so_vu_viec_danh_gia` (Tổng VV được đánh giá) là output "Luôn", tách biệt với theo_don_vi[] (#3). App thiếu thẻ tổng này.
- API /api/v1/bao-cao/danh-gia-hieu-qua trả diemTrungBinhChung + tongDotDanhGia + tongLuotDanhGia + theoDonVi[].soVuViec (per-đơn-vị) nhưng KHÔNG trả trường tổng so_vu_viec_danh_gia → thiếu ở cả API lẫn UI.
- Số vụ việc chỉ có ở cột bảng per-đơn-vị (1+1+2), không có thẻ tổng như SRS yêu cầu.
- Verify: cbnv_tw (Toàn quốc), Kỳ Năm 2026. Song song lỗi CLDTBDDDR_03 (thiếu thẻ scalar bắt buộc).</t>
  </si>
  <si>
    <t>DGHQHTPL_06</t>
  </si>
  <si>
    <r>
      <rPr>
        <rFont val="Times New Roman"/>
        <color rgb="FF1155CC"/>
        <sz val="12.0"/>
        <u/>
      </rPr>
      <t>DGHQHTPL_06.jpg</t>
    </r>
  </si>
  <si>
    <t>DGHQHTPL_07</t>
  </si>
  <si>
    <t>Chọn mẫu → pre-fill → chọn mẫu khác → confirm ghi đè</t>
  </si>
  <si>
    <t>- User CB_NV đã đăng nhập.
 - HD-112 ở DANG_XU_LY.
 - Đang soạn nội dung (có text).</t>
  </si>
  <si>
    <t>1. Chọn mẫu M1 → nội dung pre-fill.
 2. Sửa một phần nội dung.
 3. Chọn mẫu M2 (khác M1).</t>
  </si>
  <si>
    <r>
      <rPr>
        <rFont val="Times New Roman"/>
        <color rgb="FF1155CC"/>
        <sz val="12.0"/>
        <u/>
      </rPr>
      <t>DGHQHTPL_07.jpg</t>
    </r>
  </si>
  <si>
    <t>- Confirm dialog: "Nội dung hiện tại sẽ bị thay thế. Xác nhận?".
 - Nếu confirm → ghi đè bằng M2.
 - Nếu hủy → giữ nguyên nội dung đang soạn.</t>
  </si>
  <si>
    <t>Hệ thống không cập nhật lại Nội dung phản hồi khi người dùng thay đổi mẫu</t>
  </si>
  <si>
    <r>
      <rPr>
        <rFont val="Times New Roman"/>
        <color rgb="FF1155CC"/>
        <sz val="12.0"/>
        <u/>
      </rPr>
      <t>PHCHVM_10.webm</t>
    </r>
  </si>
  <si>
    <t>✅ Bug ĐÚNG – chuyển dev.
- Chức năng: Báo cáo thống kê › BC Đánh giá hiệu quả HTPL › Xuất PDF (FR-IX-09 / UC132).
- Lỗi đối tác báo ("Không thể tạo file xuất") KHÔNG tái hiện: bấm Xuất PDF → "Tạo file thành công", tải được file .pdf.
- Nhưng file PDF xuất ra THIẾU 3/4 dòng thông tin đầu trang bắt buộc: Kỳ báo cáo, Đơn vị, Ngày tạo (chỉ có tiêu đề rồi vào thẳng bảng số liệu). Bản Excel cùng báo cáo có đủ 4 dòng.
- Theo SRS srs-fr-11-bao-cao.md:1093: "Export XLSX/PDF chèn tiêu đề BC + thông tin kỳ + đơn vị + ngày tạo vào header file" — áp dụng cho cả PDF.
- Verify: tài khoản cbnv_tw (CB Nghiệp vụ TW), kỳ Năm 2026, đơn vị Toàn quốc, báo cáo có dữ liệu.
- Bug ID: BUG-DGHQHTPL_07 (thuộc lỗi template PDF dùng chung BUG-EXPORT-PDF-HEADER).</t>
  </si>
  <si>
    <t>CLDTBDPL_03</t>
  </si>
  <si>
    <t>Hệ thống hiển thị thiếu thẻ Tổng số học viên</t>
  </si>
  <si>
    <r>
      <rPr>
        <rFont val="Times New Roman"/>
        <color rgb="FF1155CC"/>
        <sz val="12.0"/>
        <u/>
      </rPr>
      <t>CLDTBDPL_03.jpg</t>
    </r>
  </si>
  <si>
    <t>Lĩnh vực không có MAU_PHAN_HOI → dropdown mẫu trống</t>
  </si>
  <si>
    <t>❌ Open — tái hiện đúng lỗi đối tác báo.
- BC Chất lượng đào tạo (UC133) chỉ hiển thị 3 thẻ chỉ số: "Tổng khóa học=4", "Điểm trung bình=7", "Tỷ lệ đạt=33.4%". KHÔNG có thẻ "Tổng số học viên".
- SRS FR-IX-10 §Output (srs-fr-11-bao-cao.md:546) quy định `tong_hoc_vien` (Tổng HV tham gia) là output "Luôn", tách biệt với theo_khoa_hoc[] (#4). App thiếu thẻ tổng này.
- API /api/v1/bao-cao/chat-luong-dao-tao trả tongKhoaHoc + diemTrungBinhTong + tyLeDatTong + danhSachKhoaHoc[].soHocVien (per-khóa) nhưng KHÔNG trả trường tổng tong_hoc_vien → thiếu ở cả API lẫn UI.
- Số học viên chỉ có ở cột bảng per-khóa-học (3+3+1+4=11), không có thẻ tổng như SRS yêu cầu.
- Verify: cbnv_tw (Toàn quốc), Kỳ Năm 2026. Song song lỗi CLDTBDDDR_03/DGHQHTPL_03 (thiếu thẻ scalar bắt buộc).</t>
  </si>
  <si>
    <t>- User CB_NV đã đăng nhập.
 - HD-113 ở DANG_XU_LY, lĩnh vực "Thuế" (chưa có mẫu).</t>
  </si>
  <si>
    <t>CLDTBDPL_04</t>
  </si>
  <si>
    <t>Hệ thống hiển thị biểu đồ theo Đơn vị - SRS yêu cầu: Biểu đồ cột theo khóa, biểu đồ đường điểm trung bình theo kỳ</t>
  </si>
  <si>
    <t>1. Mở soạn phản hồi HD-113.
 2. Kiểm tra dropdown mẫu phản hồi.</t>
  </si>
  <si>
    <r>
      <rPr>
        <rFont val="Times New Roman"/>
        <color rgb="FF1155CC"/>
        <sz val="12.0"/>
        <u/>
      </rPr>
      <t>CLDTBDPL_04.jpg</t>
    </r>
  </si>
  <si>
    <t>- Dropdown trống hoặc disabled: "Chưa có mẫu cho lĩnh vực này".
 - CB NV vẫn có thể soạn thủ công.</t>
  </si>
  <si>
    <r>
      <rPr>
        <rFont val="Times New Roman"/>
        <color rgb="FF1155CC"/>
        <sz val="12.0"/>
        <u/>
      </rPr>
      <t>PHCHVM_11.jpg</t>
    </r>
  </si>
  <si>
    <t>✅ Bug đúng (BA duyệt 24/07/2026) — Loại 2: BA đã cập nhật SRS, Dev làm theo SRS mới. Chỉ ý CHÍNH là lỗi; ý phụ "thiếu đường điểm TB" đóng vì KHÔNG tái hiện.
Việc phải làm — Dev FE: biểu đồ của BC Chất lượng đào tạo (FR-IX-10 / UC133) đang vẽ MỖI CỘT LÀ MỘT KHÓA HỌC nhưng ghi nhãn trục ngang bằng TÊN ĐƠN VỊ, nên hai khóa học thuộc cùng một đơn vị hiện hai nhãn giống hệt nhau và người đọc không biết cột nào ứng với khóa nào. Yêu cầu nghiệp vụ: nhãn trục phải nhận diện được từng khóa học, không để hai cột khác nhau mang nhãn trùng. SRS đã được BA cập nhật đúng quyết định này — `srs-fr-11-bao-cao.md:1074` (Mapping UC133): "Bar + Line (nhãn trục = khóa học: mã/tên khóa, KHÔNG dùng tên đơn vị)". Dữ liệu cần thiết đã có sẵn trong §Output FR-IX-10: `theo_khoa_hoc[]` {khoa_hoc, ten_kh, diem_tb, ty_le_dat, so_hv} (`:547`), bên cạnh `theo_don_vi[]` (`:548`). Mức Minor (lỗi trình bày, số liệu không sai).
── CÁCH VERIFY sau Dev fix ──
Precondition: tài khoản cbnv_tw / Test@1234 (CB Nghiệp vụ Trung ương, phạm vi Toàn quốc). Màn "Báo cáo thống kê" → chọn loại BC "Chất lượng đào tạo"; hoặc mở thẳng https://18.143.165.120.nip.io/bao-cao?loai=chat-luong-dao-tao&amp;kyBaoCao=NAM&amp;tuNgay=2026-01-01&amp;denNgay=2026-12-31 . Dữ liệu bắt buộc phải có: ít nhất 2 khóa học đã kết thúc + đã có điểm kiểm tra và THUỘC CÙNG MỘT đơn vị (môi trường UAT hiện có 2 khóa cùng đơn vị "Cục Bổ trợ tư pháp"). Nếu dữ liệu đã đổi và mỗi đơn vị chỉ còn 1 khóa thì phải tạo thêm 1 khóa nữa cùng đơn vị với một khóa sẵn có, cho kết thúc + nhập điểm để cả hai cùng lên báo cáo.
1) Đăng nhập cbnv_tw → mở Báo cáo thống kê → chọn "Chất lượng đào tạo" → Kỳ = Năm, Từ ngày 01/01/2026, Đến ngày 31/12/2026, Đơn vị = Toàn quốc → bấm "Xem báo cáo".
2) Đọc bảng kết quả, ghi ra danh sách Mã KH / Tên KH / Đơn vị và đếm số dòng khóa học (gọi là N).
3) Đếm số cột của biểu đồ cột và đọc lần lượt từng nhãn trên trục ngang, ghi đủ các nhãn ra giấy.
4) Rê chuột lên từng cột đọc tooltip, đối chiếu từng cột với đúng dòng khóa học ở bảng bước 2.
5) Lặp bước 3-4 cho biểu đồ đường (combo Số học viên / Tỷ lệ đạt / Điểm TB).
✅ PASS khi ĐỦ 3 điều: (i) số nhãn trục ngang = N (số dòng khóa học trong bảng); (ii) các nhãn ĐÔI MỘT KHÁC NHAU — cụ thể 2 khóa cùng đơn vị "Cục Bổ trợ tư pháp" hiện 2 nhãn phân biệt được bằng mã khóa hoặc tên khóa, không còn 2 nhãn trùng chữ; (iii) mỗi nhãn ứng đúng khóa học của cột đó khi so tooltip ở bước 4 với bảng ở bước 2.
❌ FAIL nếu: còn từ 2 nhãn trục giống hệt nhau trở lên; HOẶC nhãn trục vẫn là tên đơn vị trong khi mỗi cột là một khóa học; HOẶC nhãn đã đổi nhưng gán sai cột (tooltip chỉ khóa A mà nhãn ghi khóa B); HOẶC số nhãn ít hơn số dòng khóa học trong bảng (gộp mất khóa).
⚠️ Bẫy 1 — nếu lúc verify môi trường chỉ còn đúng 1 khóa học trên mỗi đơn vị thì KHÔNG được kết luận PASS: khi đó điều kiện (ii) không đo được, phải seed cho có 2 khóa cùng đơn vị rồi mới chấm.
⚠️ Bẫy 2 — ý "thiếu đường điểm TB" mà đối tác ghi là SAI thực tế: đường "Điểm TB" vốn vẫn hiển thị (thấy rõ ngay trong ảnh chính đối tác gửi kèm). KHÔNG mở lại case vì lý do này, chỉ đo phần nhãn trục.
⚠️ Bẫy 3 — ô "Trạng thái dev fix 1" của dòng này đang là "dev done" từ đợt sửa trước đó, KHÔNG phải kết quả của quyết định BA ngày 24/07/2026 về nhãn trục; vẫn phải verify lại đúng các bước trên trước khi chuyển Pass.
Ảnh lỗi cũ (biểu đồ nhãn trục theo tên đơn vị, đường Điểm TB vẫn có): reverify-audit/CLDTBDPL_04/CLDTBDPL_04-web-chart-theodonvi-duongdiemTB.png</t>
  </si>
  <si>
    <t>CLDTBDPL_06</t>
  </si>
  <si>
    <t xml:space="preserve">Hệ thống xuất toàn bộ và tự động tải tệp về máy người dùng. Tên tệp xuất: BaoCaoDaoTao_{YYYYMMDD_HHmm}.xlsx </t>
  </si>
  <si>
    <r>
      <rPr>
        <rFont val="Times New Roman"/>
        <color rgb="FF1155CC"/>
        <sz val="12.0"/>
        <u/>
      </rPr>
      <t>CLDTBDPL_06.jpg</t>
    </r>
  </si>
  <si>
    <t>Phản hồi khi CB PD đang duyệt — form phải bị KHÓA ở CHO_PHE_DUYET</t>
  </si>
  <si>
    <t>- CB_NV_A đã đăng nhập.
 - HD-114 ở CHO_PHE_DUYET (A đã gửi).</t>
  </si>
  <si>
    <t>1. A quay lại chi tiết HD-114 (CHO_PHE_DUYET).
 2. Kiểm tra form soạn phản hồi.</t>
  </si>
  <si>
    <t>- Form soạn phản hồi BỊ KHÓA khi trạng thái = CHO_PHE_DUYET.
 - CB NV chỉ thao tác được ở DA_PHAN_CONG / DANG_XU_LY.
 - Nếu KHÔNG khóa → lỗ hổng: phản hồi mới ghi đè bản đang chờ duyệt.</t>
  </si>
  <si>
    <r>
      <rPr>
        <rFont val="Times New Roman"/>
        <color rgb="FF1155CC"/>
        <sz val="12.0"/>
        <u/>
      </rPr>
      <t>PHCHVM_12.jpg</t>
    </r>
  </si>
  <si>
    <t>CLDTBDPL_07</t>
  </si>
  <si>
    <t>Hệ thống tạo tệp PDF theo đúng mẫu biểu Thông tư số 17/2025/TT-BTP — khổ A4, phông chữ Times New Roman cỡ 13, đầu trang có quốc hiệu và tên cơ quan, cuối trang có ngày ký và chức danh người ký.
- Tên tệp xuất: BaoCaoDaoTao_{YYYYMMDD_HHmm}.pdf.</t>
  </si>
  <si>
    <r>
      <rPr>
        <rFont val="Times New Roman"/>
        <color rgb="FF1155CC"/>
        <sz val="12.0"/>
        <u/>
      </rPr>
      <t>CLDTBDPL_07.jpg</t>
    </r>
  </si>
  <si>
    <t>Quản lý công khai phản hồi câu hỏi, vướng mắc</t>
  </si>
  <si>
    <t>✅ Bug ĐÚNG – chuyển dev.
- Chức năng: Báo cáo thống kê › BC Chất lượng đào tạo › Xuất PDF (FR-IX-10 / UC133).
- Lỗi đối tác báo ("Không thể tạo file xuất") KHÔNG tái hiện: bấm Xuất PDF → "Tạo file thành công", tải được file .pdf.
- Nhưng file PDF xuất ra THIẾU 3/4 dòng thông tin đầu trang bắt buộc: Kỳ báo cáo, Đơn vị, Ngày tạo (chỉ có tiêu đề rồi vào thẳng bảng số liệu). Bản Excel cùng báo cáo có đủ 4 dòng.
- Theo SRS srs-fr-11-bao-cao.md:1093: "Export XLSX/PDF chèn tiêu đề BC + thông tin kỳ + đơn vị + ngày tạo vào header file" — áp dụng cho cả PDF.
- Verify: tài khoản cbnv_tw (CB Nghiệp vụ TW), kỳ Năm 2026, đơn vị Toàn quốc, báo cáo có dữ liệu (4 khóa học).
- Bug ID: BUG-CLDTBDPL_07 (thuộc lỗi template PDF dùng chung BUG-EXPORT-PDF-HEADER).</t>
  </si>
  <si>
    <t>Quản lý quy trình kiểm duyệt và xuất bản công khai các câu trả lời.</t>
  </si>
  <si>
    <t>VVTDVQL_06</t>
  </si>
  <si>
    <t xml:space="preserve">Hệ thống xuất toàn bộ và tự động tải tệp về máy người dùng. Tên tệp xuất: : BaoCaoVuViec_{YYYYMMDD_HHmm}.xlsx </t>
  </si>
  <si>
    <r>
      <rPr>
        <rFont val="Times New Roman"/>
        <color rgb="FF1155CC"/>
        <sz val="12.0"/>
        <u/>
      </rPr>
      <t>VVTDVQL_06.jpg</t>
    </r>
  </si>
  <si>
    <t>VVTDVQL_07</t>
  </si>
  <si>
    <t>Hệ thống tạo tệp PDF theo đúng mẫu biểu Thông tư số 17/2025/TT-BTP — khổ A4, phông chữ Times New Roman cỡ 13, đầu trang có quốc hiệu và tên cơ quan, cuối trang có ngày ký và chức danh người ký.
- Tên tệp xuất: BaoCaoVuViec_{YYYYMMDD_HHmm}.pdf</t>
  </si>
  <si>
    <t>Phê duyệt phản hồi thành công — CB PD cùng cấp</t>
  </si>
  <si>
    <r>
      <rPr>
        <rFont val="Times New Roman"/>
        <color rgb="FF1155CC"/>
        <sz val="12.0"/>
        <u/>
      </rPr>
      <t>VVTDVQL_07.jpg</t>
    </r>
  </si>
  <si>
    <t>- User **CB_PD_TW** đã đăng nhập.
 - HD-050 ở CHO_PHE_DUYET, do CB_NV_TW tạo/xử lý.</t>
  </si>
  <si>
    <t>1. Mở tab "Chờ duyệt".
 2. Click HD-050.
 3. Xem nội dung phản hồi.
 4. Nhấn [Phê duyệt].</t>
  </si>
  <si>
    <t>- Trạng thái: CHO_PHE_DUYET → **DA_DUYET**.
 - AUDIT_LOG ghi APPROVE.
 - Thông báo gửi cho CB_NV_TW (người soạn).
 - BR-AUTH-05: CB PD TW duyệt cho bản ghi TW → hợp lệ.</t>
  </si>
  <si>
    <t>Thông báo không được gửi cho cbnv_tw</t>
  </si>
  <si>
    <r>
      <rPr>
        <rFont val="Times New Roman"/>
        <color rgb="FF1155CC"/>
        <sz val="12.0"/>
        <u/>
      </rPr>
      <t>QLCKPHCHVM_01.webm</t>
    </r>
  </si>
  <si>
    <t>✅ Bug ĐÚNG – chuyển dev.
- Chức năng: Báo cáo thống kê › BC Vụ việc theo đơn vị quản lý › Xuất PDF (FR-IX-11 / UC134).
- Lỗi đối tác báo ("Không thể tạo file xuất") KHÔNG tái hiện: bấm Xuất PDF → "Tạo file thành công", tải được file .pdf.
- Nhưng file PDF xuất ra THIẾU 3/4 dòng thông tin đầu trang bắt buộc: Kỳ báo cáo, Đơn vị, Ngày tạo (chỉ có tiêu đề rồi vào thẳng bảng số liệu). Bản Excel cùng báo cáo có đủ 4 dòng.
- Theo SRS srs-fr-11-bao-cao.md:1093: "Export XLSX/PDF chèn tiêu đề BC + thông tin kỳ + đơn vị + ngày tạo vào header file" — áp dụng cho cả PDF.
- Verify: tài khoản cbnv_tw (CB Nghiệp vụ TW), kỳ Năm 2026, đơn vị Toàn quốc, báo cáo có dữ liệu (4 đơn vị).
- Bug ID: BUG-VVTDVQL_07 (thuộc lỗi template PDF dùng chung BUG-EXPORT-PDF-HEADER).</t>
  </si>
  <si>
    <t>VVTLV_01</t>
  </si>
  <si>
    <t>Đã xóa cache và verify lại trên dữ liệu mới nhất -&gt; pass</t>
  </si>
  <si>
    <t>Báo cáo thông kê vụ việc theo lĩnh vực</t>
  </si>
  <si>
    <t>Thống kê số lượng vụ việc theo từng lĩnh vực pháp lý (Lao động, Thuế, Đất đai...).</t>
  </si>
  <si>
    <t>Số liệu biểu đồ và bảng tổng hợp không trùng khớp nhau</t>
  </si>
  <si>
    <r>
      <rPr>
        <rFont val="Times New Roman"/>
        <color rgb="FF1155CC"/>
        <sz val="12.0"/>
        <u/>
      </rPr>
      <t>VVTLV_01.jpg</t>
    </r>
  </si>
  <si>
    <t>Phê duyệt hàng loạt (Batch Approve) thành công</t>
  </si>
  <si>
    <t>✅ Bug ĐÚNG – đã ghi nhận (cùng gốc với lỗi BC Vụ việc theo lĩnh vực đã báo trước đó).
- Web hiện tại: ở BC Vụ việc theo lĩnh vực, lĩnh vực "Thương mại" — biểu đồ chỉ hiển thị 1 đơn vị (Cục Bổ trợ tư pháp), cột cao 7; trong khi bảng tổng hợp bên dưới ghi Tổng số = 16.
- Nguyên nhân: lĩnh vực "Thương mại" thực tế có 4 đơn vị (Cục Bổ trợ 7 + Bộ KH&amp;ĐT 4 + Sở Tư pháp Hà Nội 2 + Sở Tư pháp An Giang 3 = 16). Bảng cộng đủ 4 đơn vị (16) nhưng biểu đồ chỉ vẽ 1 đơn vị (7) → biểu đồ không khớp bảng.
- Kỳ vọng (SRS FR-IX-12, §Output dòng 619 + AC dòng 622): báo cáo phải dạng cross-tab hàng = lĩnh vực, cột = đơn vị; biểu đồ Grouped bar nhóm theo lĩnh vực × nhiều đơn vị. Dữ liệu backend đã có đủ 4 đơn vị, chỉ là màn hình dựng biểu đồ thiếu.
- Ghi chú: đây là cùng một lỗi gốc với phản ánh "thiếu breakdown theo đơn vị (biểu đồ 1 chuỗi + bảng chỉ cột Tổng)" đã ghi nhận trước (BUG-VVTLV_03). Khi dựng đủ các đơn vị theo SRS thì biểu đồ sẽ khớp bảng. Chuyển dev xử lý chung.</t>
  </si>
  <si>
    <t>- User CB_PD đã đăng nhập.
 - 5 bản ghi ở CHO_PHE_DUYET cùng cấp.</t>
  </si>
  <si>
    <t>1. Mở tab "Chờ duyệt".
 2. Tick chọn 5 bản ghi.
 3. Click [Phê duyệt hàng loạt].</t>
  </si>
  <si>
    <t>- Xử lý per-record.
 - Tất cả 5 chuyển CHO_PHE_DUYET → DA_DUYET.
 - Kết quả: "5 duyệt thành công, 0 lỗi".
 - AUDIT_LOG ghi 5 entries.</t>
  </si>
  <si>
    <t>Hệ thống không ghi lại lịch sử phê duyệt của các bản ghi</t>
  </si>
  <si>
    <t>VVTLV_03</t>
  </si>
  <si>
    <r>
      <rPr>
        <rFont val="Times New Roman"/>
        <color rgb="FF000000"/>
        <sz val="12.0"/>
        <u/>
      </rPr>
      <t>QLCKPHCHVM_02.webm</t>
    </r>
  </si>
  <si>
    <t>- Biểu đồ cột nhóm theo lĩnh vực và đơn vị
- Bảng tổng hợp: Lĩnh vực pháp lý, Tổng vụ việc, Theo đơn vị</t>
  </si>
  <si>
    <t>- Hệ thống hiển thị biểu đồ cột đơn theo lĩnh vực
- Bảng tổng hợp thiếu cột Theo đơn vị</t>
  </si>
  <si>
    <r>
      <rPr>
        <rFont val="Times New Roman"/>
        <color rgb="FF1155CC"/>
        <sz val="12.0"/>
        <u/>
      </rPr>
      <t>VVTLV_03.jpg</t>
    </r>
  </si>
  <si>
    <t>✅ Bug ĐÚNG – chuyển dev.
- Xác nhận lại trên hệ thống (tài khoản Cán bộ nghiệp vụ TW, phạm vi Toàn quốc, kỳ Năm 2026): báo cáo "Vụ việc theo lĩnh vực" (UC135 / FR-IX-12) chỉ hiển thị bảng 2 cột "Lĩnh vực PL / Tổng số" và biểu đồ cột chỉ 1 chuỗi đơn vị.
- Sai so với thiết kế: theo SRS FR-IX-12 §Output (dòng 619) trường "theo đơn vị" luôn phải có và AC (dòng 622) yêu cầu dạng cross-tab hàng = lĩnh vực, cột = đơn vị; bảng Mapping SCR-IX-01 (dòng 1071) yêu cầu biểu đồ Grouped bar (nhóm theo lĩnh vực × nhiều đơn vị).
- Bằng chứng backend: API đã trả chartType = GROUPED_BAR và đủ danh sách "theo đơn vị" (riêng lĩnh vực Thương mại tổng 16 gồm 4 đơn vị: Cục Bổ trợ 7, Bộ KH&amp;ĐT 4, STP Hà Nội 2, STP An Giang 3) nhưng giao diện không dựng cột/chuỗi theo đơn vị → lỗi phía hiển thị (Front-end), không phải thiếu dữ liệu.
- Bug ID: BUG-VVTLV_03. Owner đề xuất: Dev FE.</t>
  </si>
  <si>
    <t>VVTLV_05</t>
  </si>
  <si>
    <t>Từ chối phê duyệt kèm lý do hợp lệ (≥10 ký tự)</t>
  </si>
  <si>
    <r>
      <rPr>
        <rFont val="Times New Roman"/>
        <color rgb="FF1155CC"/>
        <sz val="12.0"/>
        <u/>
      </rPr>
      <t>VVTLV_05.jpg</t>
    </r>
  </si>
  <si>
    <t>- User CB_PD đã đăng nhập.
 - HD-051 ở CHO_PHE_DUYET.</t>
  </si>
  <si>
    <t>1. Mở chi tiết HD-051.
 2. Nhấn [Từ chối].
 3. Nhập lý do từ chối.
 4. Click [Xác nhận].</t>
  </si>
  <si>
    <t>- Trạng thái: CHO_PHE_DUYET → DANG_XU_LY (trả lại CB NV sửa).
 - Lý do từ chối hiển thị cho CB NV.
 - Gửi thông báo in-app + email cho CB NV.
 - AUDIT_LOG ghi REJECT + lý do.</t>
  </si>
  <si>
    <r>
      <rPr>
        <rFont val="Times New Roman"/>
        <color rgb="FF1155CC"/>
        <sz val="12.0"/>
        <u/>
      </rPr>
      <t>QLCKPHCHVM_03.jpg</t>
    </r>
  </si>
  <si>
    <t>VVTLV_06</t>
  </si>
  <si>
    <r>
      <rPr>
        <rFont val="Times New Roman"/>
        <color rgb="FF1155CC"/>
        <sz val="12.0"/>
        <u/>
      </rPr>
      <t>VVTLV_06.jpg</t>
    </r>
  </si>
  <si>
    <t>Từ chối — lý do trống → lỗi</t>
  </si>
  <si>
    <t>- User CB_PD đã đăng nhập.
 - HD-052 ở CHO_PHE_DUYET.</t>
  </si>
  <si>
    <t>✅ Bug ĐÚNG – chuyển dev.
- Web hiện tại: bấm "Xuất PDF" (BC Vụ việc theo lĩnh vực, FR-IX-12/UC135) → file PDF TẢI VỀ ĐƯỢC (lỗi "Không thể tạo file xuất" của đối tác KHÔNG còn tái hiện), NHƯNG nội dung file PDF thiếu 3 trường header bắt buộc: Kỳ báo cáo, Đơn vị, Ngày tạo — chỉ có tiêu đề rồi vào thẳng bảng.
- Expected theo SRS (srs-fr-11-bao-cao.md dòng 1088): file xuất (cả Excel lẫn PDF) phải chèn tiêu đề + kỳ + đơn vị + ngày tạo vào đầu file. Bản Excel cùng báo cáo có đủ 4 trường; bản PDF thiếu 3.
- Verify: vai trò CB Nghiệp vụ TW, kỳ Năm 2026, Toàn quốc, đã Xem báo cáo ra data; file A4 + font Times New Roman cỡ 13 (đúng TT17) nhưng thiếu khối header.
- Bug ID: BUG-EXPORT-PDF-HEADER (lỗi template PDF dùng chung toàn module Báo cáo thống kê — đã tái hiện trên 11 loại báo cáo).</t>
  </si>
  <si>
    <t>1. Nhấn [Từ chối].
 2. Bỏ trống lý do.
 3. Click [Xác nhận].</t>
  </si>
  <si>
    <t>- Lỗi **ERR-PD-02**: "Vui lòng nhập lý do từ chối".
 - KHÔNG chuyển trạng thái.</t>
  </si>
  <si>
    <r>
      <rPr>
        <rFont val="Times New Roman"/>
        <color rgb="FF1155CC"/>
        <sz val="12.0"/>
        <u/>
      </rPr>
      <t>QLCKPHCHVM_04.jpg</t>
    </r>
  </si>
  <si>
    <t>VVTLHDN_03</t>
  </si>
  <si>
    <t>- Biểu đồ cột nhóm theo loại hình
- Bảng tổng hợp: Loại hình doanh nghiệp, Tổng vụ việc, Theo đơn vị</t>
  </si>
  <si>
    <t>- Bảng tổng hợp không giống với thiết kế</t>
  </si>
  <si>
    <r>
      <rPr>
        <rFont val="Times New Roman"/>
        <color rgb="FF1155CC"/>
        <sz val="12.0"/>
        <u/>
      </rPr>
      <t>VVTLHDN_03.jpg</t>
    </r>
  </si>
  <si>
    <t>✅ Bug ĐÚNG – chuyển dev.
- Xác nhận lại trên hệ thống (tài khoản Cán bộ nghiệp vụ TW, phạm vi Toàn quốc, kỳ Năm 2026): báo cáo "Vụ việc theo loại hình DN" (UC136 / FR-IX-13) chỉ hiển thị bảng 2 cột "Quy mô DN / Tổng số" và biểu đồ cột chỉ 1 chuỗi đơn vị (Sở Tư pháp An Giang) — cột "Siêu nhỏ" còn không có bar dù bảng ghi 14.
- Sai so với thiết kế: theo SRS FR-IX-13 §Output (dòng 658) trường "theo đơn vị" luôn phải có và AC (dòng 661) yêu cầu dạng cross-tab hàng = loại DN, cột = đơn vị; bảng Mapping SCR-IX-01 (dòng 1072) yêu cầu biểu đồ Grouped bar (nhóm theo loại hình × nhiều đơn vị).
- Bằng chứng backend: API đã trả chartType = GROUPED_BAR và đủ danh sách "theo đơn vị" (riêng loại "Siêu nhỏ" tổng 14 gồm 3 đơn vị: Cục Bổ trợ 8, Bộ KH&amp;ĐT 4, STP Hà Nội 2) nhưng giao diện không dựng cột/chuỗi theo đơn vị → lỗi phía hiển thị (Front-end), không phải thiếu dữ liệu.
- Bug ID: BUG-VVTLHDN_03. Owner đề xuất: Dev FE.</t>
  </si>
  <si>
    <t>VVTLHDN_05</t>
  </si>
  <si>
    <r>
      <rPr>
        <rFont val="Times New Roman"/>
        <color rgb="FF1155CC"/>
        <sz val="12.0"/>
        <u/>
      </rPr>
      <t>VVTLHDN_05.jpg</t>
    </r>
  </si>
  <si>
    <t>Từ chối — lý do &lt; 10 ký tự → lỗi</t>
  </si>
  <si>
    <t>- User CB_PD đã đăng nhập.
 - HD-053 ở CHO_PHE_DUYET.</t>
  </si>
  <si>
    <t>1. Nhấn [Từ chối].
 2. Nhập "Thiếu" (5 ký tự).
 3. Click [Xác nhận].</t>
  </si>
  <si>
    <t>- Lỗi **ERR-PD-02** (min 10 ký tự theo BR-FLOW-04).
 - KHÔNG chuyển trạng thái.</t>
  </si>
  <si>
    <r>
      <rPr>
        <rFont val="Times New Roman"/>
        <color rgb="FF1155CC"/>
        <sz val="12.0"/>
        <u/>
      </rPr>
      <t>QLCKPHCHVM_05.jpg</t>
    </r>
  </si>
  <si>
    <t>VVTLHDN_06</t>
  </si>
  <si>
    <r>
      <rPr>
        <rFont val="Times New Roman"/>
        <color rgb="FF1155CC"/>
        <sz val="12.0"/>
        <u/>
      </rPr>
      <t>VVTLHDN_06.jpg</t>
    </r>
  </si>
  <si>
    <t>✅ Bug ĐÚNG – chuyển dev.
- Web hiện tại: bấm "Xuất PDF" (BC Vụ việc theo loại hình DN, FR-IX-13/UC136) → file PDF TẢI VỀ ĐƯỢC (lỗi "Không thể tạo file xuất" của đối tác KHÔNG còn tái hiện), NHƯNG nội dung file PDF thiếu 3 trường header bắt buộc: Kỳ báo cáo, Đơn vị, Ngày tạo — chỉ có tiêu đề rồi vào thẳng bảng.
- Expected theo SRS (srs-fr-11-bao-cao.md dòng 1088): file xuất (cả Excel lẫn PDF) phải chèn tiêu đề + kỳ + đơn vị + ngày tạo vào đầu file. Bản Excel cùng báo cáo có đủ 4 trường; bản PDF thiếu 3.
- Verify: vai trò CB Nghiệp vụ TW, kỳ Năm 2026, Toàn quốc, đã Xem báo cáo ra data; file A4 + font Times New Roman cỡ 13 (đúng TT17) nhưng thiếu khối header.
- Bug ID: BUG-EXPORT-PDF-HEADER (lỗi template PDF dùng chung toàn module Báo cáo thống kê — đã tái hiện trên 11 loại báo cáo).</t>
  </si>
  <si>
    <t>VVTTGCT_05</t>
  </si>
  <si>
    <t>Từ chối — CB PD phê duyệt xuyên cấp → lỗi</t>
  </si>
  <si>
    <t>- User **CB_PD_BN** đã đăng nhập.
 - HD-054 ở CHO_PHE_DUYET, thuộc đơn vị TW (hoặc ĐP khác cấp).</t>
  </si>
  <si>
    <t>1. Thử [Từ chối] hoặc [Phê duyệt] HD-054.</t>
  </si>
  <si>
    <t xml:space="preserve">- Bản ghi KHÔNG hiển thị trong danh sách CB_PD_BN.
</t>
  </si>
  <si>
    <r>
      <rPr>
        <rFont val="Times New Roman"/>
        <color rgb="FF1155CC"/>
        <sz val="12.0"/>
        <u/>
      </rPr>
      <t>QLCKPHCHVM_06.jpg</t>
    </r>
  </si>
  <si>
    <r>
      <rPr>
        <rFont val="Times New Roman"/>
        <color rgb="FF1155CC"/>
        <sz val="12.0"/>
        <u/>
      </rPr>
      <t>VVTTGCT_05.jpg</t>
    </r>
  </si>
  <si>
    <t>VVTTGCT_06</t>
  </si>
  <si>
    <r>
      <rPr>
        <rFont val="Times New Roman"/>
        <color rgb="FF1155CC"/>
        <sz val="12.0"/>
        <u/>
      </rPr>
      <t>VVTTGCT_06.jpg</t>
    </r>
  </si>
  <si>
    <t>Phê duyệt bản ghi KHÔNG ở CHO_PHE_DUYET → lỗi</t>
  </si>
  <si>
    <t>- User CB_PD đã đăng nhập.
 - HD-055 ở DA_DUYET (đã duyệt rồi).</t>
  </si>
  <si>
    <t>1. Thử nhấn [Phê duyệt] HD-055.</t>
  </si>
  <si>
    <t xml:space="preserve">- Nút [Phê duyệt] bị ẩn cho DA_DUYET.
</t>
  </si>
  <si>
    <t>✅ Bug ĐÚNG – chuyển dev.
- Web hiện tại: bấm "Xuất PDF" (BC Vụ việc theo thời gian chi tiết, FR-IX-14/UC137) → file PDF TẢI VỀ ĐƯỢC (lỗi "Không thể tạo file xuất" của đối tác KHÔNG còn tái hiện), NHƯNG nội dung file PDF thiếu 3 trường header bắt buộc: Kỳ báo cáo, Đơn vị, Ngày tạo — chỉ có tiêu đề rồi vào thẳng bảng.
- Expected theo SRS (srs-fr-11-bao-cao.md dòng 1088): file xuất (cả Excel lẫn PDF) phải chèn tiêu đề + kỳ + đơn vị + ngày tạo vào đầu file. Bản Excel cùng báo cáo có đủ 4 trường; bản PDF thiếu 3.
- Verify: vai trò CB Nghiệp vụ TW, kỳ Năm 2026, Toàn quốc, đã Xem báo cáo ra data; file A4 + font Times New Roman cỡ 13 (đúng TT17) nhưng thiếu khối header.
- Bug ID: BUG-EXPORT-PDF-HEADER (lỗi template PDF dùng chung toàn module Báo cáo thống kê — đã tái hiện trên 11 loại báo cáo).</t>
  </si>
  <si>
    <r>
      <rPr>
        <rFont val="Times New Roman"/>
        <color rgb="FF1155CC"/>
        <sz val="12.0"/>
        <u/>
      </rPr>
      <t>QLCKPHCHVM_07.jpg</t>
    </r>
  </si>
  <si>
    <t>CPHTCT_06</t>
  </si>
  <si>
    <t xml:space="preserve">Hệ thống xuất toàn bộ và tự động tải tệp về máy người dùng. Tên tệp xuất: : BaoCaoChiPhi_{YYYYMMDD_HHmm}.xlsx </t>
  </si>
  <si>
    <r>
      <rPr>
        <rFont val="Times New Roman"/>
        <color rgb="FF1155CC"/>
        <sz val="12.0"/>
        <u/>
      </rPr>
      <t>CPHTCT_06.jpg</t>
    </r>
  </si>
  <si>
    <t>CPHTCT_07</t>
  </si>
  <si>
    <t>Đóng hồ sơ thủ công OK — DA_DUYET → HOAN_THANH</t>
  </si>
  <si>
    <t>Hệ thống tạo tệp PDF theo đúng mẫu biểu Thông tư số 17/2025/TT-BTP — khổ A4, phông chữ Times New Roman cỡ 13, đầu trang có quốc hiệu và tên cơ quan, cuối trang có ngày ký và chức danh người ký.
- Tên tệp xuất: BaoCaoChiPhi_{YYYYMMDD_HHmm}.pdf</t>
  </si>
  <si>
    <r>
      <rPr>
        <rFont val="Times New Roman"/>
        <color rgb="FF1155CC"/>
        <sz val="12.0"/>
        <u/>
      </rPr>
      <t>CPHTCT_07.jpg</t>
    </r>
  </si>
  <si>
    <t>- User CB NV cùng đơn vị HOẶC CB PD cùng cấp đã đăng nhập.
 - HD-059 ở DA_DUYET.</t>
  </si>
  <si>
    <t>1. Mở chi tiết HD-059.
 2. Nhấn [Đóng hồ sơ].
 3. Confirm dialog: "Đóng hồ sơ? Hồ sơ sẽ không thể chỉnh sửa."
 4. Click [Xác nhận].</t>
  </si>
  <si>
    <t xml:space="preserve">- Trạng thái: DA_DUYET → **HOAN_THANH** 
 - Bản ghi bị khóa vĩnh viễn 
 - AUDIT_LOG ghi CLOSE.
 </t>
  </si>
  <si>
    <t>✅ Bug ĐÚNG – chuyển dev.
- Web hiện tại: bấm "Xuất PDF" (BC Chi phí chi trả hỗ trợ, FR-IX-15/UC138) → file PDF TẢI VỀ ĐƯỢC (lỗi "Không thể tạo file xuất" của đối tác KHÔNG còn tái hiện), NHƯNG nội dung file PDF thiếu khối header bắt buộc: Kỳ báo cáo, Đơn vị, Ngày tạo — chỉ có tiêu đề rồi vào thẳng bảng.
- Expected theo SRS (srs-fr-11-bao-cao.md dòng 1088): file xuất (cả Excel lẫn PDF) phải chèn tiêu đề + kỳ + đơn vị + ngày tạo vào đầu file. Bản Excel cùng báo cáo có đủ 4 trường; bản PDF thiếu.
- Verify: vai trò CB Nghiệp vụ TW, kỳ Năm 2026, Toàn quốc, đã Xem báo cáo ra data; file A4 + font Times New Roman cỡ 13 (đúng TT17) nhưng thiếu khối header.
- Bug ID: BUG-EXPORT-PDF-HEADER (lỗi template PDF dùng chung toàn module Báo cáo thống kê — đã tái hiện trên 11 loại báo cáo).</t>
  </si>
  <si>
    <r>
      <rPr>
        <rFont val="Times New Roman"/>
        <color rgb="FF1155CC"/>
        <sz val="12.0"/>
        <u/>
      </rPr>
      <t>QLCKPHCHVM_08.jpg</t>
    </r>
  </si>
  <si>
    <t>CPCTHTTDVQL_03</t>
  </si>
  <si>
    <r>
      <rPr>
        <rFont val="Times New Roman"/>
        <color rgb="FF1155CC"/>
        <sz val="12.0"/>
        <u/>
      </rPr>
      <t>CPCTHTTDVQL_03.jpg</t>
    </r>
  </si>
  <si>
    <t>❌ Không phải lỗi (BA xác nhận 24/07/2026). BA xếp Loại 3 — giữ nguyên phần mềm, đối tác cập nhật Kết quả mong đợi.
- Thẻ "Tổng hồ sơ" (ô ĐẾM) ĐÚNG đặc tả: đây chính là trường `tong_ban_ghi` — "Tổng số bản ghi", điều kiện "Luôn" — mà mẫu chung TPL-REPORT-FULL bắt buộc MỌI báo cáo phải có (`srs-fr-11-bao-cao.md:57` giới thiệu mẫu chung, `:100` khai trường). BC Chi phí theo đơn vị (FR-IX-16 / UC139) kế thừa mẫu chung này; với báo cáo chi phí thì một bản ghi = một hồ sơ đã thanh toán (Processing chung bước 4 — `:82`) → thẻ này không phải app tự thêm.
- Thẻ "Tổng chi phí" (ô TIỀN): §Output FR-IX-16 (`:754-758`) mới khai `tong_chi_phi` theo TỪNG hàng đơn vị (`:756`), chưa khai trị tổng tiền của toàn báo cáo — nhưng đặc tả KHÔNG cấm hiển thị thêm, và con số này cộng trực tiếp từ chính bảng chéo theo đơn vị nên không sai số liệu. Yêu cầu gỡ thẻ số tổng ở đầu màn không bắt buộc cho luồng nghiệp vụ → giữ nguyên app, KHÔNG tự bổ sung §Output trong đợt này.
- Đề nghị đối tác cập nhật Kết quả mong đợi CPCTHTTDVQL_03 (bỏ yêu cầu "không có chỉ số tổng hợp riêng").
- Điểm còn treo: chỉ nâng thành yêu cầu sửa (cập nhật SRS + Dev, ở đợt riêng) nếu Chủ đầu tư xác nhận biểu mẫu HTPLDN của Thông tư 17/2025/TT-BTP (Phụ lục I &amp; IV) bắt buộc có dòng "Tổng cộng".</t>
  </si>
  <si>
    <t>CPCTHTTDVQL_06</t>
  </si>
  <si>
    <t>Đóng hồ sơ từ CONG_KHAI → HOAN_THANH (skip DA_DUYET)</t>
  </si>
  <si>
    <t>- User CB NV / CB PD cùng cấp đã đăng nhập.
 - HD-062 ở CONG_KHAI.</t>
  </si>
  <si>
    <t>1. Mở chi tiết HD-062.
 2. Nhấn [Đóng hồ sơ].
 3. Xác nhận.</t>
  </si>
  <si>
    <r>
      <rPr>
        <rFont val="Times New Roman"/>
        <color rgb="FF1155CC"/>
        <sz val="12.0"/>
        <u/>
      </rPr>
      <t>CPCTHTTDVQL_06.jpg</t>
    </r>
  </si>
  <si>
    <t>- Trạng thái: CONG_KHAI → **HOAN_THANH** (luồng kết thúc từ CONG_KHAI).
 - Bản ghi bị khóa (BR-FLOW-03).
 - AUDIT_LOG ghi CLOSE.</t>
  </si>
  <si>
    <r>
      <rPr>
        <rFont val="Times New Roman"/>
        <color rgb="FF1155CC"/>
        <sz val="12.0"/>
        <u/>
      </rPr>
      <t>QLCKPHCHVM_09.jpg</t>
    </r>
  </si>
  <si>
    <t>CPCTHTTDVQL_07</t>
  </si>
  <si>
    <r>
      <rPr>
        <rFont val="Times New Roman"/>
        <color rgb="FF1155CC"/>
        <sz val="12.0"/>
        <u/>
      </rPr>
      <t>CPCTHTTDVQL_07.jpg</t>
    </r>
  </si>
  <si>
    <t>✅ Bug ĐÚNG – chuyển dev.
- Đối tác báo: bấm Xuất PDF báo cáo "Chi phí theo đơn vị" hiện lỗi "Không thể tạo file xuất. Vui lòng thử lại.".
- Kiểm tra lại (Cán bộ nghiệp vụ Trung ương, kỳ Năm 2026, phạm vi Toàn quốc, báo cáo đã có dữ liệu): lỗi "không thể tạo file" KHÔNG xảy ra — file PDF vẫn tải về được. NHƯNG file PDF xuất ra bị thiếu phần đầu trang bắt buộc: kỳ báo cáo, đơn vị, ngày tạo. Bản Excel cùng báo cáo lại có đủ 4 dòng này.
- Theo yêu cầu xuất file (SRS Báo cáo thống kê, SCR-IX-01 §Quy tắc tương tác, dòng 1088; AC Xuất PDF dòng 124): file xuất phải chèn tiêu đề + kỳ + đơn vị + ngày tạo vào đầu trang, áp dụng cho cả Excel lẫn PDF.
- Bug ID: BUG-EXPORT-PDF-HEADER (lỗi template PDF dùng chung toàn module — đã ghi nhận trên nhiều loại báo cáo).</t>
  </si>
  <si>
    <t>CB PD xem nội dung phản hồi — Read-only (KHÔNG có nút sửa trên UI)</t>
  </si>
  <si>
    <t>- User CB_PD đã đăng nhập.
 - HD-121 ở CHO_PHE_DUYET.</t>
  </si>
  <si>
    <t>1. Mở chi tiết HD-121.
 2. Kiểm tra section phản hồi.</t>
  </si>
  <si>
    <t xml:space="preserve">- Nội dung phản hồi hiển thị read-only (KHÔNG có Rich-text editor).
 - CB_PD KHÔNG có form sửa trực tiếp PHAN_HOI </t>
  </si>
  <si>
    <r>
      <rPr>
        <rFont val="Times New Roman"/>
        <color rgb="FF1155CC"/>
        <sz val="12.0"/>
        <u/>
      </rPr>
      <t>QLCKPHCHVM_10.jpg</t>
    </r>
  </si>
  <si>
    <t>CPCTHTTLHDN_03</t>
  </si>
  <si>
    <r>
      <rPr>
        <rFont val="Times New Roman"/>
        <color rgb="FF1155CC"/>
        <sz val="12.0"/>
        <u/>
      </rPr>
      <t>CPCTHTTLHDN_03.jpg</t>
    </r>
  </si>
  <si>
    <t>❌ Không phải lỗi (BA xác nhận 24/07/2026). BA xếp Loại 3 — giữ nguyên phần mềm, đối tác cập nhật Kết quả mong đợi.
- Thẻ "Tổng hồ sơ" (ô ĐẾM) ĐÚNG đặc tả: chính là trường `tong_ban_ghi` — "Tổng số bản ghi", điều kiện "Luôn" — bắt buộc với mọi báo cáo theo mẫu chung TPL-REPORT-FULL (`srs-fr-11-bao-cao.md:57`, `:100`). BC Chi phí theo loại hình DN (FR-IX-18 / UC141) kế thừa mẫu chung, bản ghi = hồ sơ đã thanh toán (Processing chung bước 4 — `:82`).
- Thẻ "Tổng chi phí" (ô TIỀN): §Output FR-IX-18 (`:833-839`) mới khai `tong_chi_phi` theo TỪNG loại hình DN (`:837` — siêu nhỏ / nhỏ / vừa), chưa khai trị tổng tiền toàn báo cáo; nhưng đặc tả không cấm hiển thị thêm và con số này cộng trực tiếp từ bảng theo loại hình DN. Riêng báo cáo này còn so trần chi phí theo Nghị định 55/2019 (`:838` tran_chi_phi, `:839` chenh_lech) nên một con số tổng toàn báo cáo càng có ý nghĩa đối chiếu. Yêu cầu gỡ thẻ số tổng không bắt buộc cho luồng nghiệp vụ → giữ nguyên app, KHÔNG tự bổ sung §Output trong đợt này.
- Đề nghị đối tác cập nhật Kết quả mong đợi CPCTHTTLHDN_03 (bỏ yêu cầu "không có chỉ số tổng hợp riêng").
- Điểm còn treo: chỉ nâng thành yêu cầu sửa (cập nhật SRS + Dev, đợt riêng) nếu Chủ đầu tư xác nhận biểu mẫu HTPLDN của Thông tư 17/2025/TT-BTP (Phụ lục I &amp; IV) bắt buộc có dòng "Tổng cộng".</t>
  </si>
  <si>
    <t>CPCTHTTLHDN_04</t>
  </si>
  <si>
    <t>Confirm dialog: Phê duyệt đơn lẻ phải hiện confirm</t>
  </si>
  <si>
    <t>- Biểu đồ cột nhóm theo loại hình và mức hỗ trợ
- Bảng tổng hợp: Loại hình, Mức hỗ trợ, Số hồ sơ, Tổng chi phí, Trần chi phí, Chênh lệch</t>
  </si>
  <si>
    <t>- User CB_PD đã đăng nhập.
 - HD-122 ở CHO_PHE_DUYET.</t>
  </si>
  <si>
    <t>- Biểu đồ cột theo nhiều nhóm mà tài liệu không yêu cầu: Chênh lệch, Số hồ sơ, Trần / hồ sơ, Trần chi phí, Tổng chi phí
- Số liệu ở trục tung của biểu đồ hiển thị toàn bộ giá trị 0</t>
  </si>
  <si>
    <r>
      <rPr>
        <rFont val="Times New Roman"/>
        <color rgb="FF1155CC"/>
        <sz val="12.0"/>
        <u/>
      </rPr>
      <t>CPCTHTTLHDN_04.jpg</t>
    </r>
  </si>
  <si>
    <t>1. Nhấn [Phê duyệt].
 2. Kiểm tra confirm dialog.</t>
  </si>
  <si>
    <t>- Confirm dialog BẮT BUỘC hiện trước khi phê duyệt (SCR-II-02 C12).
 - Nội dung: "Xác nhận phê duyệt?".
 - [Xác nhận] → thực hiện. [Hủy] → quay lại.</t>
  </si>
  <si>
    <r>
      <rPr>
        <rFont val="Times New Roman"/>
        <color rgb="FF1155CC"/>
        <sz val="12.0"/>
        <u/>
      </rPr>
      <t>QLCKPHCHVM_11.jpg</t>
    </r>
  </si>
  <si>
    <t>❌ Không phải lỗi (BA xác nhận 24/07/2026) — cả 2 ý đều đóng, BA xếp Loại 3.
- Ý 1 (biểu đồ vẽ cùng lúc nhiều loại số liệu — Chênh lệch, Số hồ sơ, Trần/hồ sơ, Trần chi phí, Tổng chi phí — trong khi đối tác muốn gom cột theo loại hình DN và mức hỗ trợ): BC Chi phí theo loại hình DN (FR-IX-18 / UC141) được Mapping cấp "Grouped bar" kèm bộ lọc "Loại DN" — `srs-fr-11-bao-cao.md:1082` — KHÔNG quy định cột gom theo nhóm nào, cũng không quy định biểu đồ được vẽ bao nhiêu chuỗi số liệu; §Output (`:833-839`) chỉ mô tả các cột của BẢNG (loai_dn, ten_loai_dn, muc_ho_tro, so_ho_so, tong_chi_phi, tran_chi_phi, chenh_lech) và bảng của app khớp đủ các cột này.
- Ý 2 ("số liệu ở trục dọc toàn bộ bằng 0"): KHÔNG đúng thực tế → đóng. Các chuỗi tiền (Tổng chi phí / Trần chi phí / Chênh lệch) vẫn có giá trị rõ trên trục; chỉ "Số hồ sơ" (số đếm) và "Mức hỗ trợ (%)" bị nén sát 0 vì được vẽ chung một trục với thang tiền — đây là vấn đề trình bày do trộn các chỉ số khác đơn vị đo lên một trục, KHÔNG phải lỗi dữ liệu.
- Việc thu gọn bớt chuỗi hoặc thêm một trục phụ cho các chỉ số đếm/phần trăm là phần đặc tả không nói tới và không bắt buộc cho nghiệp vụ → nếu Chủ đầu tư muốn thì mở yêu cầu cải tiến. Đề nghị đối tác cập nhật Kết quả mong đợi CPCTHTTLHDN_04 và bỏ nhận định "trục dọc toàn bộ bằng 0".</t>
  </si>
  <si>
    <t>CPCTHTTLHDN_06</t>
  </si>
  <si>
    <t>II.3</t>
  </si>
  <si>
    <r>
      <rPr>
        <rFont val="Times New Roman"/>
        <color rgb="FF1155CC"/>
        <sz val="12.0"/>
        <u/>
      </rPr>
      <t>CPCTHTTLHDN_06.jpg</t>
    </r>
  </si>
  <si>
    <t>Quản lý danh sách câu hỏi, vướng mắc đã xử lý</t>
  </si>
  <si>
    <t>CPCTHTTLHDN_07</t>
  </si>
  <si>
    <r>
      <rPr>
        <rFont val="Times New Roman"/>
        <color rgb="FF1155CC"/>
        <sz val="12.0"/>
        <u/>
      </rPr>
      <t>CPCTHTTLHDN_07.jpg</t>
    </r>
  </si>
  <si>
    <t>Quản lý câu hỏi, vướng mắc đã xử lý</t>
  </si>
  <si>
    <t>Quản lý các trường dữ liệu chi tiết của từng yêu cầu đã hoàn thành xử lý.</t>
  </si>
  <si>
    <t>✅ Bug ĐÚNG – chuyển dev.
- Đối tác báo: bấm Xuất PDF báo cáo "Chi phí theo loại hình DN" hiện lỗi "Không thể tạo file xuất. Vui lòng thử lại.".
- Kiểm tra lại (Cán bộ nghiệp vụ Trung ương, kỳ Năm 2026, phạm vi Toàn quốc, báo cáo đã có dữ liệu): lỗi "không thể tạo file" KHÔNG xảy ra — file PDF vẫn tải về được. NHƯNG file PDF xuất ra bị thiếu phần đầu trang bắt buộc: kỳ báo cáo, đơn vị, ngày tạo. Bản Excel cùng báo cáo lại có đủ 4 dòng này.
- Theo yêu cầu xuất file (SRS Báo cáo thống kê, SCR-IX-01 §Quy tắc tương tác, dòng 1088; AC Xuất PDF dòng 124): file xuất phải chèn tiêu đề + kỳ + đơn vị + ngày tạo vào đầu trang, áp dụng cho cả Excel lẫn PDF.
- Bug ID: BUG-EXPORT-PDF-HEADER (lỗi template PDF dùng chung toàn module — đã ghi nhận trên nhiều loại báo cáo).</t>
  </si>
  <si>
    <t>CPCTHTTTG_03</t>
  </si>
  <si>
    <t>- Biểu đồ đường thể hiện xu hướng chi phí
- Bảng tổng hợp: Kỳ thời gian, Tổng chi phí, Số hồ sơ</t>
  </si>
  <si>
    <t>- Số liệu ở trục tung của biểu đồ hiển thị toàn bộ giá trị 0</t>
  </si>
  <si>
    <r>
      <rPr>
        <rFont val="Times New Roman"/>
        <color rgb="FF1155CC"/>
        <sz val="12.0"/>
        <u/>
      </rPr>
      <t>CPCTHTTTG_03.jpg</t>
    </r>
  </si>
  <si>
    <t>❌ Không phải lỗi (BA xác nhận 24/07/2026). Phản ánh "trục dọc toàn bộ bằng 0" không đúng thực tế — BA xếp Loại 3.
- BA chốt: đường "Tổng chi phí" nằm ở đỉnh trục tung (môi trường UAT khi QA verify ≈ 8.000.000; chính ảnh đối tác gửi cũng cho thấy điểm ≈ 226 triệu), chỉ đường "Số hồ sơ" bị nén sát 0 do vẽ chung trục với thang tiền → vấn đề trình bày khi trộn chỉ số đếm với chỉ số tiền, KHÔNG phải lỗi dữ liệu.
- Phần mềm đúng đặc tả: BC Chi phí theo thời gian (FR-IX-19 / UC142) được Mapping cấp "Line chart trend" (`srs-fr-11-bao-cao.md:1083`); §Output đưa vào biểu đồ CẢ tổng chi phí lẫn số hồ sơ theo từng kỳ — `trend_data[]` {ky_label, tong_chi_phi, so_ho_so} (`:869`) — nên vẽ 2 đường là khớp đặc tả, và đặc tả không quy định phải tách trục phụ. Thẻ "Tổng chi phí toàn kỳ" cũng đã được khai sẵn là `tong_chi_phi_ky`, điều kiện "Luôn" (`:871`) nên hợp lệ.
- Việc đối tác chọn Kỳ = Năm nên biểu đồ chỉ có 1 điểm (năm 2026) là đúng bộ lọc: tiêu chí nghiệm thu của FR-IX-19 lấy ví dụ chọn 12 tháng thì ra 12 điểm (`:874`).
- Đề nghị đối tác cập nhật Kết quả mong đợi CPCTHTTTG_03, bỏ nhận định "trục dọc toàn bộ bằng 0"; nếu muốn tách một trục phụ riêng cho đường Số hồ sơ thì mở yêu cầu cải tiến.</t>
  </si>
  <si>
    <t>CPCTHTTTG_05</t>
  </si>
  <si>
    <r>
      <rPr>
        <rFont val="Times New Roman"/>
        <color rgb="FF1155CC"/>
        <sz val="12.0"/>
        <u/>
      </rPr>
      <t>CPCTHTTTG_05.jpg</t>
    </r>
  </si>
  <si>
    <t>CPCTHTTTG_06</t>
  </si>
  <si>
    <t>1. Chọn "Hỏi đáp pháp lý" -&gt; Mở tab "Đang xử lý".
 2. Kiểm tra danh sách.</t>
  </si>
  <si>
    <t>- Chỉ hiển thị `trang_thai IN (TIEP_NHAN, DA_PHAN_CONG, DANG_XU_LY)`.
 - KHÔNG hiển thị MOI, DA_DUYET, CONG_KHAI, HOAN_THANH.
 - Không có nút [Thêm mới] / [Xóa].</t>
  </si>
  <si>
    <t>Hệ thống hiển thị nút "Xóa"</t>
  </si>
  <si>
    <r>
      <rPr>
        <rFont val="Times New Roman"/>
        <color rgb="FF1155CC"/>
        <sz val="12.0"/>
        <u/>
      </rPr>
      <t>QLCHVMDXL_01.jpg</t>
    </r>
  </si>
  <si>
    <r>
      <rPr>
        <rFont val="Times New Roman"/>
        <color rgb="FF1155CC"/>
        <sz val="12.0"/>
        <u/>
      </rPr>
      <t>CPCTHTTTG_06.jpg</t>
    </r>
  </si>
  <si>
    <t>✅ Bug ĐÚNG – chuyển dev.
- Đối tác báo: bấm Xuất PDF báo cáo "Chi phí theo thời gian" hiện lỗi "Không thể tạo file xuất. Vui lòng thử lại.".
- Kiểm tra lại (Cán bộ nghiệp vụ Trung ương, kỳ Năm 2026, phạm vi Toàn quốc, báo cáo đã có dữ liệu): lỗi "không thể tạo file" KHÔNG xảy ra — file PDF vẫn tải về được. NHƯNG file PDF xuất ra bị thiếu phần đầu trang bắt buộc: kỳ báo cáo, đơn vị, ngày tạo. Bản Excel cùng báo cáo lại có đủ 4 dòng này.
- Theo yêu cầu xuất file (SRS Báo cáo thống kê, SCR-IX-01 §Quy tắc tương tác, dòng 1088; AC Xuất PDF dòng 124): file xuất phải chèn tiêu đề + kỳ + đơn vị + ngày tạo vào đầu trang, áp dụng cho cả Excel lẫn PDF.
- Bug ID: BUG-EXPORT-PDF-HEADER (lỗi template PDF dùng chung toàn module — đã ghi nhận trên nhiều loại báo cáo).</t>
  </si>
  <si>
    <t>đúng srs</t>
  </si>
  <si>
    <t>SLCTHT_03</t>
  </si>
  <si>
    <t>Tổng chương trình, Đang thực hiện, Hoàn thành</t>
  </si>
  <si>
    <t>Hệ thống hiển thị thiếu các chỉ số: Đang thực hiện, Hoàn thành</t>
  </si>
  <si>
    <r>
      <rPr>
        <rFont val="Times New Roman"/>
        <color rgb="FF1155CC"/>
        <sz val="12.0"/>
        <u/>
      </rPr>
      <t>SLCTHT_03.jpg</t>
    </r>
  </si>
  <si>
    <t>1. Mở chi tiết
 2. Nhập thời hạn mới 
 3. Nhập lý do thay đổi.
 4. Click [Lưu].</t>
  </si>
  <si>
    <t>- Cập nhật thành công, thời hạn mới 
 - AUDIT_LOG ghi UPDATE (thời hạn cũ → mới + lý do).
 - Thông báo gửi cho người được phân công.</t>
  </si>
  <si>
    <r>
      <rPr>
        <rFont val="Times New Roman"/>
        <color rgb="FF1155CC"/>
        <sz val="12.0"/>
        <u/>
      </rPr>
      <t>QLCHVMDXL_02.jpg</t>
    </r>
  </si>
  <si>
    <t>✅ Bug ĐÚNG – chuyển dev.
- Đã seed dữ liệu chương trình HTPLDN qua API (1 chương trình "Đang thực hiện" + 1 "Hoàn thành") rồi mở báo cáo "Số lượng chương trình hỗ trợ" bằng tài khoản Cán bộ nghiệp vụ TW (Toàn quốc).
- Xác nhận: khu "Chỉ số tổng hợp" CHỈ hiển thị 1 thẻ "Tổng chương trình" (= 4); THIẾU 2 thẻ "Đang thực hiện" và "Hoàn thành" — đúng như phản ánh của đối tác.
- Đối chiếu đặc tả FR-IX-20 §Output (dòng 907-909): báo cáo phải xuất đủ 3 chỉ số với điều kiện "Luôn hiển thị": Tổng chương trình, Đang thực hiện, Hoàn thành. App thiếu 2 số → lỗi thật.
- Đề nghị Dev FE bổ sung 2 thẻ chỉ số "Đang thực hiện" và "Hoàn thành" vào khu Chỉ số tổng hợp của báo cáo này.</t>
  </si>
  <si>
    <t>SLCTHT_04</t>
  </si>
  <si>
    <t>- Biểu đồ cột theo đơn vị, biểu đồ đường theo kỳ
- Bảng tổng hợp: Đơn vị, Số chương trình, Đang thực hiện, Hoàn thành</t>
  </si>
  <si>
    <t>- Biểu đồ hệ thống hiển thị theo trạng thái
- Bảng tổng hợp không giống với thiết kế</t>
  </si>
  <si>
    <r>
      <rPr>
        <rFont val="Times New Roman"/>
        <color rgb="FF1155CC"/>
        <sz val="12.0"/>
        <u/>
      </rPr>
      <t>SLCTHT_04.jpg</t>
    </r>
  </si>
  <si>
    <t>✅ Bug ĐÚNG – chuyển dev.
- Đã seed dữ liệu chương trình HTPLDN qua API (chương trình ở nhiều trạng thái) rồi mở báo cáo "Số lượng chương trình hỗ trợ" bằng tài khoản Cán bộ nghiệp vụ TW (Toàn quốc).
- Xác nhận: cả biểu đồ cột LẪN biểu đồ đường đều vẽ theo TRẠNG THÁI (Đã phê duyệt / Đang thực hiện / Hoàn thành); bảng tổng hợp chỉ có 2 cột {Trạng thái, Số chương trình} — đúng như phản ánh của đối tác.
- Đối chiếu đặc tả FR-IX-20 §Output (dòng 910-911) + bảng biểu đồ (dòng 1079): biểu đồ cột phải theo ĐƠN VỊ, biểu đồ đường (trend) phải theo KỲ thời gian, bảng tổng hợp phải gồm {Đơn vị, Số chương trình, Đang thực hiện, Hoàn thành}. App làm sai toàn bộ chiều dữ liệu → lỗi thật.
- Ghi chú kỹ thuật: API báo cáo (so-luong-ct-ho-tro) đang trả dữ liệu gom theo trạng thái, KHÔNG có phần theo đơn vị/theo kỳ → cần sửa cả Backend (bổ sung chiều đơn vị + kỳ vào dữ liệu báo cáo) lẫn Frontend (vẽ biểu đồ/bảng đúng chiều).</t>
  </si>
  <si>
    <t>1. Mở chi tiết bản ghi
 2. Mở Lịch sử xử lý.</t>
  </si>
  <si>
    <t>- Hiển thị đầy đủ dòng thời gian các thao tác đã thực hiện trên hỏi đáp.</t>
  </si>
  <si>
    <r>
      <rPr>
        <rFont val="Times New Roman"/>
        <color rgb="FF1155CC"/>
        <sz val="12.0"/>
        <u/>
      </rPr>
      <t>QLCHVMDXL_03.jpg</t>
    </r>
  </si>
  <si>
    <t>SLCTHT_06</t>
  </si>
  <si>
    <t xml:space="preserve">Hệ thống xuất toàn bộ và tự động tải tệp về máy người dùng. Tên tệp xuất: : BaoCaoChuongTrinh_{YYYYMMDD_HHmm}.xlsx </t>
  </si>
  <si>
    <r>
      <rPr>
        <rFont val="Times New Roman"/>
        <color rgb="FF1155CC"/>
        <sz val="12.0"/>
        <u/>
      </rPr>
      <t>SLCTHT_06.jpg</t>
    </r>
  </si>
  <si>
    <t>SLCTHT_07</t>
  </si>
  <si>
    <t>Hệ thống tạo tệp PDF theo đúng mẫu biểu Thông tư số 17/2025/TT-BTP — khổ A4, phông chữ Times New Roman cỡ 13, đầu trang có quốc hiệu và tên cơ quan, cuối trang có ngày ký và chức danh người ký.
- Tên tệp xuất: BaoCaoChuongTrinh_{YYYYMMDD_HHmm}.pdf.</t>
  </si>
  <si>
    <r>
      <rPr>
        <rFont val="Times New Roman"/>
        <color rgb="FF1155CC"/>
        <sz val="12.0"/>
        <u/>
      </rPr>
      <t>SLCTHT_07.jpg</t>
    </r>
  </si>
  <si>
    <t>- Hệ thống yêu cầu nhập lý do thay đổi.
 - Không cho phép lưu khi lý do trống.</t>
  </si>
  <si>
    <r>
      <rPr>
        <rFont val="Times New Roman"/>
        <color rgb="FF1155CC"/>
        <sz val="12.0"/>
        <u/>
      </rPr>
      <t>QLCHVMDXL_04.jpg</t>
    </r>
  </si>
  <si>
    <t>✅ Bug ĐÚNG – chuyển dev.
- Đối tác báo: bấm Xuất PDF báo cáo "Số lượng chương trình hỗ trợ" hiện lỗi "Không thể tạo file xuất. Vui lòng thử lại.".
- Kiểm tra lại (Cán bộ nghiệp vụ Trung ương, kỳ Năm 2026, phạm vi Toàn quốc, báo cáo đã có dữ liệu): lỗi "không thể tạo file" KHÔNG xảy ra — file PDF vẫn tải về được. NHƯNG file PDF xuất ra bị thiếu phần đầu trang bắt buộc: kỳ báo cáo, đơn vị, ngày tạo. Bản Excel cùng báo cáo lại có đủ 4 dòng này.
- Theo yêu cầu xuất file (SRS Báo cáo thống kê, SCR-IX-01 §Quy tắc tương tác, dòng 1088; AC Xuất PDF dòng 124): file xuất phải chèn tiêu đề + kỳ + đơn vị + ngày tạo vào đầu trang, áp dụng cho cả Excel lẫn PDF.
- Bug ID: BUG-EXPORT-PDF-HEADER (lỗi template PDF dùng chung toàn module — đã ghi nhận trên nhiều loại báo cáo).</t>
  </si>
  <si>
    <t>CTTDVQL_02</t>
  </si>
  <si>
    <t>Hệ thống hiển thị chỉ số</t>
  </si>
  <si>
    <r>
      <rPr>
        <rFont val="Times New Roman"/>
        <color rgb="FF1155CC"/>
        <sz val="12.0"/>
        <u/>
      </rPr>
      <t>CTTDVQL_02.jpg</t>
    </r>
  </si>
  <si>
    <t>- User CB_NV_DP (Sở TP HN) đã đăng nhập.
 - HD-023 thuộc đơn vị TW ở DANG_XU_LY.</t>
  </si>
  <si>
    <t>1. Thử truy cập chi tiết HD-023 (đơn vị TW).</t>
  </si>
  <si>
    <t>- HD-023 KHÔNG xuất hiện trong danh sách tab "Đang xử lý" của CB_NV_DP.
 - Row-Level Security (BR-AUTH-08) chặn ở tầng data.</t>
  </si>
  <si>
    <r>
      <rPr>
        <rFont val="Times New Roman"/>
        <color rgb="FF1155CC"/>
        <sz val="12.0"/>
        <u/>
      </rPr>
      <t>QLCHVMDXL_05.jpg</t>
    </r>
  </si>
  <si>
    <t>❌ Không phải lỗi (BA xác nhận 24/07/2026). BA xếp Loại 3 — giữ nguyên phần mềm, đối tác cập nhật Kết quả mong đợi.
- Thẻ "Tổng chương trình" (ô ĐẾM) ĐÚNG đặc tả: chính là trường `tong_ban_ghi` — "Tổng số bản ghi", điều kiện "Luôn" — mà mẫu chung TPL-REPORT-FULL bắt buộc mọi báo cáo phải có (`srs-fr-11-bao-cao.md:57`, `:100`). BC Chương trình theo đơn vị (FR-IX-21 / UC144) kế thừa mẫu chung; ở đây một bản ghi = một chương trình HTPLDN đã duyệt (Processing chung bước 4 — `:82`).
- Thẻ "Tổng ngân sách": §Output FR-IX-21 (`:941-945`) mới khai `tong_ngan_sach` theo TỪNG đơn vị (`:945`), chưa khai trị tổng toàn báo cáo — nhưng đặc tả không cấm hiển thị thêm và con số này cộng trực tiếp từ bảng chéo hàng = đơn vị. Yêu cầu gỡ thẻ số tổng ở đầu màn không bắt buộc cho luồng nghiệp vụ → giữ nguyên app, KHÔNG tự bổ sung §Output trong đợt này.
- Đề nghị đối tác cập nhật Kết quả mong đợi CTTDVQL_02 (chấp nhận 2 thẻ Tổng chương trình + Tổng ngân sách ở đầu báo cáo).
- Điểm còn treo: chỉ nâng thành yêu cầu sửa (cập nhật SRS + Dev, đợt riêng) nếu Chủ đầu tư xác nhận biểu mẫu HTPLDN của Thông tư 17/2025/TT-BTP (Phụ lục I &amp; IV) bắt buộc có dòng "Tổng cộng".</t>
  </si>
  <si>
    <t>CTTDVQL_03</t>
  </si>
  <si>
    <t>- Biểu đồ cột bảng chéo theo đơn vị
- Bảng tổng hợp: Đơn vị, Cấp đơn vị, Số chương trình, Tổng ngân sách</t>
  </si>
  <si>
    <t>Bảng tổng hợp thiếu trường thông tin Cấp đơn vị</t>
  </si>
  <si>
    <r>
      <rPr>
        <rFont val="Times New Roman"/>
        <color rgb="FF1155CC"/>
        <sz val="12.0"/>
        <u/>
      </rPr>
      <t>CTTDVQL_03.jpg</t>
    </r>
  </si>
  <si>
    <t>- Không có cột bổ sung Người duyệt, Ngày duyệt</t>
  </si>
  <si>
    <r>
      <rPr>
        <rFont val="Times New Roman"/>
        <color rgb="FF1155CC"/>
        <sz val="12.0"/>
        <u/>
      </rPr>
      <t>QLCHVMDXL_06.jpg</t>
    </r>
  </si>
  <si>
    <t>✅ Bug ĐÚNG – chuyển dev.
- Web hiện tại: bảng tổng hợp báo cáo "Chương trình theo đơn vị" (FR-IX-21 / UC144) chỉ có 3 cột: Đơn vị, Số chương trình, Tổng ngân sách. THIẾU cột "Cấp đơn vị".
- Expected theo SRS: §Output đặc thù FR-IX-21 (srs-fr-11-bao-cao.md, dòng 943) yêu cầu trường cap_don_vi = "Cấp đơn vị" (TW/BN/ĐP) trong bảng.
- Back-end đã trả trường capDonVi ("TW") trong response API, nhưng giao diện KHÔNG render thành cột → lỗi phía FE.
- Verify: cbnv_tw_01, kỳ Năm 2026, Toàn quốc, đã seed chương trình HTPLDN. Tái hiện đúng như đối tác phản ánh.
- Bug ID: BUG-CTTDVQL_03.</t>
  </si>
  <si>
    <t>chờ cf lại tách trạng thái hay gộp</t>
  </si>
  <si>
    <t>CTTDVQL_04</t>
  </si>
  <si>
    <r>
      <rPr>
        <rFont val="Times New Roman"/>
        <color rgb="FF1155CC"/>
        <sz val="12.0"/>
        <u/>
      </rPr>
      <t>CTTDVQL_04.jpg</t>
    </r>
  </si>
  <si>
    <t>- User CB_NV đã đăng nhập.
 - HD-024 ở HOAN_THANH.</t>
  </si>
  <si>
    <t>1. Click vào HD-024.
 2. Xem SCR-II-02 (Chi tiết).</t>
  </si>
  <si>
    <r>
      <rPr>
        <rFont val="Times New Roman"/>
        <color rgb="FF1155CC"/>
        <sz val="12.0"/>
        <u/>
      </rPr>
      <t>QLCHVMDXL_07.jpg</t>
    </r>
  </si>
  <si>
    <t>CTTDVQL_05</t>
  </si>
  <si>
    <r>
      <rPr>
        <rFont val="Times New Roman"/>
        <color rgb="FF1155CC"/>
        <sz val="12.0"/>
        <u/>
      </rPr>
      <t>CTTDVQL_05.jpg</t>
    </r>
  </si>
  <si>
    <t>✅ Bug ĐÚNG – chuyển dev.
- Lỗi đối tác báo ("Không thể tạo file xuất") KHÔNG tái hiện: bấm Xuất PDF ở báo cáo "Chương trình theo đơn vị" (UC144, FR-IX-21) thì hệ thống tạo file thành công (HTTP 200).
- NHƯNG kiểm tra nội dung file PDF phát hiện lỗi khác: file thiếu 3/4 thông tin header bắt buộc theo SRS §Quy tắc tương tác (srs-fr-11-bao-cao.md:1093) — thiếu "Kỳ báo cáo", "Đơn vị", "Ngày tạo"; chỉ có tiêu đề rồi vào thẳng bảng số liệu.
- Bản Excel cùng báo cáo xuất ra có đủ 4 trường header → back-end có sẵn dữ liệu, lỗi nằm ở luồng dựng file PDF.
- Đây là lỗi template PDF dùng chung toàn module Báo cáo thống kê (đã tái hiện ở batch 7/8 trên 7 loại báo cáo khác).
- Verify: cbnv_tw_03 (CB Nghiệp vụ - Trung ương), kỳ Năm 2026, Toàn quốc, báo cáo có dữ liệu (4 chương trình).
- Bug ID: BUG-EXPORT-PDF-HEADER.</t>
  </si>
  <si>
    <t>Thử sửa bản ghi HOAN_THANH → bị khóa</t>
  </si>
  <si>
    <t>- User CB_NV đã đăng nhập.
 - HD-025 ở HOAN_THANH.</t>
  </si>
  <si>
    <t>1. Mở chi tiết HD-025.
 2. Thử sửa nội dung.</t>
  </si>
  <si>
    <t>- Nút [Sửa] bị ẩn/disabled.
 - BR-FLOW-03: bản ghi ở HOAN_THANH bị khóa hoàn toàn.</t>
  </si>
  <si>
    <r>
      <rPr>
        <rFont val="Times New Roman"/>
        <color rgb="FF1155CC"/>
        <sz val="12.0"/>
        <u/>
      </rPr>
      <t>QLCHVMDXL_08.jpg</t>
    </r>
  </si>
  <si>
    <t>CTTLV_01</t>
  </si>
  <si>
    <t>Báo cáo thống kê chương trình theo lĩnh vực</t>
  </si>
  <si>
    <t>Thống kê số lượng chương trình hỗ trợ theo lĩnh vực pháp lý.</t>
  </si>
  <si>
    <t>Dữ liệu hiển thị "Không xác định"</t>
  </si>
  <si>
    <r>
      <rPr>
        <rFont val="Times New Roman"/>
        <color rgb="FF1155CC"/>
        <sz val="12.0"/>
        <u/>
      </rPr>
      <t>CTTLV_01.jpg</t>
    </r>
  </si>
  <si>
    <t>- Form tạo/sửa chương trình đang hiển thị trường "Lĩnh vực pháp luật", chưa đúng tên trường "Lĩnh vực pháp lý" theo yêu cầu.</t>
  </si>
  <si>
    <t>CTTLV_03</t>
  </si>
  <si>
    <r>
      <rPr>
        <rFont val="Times New Roman"/>
        <color rgb="FF1155CC"/>
        <sz val="12.0"/>
        <u/>
      </rPr>
      <t>QLCHVMDXL_09.jpg</t>
    </r>
  </si>
  <si>
    <r>
      <rPr>
        <rFont val="Times New Roman"/>
        <color rgb="FF1155CC"/>
        <sz val="12.0"/>
        <u/>
      </rPr>
      <t>CTTLV_03.jpg</t>
    </r>
  </si>
  <si>
    <t>❌ Không phải lỗi (BA xác nhận 24/07/2026). BA xếp Loại 3 — giữ nguyên phần mềm, đối tác cập nhật Kết quả mong đợi.
- Thẻ "Tổng chương trình" (ô ĐẾM) ĐÚNG đặc tả: chính là trường `tong_ban_ghi` — "Tổng số bản ghi", điều kiện "Luôn" — bắt buộc với mọi báo cáo theo mẫu chung TPL-REPORT-FULL (`srs-fr-11-bao-cao.md:57`, `:100`). BC Chương trình theo lĩnh vực (FR-IX-22 / UC145) kế thừa mẫu chung; bản ghi = chương trình HTPLDN đã duyệt (Processing chung bước 4 — `:82`).
- Thẻ "Tổng DN tham gia" (ô dẫn xuất): §Output FR-IX-22 (`:981-984`) mới khai `so_dn_tham_gia` theo TỪNG lĩnh vực (`:984`), chưa khai trị tổng toàn báo cáo — nhưng đặc tả không cấm hiển thị thêm và con số này cộng trực tiếp từ bảng hàng = lĩnh vực. Yêu cầu gỡ thẻ số tổng không bắt buộc cho luồng nghiệp vụ → giữ nguyên app, KHÔNG tự bổ sung §Output trong đợt này.
- Đề nghị đối tác cập nhật Kết quả mong đợi CTTLV_03 (chấp nhận 2 thẻ Tổng chương trình + Tổng DN tham gia ở đầu báo cáo).
- Điểm còn treo: chỉ nâng thành yêu cầu sửa (cập nhật SRS + Dev, đợt riêng) nếu Chủ đầu tư xác nhận biểu mẫu HTPLDN của Thông tư 17/2025/TT-BTP (Phụ lục I &amp; IV) bắt buộc có dòng "Tổng cộng".</t>
  </si>
  <si>
    <t>CTTLV_04</t>
  </si>
  <si>
    <t>- Biểu đồ cột theo lĩnh vực
- Bảng tổng hợp: Lĩnh vực, Số chương trình, Số doanh nghiệp tham gia</t>
  </si>
  <si>
    <r>
      <rPr>
        <rFont val="Times New Roman"/>
        <color rgb="FF1155CC"/>
        <sz val="12.0"/>
        <u/>
      </rPr>
      <t>CTTLV_04.jpg</t>
    </r>
  </si>
  <si>
    <t>✅ Bug đúng (BA 23/07/2026; cập nhật quyết định 24/07/2026). Loại 2 — BA đã cập nhật SRS, Dev sửa theo bản mới.
VẤN ĐỀ GỐC: BC Chương trình theo lĩnh vực (FR-IX-22, srs-fr-11-bao-cao.md:961) gom theo lĩnh vực, nhưng entity + form Chương trình HTPLDN trước đây chưa có trường lĩnh vực → mọi CT rơi nhóm "Không xác định".
VIỆC DEV PHẢI LÀM (phần trường Lĩnh vực — vẫn còn hiệu lực):
- SRS đã bổ sung trường Lĩnh vực pháp lý (BẮT BUỘC): entity CHUONG_TRINH_HTPL.linh_vuc_id (srs-fr-15-ct-htpldn.md:1330; srs-v3.5.md:2129) + form tạo/sửa CT ô #8 (srs-fr-15-ct-htpldn.md:136).
- Dev BE/FE: thêm ô chọn Lĩnh vực pháp lý (bắt buộc, chọn một từ danh mục lĩnh vực pháp lý) vào form + lưu vào entity; BC gom theo trường này. Vì lĩnh vực bắt buộc từ khi tạo CT nên BC không phát sinh nhóm "Không xác định"; CT dữ liệu cũ chưa gán gom tạm vào "Chưa phân loại" (srs-fr-11-bao-cao.md:986-987, AC :990-991).
- Mức Major (thiếu trường → báo cáo theo lĩnh vực vô nghĩa).
🟢 BA CHỐT 24/07/2026 — BỎ cột "Số DN tham gia" khỏi báo cáo (khép câu hỏi nêu ở round trước):
- SRS mới ghi rõ tại srs-fr-11-bao-cao.md:961: bỏ cột "Số DN tham gia" vì CSV UC145 chỉ yêu cầu thống kê số lượng chương trình theo lĩnh vực; KHÔNG có mô hình dữ liệu CT↔DN và không có định nghĩa nghiệp vụ "DN tham gia chương trình" (NĐ55 — chương trình do cơ quan tổ chức, DN thụ hưởng).
- Bảng Output của BC nay chỉ còn 3 cột: Lĩnh vực (id + tên) + Số CT (srs-fr-11-bao-cao.md:981-983); Dimensions = "Lĩnh vực, Số CT" (:975).
- Hệ quả: Dev KHÔNG làm cột "Số DN tham gia" và KHÔNG cần bảng nối CT↔DN. Kết quả mong đợi của đối tác (cột K) còn ghi "Số doanh nghiệp tham gia" là theo bản cũ → đề nghị đối tác cập nhật, bỏ cột này.
── CÁCH VERIFY sau Dev fix ──
Precondition: cbnv_tw (CB Nghiệp vụ - Trung ương, phạm vi Toàn quốc; mật khẩu Test@1234), env https://18.143.165.120.nip.io. Kỳ = Năm 2026, Đơn vị = Toàn quốc.
1) Mở form Tạo Chương trình HTPLDN → kiểm ô "Lĩnh vực pháp lý": phải có, BẮT BUỘC, chọn MỘT giá trị từ danh mục lĩnh vực pháp lý; bỏ trống → không lưu được.
2) Tạo 2 CT MỚI với 2 lĩnh vực khác nhau (vd "Thương mại", "Lao động"), đưa vào trạng thái được BC đếm (đã duyệt, trong kỳ Năm 2026).
3) Mở Báo cáo thống kê → BC Chương trình theo lĩnh vực → Kỳ Năm 2026 → Toàn quốc → Xem báo cáo.
✅ PASS khi: (a) form CT có ô Lĩnh vực pháp lý bắt buộc, bỏ trống bị chặn lưu; (b) BC hiện đúng TÊN lĩnh vực thật (Thương mại, Lao động...) kèm cột Số CT, và KHÔNG còn cột "Số DN tham gia"; (c) 2 CT mới đã gán lĩnh vực KHÔNG còn rơi nhóm "Không xác định".
❌ FAIL nếu: form vẫn thiếu ô Lĩnh vực pháp lý (hoặc có nhưng không bắt buộc — bỏ trống vẫn lưu), HOẶC BC vẫn gom CT đã gán lĩnh vực vào "Không xác định".
⚠️ CT tạo TRƯỚC khi Dev thêm trường (data cũ) chưa có lĩnh vực → nằm nhóm "Chưa phân loại"/"Không xác định" — KHÔNG tính FAIL; PHẢI kiểm bằng CT MỚI tạo qua form đã có ô lĩnh vực. Tên ô/nhãn nhóm KHÔNG cần y hệt — đúng bản chất "form có trường lĩnh vực bắt buộc + BC gom theo lĩnh vực thật" là đạt.
Ảnh lỗi cũ: reverify-audit/CTTLV_04/cttlv-report-live-chart-table-2buckets.png (2 nhóm: "Không xác định"=3, "Thương mại"=1).</t>
  </si>
  <si>
    <t>1. Mở chi tiết bản ghi và cập nhật thời hạn
 3. Click [Lưu].</t>
  </si>
  <si>
    <t>- Hệ thống không cho phép chọn hạn mới &lt; ngày hiện tại hoặc chặn: "Thời hạn phải lớn hơn ngày hiện tại".
- Nếu chấp nhận: bản ghi lập tức chuyển badge ĐỎ/ĐEN.</t>
  </si>
  <si>
    <t>CTTLV_05</t>
  </si>
  <si>
    <r>
      <rPr>
        <rFont val="Times New Roman"/>
        <color rgb="FF1155CC"/>
        <sz val="12.0"/>
        <u/>
      </rPr>
      <t>QLCHVMDXL_10.jpg</t>
    </r>
  </si>
  <si>
    <r>
      <rPr>
        <rFont val="Times New Roman"/>
        <color rgb="FF1155CC"/>
        <sz val="12.0"/>
        <u/>
      </rPr>
      <t>CTTLV_05.jpg</t>
    </r>
  </si>
  <si>
    <t>CTTLV_06</t>
  </si>
  <si>
    <r>
      <rPr>
        <rFont val="Times New Roman"/>
        <color rgb="FF1155CC"/>
        <sz val="12.0"/>
        <u/>
      </rPr>
      <t>CTTLV_06.jpg</t>
    </r>
  </si>
  <si>
    <t>Tìm kiếm thông tin câu hỏi, vướng mắc đã xử lý</t>
  </si>
  <si>
    <t>Tìm kiếm trong kho dữ liệu các câu hỏi và câu trả lời đã được xử lý xong.</t>
  </si>
  <si>
    <t>✅ Bug ĐÚNG (khác lỗi đối tác báo) — chuyển dev.
- Lỗi đối tác báo ("Không thể tạo file xuất") KHÔNG tái hiện: bấm Xuất PDF ở báo cáo "Chương trình theo lĩnh vực" (FR-IX-22) thì hệ thống tạo file thành công (HTTP 200).
- NHƯNG kiểm tra nội dung file PDF phát hiện lỗi khác: file thiếu 3/4 thông tin header bắt buộc theo SRS §Quy tắc tương tác (srs-fr-11-bao-cao.md:1093) — thiếu "Kỳ báo cáo", "Đơn vị", "Ngày tạo"; chỉ có tiêu đề rồi vào thẳng bảng số liệu.
- Bản Excel cùng báo cáo xuất ra có đủ 4 trường header → back-end có sẵn dữ liệu, lỗi nằm ở luồng dựng file PDF.
- Đây là lỗi template PDF dùng chung toàn module Báo cáo thống kê (đã tái hiện ở batch 7/8 trên 7 loại báo cáo khác + CTTDVQL_05).
- Verify: cbnv_tw_03 (CB Nghiệp vụ - Trung ương), kỳ Năm 2026, Toàn quốc, báo cáo có dữ liệu (4 chương trình).
- Bug ID: BUG-EXPORT-PDF-HEADER.</t>
  </si>
  <si>
    <t>CTTTG_04</t>
  </si>
  <si>
    <r>
      <rPr>
        <rFont val="Times New Roman"/>
        <color rgb="FF1155CC"/>
        <sz val="12.0"/>
        <u/>
      </rPr>
      <t>CTTTG_04.jpg</t>
    </r>
  </si>
  <si>
    <t>CTTTG_05</t>
  </si>
  <si>
    <r>
      <rPr>
        <rFont val="Times New Roman"/>
        <color rgb="FF1155CC"/>
        <sz val="12.0"/>
        <u/>
      </rPr>
      <t>TKCHVMDXL_01.jpg</t>
    </r>
  </si>
  <si>
    <r>
      <rPr>
        <rFont val="Times New Roman"/>
        <color rgb="FF1155CC"/>
        <sz val="12.0"/>
        <u/>
      </rPr>
      <t>CTTTG_05.jpg</t>
    </r>
  </si>
  <si>
    <t>✅ Bug ĐÚNG (khác lỗi đối tác báo) — chuyển dev.
- Lỗi đối tác báo ("Không thể tạo file xuất") KHÔNG tái hiện: bấm Xuất PDF ở báo cáo "Chương trình theo thời gian" (FR-IX-23) thì hệ thống tạo file thành công (HTTP 200).
- NHƯNG kiểm tra nội dung file PDF phát hiện lỗi khác: file thiếu 3/4 thông tin header bắt buộc theo SRS §Quy tắc tương tác (srs-fr-11-bao-cao.md:1093) — thiếu "Kỳ báo cáo", "Đơn vị", "Ngày tạo"; chỉ có tiêu đề rồi vào thẳng bảng số liệu.
- Bản Excel cùng báo cáo xuất ra có đủ 4 trường header → back-end có sẵn dữ liệu, lỗi nằm ở luồng dựng file PDF.
- Đây là lỗi template PDF dùng chung toàn module Báo cáo thống kê (đã tái hiện ở batch 7/8 trên 7 loại báo cáo khác + CTTDVQL_05 + CTTLV_06).
- Verify: cbnv_tw_03 (CB Nghiệp vụ - Trung ương), kỳ Năm 2026, Toàn quốc, báo cáo có dữ liệu (3 chương trình).
- Bug ID: BUG-EXPORT-PDF-HEADER.</t>
  </si>
  <si>
    <t>QLNDTVVCG_03</t>
  </si>
  <si>
    <t>1. Chọn menu "Tư vấn" =&gt; "Tư vấn chuyên sâu"</t>
  </si>
  <si>
    <t>- Các cột thông tin: Ô chọn hàng loạt, Mã, Tên doanh nghiệp, Chuyên gia, Lĩnh vực pháp lý, Tiêu đề, Trạng thái, Ngày tư vấn, Ngày tạo, Hành động
- 4 nút hành động trên mỗi dòng: "Xem", "Sửa", "Phân công", "Hủy"
- Định dạng ngày dd/mm/yyyy
- Mỗi trạng thái có màu tương ứng để phân biệt.
- Mã Định dạng TVCS-{YYYYMMDD}-{số thứ tự}; bấm vào mã để mở màn hình chi tiết nội dung tư vấn.</t>
  </si>
  <si>
    <t>- Thiếu cột thông tin "Tiêu đề"
- Màn hình hiển thị cột thông tin "Mô tả" nhưng SRS không yêu cầu hiển thị</t>
  </si>
  <si>
    <r>
      <rPr>
        <rFont val="Times New Roman"/>
        <color rgb="FF1155CC"/>
        <sz val="12.0"/>
        <u/>
      </rPr>
      <t>QLNDTVVCG_03.jpg</t>
    </r>
  </si>
  <si>
    <r>
      <rPr>
        <rFont val="Times New Roman"/>
        <color rgb="FF1155CC"/>
        <sz val="12.0"/>
        <u/>
      </rPr>
      <t>TKCHVMDXL_02.jpg</t>
    </r>
  </si>
  <si>
    <t>QLNDTVVCG_04</t>
  </si>
  <si>
    <t>1. Chọn menu "Tư vấn" =&gt; "Tư vấn chuyên sâu"
2. Chọn 1 trong 3 thẻ: Chờ xử lý / Đang tư vấn / Hoàn thành.</t>
  </si>
  <si>
    <t xml:space="preserve">- Hệ thống lọc danh sách theo nhóm trạng thái của thẻ được chọn:
+ Thẻ "Chờ xử lý" gom 2 trạng thái: Tiếp nhận, Đã phân công.
+ Thẻ "Đang tư vấn" gom 3 trạng thái: Đang tư vấn, Hoàn thành tư vấn, Chờ phê duyệt.
+ Thẻ "Hoàn thành" gom 2 trạng thái: Đã duyệt, Đã hủy.
- Mỗi thẻ hiển thị số đếm số lượng yêu cầu thuộc nhóm và cập nhật tức thời.
</t>
  </si>
  <si>
    <t>- Tên thẻ "Chờ xử lý" hệ thống hiển thị là "Mới tiếp nhận"
- Mỗi thẻ không hiển thị số đếm số lượng</t>
  </si>
  <si>
    <r>
      <rPr>
        <rFont val="Times New Roman"/>
        <color rgb="FF1155CC"/>
        <sz val="12.0"/>
        <u/>
      </rPr>
      <t>QLNDTVVCG_04.jpg</t>
    </r>
  </si>
  <si>
    <r>
      <rPr>
        <rFont val="Times New Roman"/>
        <color rgb="FF1155CC"/>
        <sz val="12.0"/>
        <u/>
      </rPr>
      <t>TKCHVMDXL_03.jpg</t>
    </r>
  </si>
  <si>
    <t>✅ Bug ĐÚNG – chuyển dev.
- Web hiện tại (vai trò Cán bộ Nghiệp vụ Trung ương): thanh phân loại có 4 tab "Tất cả / Tiếp nhận / Đang tư vấn / Đã duyệt", KHÔNG tab nào hiển thị số đếm; tab mặc định khi mở màn là "Tất cả".
- Theo SRS FR-X.1-01 (UC147), màn SCR-X1-01 §Thành phần màn hình (dòng 1091): phải có đúng 3 tab CÓ số đếm là "Chờ xử lý / Đang tư vấn / Hoàn thành"; §Quy tắc tương tác (dòng 1117) tab mặc định là "Chờ xử lý".
- Sai so với SRS: (1) thiếu số đếm ở mọi tab; (2) nhãn tab đầu là "Tiếp nhận" (bản đối tác quay hiển thị "Mới tiếp nhận") thay vì "Chờ xử lý", nhãn "Đã duyệt" thay vì "Hoàn thành", và thừa tab "Tất cả"; (3) tab mặc định là "Tất cả" thay vì "Chờ xử lý".
- Verify: tài khoản cbnv_tw_01 (CB_NV_TW), đơn vị BTP·TW.
- Bug ID: BUG-QLNDTVVCG_04.</t>
  </si>
  <si>
    <t>QLNDTVVCG_06</t>
  </si>
  <si>
    <t>Nhóm 1 — Thông tin cơ bản</t>
  </si>
  <si>
    <t>1. Chọn menu "Tư vấn" =&gt; "Tư vấn chuyên sâu"
2. Bấm nút "+ Thêm yêu cầu tư vấn</t>
  </si>
  <si>
    <t xml:space="preserve">- Các trường thông tin: Mã nội dung Doanh nghiệp, Chuyên gia / Tư vấn viên, Lĩnh vực pháp lý, Ngày tư vấn, Cơ quan tiếp nhận, Ghi chú
- Mã Định dạng TVCS-{YYYYMMDD}-{số thứ tự}; do hệ thống sinh sau khi tạo mới
- Ngày tư vấn định dạng dd/mm/yyyy, mặc định Ngày hệ thống hiện tại
- Cơ quan tiếp nhận: Sở Tư pháp tỉnh/thành phố nơi doanh nghiệp đăng ký
</t>
  </si>
  <si>
    <t>- Ngày tư vấn không có giá trị mặc định
- Không hiển thị trường thông tin Cơ quan tiếp nhận</t>
  </si>
  <si>
    <r>
      <rPr>
        <rFont val="Times New Roman"/>
        <color rgb="FF1155CC"/>
        <sz val="12.0"/>
        <u/>
      </rPr>
      <t>QLNDTVVCG_06.jpg</t>
    </r>
  </si>
  <si>
    <r>
      <rPr>
        <rFont val="Times New Roman"/>
        <color rgb="FF1155CC"/>
        <sz val="12.0"/>
        <u/>
      </rPr>
      <t>TKCHVMDXL_04.jpg</t>
    </r>
  </si>
  <si>
    <t>❌ Không phải lỗi (BA xác nhận 24/07/2026).
- BA chốt: phần mềm hiện đúng đặc tả. Trường "Ngày tư vấn" được đặc tả với cột "Mặc định" = "—", tức đặc tả KHÔNG yêu cầu form tự điền ngày hôm nay (srs-fr-12-tv-chuyen-sau.md:116). "Cơ quan tiếp nhận" (don_vi_id) do hệ thống tự gán bằng đơn vị của cán bộ đang đăng nhập chứ không phải ô nhập tay (dòng 118); khối "Thông tin cơ bản" của form Thêm/Sửa (dòng 1156) cũng không liệt kê ô này.
- Mặc định ngày hôm nay và hiển thị "Cơ quan tiếp nhận" ở dạng chỉ đọc là cải tiến trải nghiệm tùy chọn. Kính đề nghị Quý đối tác đưa nội dung này vào danh sách yêu cầu cải tiến; nếu được chốt, BA cập nhật đặc tả + Kết quả mong đợi của testcase trước rồi Dev mới thực hiện.</t>
  </si>
  <si>
    <t>QLNDTVVCG_07</t>
  </si>
  <si>
    <t>Kiểm tra thông tin hiển thị sau khi chọn Doanh nghiệp, Chuyên gia / Tư vấn viên</t>
  </si>
  <si>
    <t>1. Chọn menu "Tư vấn" =&gt; "Tư vấn chuyên sâu"
2. Bấm nút "+ Thêm yêu cầu tư vấn
3. Chọn Doanh nghiệp, Chuyên gia / Tư vấn viên</t>
  </si>
  <si>
    <t>- Doanh nghiệp: hệ thống hiển thị đồng thời: mã số thuế, địa chỉ, người đại diện của doanh nghiệp đã chọn (chỉ đọc). Nếu doanh nghiệp chưa có trong hệ thống, có thể bấm nút phụ để mở nhanh màn hình Thêm mới doanh nghiệp 
- CG/TVV: hệ thống hiển thị: chuyên môn, số điện thoại, thư điện tử của chuyên gia (chỉ đọc).</t>
  </si>
  <si>
    <t>- Hệ thống không hiển thị thông tin Doanh nghiệp và Chuyên viên sau khi đã chọn theo tài liệu mô tả</t>
  </si>
  <si>
    <r>
      <rPr>
        <rFont val="Times New Roman"/>
        <color rgb="FF1155CC"/>
        <sz val="12.0"/>
        <u/>
      </rPr>
      <t>QLNDTVVCG_07.jpg</t>
    </r>
  </si>
  <si>
    <r>
      <rPr>
        <rFont val="Times New Roman"/>
        <color rgb="FF1155CC"/>
        <sz val="12.0"/>
        <u/>
      </rPr>
      <t>TKCHVMDXL_05.jpg</t>
    </r>
  </si>
  <si>
    <t>✅ Bug ĐÚNG – chuyển dev.
- Web sai: trên form Thêm yêu cầu Tư vấn chuyên sâu, sau khi chọn Doanh nghiệp và Chuyên gia, hệ thống KHÔNG hiển thị thông tin đi kèm (Doanh nghiệp: mã số thuế, địa chỉ, người đại diện; Chuyên gia: chuyên môn, số điện thoại, email).
- Expected theo SRS FR-X.1-01 (UC147) §Thành phần màn hình dòng 1142: chọn DN → hiện MST, địa chỉ, người đại diện; chọn CG → hiện chuyên môn, SĐT, email.
- Verify: tài khoản CB Nghiệp vụ cbnv_tw_02 (đơn vị BTP·TW); chọn DN "Công ty TNHH Seed Publishable" + CG "QA TVV Seed28 Active" → không hiện thông tin nào. Dữ liệu DN có sẵn ở API (mã số thuế 0100000001, địa chỉ, người đại diện) nhưng giao diện không render → lỗi phía Frontend.
- Bug ID: BUG-QLNDTVVCG_07.</t>
  </si>
  <si>
    <t>QLNDTVVCG_08</t>
  </si>
  <si>
    <t>Nhóm 2 — Nội dung tư vấn</t>
  </si>
  <si>
    <t xml:space="preserve">- Nội dung tư vấn chi tiết: Trình soạn thảo văn bản với các chức năng định dạng cơ bản (đậm, nghiêng, gạch đầu dòng, chèn bảng, chèn liên kết). Tối đa 50 KB.
- Tiêu đề: Tối đa 255 ký tự. Bắt buộc; dùng để hiển thị trong bảng danh sách. </t>
  </si>
  <si>
    <t>- Nội dung tư vấn không phải trình soạn thảo văn bản
- Màn hình không hiển thị trường thông tin "Tiêu đề" 
- Màn hình có trường thông tin "Mô tả", "Vụ việc liên kết" nhưng SRS không yêu cầu trường thông tin này</t>
  </si>
  <si>
    <r>
      <rPr>
        <rFont val="Times New Roman"/>
        <color rgb="FF1155CC"/>
        <sz val="12.0"/>
        <u/>
      </rPr>
      <t>QLNDTVVCG_08.jpg</t>
    </r>
  </si>
  <si>
    <t>✅ Bug ĐÚNG – chuyển dev.
- Web sai: trường "Nội dung tư vấn" trên form Thêm yêu cầu Tư vấn chuyên sâu là ô nhập văn bản thường (textarea), KHÔNG phải trình soạn thảo văn bản (Rich Text Editor) — không có thanh định dạng đậm/nghiêng/danh sách.
- Expected theo SRS FR-X.1-01 (UC147) §Thành phần màn hình dòng 1143: "Nội dung tư vấn chi tiết" phải là Rich Text Editor (bắt buộc, tối đa 50KB).
- Verify: tài khoản CB Nghiệp vụ cbnv_tw_02 (đơn vị BTP·TW); kiểm tra DOM: 0 tín hiệu rich text (không quill/ckeditor/tinymce/contenteditable), phần tử là &lt;textarea&gt;.
- Ghi chú thêm (đã cải thiện so với đối tác quay): trường "Tiêu đề" (bắt buộc, tối đa 255) NAY ĐÃ CÓ trên form (trước đối tác thấy thiếu Tiêu đề + có "Tóm tắt") → phần "thiếu Tiêu đề" đã được khắc phục.
- Còn tồn tại trường "Vụ việc liên kết (tùy chọn)" không có trong đặc tả Inputs của SRS → tách sang mục cần BA xác nhận.
- Bug ID: BUG-QLNDTVVCG_08.</t>
  </si>
  <si>
    <t>Hệ thống hiển thị toàn bộ bản ghi</t>
  </si>
  <si>
    <r>
      <rPr>
        <rFont val="Times New Roman"/>
        <color rgb="FF1155CC"/>
        <sz val="12.0"/>
        <u/>
      </rPr>
      <t>TKCHVMDXL_06.webm</t>
    </r>
  </si>
  <si>
    <t>QLNDTVVCG_11</t>
  </si>
  <si>
    <t>Kiểm tra hiển thị chức năng Chỉnh sửa</t>
  </si>
  <si>
    <t>1. Chọn menu "Tư vấn" =&gt; "Tư vấn chuyên sâu"
2. Kiểm tra hiển thị chức năng Chỉnh sửa</t>
  </si>
  <si>
    <t xml:space="preserve">Chỉ hiển thị đối với yêu cầu đang ở trạng thái "Tiếp nhận" / "Đang tư vấn" </t>
  </si>
  <si>
    <t>- 1 số bản ghi ở trạng thái "Tiếp nhận" nhưng không được chỉnh sửa, 1 số bản ghi lại được chỉnh sửa
- Bản ghi ở trạng thái "Đang tư vấn" không hiển thị nút Chỉnh sửa</t>
  </si>
  <si>
    <r>
      <rPr>
        <rFont val="Times New Roman"/>
        <color rgb="FF1155CC"/>
        <sz val="12.0"/>
        <u/>
      </rPr>
      <t>QLNDTVVCG_11.jpg</t>
    </r>
  </si>
  <si>
    <t>QLNDTVVCG_15</t>
  </si>
  <si>
    <t>Cấu trúc màn hình</t>
  </si>
  <si>
    <r>
      <rPr>
        <rFont val="Times New Roman"/>
        <color rgb="FF1155CC"/>
        <sz val="12.0"/>
        <u/>
      </rPr>
      <t>TKCHVMDXL_07.jpg</t>
    </r>
  </si>
  <si>
    <t>1. Chọn menu "Tư vấn" =&gt; "Tư vấn chuyên sâu"
2. Nhấn "Xem chi tiết" tại bản ghi</t>
  </si>
  <si>
    <t>Thanh tiến trình + 5 nhóm thu gọn: Thanh tiến trình vòng đời yêu cầu tư vấn → Thông tin cơ bản → Nội dung tư vấn → Tư liệu pháp lý liên kết → Đánh giá chất lượng → Nhật ký thao tác.</t>
  </si>
  <si>
    <t>- SRS yêu cầu 5 nhóm nhưng hiện tại màn hình hiển thị 7 nhóm
- Tên nhóm "Tư liệu pháp lý liên kết" hệ thống hiển thị là "Tư liệu pháp luật"
- Tên nhóm "Nhật ký thao tác" hệ thống hiển thị là "Nhật ký"</t>
  </si>
  <si>
    <r>
      <rPr>
        <rFont val="Times New Roman"/>
        <color rgb="FF1155CC"/>
        <sz val="12.0"/>
        <u/>
      </rPr>
      <t>QLNDTVVCG_15.jpg</t>
    </r>
  </si>
  <si>
    <t>✅ Bug đúng (BA 24/07/2026). Loại 1 — Dev sửa theo SRS. Dev FE 2 việc:
(1) Gỡ nhóm "Vụ việc liên kết" đang tách thành một accordion riêng, đưa trường này về trong nhóm "Thông tin cơ bản" để màn Chi tiết trở lại đúng số nhóm theo §Thành phần màn hình SCR-X1-02 (srs-fr-12-tv-chuyen-sau.md:1156-1161) — nhóm "Thông tin cơ bản" ở dòng 1156 đã liệt kê sẵn "Vụ việc liên kết (dropdown searchable, tùy chọn)"; nhóm thứ 6 "Công khai chuyên trang" (dòng 1161) chỉ hiện khi trạng thái = Đã duyệt theo BR-PUBLIC-01.
(2) Sửa 3 nhãn nhóm cho khớp đặc tả: "Tư liệu pháp luật" → "Tư liệu PL liên kết" (dòng 1158 — thực thể là TU_LIEU_PHAP_LY_VV, dòng 1219 và 1421; FR-X.1-06 tên là "Quản lý tư liệu pháp lý của vụ việc", dòng 809 → chữ đúng là "pháp lý"), "Nhật ký" → "Nhật ký thao tác" (dòng 1160), "Trạng thái công khai" → "Công khai chuyên trang" (dòng 1161). Mức Cosmetic.
── CÁCH VERIFY sau Dev fix ──
Precondition: cbnv_tw (CB Nghiệp vụ TW). Cần 2 bản ghi TVCS: B1 CHƯA duyệt (Tiếp nhận hoặc Đang tư vấn) và B2 ở "Đã duyệt".
1) Mở Chi tiết B1 → đếm số nhóm accordion + đọc nhãn từng nhóm.
2) Mở Chi tiết B2 → đếm số nhóm accordion + đọc nhãn từng nhóm.
3) Mở nhóm "Thông tin cơ bản" của B2 → tìm trường "Vụ việc liên kết", thử mở dropdown.
✅ PASS khi: B2 đếm ra đúng 6 nhóm; B1 đếm ra 5 nhóm (không có nhóm Công khai chuyên trang); KHÔNG còn nhóm "Vụ việc liên kết" đứng riêng ở cả 2 bản ghi; trường "Vụ việc liên kết" vẫn nằm trong "Thông tin cơ bản" và vẫn đọc/chọn được; 3 nhãn hiển thị đúng "Tư liệu PL liên kết" (hoặc "Tư liệu pháp lý liên kết"), "Nhật ký thao tác", "Công khai chuyên trang".
❌ FAIL nếu: B2 vẫn đếm ra 7 nhóm do còn nhóm "Vụ việc liên kết" riêng; trường "Vụ việc liên kết" biến mất khỏi form sau khi gộp; hoặc còn nhãn cũ "Tư liệu pháp luật" / "Nhật ký" / "Trạng thái công khai".
⚠️ Kỳ vọng "5 nhóm" mà Quý đối tác nêu KHÔNG phải chuẩn — chuẩn là 6 nhóm cho bản ghi Đã duyệt. Đếm ra 5 nhóm trên bản ghi CHƯA duyệt là ĐÚNG, không báo FAIL.
Ảnh lỗi cũ (build hiện 7 khối): partner-evidence/QLNDTVVCG_15.jpg</t>
  </si>
  <si>
    <t>QLNDTVVCG_17</t>
  </si>
  <si>
    <t>Nhóm 1 — Thông tin cơ bản
Nhóm 2 — Nội dung tư vấn</t>
  </si>
  <si>
    <t>Hiển thị các trường thông tin giống với màn hình Thêm mới, không được phép chỉnh sửa</t>
  </si>
  <si>
    <t>- Nhóm 1 — Thông tin cơ bản: Thiếu trường Cơ quan tiếp nhận 
- Nhóm 2 — Nội dung tư vấn: Thiếu trường Tiêu đề, hệ thống hiển thị trường  "Tóm tắt" nhưng SRS không có trường thông tin này</t>
  </si>
  <si>
    <r>
      <rPr>
        <rFont val="Times New Roman"/>
        <color rgb="FF1155CC"/>
        <sz val="12.0"/>
        <u/>
      </rPr>
      <t>QLNDTVVCG_17.jpg</t>
    </r>
  </si>
  <si>
    <r>
      <rPr>
        <rFont val="Times New Roman"/>
        <color rgb="FF1155CC"/>
        <sz val="12.0"/>
        <u/>
      </rPr>
      <t>TKCHVMDXL_08.jpg</t>
    </r>
  </si>
  <si>
    <t>✅ Bug đúng MỘT PHẦN (BA 24/07/2026) — testcase gồm 2 ý, chỉ ý 1 là lỗi.
- Ý 1 = LỖI PHẢI SỬA (Loại 1). Dev FE đổi nhãn "Tóm tắt" → "Tiêu đề" ở cả form Thêm/Sửa và màn Chi tiết (nhóm "Nội dung tư vấn"). Trường chính thức là tieu_de, "chính thức hóa từ tom_tat" theo chốt STT68/STT11 (srs-fr-12-tv-chuyen-sau.md:114); §Thành phần màn hình ghi nhãn "Tiêu đề (text, bắt buộc, max 255)" (dòng 1157). Mức Cosmetic.
- Ý 2 = KHÔNG PHẢI LỖI. Màn Chi tiết không hiển thị ô "Cơ quan tiếp nhận" ở Nhóm 1 là ĐÚNG đặc tả: don_vi_id do hệ thống tự gán theo đơn vị cán bộ đăng nhập (dòng 118), và khối "Thông tin cơ bản" (dòng 1156) không liệt kê ô này. Đây là cải tiến tùy chọn, BA gộp xử lý chung với QLNDTVVCG_06 — Dev KHÔNG thêm ô này trong đợt fix hiện tại.
── CÁCH VERIFY sau Dev fix ──
Precondition: cbnv_tw (CB Nghiệp vụ TW) + 1 bản ghi TVCS đã có sẵn nội dung ở trường tiêu đề.
1) Mở form "Thêm yêu cầu Tư vấn pháp luật chuyên sâu" → đọc nhãn ô nhập tiêu đề trong nhóm "Nội dung tư vấn".
2) Mở Chi tiết bản ghi TVCS đó → nhóm "Nội dung tư vấn" → đọc nhãn dòng hiển thị tiêu đề.
3) Mở form Sửa của chính bản ghi đó → đọc lại nhãn ô tiêu đề.
✅ PASS khi: cả 3 màn (Thêm / Chi tiết / Sửa) đều hiển thị nhãn "Tiêu đề"; nội dung tiêu đề cũ vẫn hiển thị đầy đủ và lưu lại được sau khi sửa (đổi nhãn không làm mất dữ liệu).
❌ FAIL nếu: còn bất kỳ màn nào hiển thị "Tóm tắt"; hoặc sau khi đổi nhãn thì ô tiêu đề trống / không lưu được.
⚠️ KHÔNG đánh FAIL vì màn Chi tiết thiếu ô "Cơ quan tiếp nhận" — BA đã chốt đó không phải lỗi (ý 2 ở trên).
Ảnh lỗi cũ (build hiện nhãn "Tóm tắt"): partner-evidence/QLNDTVVCG_17.jpg</t>
  </si>
  <si>
    <t>QLNDTVVCG_20</t>
  </si>
  <si>
    <t>Nhóm 5 — Nhật ký thao tác</t>
  </si>
  <si>
    <t>Danh sách các thao tác đã diễn ra trên yêu cầu, sắp xếp theo thời gian. Mỗi dòng ghi nhận: thời điểm (dd/mm/yyyy HH:mm), tên người thao tác, hành động thực hiện, trạng thái chuyển đổi (nếu có). Bao gồm cả các thao tác phê duyệt, từ chối, phân công, hủy, hoàn thành.</t>
  </si>
  <si>
    <t>Hệ thống không hiển thị dữ liệu nhóm 5- Nhật ký thao tác mặc dù bản ghi đã hoàn thành tất cả các trạng thái</t>
  </si>
  <si>
    <r>
      <rPr>
        <rFont val="Times New Roman"/>
        <color rgb="FF1155CC"/>
        <sz val="12.0"/>
        <u/>
      </rPr>
      <t>QLNDTVVCG_20.webm</t>
    </r>
  </si>
  <si>
    <r>
      <rPr>
        <rFont val="Times New Roman"/>
        <color rgb="FF1155CC"/>
        <sz val="12.0"/>
        <u/>
      </rPr>
      <t>TKCHVMDXL_09.jpg</t>
    </r>
  </si>
  <si>
    <t xml:space="preserve">
- Đối tác phản ánh: nhóm Nhật ký không hiển thị dữ liệu dù bản ghi đã qua nhiều trạng thái.
- Kiểm tra lại bằng vai trò Cán bộ Nghiệp vụ (Trung ương): bản ghi được tạo/thao tác thật trên hệ thống HIỂN THỊ ĐẦY ĐỦ nhật ký — có dòng "Tạo mới" kèm thời gian, người thực hiện và vai trò. Chức năng Nhật ký hoạt động đúng.
- Trường hợp nhật ký trống chỉ xảy ra với bản ghi được nạp sẵn thẳng vào cơ sở dữ liệu (không phát sinh thao tác thật trên giao diện) — không phải lỗi chức năng.
- → Đối tác kiểm tra lại trên bản ghi được tạo/xử lý qua giao diện.</t>
  </si>
  <si>
    <t>QLNDTVVCG_22</t>
  </si>
  <si>
    <t>Kiểm tra màn hình chức năng Phân công chuyên gia</t>
  </si>
  <si>
    <t>1. Chọn menu "Tư vấn" =&gt; "Tư vấn chuyên sâu"
2. Bấm nút "Phân công chuyên gia"</t>
  </si>
  <si>
    <t xml:space="preserve">- Hệ thống mở cửa sổ lớp phủ "Phân công chuyên gia" gồm:
+ Khu vực "Gợi ý" liệt kê 5 chuyên gia phù hợp nhất — tiêu chí ưu tiên: chuyên môn khớp lĩnh vực pháp lý, điểm đánh giá trung bình cao, khối lượng công việc đang nhận thấp.
+ Ô tìm kiếm chuyên gia theo tên hoặc chuyên môn.
+ Ô nhập ghi chú kèm theo khi phân công (không bắt buộc).
+ Chú thích "Chuyên gia sẽ được gửi thông báo và có 2 ngày làm việc để xác nhận tham gia".
</t>
  </si>
  <si>
    <t>Không hiển thị thông tin "Chuyên môn" của TVV/CG mặc dù tồn tại dữ liệu, chú thích hiển thị thiếu thông tin "Chuyên gia sẽ được gửi thông báo"</t>
  </si>
  <si>
    <r>
      <rPr>
        <rFont val="Times New Roman"/>
        <color rgb="FF1155CC"/>
        <sz val="12.0"/>
        <u/>
      </rPr>
      <t>QLNDTVVCG_22.jpg</t>
    </r>
  </si>
  <si>
    <t>- Cửa sổ "Phân công chuyên gia": ô "Chuyên môn" đã hiển thị đúng tên lĩnh vực của chuyên gia khi chuyên gia chưa nhập chuyên ngành — phần này đã đạt.
- Vẫn còn lỗi ở khối "Thông tin cơ bản" của màn Thêm yêu cầu tư vấn: chọn đúng chuyên gia đó thì ô "Chuyên môn" vẫn hiển thị dấu "—", trong khi cửa sổ Phân công của cùng chuyên gia hiển thị "Thương mại". Hai nơi cho kết quả khác nhau với cùng một chuyên gia.
- Màn Sửa yêu cầu tư vấn: sau khi chọn chuyên gia, hệ thống không hiển thị ô "Chuyên môn" (cũng không có số điện thoại, email) như màn Thêm mới.
- Chưa kiểm được trường hợp chuyên gia trống cả chuyên ngành lẫn lĩnh vực (kỳ vọng hiển thị "Chưa cập nhật") vì hệ thống bắt buộc chọn ít nhất 1 lĩnh vực khi tạo/sửa hồ sơ chuyên gia.</t>
  </si>
  <si>
    <t>QLNDTVVCG_23</t>
  </si>
  <si>
    <r>
      <rPr>
        <rFont val="Times New Roman"/>
        <color rgb="FF1155CC"/>
        <sz val="12.0"/>
        <u/>
      </rPr>
      <t>TKCHVMDXL_10.jpg</t>
    </r>
  </si>
  <si>
    <t>1. Chọn menu "Tư vấn" =&gt; "Tư vấn chuyên sâu"
2. Bấm nút "Phân công chuyên gia"
3. Chọn 1 chuyên gia và bấm "Phân công"</t>
  </si>
  <si>
    <t xml:space="preserve">- Hệ thống đóng cửa sổ và cập nhật hiển thị trạng thái mới.
+ Chuyển trạng thái yêu cầu: Tiếp nhận → Đã phân công.
+ Gửi thông báo trong hệ thống và qua thư điện tử tới chuyên gia được chọn.
+ Gửi thông báo tới doanh nghiệp: "Yêu cầu tư vấn của bạn đã được phân công cho {tên chuyên gia}".
+ Lưu vết thao tác theo quy định.
</t>
  </si>
  <si>
    <t>Hệ thống hiển thị thông báo "Phân công thất bại"</t>
  </si>
  <si>
    <r>
      <rPr>
        <rFont val="Times New Roman"/>
        <color rgb="FF1155CC"/>
        <sz val="12.0"/>
        <u/>
      </rPr>
      <t>QLNDTVVCG_23.webm</t>
    </r>
  </si>
  <si>
    <t>QLNDTVVCG_27</t>
  </si>
  <si>
    <t>Kiểm tra nút chức năng Hoàn thành tư vấn</t>
  </si>
  <si>
    <t xml:space="preserve">1. Đăng nhập Chuyên gia được phân công cho yêu cầu </t>
  </si>
  <si>
    <t>1. Chọn menu "Tư vấn" =&gt; "Tư vấn chuyên sâu"
2. Bấm nút "Hoàn thành tư vấn"</t>
  </si>
  <si>
    <t>Tab "Tất cả" hiển thị số lượng bản ghi phù hợp với tiêu chí tìm kiếm nhưng bảng danh sách không hiển thị bản ghi nào</t>
  </si>
  <si>
    <r>
      <rPr>
        <rFont val="Times New Roman"/>
        <color rgb="FF1155CC"/>
        <sz val="12.0"/>
        <u/>
      </rPr>
      <t>TKCHVMDXL_11.webm</t>
    </r>
  </si>
  <si>
    <t xml:space="preserve">- Điều kiện hiển thị: yêu cầu ở trạng thái "Đang tư vấn".
- NSD bấm nút "Hoàn thành tư vấn", hệ thống hiển thị thông báo "Đã nộp tư vấn, đang chờ phê duyệt":
+ Chuyển trạng thái yêu cầu: Đang tư vấn → Hoàn thành tư vấn, ghi nhận thời điểm hoàn thành.
+ Tự động chuyển tiếp yêu cầu sang trạng thái "Chờ phê duyệt" và gửi thông báo tới cán bộ phê duyệt cùng đơn vị.
+ Lưu vết thao tác theo quy định.
</t>
  </si>
  <si>
    <t>Hệ thống không gửi thông báo tới cán bộ phê duyệt cùng đơn vị</t>
  </si>
  <si>
    <t xml:space="preserve"> QLNDTVVCG_27.webm</t>
  </si>
  <si>
    <t>Tái hiện đúng. CG bấm Hoàn thành → record auto chuyển 'Chờ phê duyệt' (đúng), NHƯNG CB Phê duyệt cùng đơn vị (cbpd_tw_04, cùng donViId) KHÔNG nhận thông báo. Cùng account nhận được TB CT HTPL → kênh TB chạy, riêng luồng TVCS HOAN_THANH→CHO_PHE_DUYET không phát TB. Vi phạm SRS FR-X.1-01 Processing Hoàn thành TV bước 5 (dòng 196) + SM-TVCS dòng 1508 (Action='TB CB PD', BR-FLOW-01). Record vẫn vào hàng chờ duyệt nên có workaround → Major.</t>
  </si>
  <si>
    <t>QLNDTVVCG_36</t>
  </si>
  <si>
    <t>Xác nhận hủy Với trạng thái "Đang tư vấn"</t>
  </si>
  <si>
    <t>1. Đăng nhập hệ thống thành công
2. Với trạng thái "Đang tư vấn"</t>
  </si>
  <si>
    <t>1. Chọn menu "Tư vấn" =&gt; "Tư vấn chuyên sâu"
2. Bấm nút "Hủy yêu cầu"
3. Nhập lý do hợp lệ và xác nhận</t>
  </si>
  <si>
    <t>- Chuyển sang trạng thái chờ duyệt hủy; khi Cán bộ phê duyệt duyệt hủy, mới chuyển sang "Đã hủy".
- Hệ thống hiển thị thông báo "Đã gửi yêu cầu duyệt hủy".</t>
  </si>
  <si>
    <t xml:space="preserve">- Chuyển ngay sang "Đã hủy".
- Hệ thống hiển thị thông báo "Đã hủy yêu cầu" </t>
  </si>
  <si>
    <r>
      <rPr>
        <rFont val="Times New Roman"/>
        <color rgb="FF1155CC"/>
        <sz val="12.0"/>
        <u/>
      </rPr>
      <t>QLNDTVVCG_36.webm</t>
    </r>
  </si>
  <si>
    <r>
      <rPr>
        <rFont val="Times New Roman"/>
        <color rgb="FF1155CC"/>
        <sz val="12.0"/>
        <u/>
      </rPr>
      <t>TKCHVMDXL_12.jpg</t>
    </r>
  </si>
  <si>
    <t>⚠️ Hành vi hủy hiện tại ĐÚNG ĐẶC TẢ — KHÔNG phải bug. Chỉ còn 1 việc dọn dẹp (BA chốt 24/07/2026).
THEO SRS (srs-fr-12-tv-chuyen-sau.md:238-244, Processing "Hủy yêu cầu"):
- Ở trạng thái ĐANG_TƯ_VẤN, CHỈ Cán bộ Phê duyệt được hủy; CB Nghiệp vụ / Chuyên gia bị chặn (:238, tag [QLNDTVVCG_36 chốt 2026-07-24]).
- Hủy chuyển TRỰC TIẾP ĐANG_TƯ_VẤN → HỦY, KHÔNG tạo trạng thái trung gian "chờ duyệt hủy" (:241).
- "Từ chối duyệt hủy" = Cán bộ Phê duyệt KHÔNG thực hiện hủy → bản ghi giữ nguyên ĐANG_TƯ_VẤN. Không cần màn duyệt hủy riêng trong app.
- Yêu cầu hủy của DN là văn bản/email NGOÀI hệ thống; hệ thống KHÔNG lưu thành cột riêng trên entity (:244).
→ Vì vậy: Kết quả thực tế (Cán bộ Phê duyệt hủy thẳng sang "Đã hủy") là ĐÚNG SRS. Kết quả mong đợi của đối tác (đòi trạng thái trung gian "chờ duyệt hủy" + luồng duyệt hủy trong app) TRÁI SRS → KHÔNG dựng thêm luồng này.
VIỆC DEV CÒN LẠI (cleanup — BA chốt 24/07/2026): gỡ phần dư đã lỡ xây cho cơ chế "DN gửi / duyệt yêu cầu hủy trong app" — theo BA là 3 cột lưu yêu-cầu-hủy + 2 endpoint (gửi / duyệt yêu cầu hủy). Căn cứ: SRS :244 nói yêu cầu hủy của DN nằm NGOÀI hệ thống, không lưu cột riêng. (Số cột/endpoint theo BA liệt kê; QA chưa mở được mã nguồn để đếm độc lập — dev đối chiếu khi gỡ.)
── CÁCH VERIFY sau khi Dev cleanup ──
Precondition: env https://18.143.165.120.nip.io; có TVCS ở trạng thái ĐANG_TƯ_VẤN.
1) Login Cán bộ Phê duyệt: mở bản ghi ĐANG_TƯ_VẤN → [Hủy yêu cầu] → nhập lý do → xác nhận → bản ghi chuyển THẲNG sang "Đã hủy" (không qua state trung gian).
2) Login Cán bộ Nghiệp vụ / Chuyên gia: nút [Hủy yêu cầu] phải bị ẩn/chặn ở bản ghi ĐANG_TƯ_VẤN.
3) Đối chiếu với dev: không còn 3 cột + 2 endpoint "yêu cầu duyệt hủy" trong hệ thống.
✅ PASS khi: (a) Cán bộ Phê duyệt hủy trực tiếp được; (b) CB NV/CG bị chặn ở ĐANG_TƯ_VẤN; (c) không còn cột/endpoint "yêu cầu duyệt hủy" dư.
❌ FAIL khi: vẫn còn cột/endpoint duyệt-hủy trong app, HOẶC CB NV/CG hủy được ở ĐANG_TƯ_VẤN.
⚠️ KHÔNG chấm FAIL vì thiếu màn "duyệt hủy" hay thiếu state "chờ duyệt hủy" — SRS KHÔNG yêu cầu các thành phần đó.</t>
  </si>
  <si>
    <t>QLNDTVVCG_40</t>
  </si>
  <si>
    <t>1. Chọn menu "Tư vấn" =&gt; "Tư vấn chuyên sâu"
2. Bấm nút "Xuất Excel"</t>
  </si>
  <si>
    <t>- Hệ thống xuất danh sách yêu cầu tư vấn theo điều kiện lọc hiện tại ra tệp Excel, bao gồm toàn bộ cột đang hiển thị cộng thêm cột "Nội dung tư vấn (đầy đủ)" và "Ngày hoàn thành" để phục vụ báo cáo.
- Có dữ liệu, hệ thống tải tệp về máy người dùng với tên dạng "TVCS-danh-sach-{YYYYMMDD-HHmm}.xlsx".</t>
  </si>
  <si>
    <t>- Tên tệp không giống với thiết kế
- Tệp excel thiếu các cột thông tin so với màn hình danh sách: Doanh nghiệp, Chuyên gia, Lĩnh vực</t>
  </si>
  <si>
    <r>
      <rPr>
        <rFont val="Times New Roman"/>
        <color rgb="FF1155CC"/>
        <sz val="12.0"/>
        <u/>
      </rPr>
      <t>QLNDTVVCG_41.jpg</t>
    </r>
  </si>
  <si>
    <t>III</t>
  </si>
  <si>
    <t>- Đã đạt: tệp Excel có đủ các cột của màn danh sách (Mã tư vấn / Doanh nghiệp / Chuyên gia / Lĩnh vực / Tiêu đề / Trạng thái / Ngày bắt đầu / Ngày tạo) kèm thêm cột "Ngày hoàn thành" và "Nội dung tư vấn (đầy đủ)"; tên tệp đã đúng dạng TVCS-danh-sach-{YYYYMMDD-HHmm}.xlsx thay cho dãy số máy sinh trước đây.
- Đã đạt: cột "Ngày tạo" hết lệch ngày — cả 4/4 dòng khớp đúng ngày và giờ-phút với màn danh sách (ví dụ 25/07/2026 12:10 và 25/07/2026 02:33).
- Còn lỗi: giờ-phút trong TÊN TỆP không phải giờ Việt Nam. Bấm [Xuất Excel] lúc 12:10 ngày 25/07/2026 theo đồng hồ người dùng, nhưng tệp tải về có tên "TVCS-danh-sach-20260725-0510.xlsx" — lệch 7 tiếng so với thời điểm xuất thật.
- Hệ quả: nếu xuất tệp trong khoảng 00:00-07:00 giờ Việt Nam thì phần NGÀY trong tên tệp lùi về ngày hôm trước, người dùng đọc sai ngày xuất — đúng loại lỗi lệch ngày đã phản ánh trước đó, nay chuyển sang tên tệp.
- Ngay trong cùng một tệp đang có hai mốc giờ khác nhau: cột "Ngày tạo" dùng giờ Việt Nam (12:10) còn tên tệp dùng giờ lệch (0510).
- Yêu cầu: giờ-phút trên tên tệp phải là thời điểm người dùng bấm xuất theo múi giờ Asia/Ho_Chi_Minh (UTC+7), thống nhất với giờ đang hiển thị trong tệp và trên màn danh sách. Căn cứ: FR-XII (UC QLNDTVVCG_40) — srs-fr-12-tv-chuyen-sau.md dòng 162 (tên tệp TVCS-danh-sach-{YYYYMMDD-HHmm}.xlsx, có giờ-phút) và srs-v3.5.md dòng 4620 (I18N-06: múi giờ Asia/Ho_Chi_Minh UTC+7, máy chủ và máy người dùng cùng múi giờ).
- Kiểm thử 25/07/2026 bằng tài khoản cán bộ nghiệp vụ trung ương, trên 4 bản ghi trong đó có 1 bản ghi vừa tạo mới (TVCS-20260725-0007).</t>
  </si>
  <si>
    <t>Quản lý thông tin chương trình đào tạo, tập huấn</t>
  </si>
  <si>
    <t>TKNDTVVCG_03</t>
  </si>
  <si>
    <t>Tìm kiếm theo tên DN</t>
  </si>
  <si>
    <t>1. Đăng nhập hệ thống thành công
2. Tồn tại bản ghi phù hợp tiêu chí tìm kiếm</t>
  </si>
  <si>
    <t>1. Chọn menu "Tư vấn" =&gt; "Tư vấn chuyên sâu"
2. Nhập tên DN</t>
  </si>
  <si>
    <t>Hệ thống hiển thị "Không có nội dung tư vấn chuyên sâu nào."</t>
  </si>
  <si>
    <r>
      <rPr>
        <rFont val="Times New Roman"/>
        <color rgb="FF1155CC"/>
        <sz val="12.0"/>
        <u/>
      </rPr>
      <t>TKNDTVVCG_03.webm</t>
    </r>
  </si>
  <si>
    <t>✅ Bug ĐÚNG – chuyển dev.
- Web hiện tại (vai trò Cán bộ Nghiệp vụ Trung ương): nhập tên doanh nghiệp vào ô tìm kiếm màn Danh sách Tư vấn chuyên sâu → hệ thống trả "Không có nội dung tư vấn chuyên sâu nào." dù tồn tại bản ghi gắn đúng tên DN đó.
- Kiểm chứng: có 1 bản ghi gắn DN "Công ty TNHH Seed Publishable". Tìm đúng tên DN này (hoặc phần đặc trưng "Publishable"/"TNHH") đều ra 0 kết quả; trong khi tìm theo mã "TVCS-SEED-0001" hoặc theo nội dung "bảo mật" đều ra 1 kết quả → chỉ phần tìm theo tên DN bị hỏng (không phải do từ khóa quá ngắn: cả tên DN đầy đủ cũng ra 0).
- Theo SRS FR-X.1-02 (UC148) §Processing (dòng 364) và FR-X.1-01 (UC147), màn SCR-X1-01 §Thành phần màn hình (dòng 1092): ô tìm kiếm toàn văn phải tìm được theo tên DN.
- Phát hiện thêm: tìm theo tiêu đề cũng không ra kết quả (vd "hợp đồng", "thương mại") — chi tiết trong bug-report.
- Verify: tài khoản cbnv_tw_01 (CB_NV_TW), đơn vị BTP·TW. API tìm kiếm trả dữ liệu rỗng (total=0) → lỗi phía backend.
- Bug ID: BUG-TKNDTVVCG_03.</t>
  </si>
  <si>
    <t>Quản lý chương trình đào tạo, tập huấn</t>
  </si>
  <si>
    <t>Tổng hợp và quản lý danh sách các chương trình đào tạo/tập huấn đã, đang và sẽ diễn ra.</t>
  </si>
  <si>
    <t>QLHSPLDN_02</t>
  </si>
  <si>
    <t xml:space="preserve">Bảng danh sách hồ sơ pháp lý </t>
  </si>
  <si>
    <t>1. Chọn menu "Doanh nghiệp"
2. Nhấn "Xem chi tiết"
3. Chọn thẻ "Hồ sơ pháp lý doanh nghiệp"</t>
  </si>
  <si>
    <t>- Bảng danh sách thiếu các cột thông tin: Lĩnh vực pháp lý, Nguồn, Có tệp đính kèm
- Bảng danh sách trên hệ thống hiển thị trường thông tin Số/ký hiệu nhưng tài liệu SRS không có trường thông tin này</t>
  </si>
  <si>
    <r>
      <rPr>
        <rFont val="Times New Roman"/>
        <color rgb="FF1155CC"/>
        <sz val="12.0"/>
        <u/>
      </rPr>
      <t>QLHSPLDN_02.webm</t>
    </r>
  </si>
  <si>
    <t>✅ Bug đúng (BA duyệt 24/07/2026) — case này gồm 4 ý, cả 4 ý đều phải sửa nên verdict Open. Toàn bộ căn cứ dưới đây trích từ SRS v3.5 hiện hành trong repo: Docs-PM-HTPLDN/_bmad-output/planning-artifacts/srs-v3.5/srs-fr-12-tv-chuyen-sau.md, FR-X.1-04 (UC150).
Ý 1 — BỎ cột "Số/Ký hiệu" khỏi bảng danh sách (Loại 1, thừa so với SRS). SRS không có trường số/ký hiệu ở bất kỳ đâu trong FR-X.1-04: §Inputs Thêm/Sửa đúng 11 trường (:564–:574), §Outputs đúng 13 trường đầu ra (:658–:670), entity HO_SO_PHAP_LY_DN đúng 19 trường (:1399–:1417); tìm chuỗi so_hieu/so_ky_hieu trên toàn thư mục SRS v3.5 = 0 kết quả. Nhập vào cũng không có chỗ lưu. Yêu cầu: bảng danh sách hồ sơ pháp lý không còn cột này. Mức Minor.
Ý 2 — THÊM cột "Lĩnh vực pháp lý" (Loại 2). Yêu cầu nghiệp vụ: bảng danh sách phải cho thấy lĩnh vực pháp lý của từng hồ sơ, hiển thị TÊN lĩnh vực tra từ danh mục theo linh_vuc_id, hồ sơ chưa gán thì để trống/gạch (trường không bắt buộc). Căn cứ SRS hiện hành: §Outputs có trường đầu ra ten_linh_vuc, điều kiện "luôn" — :667 nguyên văn "| 10 | ten_linh_vuc | text | luôn | — (tên lĩnh vực tra từ DANH_MUC theo linh_vuc_id) |"; trường nguồn linh_vuc_id có sẵn ở §Inputs :568 và entity :1404. Ghi chú lệch bản SRS: bản BA dùng khi phân tích (input/srs-update-2026-5-5/srs-fr-12-tv-chuyen-sau.md, §Outputs dòng 642–656) chỉ liệt kê 11 trường và CHƯA có ten_linh_vuc — đó là lý do BA xếp Loại 2 "cập nhật SRS rồi Dev làm"; bản SRS hiện hành trong repo đã bổ sung xong trường này, nên phần việc còn lại thuần là Dev bổ sung cột. Mức Major.
Ý 3 — THÊM cột "Nguồn" (Loại 2). Yêu cầu nghiệp vụ: bảng danh sách phải phân biệt được hồ sơ do người dùng nhập tay với hồ sơ đồng bộ từ Cổng Pháp luật quốc gia, để tránh sửa nhầm hồ sơ đồng bộ. BA chốt 24/07/2026: hiển thị nhãn tiếng Việt "Thủ công" / "Cổng Pháp luật quốc gia", không phơi mã thô ra giao diện. Căn cứ SRS hiện hành: §Outputs có trường nguon, điều kiện "luôn", miền giá trị THU_CONG / CONG_PLQG (:668); entity có nguon mặc định THU_CONG (:1410). Ghi chú lệch bản SRS: giống ý 2 — bản BA trích (dòng 642–656) chưa có trường nguon ở §Outputs, bản hiện hành đã có. Mức Major.
Ý 4 — THÊM cột "Có tệp đính kèm" (Loại 1). Yêu cầu nghiệp vụ: từ bảng danh sách phải biết được hồ sơ nào đã có tệp đính kèm, hồ sơ nào chưa, không phải mở từng hồ sơ ra xem. SRS đã quy định sẵn: §Outputs :666 "| 9 | co_file | boolean | luôn | — |", cờ này suy ra từ danh sách tệp đính kèm ở §Processing Xem chi tiết bước 4–5 (:641–:642). Không cần sửa SRS. Mức Major.
Hiện trạng đã được ghi nhận 21/07/2026 (nguồn: output/UAT_doi-tac/reverify-week-3/bug-reports/qlhspldn/bug-report-qlhspldn.md:56 — đọc thead qua DOM): bảng có 8 cột "Mã hồ sơ · Tên hồ sơ · Loại · Số/Ký hiệu · Ngày cấp · Ngày hết hạn · Trạng thái · Hành động"; hiển thị giống nhau cả khi bảng trống lẫn khi đã có dữ liệu. Bug ID: BUG-QLHSPLDN_02. Ô "Trạng thái dev fix 1" đang là "dev done" nên giữ nguyên; người re-verify chạy lại các bước dưới trên bản mới nhất để chốt.
── CÁCH VERIFY sau Dev fix ──
Precondition: tài khoản cbnv_hn / Test@1234 (CB Nghiệp vụ Địa phương — Sở Tư pháp Hà Nội), mã OTP lấy tại MailHog http://18.143.165.120:8025. Môi trường https://18.143.165.120.nip.io. Màn hình: menu Doanh nghiệp → DN-HNI-0001 (mã số thuế 0109998887) → Xem chi tiết → thẻ "Hồ sơ pháp lý". Dữ liệu cần có: hồ sơ HSPL-20260721-0001 đã seed sẵn cho DN này; ngoài ra tạo thêm 2 hồ sơ mới bằng nút [+ Thêm hồ sơ] ngay trên thẻ đó — hồ sơ A có chọn Lĩnh vực pháp lý (vd Lao động) và đính kèm 1 tệp PDF dưới 20MB, hồ sơ B không chọn lĩnh vực và không đính kèm tệp. Nếu ô chọn lĩnh vực / ô đính kèm tệp trên biểu mẫu chưa có thì đó là case QLHSPLDN_03, phải chờ case đó fix xong mới verify đủ ý 2 và ý 4 của case này.
1) Đăng nhập cbnv_hn, vào Doanh nghiệp → DN-HNI-0001 → Xem chi tiết → mở thẻ "Hồ sơ pháp lý".
2) Đọc header bảng danh sách, liệt kê đủ tên các cột từ trái sang phải (cuộn hết chiều ngang, hoặc đọc thẻ thead qua DOM cho chắc).
3) Xem giá trị cột lĩnh vực của hồ sơ A (đã gán Lao động) và của hồ sơ B (chưa gán).
4) Xem giá trị cột nguồn của HSPL-20260721-0001 và của hồ sơ A — cả hai đều là hồ sơ nhập tay.
5) Xem giá trị cột tệp đính kèm của hồ sơ A (có tệp) so với hồ sơ B (không tệp).
✅ PASS khi ĐỦ 5 điều: (i) header KHÔNG còn cột "Số/Ký hiệu"; (ii) header CÓ đủ 3 cột mới đọc được nhãn: "Lĩnh vực pháp lý", "Nguồn", "Có tệp đính kèm"; (iii) bước 3 hồ sơ A hiện đúng chữ "Lao động" (tên lĩnh vực, không phải dãy số id), hồ sơ B để trống hoặc gạch ngang; (iv) bước 4 cả hai hồ sơ hiện nhãn tiếng Việt "Thủ công"; (v) bước 5 hồ sơ A và hồ sơ B cho ra hai giá trị KHÁC NHAU ở cột tệp đính kèm (vd Có / Không, hoặc có biểu tượng kẹp giấy / không có).
❌ FAIL nếu: vẫn còn cột "Số/Ký hiệu"; HOẶC thiếu bất kỳ 1 trong 3 cột mới; HOẶC cột lĩnh vực / nguồn / tệp đính kèm có tiêu đề nhưng trống với MỌI hồ sơ kể cả hồ sơ A đã gán lĩnh vực và đã đính kèm tệp; HOẶC cột nguồn in mã thô THU_CONG thay vì nhãn tiếng Việt; HOẶC cột tệp đính kèm cho cùng một giá trị ở cả hồ sơ A lẫn hồ sơ B (cờ không phản ánh thực tế).
⚠️ Bẫy 1 — "Lĩnh vực pháp lý" ở case NÀY là CỘT trên BẢNG DANH SÁCH; ô nhập lĩnh vực trên biểu mẫu Thêm/Sửa thuộc case QLHSPLDN_03 ý 3. Dev thêm ô nhập mà bảng vẫn thiếu cột thì case này VẪN FAIL, và ngược lại — phải kiểm riêng từng chỗ.
⚠️ Bẫy 2 — hồ sơ tạo TRƯỚC khi fix vốn không có lĩnh vực và không có tệp, nên hai cột đó trống là ĐÚNG, không tính FAIL. Bắt buộc dùng hồ sơ A tạo MỚI sau khi fix để kết luận, đúng như Precondition.
⚠️ Bẫy 3 — bảng có thể tràn ngang và ẩn bớt cột; cuộn hết sang phải (hoặc đọc DOM) trước khi kết luận "thiếu cột".
Ảnh lỗi cũ (header 8 cột, thừa "Số/Ký hiệu", thiếu 3 cột): image/BUG-QLHSPLDN_02-list-header-with-data.png và image/BUG-QLHSPLDN_02-list-header-empty.png</t>
  </si>
  <si>
    <t>Mở màn danh sách</t>
  </si>
  <si>
    <t>Đăng nhập</t>
  </si>
  <si>
    <t>-</t>
  </si>
  <si>
    <t>1.Mở menu Đào tạo&gt;Chương trình đào tạo</t>
  </si>
  <si>
    <t>Hiển thị đầy đủ danh sách, cột: Mã,Tên,Lĩnh vực,Ngân sách,Số khóa,Trạng thái,Hành động</t>
  </si>
  <si>
    <r>
      <rPr>
        <rFont val="Times New Roman"/>
        <color rgb="FF1155CC"/>
        <sz val="12.0"/>
        <u/>
      </rPr>
      <t>TTCTDTTH_02.jpg</t>
    </r>
  </si>
  <si>
    <t>QLHSPLDN_03</t>
  </si>
  <si>
    <t>Biểu mẫu thêm mới / chỉnh sửa hồ sơ pháp lý</t>
  </si>
  <si>
    <t>1. Chọn menu "Doanh nghiệp"
2. Nhấn "Xem chi tiết"
3. Chọn thẻ "Hồ sơ pháp lý doanh nghiệp"
4. Nhấn "+ Thêm mới hồ sơ pháp lý" hoặc "Chỉnh sửa"</t>
  </si>
  <si>
    <t>- Biểu mẫu thêm mới thiếu các trường thông tin: Lĩnh vực pháp lý, Mô tả, Tệp đính kèm
- Biểu mẫu thêm mới trên hệ thống hiển thị trường thông tin Số/ký hiệu nhưng tài liệu SRS không có trường thông tin này</t>
  </si>
  <si>
    <r>
      <rPr>
        <rFont val="Times New Roman"/>
        <color rgb="FF1155CC"/>
        <sz val="12.0"/>
        <u/>
      </rPr>
      <t>QLHSPLDN_03.webm</t>
    </r>
  </si>
  <si>
    <t>Phần đã sửa: biểu mẫu Thêm/Sửa đã có Lĩnh vực pháp lý, Mô tả, Tệp đính kèm và đã gỡ Số/Ký hiệu. Tạo mới hồ sơ HSPL-20260725-0003 (DN-HNI-0006) kèm 1 tệp PDF, tải lại trang rồi mở bằng nút [Sửa]: tên tệp, mô tả, lĩnh vực đều hiển thị lại ĐÚNG — ô Tệp đính kèm không còn trống.
Còn lỗi: bấm nút [Xem] cạnh tệp thì hệ thống từ chối và đá thẳng người dùng sang trang lỗi 403, mất luôn biểu mẫu đang mở. Màn 403 ghi: 'Loại đối tượng HO_SO_PHAP_LY_DN của tệp chưa được đăng ký' (mã ERR-PERM-FILE-03). Nghĩa là vẫn chưa xem hoặc tải lại được tệp đã đính — đúng phần dev nêu chưa xong.
Tái hiện 2/2 lần, tài khoản cbnv_hn, ngày 25/07/2026. Đối chiếu: cùng thao tác xem tệp ở màn Kết quả hỗ trợ vụ việc lại tải được bình thường.</t>
  </si>
  <si>
    <t>QLTLPLCVV_02</t>
  </si>
  <si>
    <t>Kiểm tra phân trang</t>
  </si>
  <si>
    <t>Có &gt;20 bản ghi</t>
  </si>
  <si>
    <t>Bảng danh sách tư liệu pháp lý</t>
  </si>
  <si>
    <t>Hiển thị đúng dữ liệu trang tiếp theo</t>
  </si>
  <si>
    <t>1. Chọn menu "Tư vấn" =&gt; "Tư vấn chuyên sâu"
2. Nhấn "Xem chi tiết" tại bản ghi
3. Mở Nhóm 3 — Tư liệu pháp lý liên kết</t>
  </si>
  <si>
    <r>
      <rPr>
        <rFont val="Times New Roman"/>
        <color rgb="FF1155CC"/>
        <sz val="12.0"/>
        <u/>
      </rPr>
      <t>TTCTDTTH_01.jpg</t>
    </r>
  </si>
  <si>
    <t>Thiếu cột thông tin Ngày tạo, Người tạo</t>
  </si>
  <si>
    <r>
      <rPr>
        <rFont val="Times New Roman"/>
        <color rgb="FF1155CC"/>
        <sz val="12.0"/>
        <u/>
      </rPr>
      <t>QLTLPLCVV_02.webm</t>
    </r>
  </si>
  <si>
    <t>✅ Bug đúng (BA 24/07/2026). Loại 2 — SRS đã được đồng bộ, Dev làm theo SRS mới. BA chốt lấy mục Outputs làm chuẩn: nguoi_tao "luôn" hiển thị (srs-fr-12-tv-chuyen-sau.md:951) và ngay_tao "luôn" hiển thị theo định dạng dd/mm/yyyy HH:mm (dòng 952). §Thành phần màn hình nay đã liệt kê đủ cột của bảng tư liệu: Tên / Loại / Lĩnh vực / Số file / Trạng thái / Công khai lúc / Người tạo / Ngày tạo / Hành động (dòng 1158). Dev FE bổ sung 2 cột "Người tạo" + "Ngày tạo" vào bảng; Dev BE bổ sung 2 trường này nếu API danh sách tư liệu chưa trả về. Mức Minor.
── CÁCH VERIFY sau Dev fix ──
Precondition: cbnv_tw (CB Nghiệp vụ TW). Mở Chi tiết một TVCS → nhóm "Tư liệu PL liên kết". Nhóm này cần có ≥2 tư liệu do 2 TÀI KHOẢN KHÁC NHAU tạo (nếu chưa có thì đăng nhập tài khoản thứ hai tạo thêm 1 tư liệu vào đúng TVCS này).
1) Đọc dòng tiêu đề của bảng tư liệu → liệt kê đủ tên cột theo thứ tự.
2) Đọc giá trị ô "Người tạo" của từng dòng tư liệu.
3) Đọc giá trị ô "Ngày tạo" của từng dòng tư liệu.
✅ PASS khi: bảng có đủ cả cột "Người tạo" và cột "Ngày tạo"; ô "Người tạo" hiện đúng người đã tạo từng tư liệu — 2 dòng của 2 người phải ra 2 giá trị KHÁC nhau; ô "Ngày tạo" hiển thị đủ cả ngày và giờ-phút (dd/mm/yyyy HH:mm).
❌ FAIL nếu: thiếu 1 trong 2 cột; ô để trống hoặc hiện "—"; "Người tạo" ra cùng một giá trị ở cả 2 dòng dù 2 người tạo khác nhau (nhiều khả năng đang lấy nhầm người đang đăng nhập); hoặc "Ngày tạo" chỉ có ngày mà thiếu giờ-phút.
⚠️ Bảng vốn đã có cột "Công khai lúc" — cột này KHÁC "Ngày tạo", không được coi là đã đáp ứng yêu cầu.</t>
  </si>
  <si>
    <t>QLTLPLCVV_03</t>
  </si>
  <si>
    <t>Kiểm tra điều kiện hiển thị nút chức năng Thêm mới</t>
  </si>
  <si>
    <t>Điều kiện hiển thị: yêu cầu tư vấn liên kết đang ở trạng thái "Tiếp nhận", "Đã phân công", "Đang tư vấn", "Hoàn thành tư vấn" hoặc "Chờ phê duyệt".</t>
  </si>
  <si>
    <t>Hệ thống hiển thị nút chức năng đối với cả các bản ghi có trạng thái "Đã duyệt" và "Hủy"</t>
  </si>
  <si>
    <r>
      <rPr>
        <rFont val="Times New Roman"/>
        <color rgb="FF1155CC"/>
        <sz val="12.0"/>
        <u/>
      </rPr>
      <t>QLTLPLCVV_03.webm</t>
    </r>
  </si>
  <si>
    <t>Theo tên CT</t>
  </si>
  <si>
    <t>Tên hợp lệ</t>
  </si>
  <si>
    <t>Nhập tên và bấm Tìm kiếm</t>
  </si>
  <si>
    <t>❌ Không phải lỗi (BA xác nhận 24/07/2026).
- BA chốt: phần mềm hiện đúng đặc tả. Nút [+ Thêm tư liệu] trong nhóm "Tư liệu PL liên kết" được quy định điều kiện hiển thị là "luôn hiển thị" (srs-fr-12-tv-chuyen-sau.md:1158), và Quy tắc tương tác cho phép thêm/sửa/xóa tư liệu ngay tại chỗ, không khóa theo trạng thái của bản ghi tư vấn (dòng 1171). Ràng buộc "mode sửa chỉ khi Tiếp nhận / Đang tư vấn" (dòng 1166) chỉ áp cho việc sửa các trường của chính bản ghi tư vấn — nút [Lưu] cũng chỉ hiện ở 2 trạng thái đó (dòng 1162) — KHÔNG áp cho thao tác quản lý tư liệu.
- Kỳ vọng ẩn nút khi trạng thái "Đã duyệt" / "Hủy" hiện chưa có cơ sở trong đặc tả. BA ghi nhận một cải tiến đáng cân nhắc là chặn thêm tư liệu khi bản ghi đã "Hủy"; riêng "Đã duyệt" nên giữ cho phép thêm. Kính đề nghị Quý đối tác đưa nội dung này vào danh sách yêu cầu cải tiến và cập nhật lại Kết quả mong đợi của testcase theo đặc tả hiện hành.</t>
  </si>
  <si>
    <t>Chỉ hiển thị bản ghi phù hợp</t>
  </si>
  <si>
    <r>
      <rPr>
        <rFont val="Times New Roman"/>
        <color rgb="FF1155CC"/>
        <sz val="12.0"/>
        <u/>
      </rPr>
      <t>TTCTDTTH_03.jpg</t>
    </r>
  </si>
  <si>
    <t>QLTLPLCVV_07</t>
  </si>
  <si>
    <t>Kiểm tra điều kiện hiển thị nút chức năng Sửa</t>
  </si>
  <si>
    <t>- Điều kiện hiển thị: tư liệu đang ở trạng thái "Nháp" (tư liệu đang công khai phải hủy công khai trước khi sửa).</t>
  </si>
  <si>
    <t>Tư liệu ở trạng thái Công khai vẫn hiển thị chức năng Sửa</t>
  </si>
  <si>
    <r>
      <rPr>
        <rFont val="Times New Roman"/>
        <color rgb="FF1155CC"/>
        <sz val="12.0"/>
        <u/>
      </rPr>
      <t>QLTLPLCVV_07.jpg</t>
    </r>
  </si>
  <si>
    <t>uc này và uc QLTLPLCVV_09 về mặt ý nghĩa giống nhau, chỉ cần fix 1 tr 2</t>
  </si>
  <si>
    <t>Theo mã CT</t>
  </si>
  <si>
    <t>Mã hợp lệ</t>
  </si>
  <si>
    <t>Nhập mã và tìm</t>
  </si>
  <si>
    <t>- Phần đã đạt: tư liệu đang ở trạng thái "Đã công khai" không còn hiển thị nút [Sửa] (chỉ còn Xem tệp / Hủy công khai / Xóa), không vào được biểu mẫu sửa.
- Còn lỗi: hủy công khai tư liệu đó (về "Nháp") rồi sửa ô "Mô tả" và bấm [Lưu] → hệ thống báo "Một hoặc nhiều file đã được gắn vào bản ghi khác" và KHÔNG lưu được.
- Làm tương tự trên một tư liệu vốn ở trạng thái "Nháp" (chưa từng công khai) → cũng báo đúng thông báo trên, không lưu được.
- Tạo mới một tư liệu khác có đính kèm 1 tệp rồi sửa mô tả → vẫn gặp lỗi giống hệt.
- Thử gỡ tệp đính kèm ra khỏi tư liệu rồi bấm [Lưu] → lưu thành công. Như vậy chỉ cần tư liệu còn giữ tệp đính kèm sẵn có thì không sửa được bất kỳ thông tin nào.
- Sau khi báo lỗi, nội dung vừa nhập ở ô "Mô tả" bị xóa trắng, người dùng phải nhập lại từ đầu.
- Đề nghị: tư liệu ở trạng thái "Nháp" (kể cả tư liệu vừa hủy công khai) phải sửa và lưu được bình thường trong khi vẫn giữ nguyên tệp đính kèm sẵn có.</t>
  </si>
  <si>
    <t>Trả đúng bản ghi</t>
  </si>
  <si>
    <r>
      <rPr>
        <rFont val="Times New Roman"/>
        <color rgb="FF1155CC"/>
        <sz val="12.0"/>
        <u/>
      </rPr>
      <t>TTCTDTTH_04.jpg</t>
    </r>
  </si>
  <si>
    <t>QLTLPLCVV_08</t>
  </si>
  <si>
    <t>1. Chọn menu "Tư vấn" =&gt; "Tư vấn chuyên sâu"
2. Nhấn "Xem chi tiết" tại bản ghi
3. Mở Nhóm 3 — Tư liệu pháp lý liên kết
4. Bấm "Sửa"
5. Nhập thông tin hợp lệ =&gt; "Lưu"</t>
  </si>
  <si>
    <t xml:space="preserve">- Hệ thống mở cửa sổ chỉnh sửa với dữ liệu hiện có.
- NSD cập nhật và bấm "Lưu", hệ thống cập nhật bản ghi và lưu vết thao tác.
</t>
  </si>
  <si>
    <t>- Hệ thống không hiển thị tệp đính kèm mặc dù tồn tại dữ liệu</t>
  </si>
  <si>
    <r>
      <rPr>
        <rFont val="Times New Roman"/>
        <color rgb="FF1155CC"/>
        <sz val="12.0"/>
        <u/>
      </rPr>
      <t>QLTLPLCVV_08.webm</t>
    </r>
  </si>
  <si>
    <t>Lỗi tái hiện: bấm Sửa tư liệu có 2 file nhưng cửa sổ không hiển thị file nào; API chi tiết trả mảng files rỗng dù danh sách đếm 2 → lỗi backend (endpoint detail thiếu join file). Đã log: bug-reports/tvcs/bug-report-tvcs-batchE.md.</t>
  </si>
  <si>
    <t>Không có kết quả</t>
  </si>
  <si>
    <t>QLTLPLCVV_09</t>
  </si>
  <si>
    <t>abcxyz</t>
  </si>
  <si>
    <t>Nhập từ khóa không tồn tại</t>
  </si>
  <si>
    <t xml:space="preserve">Sửa tư liệu đã chuyển sang "Công khai" </t>
  </si>
  <si>
    <t>Hiển thị không có dữ liệu</t>
  </si>
  <si>
    <t xml:space="preserve">1. Đăng nhập hệ thống thành công
2. Tư liệu đã chuyển sang "Công khai" </t>
  </si>
  <si>
    <r>
      <rPr>
        <rFont val="Times New Roman"/>
        <color rgb="FF1155CC"/>
        <sz val="12.0"/>
        <u/>
      </rPr>
      <t>TTCTDTTH_05.jpg</t>
    </r>
  </si>
  <si>
    <t>- Hệ thống hiển thị thông báo "Tư liệu đang công khai, không thể chỉnh sửa. Vui lòng hủy công khai trước khi sửa".</t>
  </si>
  <si>
    <t>Hệ thống hiển thị thông báo "Tư liệu đã công khai, chỉ cho phép cập nhật: moTa, fileDinhKemIds"</t>
  </si>
  <si>
    <r>
      <rPr>
        <rFont val="Times New Roman"/>
        <color rgb="FF1155CC"/>
        <sz val="12.0"/>
        <u/>
      </rPr>
      <t>QLTLPLCVV_09.jpg</t>
    </r>
  </si>
  <si>
    <t>✅ Bug ĐÚNG – chuyển dev.
- Sửa tư liệu đang "Công khai" (vai trò CB Nghiệp vụ): khi bấm Lưu, hệ thống báo lỗi kỹ thuật "Tư liệu đã công khai, chỉ cho phép cập nhật: moTa, fileDinhKemIds" — lộ tên trường nội bộ cho người dùng cuối.
- Theo SRS FR-X.1-06 (UC152) §Chỉnh sửa tư liệu (dòng 888): khi tư liệu đã công khai, hệ thống phải từ chối sửa và hướng dẫn "hủy công khai trước", không được lộ tên trường kỹ thuật.
- Còn mâu thuẫn: dòng thông báo nói "được cập nhật mô tả và file" nhưng ô Mô tả bị khóa; mọi thao tác Lưu (kể cả chỉ đổi file) đều bị từ chối.
- Verify: tài khoản cbnv_tw (CB_NV_TW), tư liệu TL-BF-0721-CK ở trạng thái Công khai. Bug ID: BUG-QLTLPLCVV_09.</t>
  </si>
  <si>
    <t>Theo lĩnh vực</t>
  </si>
  <si>
    <t>QLTLPLCVV_11</t>
  </si>
  <si>
    <t>Lao động</t>
  </si>
  <si>
    <t>Chọn lĩnh vực&gt;Tìm kiếm</t>
  </si>
  <si>
    <t>Xóa tư liệu đang ở trạng thái "Công khai"</t>
  </si>
  <si>
    <t>Chỉ hiển thị lĩnh vực đã chọn</t>
  </si>
  <si>
    <t>1. Đăng nhập hệ thống thành công
2. Tư liệu đang ở trạng thái "Công khai"</t>
  </si>
  <si>
    <r>
      <rPr>
        <rFont val="Times New Roman"/>
        <color rgb="FF1155CC"/>
        <sz val="12.0"/>
        <u/>
      </rPr>
      <t>TTCTDTTH_06.jpg</t>
    </r>
  </si>
  <si>
    <t>1. Chọn menu "Tư vấn" =&gt; "Tư vấn chuyên sâu"
2. Nhấn "Xem chi tiết" tại bản ghi
3. Mở Nhóm 3 — Tư liệu pháp lý liên kết
4. Nhấn "Xóa"</t>
  </si>
  <si>
    <t>Hệ thống yêu cầu cán bộ xác nhận thêm; khi xác nhận, hệ thống đặt cờ công khai về tắt; Cổng Pháp luật quốc gia tự ẩn tư liệu khỏi chuyên trang công khai ở lần kéo kế tiếp.</t>
  </si>
  <si>
    <t>Hệ thống disable nút chức năng Xóa</t>
  </si>
  <si>
    <r>
      <rPr>
        <rFont val="Times New Roman"/>
        <color rgb="FF1155CC"/>
        <sz val="12.0"/>
        <u/>
      </rPr>
      <t>QLTLPLCVV_11.jpg</t>
    </r>
  </si>
  <si>
    <t>✅ Bug ĐÚNG – chuyển dev.
- Xóa tư liệu đang "Công khai" (vai trò CB Nghiệp vụ): nút "Xóa" bị khóa (disable), không xóa được trực tiếp.
- Theo SRS FR-X.1-06 (UC152) §Xóa mềm tư liệu (dòng 899, 901): tư liệu công khai vẫn được xóa — hệ thống tự hủy công khai trước rồi xóa mềm, không được khóa nút Xóa.
- Thực tế: hàng tư liệu "Đã công khai" có nút Xóa xám/disable; cùng tư liệu khi ở "Nháp" thì nút Xóa bật bình thường.
- Verify: tài khoản cbnv_tw (CB_NV_TW), tư liệu TL-BF-0721-CK. Bug ID: BUG-QLTLPLCVV_11.</t>
  </si>
  <si>
    <t>QLTLPLCVV_15</t>
  </si>
  <si>
    <t>Theo khoảng ngày</t>
  </si>
  <si>
    <t>Tải lên tệp đính kèm chứa mã độc</t>
  </si>
  <si>
    <t>Hợp lệ</t>
  </si>
  <si>
    <t>Chọn từ ngày-đến ngày</t>
  </si>
  <si>
    <t>1. Chọn menu "Tư vấn" =&gt; "Tư vấn chuyên sâu"
2. Nhấn "Xem chi tiết" tại bản ghi
3. Mở Nhóm 3 — Tư liệu pháp lý liên kết
4. Nhấn nút "Tải tệp" trong cửa sổ chỉnh sửa hồ sơ</t>
  </si>
  <si>
    <t>Hệ thống hiển thị thông báo "Tệp «{tên_tệp}» chứa mã độc, không thể tải lên".</t>
  </si>
  <si>
    <t>Hiển thị đúng kết quả</t>
  </si>
  <si>
    <t>Hệ thống hiển thị thông báo "Tải file thất bại"</t>
  </si>
  <si>
    <r>
      <rPr>
        <rFont val="Times New Roman"/>
        <color rgb="FF1155CC"/>
        <sz val="12.0"/>
        <u/>
      </rPr>
      <t>QLTLPLCVV_15.jpg</t>
    </r>
  </si>
  <si>
    <r>
      <rPr>
        <rFont val="Times New Roman"/>
        <color rgb="FF1155CC"/>
        <sz val="12.0"/>
        <u/>
      </rPr>
      <t>TTCTDTTH_07.jpg</t>
    </r>
  </si>
  <si>
    <t>✅ Bug đúng (BA 24/07/2026). Loại 1 — Dev sửa theo SRS. Đặc tả có bước "Quét virus" trong luồng Tải lên file (srs-fr-12-tv-chuyen-sau.md:872) và quy định lỗi E4 = ERR-TLPL-04 với thông báo "File '{ten_file}' chứa mã độc" (dòng 969). Theo bằng chứng của Quý đối tác, tệp mã độc ĐÃ bị chặn (tải lên thất bại) — vấn đề nằm ở câu chữ: hệ thống chỉ báo chung chung "Tải file thất bại" thay vì thông báo chuẩn nêu rõ tệp chứa mã độc kèm tên tệp. Dev BE 2 việc: (1) khi bước Quét virus chặn tệp thì trả đúng lỗi ERR-TLPL-04 với nội dung thông báo chuẩn theo đặc tả; (2) XÁC NHẬN việc chặn đúng là do bước Quét virus, không phải do kiểm tra dung lượng hay định dạng. Mức Minor về câu chữ — NHƯNG nếu Dev xác nhận việc chặn KHÔNG đến từ bước quét virus (bước quét chưa được bật) thì đây trở thành lỗ hổng bảo mật ưu tiên cao, phải bật quét virus trước rồi mới xử lý câu chữ.
── CÁCH VERIFY sau Dev fix ──
Precondition: cbnv_tw (CB Nghiệp vụ TW), mở form Thêm/Sửa tư liệu trong nhóm "Tư liệu PL liên kết" của một TVCS. Chuẩn bị 3 tệp: (A) tệp PDF HỢP LỆ có nhúng chuỗi thử EICAR chuẩn, dung lượng nhỏ, đuôi .pdf; (B) tệp PDF sạch bình thường; (C) tệp PDF sạch vượt 20MB.
1) Tải lên tệp A → chép lại NGUYÊN VĂN thông báo hệ thống trả về; đóng và mở lại tư liệu, kiểm tra tệp A có nằm trong danh sách đính kèm không.
2) Tải lên tệp B → kiểm tra đính kèm thành công.
3) Tải lên tệp C → chép lại nguyên văn thông báo.
✅ PASS khi: tệp A bị từ chối VÀ thông báo nêu rõ tệp chứa mã độc kèm tên tệp (đúng nội dung ERR-TLPL-04, dòng 969); mở lại tư liệu không thấy tệp A trong danh sách đính kèm; tệp B đính kèm bình thường; tệp C bị từ chối bằng thông báo về dung lượng KHÁC HẲN thông báo của tệp A — đối chiếu này chứng minh tệp A bị chặn do quét virus chứ không phải do bộ lọc dung lượng/định dạng.
❌ FAIL nếu: tệp A vẫn đính kèm thành công (mã độc lọt qua — nâng ngay thành lỗ hổng bảo mật ưu tiên cao và báo lại); hoặc tệp A bị chặn nhưng thông báo vẫn chung chung "Tải file thất bại" / trùng y hệt thông báo của tệp C; hoặc tệp B bị chặn oan.
⚠️ Phải dùng tệp PDF HỢP LỆ có nhúng EICAR, KHÔNG dùng tệp EICAR thô đổi đuôi .pdf — tệp thô bị bộ lọc định dạng chặn TRƯỚC khi tới bước quét virus, cho ra thông báo về định dạng và rất dễ kết luận nhầm là đã PASS.
⚠️ Kết quả có thể khác nhau giữa các môi trường: trên môi trường kiểm thử nội bộ trước đây tệp PDF nhúng EICAR từng được nhận là tệp sạch. Verify phải chạy trên đúng môi trường mà Dev khai báo đã bật quét virus, và ghi rõ tên môi trường vào kết quả.
Ảnh lỗi cũ (thông báo "Tải file thất bại"): partner-evidence/QLTLPLCVV_15.jpg</t>
  </si>
  <si>
    <t>QLTLPLCVV_16</t>
  </si>
  <si>
    <t>Xóa tệp đính kèm thành công</t>
  </si>
  <si>
    <t>1. Chọn menu "Tư vấn" =&gt; "Tư vấn chuyên sâu"
2. Nhấn "Xem chi tiết" tại bản ghi
3. Mở Nhóm 3 — Tư liệu pháp lý liên kết
4. Nhấn nút xóa bên cạnh tệp trong danh sách đính kèm</t>
  </si>
  <si>
    <t xml:space="preserve">Hệ thống hỏi xác nhận và thực hiện xóa tệp khỏi tư liệu khi được xác nhận.
</t>
  </si>
  <si>
    <t>Hệ thống không hiển thị xác nhận xóa</t>
  </si>
  <si>
    <t>Từ ngày &gt; Đến ngày</t>
  </si>
  <si>
    <r>
      <rPr>
        <rFont val="Times New Roman"/>
        <color rgb="FF1155CC"/>
        <sz val="12.0"/>
        <u/>
      </rPr>
      <t>QLTLPLCVV_16.webm</t>
    </r>
  </si>
  <si>
    <t>Chọn sai khoảng ngày</t>
  </si>
  <si>
    <t>Hiển thị cảnh báo hoặc không cho tìm</t>
  </si>
  <si>
    <r>
      <rPr>
        <rFont val="Times New Roman"/>
        <color rgb="FF1155CC"/>
        <sz val="12.0"/>
        <u/>
      </rPr>
      <t>TTCTDTTH_08.jpg</t>
    </r>
  </si>
  <si>
    <t>❌ Không phải lỗi (BA xác nhận 24/07/2026).
- BA chốt: phần mềm hiện đúng đặc tả. Quy trình "Xóa file đính kèm" được đặc tả gồm 6 bước — kiểm tra quyền, kiểm tra tệp có thuộc tư liệu đang xử lý, xóa tệp khỏi kho, cập nhật danh sách liên kết, cảnh báo nếu tư liệu đang công khai mà hết tệp, ghi nhật ký — và KHÔNG có bước hiển thị hộp xác nhận (srs-fr-12-tv-chuyen-sau.md:918-927). Trong khi đó quy trình "Xóa mềm tư liệu" LẠI CÓ bước xác nhận "Bạn có chắc chắn muốn xóa tư liệu '{tên}'?" (dòng 914). Đặc tả phân biệt có chủ đích giữa xóa tệp và xóa tư liệu, nên việc xóa tệp không hỏi xác nhận không phải lỗi.
- Bổ sung hộp xác nhận trước khi xóa từng tệp là cải tiến nhằm tránh xóa nhầm. Kính đề nghị Quý đối tác đưa nội dung này vào danh sách yêu cầu cải tiến; nếu được chốt, BA cập nhật quy trình trong đặc tả trước, khi đó hành vi hiện tại mới trở thành lỗi.</t>
  </si>
  <si>
    <t>20/07/2026</t>
  </si>
  <si>
    <t>QLTMBMHD_OOS_01</t>
  </si>
  <si>
    <t>Quản lý thư mục biểu mẫu — QA phát hiện ngoài phạm vi (không thuộc 8 case đối tác)</t>
  </si>
  <si>
    <t>cbnv_tw</t>
  </si>
  <si>
    <t>Thông báo lỗi trùng tên không chèn tên thư mục cụ thể theo mẫu ERR-TM-01</t>
  </si>
  <si>
    <t>1. Đăng nhập tài khoản cbnv_tw
2. Tên thư mục đã tồn tại trong đơn vị</t>
  </si>
  <si>
    <t>1. Chọn menu "Biểu mẫu" -&gt; "Thư viện biểu mẫu"
2. Bấm "+ Thêm thư mục"
3. Nhập tên trùng thư mục đã có -&gt; Lưu
4. Quan sát thông báo lỗi</t>
  </si>
  <si>
    <t>Theo SRS ERR-TM-01: hiển thị "Thư mục '{tên}' đã tồn tại trong đơn vị" (chèn tên thư mục cụ thể bị trùng)</t>
  </si>
  <si>
    <t>App hiển thị "Tên thư mục đã tồn tại trong đơn vị" — KHÔNG chèn tên thư mục cụ thể {tên}. Đo 2 lần độc lập: 1 khung / 1 request, không nhân đôi.</t>
  </si>
  <si>
    <t>BUG-BM-OOS-01-trungten-thieu-ten.png (chi tiết trong bug-report-bieu-mau-batch1.md)</t>
  </si>
  <si>
    <t>✅ [Ngoài phạm vi 8 case đối tác — QA phát hiện khi kiểm QLTMBMHD_07] Thông báo trùng tên báo đúng lỗi nhưng thiếu tên thư mục cụ thể {tên} theo mẫu ERR-TM-01. Mức Minor. Đề xuất chuẩn hóa message chèn tên thư mục.</t>
  </si>
  <si>
    <t>XNTGHTVV_OOS_01</t>
  </si>
  <si>
    <t>Phân công lại vụ việc sau khi bị từ chối — QA phát hiện ngoài phạm vi (không thuộc 14 case đối tác), phát sinh khi dựng tiền đề XNTGHTVV_04</t>
  </si>
  <si>
    <t>Vụ việc bị tư vấn viên từ chối, quay về 'Đã tiếp nhận' để phân công lại, nhưng KHÔNG phân công lại được: màn chi tiết chỉ có nút 'Kiểm tra hồ sơ', không có nút Phân công; gọi thẳng dịch vụ phân công trả HTTP 409 ERR-STATE-VI-PC-01.</t>
  </si>
  <si>
    <t>1. Đăng nhập cbnv_tw (CB Nghiệp vụ - Trung ương).
2. Vụ việc VV-BTP-TW-20260712-001 ở trạng thái 'Đã tiếp nhận' sau khi bị TVV (qa_tvvseed28) từ chối phân công (timeline có mục 'Từ chối phân công').</t>
  </si>
  <si>
    <t>1. Mở vụ việc VV-BTP-TW-20260712-001 (Đã tiếp nhận).
2. Quan sát thanh nút hành động ở đầu màn chi tiết.
3. Gọi trực tiếp dịch vụ phân công cho vụ việc này với 1 tư vấn viên hợp lệ.</t>
  </si>
  <si>
    <t>Theo srs-fr-05-vu-viec.md:1734 (SCR-V.I-03 bảng nút hành động) + :832 (FR-V.I-10 Postconditions 'VV quay lại DA_TIEP_NHAN để chọn người/tổ chức xử lý khác'): ở 'Đã tiếp nhận (phân công lại sau khi bị từ chối)', CB Nghiệp vụ phải thấy nút [Phân công] để phân công lại.</t>
  </si>
  <si>
    <t>Màn chi tiết chỉ có 1 nút 'Kiểm tra hồ sơ', KHÔNG có nút Phân công. Gọi dịch vụ phân công trả HTTP 409 ERR-STATE-VI-PC-01 'Vụ việc không ở trạng thái cho phép phân công'. Đường duy nhất là bấm 'Kiểm tra hồ sơ' để lặp lại bước đã hoàn tất → không phân công lại trực tiếp được.</t>
  </si>
  <si>
    <t>BUG-VV-PHANCONGLAI-khong-co-nut-phan-cong.png (chi tiết trong bug-report-UAT-tuan-3.md)</t>
  </si>
  <si>
    <t>Reset điều kiện</t>
  </si>
  <si>
    <t>[Ngoài phạm vi 14 case đối tác — QA phát hiện khi dựng tiền đề XNTGHTVV_04] BUG-VV-PHANCONGLAI. Mức Major/P1. Ở trạng thái 'Đã tiếp nhận' sau khi bị từ chối, thiếu nút Phân công + máy chủ chặn phân công (HTTP 409) → không phân công lại được cho người khác theo Postconditions FR-V.I-10.</t>
  </si>
  <si>
    <t>Đã nhập điều kiện</t>
  </si>
  <si>
    <t>Toàn bộ điều kiện được xóa, danh sách mặc định</t>
  </si>
  <si>
    <t>XNTGHTVV_OOS_02</t>
  </si>
  <si>
    <t>Ghi lịch sử phân công vụ việc — QA phát hiện ngoài phạm vi (không thuộc 14 case đối tác), phát sinh khi dựng tiền đề XNTGHTVV_04</t>
  </si>
  <si>
    <r>
      <rPr>
        <rFont val="Times New Roman"/>
        <color rgb="FF1155CC"/>
        <sz val="12.0"/>
        <u/>
      </rPr>
      <t>TTCTDTTH_09.jpg</t>
    </r>
  </si>
  <si>
    <t>Yêu cầu phân công bị máy chủ từ chối (HTTP 409, không lưu thay đổi) nhưng vẫn ghi thêm 1 mục 'Phân công' vào Dòng thời gian của vụ việc → lịch sử có nhiều lần phân công không có thật (quan sát 14 mục Phân công trong khi chỉ 1 lần thành công).</t>
  </si>
  <si>
    <t>1. Đăng nhập cbnv_tw (CB Nghiệp vụ - Trung ương).
2. Vụ việc VV-BTP-TW-20260712-001 ở trạng thái 'Đã phân công' (trạng thái không cho phân công tiếp).</t>
  </si>
  <si>
    <t>1. Đếm số bản ghi lịch sử của vụ việc (19).
2. Gọi dịch vụ phân công cho chính vụ việc này (chắc chắn thất bại vì sai trạng thái) → HTTP 409 ERR-STATE-VI-PC-01.
3. Đếm lại số bản ghi lịch sử và mở Dòng thời gian trên màn chi tiết.</t>
  </si>
  <si>
    <t>Theo srs-fr-05-vu-viec.md:750 (FR-V.I-09 Processing bước 8) + :776 (Error Handling E1): ghi lịch sử là bước cuối, chỉ chạy sau khi tạo bản ghi phân công + cập nhật trạng thái thành công; khi vụ việc sai trạng thái phải dừng xử lý và KHÔNG ghi lịch sử.</t>
  </si>
  <si>
    <t>Số bản ghi lịch sử tăng 19→20 dù yêu cầu bị từ chối (409). Bản ghi mới có hành động PHAN_CONG nhưng phần dữ liệu thay đổi RỖNG. Trên Dòng thời gian hiển thị như lần phân công bình thường, không phân biệt được với lần thật → vụ việc hiện 14 mục 'Phân công' trong khi thực tế chỉ 1 lần thành công.</t>
  </si>
  <si>
    <t>BUG-VV-LICHSU-dong-thoi-gian-lap.png (chi tiết trong bug-report-UAT-tuan-3.md)</t>
  </si>
  <si>
    <t>[Ngoài phạm vi 14 case đối tác — QA phát hiện khi dựng tiền đề XNTGHTVV_04] BUG-VV-LICHSU-THATBAI. Mức Major/P2. Thao tác phân công bị từ chối (HTTP 409) vẫn ghi 1 mục lịch sử PHAN_CONG (dữ liệu thay đổi rỗng) → Dòng thời gian có nhiều lần phân công không có thật.</t>
  </si>
  <si>
    <t>CGTVPL_LINHVUC</t>
  </si>
  <si>
    <t>BC Số lượng CG/TVV (UC131) không hiển thị mục thống kê "theo lĩnh vực chuyên môn" dù backend đã trả dữ liệu theoLinhVuc</t>
  </si>
  <si>
    <t>1. Đăng nhập Cán bộ nghiệp vụ Trung ương (cbnv_tw), phạm vi Toàn quốc.
2. Có sẵn Tư vấn viên/Chuyên gia gắn lĩnh vực chuyên môn (Thương mại, Doanh nghiệp).</t>
  </si>
  <si>
    <t>Loại báo cáo = BC Số lượng CG/TVV; Kỳ = Năm; Thời gian 01/01/2026 → 31/12/2026; Đơn vị = Toàn quốc.</t>
  </si>
  <si>
    <t>1. Vào menu Báo cáo thống kê.
2. Chọn loại báo cáo "BC Số lượng CG/TVV".
3. Chọn Kỳ Năm, thời gian cả năm 2026, Đơn vị Toàn quốc.
4. Nhấn Xem báo cáo.
5. Cuộn hết khu vực kết quả, quan sát có mục thống kê "theo lĩnh vực" không. Kiểm tra thêm phản hồi API.</t>
  </si>
  <si>
    <t>Theo SRS FR-IX-08 mục Output số 6 (srs-fr-11-bao-cao.md dòng 465), báo cáo LUÔN phải có mục tổng hợp theo lĩnh vực chuyên môn (theo_linh_vuc) = {lĩnh vực, tên, số lượng}. Cần hiển thị bảng và/hoặc biểu đồ thống kê theo lĩnh vực.</t>
  </si>
  <si>
    <t>Khu vực kết quả CHỈ có: 3 thẻ chỉ số (Tổng TVV / Số TVV / Số CG), biểu đồ tròn theo đơn vị, biểu đồ cột theo đơn vị, bảng theo đơn vị. HOÀN TOÀN không có mục "theo lĩnh vực" (không bảng, không biểu đồ). Kiểm tra DOM: không tồn tại chữ "Thương mại" trong trang.
Trong khi đó API GET /api/v1/bao-cao/so-luong-cg-tvv ĐÃ TRẢ VỀ trường theoLinhVuc có dữ liệu: [{tenLinhVuc: "Thương mại", soLuong: 2}, {tenLinhVuc: "Doanh nghiệp", soLuong: 1}]. Vậy backend có dữ liệu nhưng frontend không dựng phần lĩnh vực -&gt; lỗi phía giao diện (FE drop dimension).
(Lỗi do QA phát hiện ngoài phạm vi khi verify case CGTVPL_04 ngày 21/07/2026; đối tác chỉ hỏi về biểu đồ tròn/cột nên mở dòng mới để tới được dev.)</t>
  </si>
  <si>
    <t>BUG-CGTVPL_04-LINHVUC-table-nolinhvuc.png</t>
  </si>
  <si>
    <t>Đề nghị FE bổ sung render mục "theo lĩnh vực chuyên môn" (bảng/biểu đồ) từ trường theoLinhVuc mà BE đã trả, theo SRS FR-IX-08 Output #6 (dòng 465). Verify: cbnv_tw (Toàn quốc), Kỳ Năm 2026.</t>
  </si>
  <si>
    <t>QLNDTVVCG_CONGKHAI</t>
  </si>
  <si>
    <t>Màn Chi tiết TVCS (SCR-X1-02): nhóm accordion "Trạng thái công khai" (Công khai chuyên trang) vẫn hiển thị ở bản ghi chưa duyệt (trạng thái Tiếp nhận), trong khi SRS yêu cầu nhóm này chỉ hiển thị khi trạng thái = Đã duyệt (DA_DUYET).</t>
  </si>
  <si>
    <t>1. Đăng nhập Cán bộ Nghiệp vụ Trung ương (cbnv_tw_03 / CB_NV_TW, đơn vị BTP·TW — có quyền xem chi tiết TVCS theo FR-X.1-01/UC147).
2. Có sẵn 1 bản ghi TVCS ở trạng thái Tiếp nhận (TIEP_NHAN), chưa qua phê duyệt.</t>
  </si>
  <si>
    <t>Bản ghi TVCS-20260721-0001 (mã TVCS-20260721-0001), trạng thái Tiếp nhận, đơn vị BTP·TW.</t>
  </si>
  <si>
    <t>1. Vào Tư vấn → Tư vấn chuyên sâu.
2. Mở màn Chi tiết của bản ghi trạng thái Tiếp nhận (URL /tv-chuyen-sau/3045d37b-a714-4923-a13f-6d1a950668a6).
3. Quan sát danh sách nhóm accordion trên màn chi tiết.
4. Mở nhóm "Trạng thái công khai" và đọc nội dung.</t>
  </si>
  <si>
    <t>Theo SRS SCR-X1-02 §Thành phần dòng 1147 (#8b, cột Điều kiện hiển thị: "chỉ hiển thị khi trạng thái = DA_DUYET") và §Quy tắc tương tác CR-01 ("Accordion 'Công khai chuyên trang' chỉ hiển thị khi trang_thai = DA_DUYET" — BR-PUBLIC-01): với bản ghi trạng thái Tiếp nhận, nhóm "Công khai chuyên trang" phải ẩn hoàn toàn. Bản chưa duyệt chỉ có 5 nhóm cơ bản (Thông tin cơ bản / Nội dung tư vấn / Tư liệu PL / Đánh giá chất lượng / Nhật ký).</t>
  </si>
  <si>
    <t>Bản ghi trạng thái Tiếp nhận hiển thị 6 nhóm accordion, gồm cả nhóm "Trạng thái công khai": [Thông tin cơ bản, Nội dung tư vấn, Tư liệu pháp luật, Trạng thái công khai, Đánh giá chất lượng, Nhật ký]. Mở nhóm → panel đọc-only "Công khai: Chưa công khai", các trường (Thời gian đăng tải / Mô tả công khai / Ảnh đại diện / File đính kèm) đều trống, không có switch/nút thao tác. Nhóm hiển thị không phụ thuộc trạng thái (giống hệt bản Đã duyệt), vi phạm điều kiện hiển thị của SRS.</t>
  </si>
  <si>
    <t>bug-tvcs-congkhai-tiepnhan-6nhom.png</t>
  </si>
  <si>
    <t>Theo SRS SCR-X1-02 dòng 1147 + quy tắc CR-01 (BR-PUBLIC-01), nhóm "Công khai chuyên trang" chỉ được hiển thị khi trạng thái = Đã duyệt (DA_DUYET). Hiện nhóm vẫn hiển thị ở bản ghi trạng thái Tiếp nhận (chưa duyệt) → đề nghị ẩn nhóm khi trạng thái khác DA_DUYET, đúng điều kiện hiển thị của màn Chi tiết. (Ghi chú: chênh lệch nhãn "Trạng thái công khai" (web) vs "Công khai chuyên trang" (SRS) thuộc nhóm câu hỏi nhãn accordion đang chờ BA chốt — không nằm trong bug này.)</t>
  </si>
  <si>
    <t>Refresh</t>
  </si>
  <si>
    <t>QLDNDHTPL_OOS_01</t>
  </si>
  <si>
    <t>Danh sách tải lại</t>
  </si>
  <si>
    <t>Chỉnh sửa Doanh nghiệp — QA phát hiện ngoài phạm vi (không thuộc các case đối tác), phát sinh khi verify QLDNDHTPL_26: một lần bấm Lưu bị từ chối quyền nhưng hệ thống hiện 2 thông báo lỗi cùng lúc, 2 câu chữ khác nhau cho cùng một nguyên nhân</t>
  </si>
  <si>
    <t>1. Đăng nhập tài khoản Cán bộ nghiệp vụ Trung ương (cbnv_tw_02).
2. Danh sách Doanh nghiệp có hiển thị doanh nghiệp thuộc đơn vị khác (ví dụ DN-HNI-0001 — Sở Tư pháp Hà Nội) kèm nút Sửa.</t>
  </si>
  <si>
    <r>
      <rPr>
        <rFont val="Times New Roman"/>
        <color rgb="FF1155CC"/>
        <sz val="12.0"/>
        <u/>
      </rPr>
      <t>TTCTDTTH_10.jpg</t>
    </r>
  </si>
  <si>
    <t>1. Chọn menu "Doanh nghiệp".
2. Bấm nút Sửa tại dòng doanh nghiệp thuộc đơn vị khác (DN-HNI-0001).
3. Sửa một trường bất kỳ, ví dụ nhập nội dung vào ô "Ghi chú".
4. Bấm [Lưu] rồi bấm [Lưu thay đổi] ở cửa sổ xác nhận.
5. Quan sát khu vực thông báo ở đầu màn hình.</t>
  </si>
  <si>
    <t>Có 2 điểm cần đạt:
(1) Xử lý lỗi — một thao tác bị từ chối chỉ hiển thị MỘT thông báo lỗi duy nhất, câu chữ thống nhất, nêu rõ lý do; mỗi điều kiện lỗi ứng đúng một mã lỗi + một nội dung phản hồi (srs-fr-07-doanh-nghiep.md, bảng Xử lý lỗi FR-V.III-01, dòng 183-191). [Dev báo đã fix double-toast — verify lại điểm này.]
(2) Ẩn nút theo quyền (BA chốt 24/07/2026) — nút Sửa/Xóa ở danh sách DN và nút "Chỉnh sửa" ở màn chi tiết SCR-V.III-02 chỉ hiển thị khi user có quyền Update/Delete trên chính bản ghi DN đó: CB Phê duyệt (quyền R*) → ẩn Sửa/Xóa; CB Nghiệp vụ → chỉ hiện với DN thuộc phạm vi đơn vị mình (TW: toàn quốc). Backend vẫn kiểm quyền khi thao tác — ẩn nút chỉ là UX, không thay cho kiểm tra bảo mật (srs-fr-07-doanh-nghiep.md:443 và :451; BR-AUTH-08 + ma trận phân quyền §3.4.2; tag [QLDNDHTPL_005_01 chốt 2026-07-24]).</t>
  </si>
  <si>
    <t>Chỉ có một yêu cầu lưu được gửi đi nhưng hệ thống hiện 2 khung thông báo lỗi xếp chồng cùng lúc, hiển thị đồng thời khoảng 3 giây:
- Khung 1: "Bạn không có quyền truy cập dữ liệu của đơn vị khác."
- Khung 2: "Không có quyền thao tác trên đơn vị khác"
Hai câu cùng một nguyên nhân nhưng khác câu chữ và khác dấu chấm câu, dễ khiến người dùng hiểu là hai lỗi riêng biệt. Đã đo lại 3 lần, lần nào cũng ra 2 khung thông báo cho 1 lần lưu.
Ghi nhận thêm (chưa tách thành lỗi riêng): dòng doanh nghiệp của đơn vị khác vẫn hiện nút Sửa và vẫn mở được biểu mẫu chỉnh sửa, chỉ bị chặn ở bước lưu — đề nghị xem lại điều kiện hiển thị nút Sửa.</t>
  </si>
  <si>
    <t>BUG-DN-2THONGBAO-01-hai-thong-bao-cung-luc.png</t>
  </si>
  <si>
    <t>[Dev báo] Đã fix double-toast (1 thao tác → 1 thông báo). Nhưng DN đơn vị khác vẫn hiện nút Sửa + mở được biểu mẫu chỉnh sửa, mới chỉ chặn ở bước Lưu.
[BA chốt 24/07/2026] Phải ẨN nút Sửa/Xóa theo quyền (không chỉ chặn ở Lưu): CB Phê duyệt R* → ẩn; CB Nghiệp vụ → chỉ hiện với DN thuộc đơn vị mình. Áp cả nút "Chỉnh sửa" ở màn chi tiết SCR-V.III-02. Backend vẫn kiểm quyền — ẩn nút chỉ là UX. Căn cứ: srs-fr-07-doanh-nghiep.md:443, :451 [QLDNDHTPL_005_01 chốt 2026-07-24]. (Mã BA/SRS QLDNDHTPL_005_01 ↔ mã sheet QLDNDHTPL_OOS_01.)
── CÁCH VERIFY ──
Precondition: env https://18.143.165.120.nip.io.
1) Login CB Phê duyệt (R*): mở danh sách DN → nút Sửa/Xóa phải ẩn ở mọi dòng; mở chi tiết 1 DN → nút "Chỉnh sửa" cũng ẩn.
2) Login CB Nghiệp vụ (TW): dòng DN thuộc đơn vị mình → có Sửa/Xóa; dòng DN đơn vị khác → ẩn Sửa/Xóa (không chỉ chặn ở Lưu).
3) Regression double-toast: gây 1 lỗi (vd sửa DN đơn vị khác rồi Lưu) → chỉ hiện 1 thông báo lỗi.
✅ PASS: nút Sửa/Xóa ẩn đúng theo quyền + double-toast không tái diễn.
❌ FAIL: DN đơn vị khác vẫn hiện Sửa/Xóa (dù đã chặn ở Lưu), HOẶC vẫn 2 khung thông báo cho 1 thao tác.</t>
  </si>
  <si>
    <t>QLTLPLCVV_OOS_01</t>
  </si>
  <si>
    <t>Sửa tư liệu pháp lý trong Tư vấn chuyên sâu — QA phát hiện ngoài phạm vi (không thuộc các case đối tác), phát sinh khi verify QLTLPLCVV_07: không sửa được bất kỳ thông tin nào của tư liệu nếu tư liệu vẫn còn tệp đính kèm sẵn có</t>
  </si>
  <si>
    <t>1. Đăng nhập tài khoản Cán bộ nghiệp vụ Trung ương (cbnv_tw_02).
2. Có 1 tư vấn chuyên sâu, mở phần "Tư liệu pháp lý liên kết".
3. Trong phần này có tư liệu ở trạng thái "Nháp" và đang có ít nhất 1 tệp đính kèm.</t>
  </si>
  <si>
    <t>1. Bấm [Thêm tư liệu], nhập Tên tư liệu, chọn Loại tư liệu, nhập Mô tả, đính 1 tệp PDF sạch dưới 20MB rồi bấm [Thêm mới] → tạo thành công.
2. Tại dòng tư liệu vừa tạo, bấm [Sửa].
3. Giữ nguyên tệp đính kèm đang có, chỉ sửa nội dung ô "Mô tả".
4. Bấm [Lưu] và quan sát thông báo.
5. Lặp lại bước 2-4 với một tư liệu "Nháp" khác và với một tư liệu vừa được hủy công khai.
6. Để đối chứng: mở lại biểu mẫu sửa, gỡ tệp đính kèm ra rồi bấm [Lưu].</t>
  </si>
  <si>
    <t>Có 2 điểm cần đạt:
(1) Sửa tư liệu "Nháp" còn tệp đính kèm — tư liệu ở trạng thái Nháp phải sửa + lưu được Tên tư liệu / Loại tư liệu / Lĩnh vực pháp luật / Mô tả trong khi GIỮ NGUYÊN tệp đính kèm sẵn có; luồng Chỉnh sửa chỉ từ chối khi tư liệu đang CÔNG_KHAI, sau đó cập nhật các trường (srs-fr-12-tv-chuyen-sau.md, Processing "Chỉnh sửa tư liệu" dòng 902-905). Bảng Xử lý lỗi (dòng 964-971) không có điều kiện lỗi nào về tệp đính kèm gắn sẵn → báo "Một hoặc nhiều file đã được gắn vào bản ghi khác" khi lưu là sai. [Dev báo đã fix — verify lại điểm này.]
(2) Gỡ tệp phải xóa THẬT (BA chốt 24/07/2026) — khi gỡ một tệp trong biểu mẫu Sửa, hệ thống phải xóa file khỏi storage và xóa liên kết FILE_DINH_KEM; mở lại tư liệu không còn tệp đó và cột "File" giảm tương ứng. Nếu tư liệu CÔNG_KHAI và không còn tệp nào → cảnh báo CB NV (srs-fr-12-tv-chuyen-sau.md, Processing "Xóa file đính kèm" dòng 918-927, bước 3 "Xóa file khỏi storage" + bước 4 "xóa liên kết FILE_DINH_KEM"; tag [GAP-X.1-02]).</t>
  </si>
  <si>
    <t>Chỉ cần tư liệu còn giữ tệp đính kèm sẵn có thì mọi lần bấm [Lưu] đều bị từ chối, hệ thống báo "Một hoặc nhiều file đã được gắn vào bản ghi khác" và không lưu được gì. Đã tái hiện trên 3 tư liệu khác nhau: tư liệu vừa tạo mới, tư liệu "Nháp" có sẵn, và tư liệu vừa được hủy công khai — thông báo giống hệt nhau, mỗi tư liệu đều dùng tệp đính kèm riêng chứ không dùng chung tệp.
Đối chứng: nếu gỡ tệp đính kèm ra rồi bấm [Lưu] thì lưu thành công. Như vậy nguyên nhân nằm ở tệp đính kèm sẵn có của chính tư liệu đó chứ không phải ở nội dung sửa.
Hệ quả: người dùng không sửa được tên, loại, lĩnh vực hay mô tả của bất kỳ tư liệu nào đang có tệp đính kèm.
Ghi nhận thêm (chưa tách thành lỗi riêng): sau khi báo lỗi, nội dung vừa nhập ở ô "Mô tả" bị xóa trắng, phải nhập lại từ đầu; và ở lần lưu đối chứng (đã gỡ tệp) tuy báo "Đã cập nhật tư liệu" nhưng mở lại tư liệu thì tệp vẫn còn nguyên và cột "File" vẫn đếm 1 — đề nghị kiểm tra lại việc gỡ tệp trong biểu mẫu sửa.</t>
  </si>
  <si>
    <t>BUG-TLPL-SUA-01-khong-luu-duoc-khi-con-tep-dinh-kem.png</t>
  </si>
  <si>
    <t>[Dev báo] Sửa tư liệu giờ lưu OK. Nhưng gỡ tệp trong form Sửa thì tệp vẫn còn — update mới chỉ re-link, chưa có logic UNLINK.
[BA chốt 24/07/2026] Phải thêm xóa thật: gỡ tệp → xóa file khỏi storage + gỡ liên kết FILE_DINH_KEM; mở lại tư liệu không còn tệp, cột "File" giảm. Nếu CÔNG_KHAI + hết tệp → cảnh báo CB NV. Căn cứ: srs-fr-12-tv-chuyen-sau.md:918-927 [GAP-X.1-02]. (Mã BA QLTLPLCVV_005_01 ↔ mã sheet QLTLPLCVV_OOS_01.)
── CÁCH VERIFY ──
Precondition: env https://18.143.165.120.nip.io; có tư liệu "Nháp" với ≥1 tệp đính kèm.
1) Regression save: mở tư liệu Nháp còn tệp → sửa Mô tả → Lưu → lưu thành công, giữ nguyên tệp (không còn báo "file đã gắn vào bản ghi khác").
2) Unlink: trong form Sửa gỡ 1 tệp → Lưu → mở lại tư liệu: tệp đó KHÔNG còn, cột "File" giảm 1.
✅ PASS: lưu-giữ-tệp OK + gỡ tệp thì tệp biến mất thật (khỏi storage + FILE_DINH_KEM).
❌ FAIL: gỡ tệp nhưng mở lại tệp vẫn còn / cột File không giảm; HOẶC còn báo "file đã gắn vào bản ghi khác" khi lưu.</t>
  </si>
  <si>
    <t>QLBMHD_OOS_01</t>
  </si>
  <si>
    <t>Chỉnh sửa biểu mẫu — QA phát hiện ngoài phạm vi (không thuộc case nào của đối tác), phát sinh khi verify QLBMHD_13: chỉ cần bấm tải tệp đang đính kèm ngay trên form Chỉnh sửa là sau đó không lưu được thay đổi nữa, hệ thống báo có người khác vừa cập nhật trong khi không có ai khác thao tác</t>
  </si>
  <si>
    <t>1. Đăng nhập tài khoản Cán bộ nghiệp vụ Trung ương (cbnv_tw_04).
2. Có 1 biểu mẫu thuộc đơn vị mình, đang có tệp đính kèm.
3. Chỉ một mình người dùng này thao tác trên biểu mẫu đó (không có phiên nào khác đang mở).</t>
  </si>
  <si>
    <t>Biểu mẫu BM-20260725-008 "R7-EVID-S6-BM01" — thư mục QA-R7-A-CO-BM, tệp đính kèm qa-ok-1.docx. Đã tái hiện thêm trên BM-20260725-006 và BM-20260725-007.</t>
  </si>
  <si>
    <t>1. Chọn menu "Biểu mẫu" -&gt; "Danh sách biểu mẫu".
2. Tại dòng biểu mẫu đang có tệp đính kèm, bấm "Sửa" để mở form Chỉnh sửa.
3. Ở vùng "File biểu mẫu", bấm nút tải tệp đang đính kèm (nút "Tải tập tin") ĐÚNG MỘT LẦN.
4. Sửa nội dung ô "Tên biểu mẫu".
5. Bấm [Lưu] và quan sát thông báo.
6. ĐỐI CHỨNG: mở lại form Chỉnh sửa, KHÔNG bấm tải, chỉ sửa Tên rồi bấm [Lưu].</t>
  </si>
  <si>
    <t>Tải tệp đính kèm về là thao tác chỉ ĐỌC, không làm thay đổi nội dung bản ghi. Sau khi tải, người dùng vẫn phải sửa và lưu được thay đổi của mình như bình thường. Nếu hệ thống có lý do chính đáng để từ chối lưu thì thông báo phải nêu đúng nguyên nhân thật, không được nói là có người khác vừa cập nhật khi thực tế không có ai khác thao tác.</t>
  </si>
  <si>
    <t>Chỉ cần bấm tải tệp 1 lần trong form Chỉnh sửa là lần bấm [Lưu] ngay sau đó LUÔN bị từ chối, hệ thống hiện thông báo "Bản ghi đã được người khác cập nhật trong lúc bạn thao tác." và thay đổi không được lưu. Thực tế không có người dùng nào khác thao tác trên bản ghi này.
Đối chứng chứng minh nguyên nhân đúng là cú bấm tải (đo trên biểu mẫu MỚI tạo BM-20260725-008):
- Không bấm tải, chỉ sửa Tên rồi Lưu -&gt; LƯU ĐƯỢC. Số phiên bản bản ghi 1 -&gt; 2, số lượt tải giữ nguyên 0.
- Bấm tải 1 lần rồi sửa Tên rồi Lưu -&gt; BỊ TỪ CHỐI. Ngay tại cú bấm tải, số lượt tải 0 -&gt; 1 và số phiên bản bản ghi 2 -&gt; 3, dù chưa hề bấm Lưu.
- Lặp lại lần nữa: bấm tải -&gt; số lượt tải 1 -&gt; 2, số phiên bản 3 -&gt; 4 -&gt; Lưu vẫn bị từ chối.
Tái hiện 5/5 lần trên 3 biểu mẫu khác nhau (BM-20260725-006, -007, -008).
Phía máy chủ: yêu cầu lưu PATCH /api/v1/bieu-maus/{id} trả HTTP 409, mã lỗi ERR-STATE-LOCK-409, nội dung "Dữ liệu đã bị thay đổi bởi người dùng khác". Form đang giữ số phiên bản lấy lúc mở, trong khi lượt tải đã đẩy số phiên bản của bản ghi lên cao hơn.
Hệ quả: người dùng mở form sửa, xem thử tệp cũ để đối chiếu rồi sửa nội dung thì mất trắng phần vừa nhập, và câu thông báo khiến họ tưởng có đồng nghiệp đang sửa cùng bản ghi.
(Lỗi do QA phát hiện thêm trong lúc verify lô dev-fix ngày 25/07/2026, không thuộc case nào của đối tác nên mở dòng mới.)</t>
  </si>
  <si>
    <t>s6-EVID-01-khung-thong-bao-tu-choi-luu.png</t>
  </si>
  <si>
    <t>Tất cả</t>
  </si>
  <si>
    <t>IBMHD_OOS_01</t>
  </si>
  <si>
    <t>Nhập biểu mẫu hàng loạt — QA phát hiện ngoài phạm vi (không thuộc case nào của đối tác), phát sinh khi verify IBMHD_07: ở bước Chọn file, tệp sai định dạng bị loại âm thầm — không hiện dòng nào, không có thông báo nào — và dòng đếm lấy mẫu số không khớp số tệp người dùng đã chọn</t>
  </si>
  <si>
    <t>1. Đăng nhập tài khoản Cán bộ nghiệp vụ (đã đo bằng cbnv_tw_04 và cbnv_bn_04, kết quả như nhau).
2. Có sẵn ít nhất 1 thư mục biểu mẫu để chọn làm thư mục đích.</t>
  </si>
  <si>
    <t>Chọn tab Tất cả</t>
  </si>
  <si>
    <t>4 tệp chọn trong CÙNG một lượt: qa-ok-1.docx (922 B, hợp lệ), qa-ok-2.docx (922 B, hợp lệ), qa-loi.txt (48 B, sai định dạng), qa-hong.docx (3.010 B, đúng đuôi nhưng nội dung hỏng).</t>
  </si>
  <si>
    <t>1. Chọn menu "Biểu mẫu" -&gt; "Nhập hàng loạt".
2. Ở bước 1 "Chọn file", chọn cùng lúc cả 4 tệp nêu trên.
3. Đếm số dòng tệp hiển thị và đọc nguyên văn dòng đếm ngay dưới danh sách.
4. Quan sát xem có thông báo nào báo tệp bị loại không.
5. Để tách bạch: làm lại và chọn tệp theo từng đợt — trước hết 2 tệp hợp lệ, sau đó thêm riêng qa-loi.txt, cuối cùng thêm riêng qa-hong.docx — đọc lại số dòng và dòng đếm sau mỗi đợt.</t>
  </si>
  <si>
    <t>Hiển thị toàn bộ</t>
  </si>
  <si>
    <t>Người dùng chọn tệp nào thì phải biết được số phận của tệp đó. Tệp bị hệ thống loại ngay ở bước Chọn file cần được cho biết là đã bị loại và vì sao — như bước Kiểm tra đang làm tốt. Dòng đếm phải lấy mẫu số đúng bằng số tệp người dùng vừa chọn, để con số hiển thị khớp với những gì họ nhìn thấy.</t>
  </si>
  <si>
    <t>Chọn 4 tệp nhưng danh sách ở bước 1 chỉ hiện 3 dòng: qa-ok-1.docx, qa-ok-2.docx và qa-hong.docx (dòng đỏ). Tệp qa-loi.txt biến mất hoàn toàn — không có dòng nào, không có thông báo nào. Dòng đếm ghi "Đã tải lên thành công: 2/3 · Có file lỗi", tức mẫu số là 3 trong khi người dùng đã chọn 4 tệp.
Đo tách bạch để loại trừ nhầm lẫn:
- Chọn qa-ok-1 + qa-ok-2: 2 dòng, "Đã tải lên thành công: 2/2".
- Thêm riêng qa-loi.txt: vẫn 2 dòng, vẫn "2/2", và số khung thông báo đếm được là 0 — hệ thống hoàn toàn im lặng.
- Thêm riêng qa-hong.docx: thành 3 dòng, "2/3 · Có file lỗi", 1 khung thông báo "Tệp không hợp lệ hoặc bị hỏng" — khung này là của qa-hong.docx, không phải của qa-loi.txt.
Lặp 2/2 lần cho kết quả y hệt.
Ghi nhận thêm: từ bước 2 trở đi hệ thống đếm ĐÚNG (Tổng số file 4 · Hợp lệ 2 · Lỗi 2) và bảng kiểm tra có dòng qa-loi.txt kèm lý do "Định dạng không hỗ trợ (chỉ chấp nhận .doc, .docx, .xls, .xlsx)"; màn Kết quả cũng đếm đủ 2 tệp lỗi. Vì vậy lỗi này KHÔNG làm sai kết quả nhập, chỉ gây hiểu nhầm ở bước chọn tệp — người dùng dễ tưởng mình bấm hụt.
(Lỗi do QA phát hiện thêm trong lúc verify lô dev-fix ngày 25/07/2026, không thuộc case nào của đối tác nên mở dòng mới.)</t>
  </si>
  <si>
    <t>s8-buoc1-chon-4-tep-hien-3-dong-mau-so-2tren3.png</t>
  </si>
  <si>
    <r>
      <rPr>
        <rFont val="Times New Roman"/>
        <color rgb="FF1155CC"/>
        <sz val="12.0"/>
        <u/>
      </rPr>
      <t>TTCTDTTH_11.jpg</t>
    </r>
  </si>
  <si>
    <t>Dự thảo</t>
  </si>
  <si>
    <t>Chọn tab Dự thảo</t>
  </si>
  <si>
    <t>Chỉ hiển thị Dự thảo</t>
  </si>
  <si>
    <r>
      <rPr>
        <rFont val="Times New Roman"/>
        <color rgb="FF1155CC"/>
        <sz val="12.0"/>
        <u/>
      </rPr>
      <t>TTCTDTTH_12.jpg</t>
    </r>
  </si>
  <si>
    <t>Chờ duyệt</t>
  </si>
  <si>
    <t>Chọn tab Chờ duyệt</t>
  </si>
  <si>
    <t>Chỉ hiển thị Chờ duyệt</t>
  </si>
  <si>
    <r>
      <rPr>
        <rFont val="Times New Roman"/>
        <color rgb="FF1155CC"/>
        <sz val="12.0"/>
        <u/>
      </rPr>
      <t>TTCTDTTH_13.jpg</t>
    </r>
  </si>
  <si>
    <t>Đã duyệt</t>
  </si>
  <si>
    <t>Chọn tab Đã duyệt</t>
  </si>
  <si>
    <t>Chỉ hiển thị Đã duyệt</t>
  </si>
  <si>
    <r>
      <rPr>
        <rFont val="Times New Roman"/>
        <color rgb="FF1155CC"/>
        <sz val="12.0"/>
        <u/>
      </rPr>
      <t>TTCTDTTH_14.jpg</t>
    </r>
  </si>
  <si>
    <t>Đã hủy</t>
  </si>
  <si>
    <t>Chọn tab Đã hủy</t>
  </si>
  <si>
    <t>Chỉ hiển thị Đã hủy</t>
  </si>
  <si>
    <r>
      <rPr>
        <rFont val="Times New Roman"/>
        <color rgb="FF1155CC"/>
        <sz val="12.0"/>
        <u/>
      </rPr>
      <t>TTCTDTTH_15.jpg</t>
    </r>
  </si>
  <si>
    <t>Đang thực hiện</t>
  </si>
  <si>
    <t>Chọn tab Đang thực hiện</t>
  </si>
  <si>
    <t>Chỉ hiển thị Đang thực hiện</t>
  </si>
  <si>
    <t>Hoàn thành</t>
  </si>
  <si>
    <t>Chọn tab Hoàn thành</t>
  </si>
  <si>
    <t>Chỉ hiển thị Hoàn thành</t>
  </si>
  <si>
    <t>Icon mắt</t>
  </si>
  <si>
    <t>Bấm icon mắt</t>
  </si>
  <si>
    <t>Mở màn chi tiết đúng CT</t>
  </si>
  <si>
    <r>
      <rPr>
        <rFont val="Times New Roman"/>
        <color rgb="FF1155CC"/>
        <sz val="12.0"/>
        <u/>
      </rPr>
      <t>TTCTDTTH_18.jpg</t>
    </r>
  </si>
  <si>
    <t>Icon bút</t>
  </si>
  <si>
    <t>Có quyền sửa</t>
  </si>
  <si>
    <t>Bấm icon sửa</t>
  </si>
  <si>
    <t>Mở màn chỉnh sửa</t>
  </si>
  <si>
    <r>
      <rPr>
        <rFont val="Times New Roman"/>
        <color rgb="FF1155CC"/>
        <sz val="12.0"/>
        <u/>
      </rPr>
      <t>TTCTDTTH_19.jpg</t>
    </r>
  </si>
  <si>
    <t>Nút Thêm mới</t>
  </si>
  <si>
    <t>Có quyền</t>
  </si>
  <si>
    <t>Bấm Thêm mới</t>
  </si>
  <si>
    <t>Đi tới màn tạo mới</t>
  </si>
  <si>
    <r>
      <rPr>
        <rFont val="Times New Roman"/>
        <color rgb="FF1155CC"/>
        <sz val="12.0"/>
        <u/>
      </rPr>
      <t>TTCTDTTH_20.jpg</t>
    </r>
  </si>
  <si>
    <t>Export</t>
  </si>
  <si>
    <t>Bấm Xuất Excel</t>
  </si>
  <si>
    <t>Tải file thành công, dữ liệu đúng</t>
  </si>
  <si>
    <r>
      <rPr>
        <rFont val="Times New Roman"/>
        <color rgb="FF1155CC"/>
        <sz val="12.0"/>
        <u/>
      </rPr>
      <t>TTCTDTTH_21.jpg</t>
    </r>
  </si>
  <si>
    <t>Kiểm tra footer</t>
  </si>
  <si>
    <t>Quan sát footer</t>
  </si>
  <si>
    <t>Hiển thị đúng x-y/tổng kết quả</t>
  </si>
  <si>
    <r>
      <rPr>
        <rFont val="Times New Roman"/>
        <color rgb="FF1155CC"/>
        <sz val="12.0"/>
        <u/>
      </rPr>
      <t>TTCTDTTH_22.jpg</t>
    </r>
  </si>
  <si>
    <t>20/trang</t>
  </si>
  <si>
    <t>Đổi 20-&gt;50</t>
  </si>
  <si>
    <t>Hiển thị đúng số dòng</t>
  </si>
  <si>
    <r>
      <rPr>
        <rFont val="Times New Roman"/>
        <color rgb="FF1155CC"/>
        <sz val="12.0"/>
        <u/>
      </rPr>
      <t>TTCTDTTH_23.jpg</t>
    </r>
  </si>
  <si>
    <t>Tìm kiếm chương trình đào tạo, tập huấn</t>
  </si>
  <si>
    <t>Cung cấp công cụ tìm kiếm khóa học theo tên, thời gian, lĩnh vực.</t>
  </si>
  <si>
    <t>Kiểm tra placeholder ô tìm kiếm</t>
  </si>
  <si>
    <t>User đã đăng nhập và ở màn danh sách CTĐT</t>
  </si>
  <si>
    <t>Không nhập dữ liệu</t>
  </si>
  <si>
    <t>Quan sát ô tìm kiếm bên trái bộ lọc</t>
  </si>
  <si>
    <t>Hiển thị placeholder 'Tìm theo tên/mã CTĐT' đúng UI, không che khuất nội dung</t>
  </si>
  <si>
    <r>
      <rPr>
        <rFont val="Times New Roman"/>
        <color rgb="FF1155CC"/>
        <sz val="12.0"/>
        <u/>
      </rPr>
      <t>TKCTDTTH_01.jpg</t>
    </r>
  </si>
  <si>
    <t>Tìm kiếm theo tên chương trình</t>
  </si>
  <si>
    <t>Có dữ liệu chương trình trong danh sách</t>
  </si>
  <si>
    <t>Chương trình đào tạo luật lao động năm 2026</t>
  </si>
  <si>
    <t>1. Nhập tên chương trình
 2. Bấm Tìm kiếm</t>
  </si>
  <si>
    <t>Danh sách chỉ hiển thị các chương trình có tên khớp điều kiện tìm kiếm</t>
  </si>
  <si>
    <r>
      <rPr>
        <rFont val="Times New Roman"/>
        <color rgb="FF1155CC"/>
        <sz val="12.0"/>
        <u/>
      </rPr>
      <t>TKCTDTTH_02.jpg</t>
    </r>
  </si>
  <si>
    <t xml:space="preserve">Tìm kiếm theo mã CTĐT </t>
  </si>
  <si>
    <t>Có dữ liệu phù hợp</t>
  </si>
  <si>
    <t>CTDT-BTP-TW-2026-0008</t>
  </si>
  <si>
    <t>1. Nhập mã CTĐT
 2. Bấm Tìm kiếm</t>
  </si>
  <si>
    <t>Hiển thị đúng chương trình có mã tương ứng</t>
  </si>
  <si>
    <r>
      <rPr>
        <rFont val="Times New Roman"/>
        <color rgb="FF1155CC"/>
        <sz val="12.0"/>
        <u/>
      </rPr>
      <t>TKCTDTTH_03.jpg</t>
    </r>
  </si>
  <si>
    <t>Tìm kiếm không phân biệt hoa thường</t>
  </si>
  <si>
    <t>LUẬT LAO ĐỘNG</t>
  </si>
  <si>
    <t>1. Nhập từ khóa khác kiểu chữ
 2. Bấm Tìm kiếm</t>
  </si>
  <si>
    <t>Kết quả vẫn trả về đúng như khi nhập chữ thường</t>
  </si>
  <si>
    <r>
      <rPr>
        <rFont val="Times New Roman"/>
        <color rgb="FF1155CC"/>
        <sz val="12.0"/>
        <u/>
      </rPr>
      <t>TKCTDTTH_04.jpg</t>
    </r>
  </si>
  <si>
    <t>Tìm kiếm có khoảng trắng đầu/cuối</t>
  </si>
  <si>
    <t>luật lao động</t>
  </si>
  <si>
    <t>1. Nhập từ khóa có khoảng trắng
 2. Bấm Tìm kiếm</t>
  </si>
  <si>
    <t>Hệ thống tự trim khoảng trắng và trả về kết quả đúng</t>
  </si>
  <si>
    <r>
      <rPr>
        <rFont val="Times New Roman"/>
        <color rgb="FF1155CC"/>
        <sz val="12.0"/>
        <u/>
      </rPr>
      <t>TKCTDTTH_05.jpg</t>
    </r>
  </si>
  <si>
    <t>Tìm kiếm ký tự không tồn tại</t>
  </si>
  <si>
    <t>Không có dữ liệu khớp</t>
  </si>
  <si>
    <t>abcxyz123</t>
  </si>
  <si>
    <t>Hiển thị trạng thái không có dữ liệu/kết quả; không lỗi giao diện</t>
  </si>
  <si>
    <r>
      <rPr>
        <rFont val="Times New Roman"/>
        <color rgb="FF1155CC"/>
        <sz val="12.0"/>
        <u/>
      </rPr>
      <t>TKCTDTTH_06.jpg</t>
    </r>
  </si>
  <si>
    <t>Tìm kiếm ký tự đặc biệt</t>
  </si>
  <si>
    <t>@#$%^&amp;*</t>
  </si>
  <si>
    <t>1. Nhập ký tự đặc biệt
 2. Bấm Tìm kiếm</t>
  </si>
  <si>
    <t>Không phát sinh lỗi; hệ thống xử lý an toàn và trả kết quả rỗng nếu không khớp</t>
  </si>
  <si>
    <r>
      <rPr>
        <rFont val="Times New Roman"/>
        <color rgb="FF1155CC"/>
        <sz val="12.0"/>
        <u/>
      </rPr>
      <t>TKCTDTTH_07.jpg</t>
    </r>
  </si>
  <si>
    <t>Mở dropdown lĩnh vực</t>
  </si>
  <si>
    <t>Có dữ liệu danh mục lĩnh vực</t>
  </si>
  <si>
    <t>1. Click ô Lĩnh vực</t>
  </si>
  <si>
    <t>Dropdown hiển thị danh sách lĩnh vực: Thuế, Lao động, Đất đai, Dân sự, Thương mại, Hình sự, Hành chính, Sở hữu trí tuệ...</t>
  </si>
  <si>
    <r>
      <rPr>
        <rFont val="Times New Roman"/>
        <color rgb="FF1155CC"/>
        <sz val="12.0"/>
        <u/>
      </rPr>
      <t>TKCTDTTH_08.jpg</t>
    </r>
  </si>
  <si>
    <t>Chọn một lĩnh vực và tìm kiếm</t>
  </si>
  <si>
    <t>Có bản ghi thuộc lĩnh vực được chọn</t>
  </si>
  <si>
    <t>1. Chọn Lĩnh vực = Lao động
 2. Bấm Tìm kiếm</t>
  </si>
  <si>
    <t>Danh sách chỉ hiển thị các chương trình có lĩnh vực Lao động</t>
  </si>
  <si>
    <r>
      <rPr>
        <rFont val="Times New Roman"/>
        <color rgb="FF1155CC"/>
        <sz val="12.0"/>
        <u/>
      </rPr>
      <t>TKCTDTTH_09.jpg</t>
    </r>
  </si>
  <si>
    <t>Chọn Từ ngày bằng date picker</t>
  </si>
  <si>
    <t>1. Click ô Từ ngày
 2. Chọn ngày</t>
  </si>
  <si>
    <t>Ngày được điền đúng định dạng trong ô Từ ngày</t>
  </si>
  <si>
    <r>
      <rPr>
        <rFont val="Times New Roman"/>
        <color rgb="FF1155CC"/>
        <sz val="12.0"/>
        <u/>
      </rPr>
      <t>TKCTDTTH_10.jpg</t>
    </r>
  </si>
  <si>
    <t>Chọn Đến ngày bằng date picker</t>
  </si>
  <si>
    <t>1. Click ô Đến ngày
 2. Chọn ngày</t>
  </si>
  <si>
    <t>Ngày được điền đúng định dạng trong ô Đến ngày</t>
  </si>
  <si>
    <r>
      <rPr>
        <rFont val="Times New Roman"/>
        <color rgb="FF1155CC"/>
        <sz val="12.0"/>
        <u/>
      </rPr>
      <t>TKCTDTTH_11.jpg</t>
    </r>
  </si>
  <si>
    <t>Lọc theo khoảng thời gian hợp lệ</t>
  </si>
  <si>
    <t>01/01/2026 - 31/12/2026</t>
  </si>
  <si>
    <t>1. Chọn Từ ngày
 2. Chọn Đến ngày
 3. Bấm Tìm kiếm</t>
  </si>
  <si>
    <t>Danh sách chỉ hiển thị chương trình có thời gian thuộc khoảng đã chọn</t>
  </si>
  <si>
    <r>
      <rPr>
        <rFont val="Times New Roman"/>
        <color rgb="FF1155CC"/>
        <sz val="12.0"/>
        <u/>
      </rPr>
      <t>TKCTDTTH_12.jpg</t>
    </r>
  </si>
  <si>
    <t>Chỉ nhập Từ ngày</t>
  </si>
  <si>
    <t>Có dữ liệu từ ngày trở đi</t>
  </si>
  <si>
    <t>1. Chọn Từ ngày
 2. Để trống Đến ngày
 3. Bấm Tìm kiếm</t>
  </si>
  <si>
    <t>Hiển thị chương trình có thời gian từ ngày đã chọn trở đi</t>
  </si>
  <si>
    <r>
      <rPr>
        <rFont val="Times New Roman"/>
        <color rgb="FF1155CC"/>
        <sz val="12.0"/>
        <u/>
      </rPr>
      <t>TKCTDTTH_13.jpg</t>
    </r>
  </si>
  <si>
    <t>Chỉ nhập Đến ngày</t>
  </si>
  <si>
    <t>Có dữ liệu trước ngày</t>
  </si>
  <si>
    <t>1. Để trống Từ ngày
 2. Chọn Đến ngày
 3. Bấm Tìm kiếm</t>
  </si>
  <si>
    <t>Hiển thị chương trình có thời gian đến ngày đã chọn</t>
  </si>
  <si>
    <r>
      <rPr>
        <rFont val="Times New Roman"/>
        <color rgb="FF1155CC"/>
        <sz val="12.0"/>
        <u/>
      </rPr>
      <t>TKCTDTTH_14.jpg</t>
    </r>
  </si>
  <si>
    <t>Từ ngày lớn hơn Đến ngày</t>
  </si>
  <si>
    <t>31/12/2026 - 01/01/2026</t>
  </si>
  <si>
    <t>1. Chọn Từ ngày sau Đến ngày
 2. Bấm Tìm kiếm</t>
  </si>
  <si>
    <t>Hiển thị cảnh báo hợp lệ, ví dụ 'Từ ngày không được lớn hơn Đến ngày'; không thực hiện tìm kiếm sai</t>
  </si>
  <si>
    <r>
      <rPr>
        <rFont val="Times New Roman"/>
        <color rgb="FF1155CC"/>
        <sz val="12.0"/>
        <u/>
      </rPr>
      <t>TKCTDTTH_15.jpg</t>
    </r>
  </si>
  <si>
    <t>Lọc khoảng ngày không có dữ liệu</t>
  </si>
  <si>
    <t>Không có bản ghi trong khoảng</t>
  </si>
  <si>
    <t>01/01/2030 - 31/12/2030</t>
  </si>
  <si>
    <t>1. Chọn khoảng ngày không có dữ liệu
 2. Bấm Tìm kiếm</t>
  </si>
  <si>
    <t>Hiển thị không có dữ liệu/kết quả phù hợp</t>
  </si>
  <si>
    <r>
      <rPr>
        <rFont val="Times New Roman"/>
        <color rgb="FF1155CC"/>
        <sz val="12.0"/>
        <u/>
      </rPr>
      <t>TKCTDTTH_16.jpg</t>
    </r>
  </si>
  <si>
    <t xml:space="preserve">Kết hợp điều kiện </t>
  </si>
  <si>
    <t>1. Nhập từ khóa
 2. Chọn lĩnh vực
 3. Chọn khoảng ngày
 4. Bấm Tìm kiếm</t>
  </si>
  <si>
    <t>Hiển thị các bản ghi phù hợp với tiêu chí tìm kiếm</t>
  </si>
  <si>
    <r>
      <rPr>
        <rFont val="Times New Roman"/>
        <color rgb="FF1155CC"/>
        <sz val="12.0"/>
        <u/>
      </rPr>
      <t>TKCTDTTH_17.jpg</t>
    </r>
  </si>
  <si>
    <t>Bấm Tìm kiếm khi không nhập bộ lọc</t>
  </si>
  <si>
    <t>Trống</t>
  </si>
  <si>
    <t>1. Để trống tất cả điều kiện
 2. Bấm Tìm kiếm</t>
  </si>
  <si>
    <t>Hiển thị danh sách mặc định/toàn bộ dữ liệu theo tab hiện tại</t>
  </si>
  <si>
    <r>
      <rPr>
        <rFont val="Times New Roman"/>
        <color rgb="FF1155CC"/>
        <sz val="12.0"/>
        <u/>
      </rPr>
      <t>TKCTDTTH_18.jpg</t>
    </r>
  </si>
  <si>
    <t>Xóa toàn bộ điều kiện tìm kiếm</t>
  </si>
  <si>
    <t>Đã nhập từ khóa, lĩnh vực, ngày</t>
  </si>
  <si>
    <t>1. Bấm Xóa bộ lọc</t>
  </si>
  <si>
    <t>Các ô tìm kiếm, lĩnh vực, từ ngày, đến ngày được làm trống; danh sách về trạng thái mặc định</t>
  </si>
  <si>
    <r>
      <rPr>
        <rFont val="Times New Roman"/>
        <color rgb="FF1155CC"/>
        <sz val="12.0"/>
        <u/>
      </rPr>
      <t>TKCTDTTH_19.jpg</t>
    </r>
  </si>
  <si>
    <t>Tìm kiếm trong tab trạng thái đang chọn</t>
  </si>
  <si>
    <t>1. Chọn tab Đã duyệt
 2. Nhập điều kiện tìm kiếm
 3. Bấm Tìm kiếm</t>
  </si>
  <si>
    <t>Kết quả chỉ nằm trong tab Đã duyệt và thỏa điều kiện tìm kiếm</t>
  </si>
  <si>
    <r>
      <rPr>
        <rFont val="Times New Roman"/>
        <color rgb="FF1155CC"/>
        <sz val="12.0"/>
        <u/>
      </rPr>
      <t>TKCTDTTH_20.jpg</t>
    </r>
  </si>
  <si>
    <t>Đổi tab sau khi đã lọc</t>
  </si>
  <si>
    <t>Đã áp dụng bộ lọc</t>
  </si>
  <si>
    <t>1. Lọc dữ liệu
 2. Chuyển sang tab khác</t>
  </si>
  <si>
    <t>Hệ thống xử lý đúng theo thiết kế: giữ bộ lọc hoặc reset bộ lọc; dữ liệu không sai trạng thái</t>
  </si>
  <si>
    <r>
      <rPr>
        <rFont val="Times New Roman"/>
        <color rgb="FF1155CC"/>
        <sz val="12.0"/>
        <u/>
      </rPr>
      <t>TKCTDTTH_21.jpg</t>
    </r>
  </si>
  <si>
    <t>Quản lý đăng ký đào tạo, tập huấn</t>
  </si>
  <si>
    <t>Quản lý danh sách người đăng ký tham gia các khóa đào tạo và trạng thái phê duyệt đăng ký.</t>
  </si>
  <si>
    <t>Truy cập màn hình</t>
  </si>
  <si>
    <t>1. Đăng nhập tài khoản thuộc phân quyền thực hiện chức năng</t>
  </si>
  <si>
    <t>1. Chọn menu "Đào tạo, tập huấn" -&gt; "Khóa học"</t>
  </si>
  <si>
    <t>Hệ thống truy cập màn hình thành công</t>
  </si>
  <si>
    <r>
      <rPr>
        <rFont val="Times New Roman"/>
        <color rgb="FF1155CC"/>
        <sz val="12.0"/>
        <u/>
      </rPr>
      <t>QLDKDTTH_01.jpg</t>
    </r>
  </si>
  <si>
    <t>Tiêu đề màn hình</t>
  </si>
  <si>
    <t>1. Chọn menu "Đào tạo, tập huấn" -&gt; "Khóa học"
2. Kiểm tra hiển thị tiêu đề</t>
  </si>
  <si>
    <t>Tiêu đề hiển thị đúng với màn hình chức năng</t>
  </si>
  <si>
    <r>
      <rPr>
        <rFont val="Times New Roman"/>
        <color rgb="FF1155CC"/>
        <sz val="12.0"/>
        <u/>
      </rPr>
      <t>QLDKDTTH_02.jpg</t>
    </r>
  </si>
  <si>
    <t>Kiểm tra hiển thị bảng danh sách Khóa học</t>
  </si>
  <si>
    <t>1. Chọn menu "Đào tạo, tập huấn" -&gt; "Khóa học"
2. Kiểm tra hiển thị bảng danh sách</t>
  </si>
  <si>
    <t>- Bảng danh sách hiển thị dữ liệu ứng với các cột thông tin
- Dữ liệu hiển thị không bị tràn/đè lên nhau
- Mỗi trạng thái có màu phân biệt.
- Chỉ các khóa học có trạng thái Dự thảo mới được sửa/xóa</t>
  </si>
  <si>
    <r>
      <rPr>
        <rFont val="Times New Roman"/>
        <color rgb="FF1155CC"/>
        <sz val="12.0"/>
        <u/>
      </rPr>
      <t>QLDKDTTH_03.jpg</t>
    </r>
  </si>
  <si>
    <t>Kiểm tra hiển thị bảng danh sách Học viên</t>
  </si>
  <si>
    <t>1. Chọn menu "Đào tạo, tập huấn" -&gt; "Khóa học"
2. Nhấn xem chi tiết khóa học
3. Chọn tab "Học viên"</t>
  </si>
  <si>
    <t>- Tại bước 2: Hệ thống hiển thị màn hình xem chi tiết thành công
- Tại bước 3: Hệ thống hiển thị danh sách học viên thành công</t>
  </si>
  <si>
    <t>Tại bước 3: Hệ thống không hiển thị thông tin danh sách học viên mặc dù tồn tại dữ liệu</t>
  </si>
  <si>
    <r>
      <rPr>
        <rFont val="Times New Roman"/>
        <color rgb="FF1155CC"/>
        <sz val="12.0"/>
        <u/>
      </rPr>
      <t>QLDKDTTH_04.jpg</t>
    </r>
  </si>
  <si>
    <t>Duyệt học viên khi khoá học còn mở đăng ký</t>
  </si>
  <si>
    <t>1. Đăng nhập tài khoản thuộc phân quyền thực hiện chức năng
2. Hồ sơ đăng ký ở trạng thái "Chờ duyệt" và khóa học còn mở đăng ký.</t>
  </si>
  <si>
    <t>1. Chọn menu "Đào tạo, tập huấn" -&gt; "Khóa học"
2. Nhấn xem chi tiết khóa học
3. Chọn tab "Học viên"
4. Nhấn "Duyệt"</t>
  </si>
  <si>
    <t xml:space="preserve">- Hệ thống hiển thị thông báo "Đã duyệt đăng ký".
- Cập nhật trạng thái hồ sơ đăng ký: "Chờ duyệt" → "Đã duyệt".
- Gửi thông báo cho học viên về kết quả duyệt.
- Lưu vết thao tác theo quy định.
</t>
  </si>
  <si>
    <t>uc QLDKDTTH_04 lỗi</t>
  </si>
  <si>
    <t>Duyệt học viên khi khoá học đã đóng đăng ký</t>
  </si>
  <si>
    <t>1. Đăng nhập tài khoản thuộc phân quyền thực hiện chức năng
2. Hồ sơ đăng ký ở trạng thái "Chờ duyệt" và khóa học đã đóng đăng ký</t>
  </si>
  <si>
    <t>Hệ thống từ chối thao tác và hiển thị thông báo "Khóa học đã đóng đăng ký".</t>
  </si>
  <si>
    <t>Kiểm tra form từ chối học viên</t>
  </si>
  <si>
    <t xml:space="preserve">1. Đăng nhập tài khoản thuộc phân quyền thực hiện chức năng
2. Hồ sơ đăng ký ở trạng thái "Chờ Duyệt" </t>
  </si>
  <si>
    <t>1. Chọn menu "Đào tạo, tập huấn" -&gt; "Khóa học"
2. Nhấn xem chi tiết khóa học
3. Chọn tab "Học viên"
4. Nhấn "Từ chối"</t>
  </si>
  <si>
    <t>- Hệ thống hiển thị form từ chối gồm textbox nhập Lý do từ chối, 2 button Xác nhận và Hủy
- Form hiển thị đồng nhất về phông chữ, cỡ chữ, ngôn ngữ
- Thông tin và dữ liệu hiển thị không bị tràn/đè lên nhau</t>
  </si>
  <si>
    <t>- Form chưa đồng nhất về ngôn ngữ
- Thông tin hiển thị bị đè lên nhau</t>
  </si>
  <si>
    <t>QLDKDTTH_07.png</t>
  </si>
  <si>
    <t>Từ chối học viên khi nhập lý do hợp lệ</t>
  </si>
  <si>
    <t>1. Chọn menu "Đào tạo, tập huấn" -&gt; "Khóa học"
2. Nhấn xem chi tiết khóa học
3. Chọn tab "Học viên"
4. Nhập lý do và Nhấn "Từ chối"</t>
  </si>
  <si>
    <t xml:space="preserve">- Hệ thống hiển thị thông báo "Đã Từ chối đăng ký".
- Cập nhật trạng thái hồ sơ đăng ký: "Chờ duyệt" → "Từ chối" kèm lý do.
- Gửi thông báo cho học viên kèm lý do từ chối.
- Lưu vết thao tác theo quy định.
</t>
  </si>
  <si>
    <t>Từ chối học viên khi không nhập lý do</t>
  </si>
  <si>
    <t>Hệ thống hiển thị thông báo "Lý do từ chối là bắt buộc" và yêu cầu NSD nhập hoặc disable nút xác nhận khi lý do để trống.</t>
  </si>
  <si>
    <t>QLDKDTTH_09.jpg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</si>
</sst>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
  </numFmts>
  <fonts count="46">
    <font>
      <sz val="10.0"/>
      <color rgb="FF000000"/>
      <name val="Arial"/>
      <scheme val="minor"/>
    </font>
    <font>
      <b/>
      <sz val="12.0"/>
      <color theme="0"/>
      <name val="Times New Roman"/>
    </font>
    <font>
      <b/>
      <sz val="12.0"/>
      <color rgb="FFFFFFFF"/>
      <name val="Times New Roman"/>
    </font>
    <font>
      <sz val="12.0"/>
      <color rgb="FFFFFFFF"/>
      <name val="Times New Roman"/>
    </font>
    <font>
      <sz val="12.0"/>
      <color theme="0"/>
      <name val="Times New Roman"/>
    </font>
    <font>
      <color theme="1"/>
      <name val="Arial"/>
    </font>
    <font>
      <b/>
      <sz val="12.0"/>
      <color theme="1"/>
      <name val="Times New Roman"/>
    </font>
    <font>
      <sz val="12.0"/>
      <color theme="1"/>
      <name val="Times New Roman"/>
    </font>
    <font>
      <u/>
      <sz val="12.0"/>
      <color rgb="FF0000FF"/>
      <name val="Times New Roman"/>
    </font>
    <font>
      <u/>
      <sz val="12.0"/>
      <color theme="1"/>
      <name val="Times New Roman"/>
    </font>
    <font>
      <u/>
      <sz val="12.0"/>
      <color rgb="FF1155CC"/>
      <name val="Times New Roman"/>
    </font>
    <font>
      <u/>
      <sz val="13.0"/>
      <color theme="1"/>
      <name val="Times New Roman"/>
    </font>
    <font>
      <color theme="1"/>
      <name val="Arial"/>
      <scheme val="minor"/>
    </font>
    <font>
      <u/>
      <sz val="12.0"/>
      <color rgb="FF1155CC"/>
      <name val="Times New Roman"/>
    </font>
    <font>
      <sz val="12.0"/>
      <color rgb="FF000000"/>
      <name val="Times New Roman"/>
    </font>
    <font>
      <u/>
      <sz val="13.0"/>
      <color rgb="FF0000FF"/>
      <name val="Times New Roman"/>
    </font>
    <font>
      <u/>
      <sz val="12.0"/>
      <color rgb="FF1155CC"/>
      <name val="Times New Roman"/>
    </font>
    <font>
      <u/>
      <color rgb="FF0000FF"/>
    </font>
    <font>
      <u/>
      <sz val="12.0"/>
      <color theme="1"/>
      <name val="Times New Roman"/>
    </font>
    <font>
      <u/>
      <sz val="12.0"/>
      <color rgb="FF1155CC"/>
      <name val="Times New Roman"/>
    </font>
    <font>
      <u/>
      <sz val="12.0"/>
      <color rgb="FF0000FF"/>
      <name val="Times New Roman"/>
    </font>
    <font>
      <u/>
      <sz val="12.0"/>
      <color rgb="FF0000FF"/>
      <name val="Times New Roman"/>
    </font>
    <font>
      <u/>
      <sz val="12.0"/>
      <color theme="1"/>
      <name val="Times New Roman"/>
    </font>
    <font>
      <u/>
      <sz val="12.0"/>
      <color rgb="FF0000FF"/>
      <name val="Times New Roman"/>
    </font>
    <font>
      <u/>
      <sz val="13.0"/>
      <color rgb="FF0000FF"/>
      <name val="Times New Roman"/>
    </font>
    <font>
      <u/>
      <sz val="12.0"/>
      <color theme="1"/>
      <name val="Times New Roman"/>
    </font>
    <font>
      <u/>
      <sz val="12.0"/>
      <color rgb="FF0000FF"/>
      <name val="Times New Roman"/>
    </font>
    <font>
      <u/>
      <sz val="12.0"/>
      <color theme="1"/>
      <name val="Times New Roman"/>
    </font>
    <font>
      <u/>
      <sz val="12.0"/>
      <color rgb="FF1155CC"/>
      <name val="Times New Roman"/>
    </font>
    <font>
      <u/>
      <sz val="12.0"/>
      <color rgb="FF0000FF"/>
      <name val="Times New Roman"/>
    </font>
    <font>
      <u/>
      <sz val="13.0"/>
      <color rgb="FF4285F4"/>
      <name val="Times New Roman"/>
    </font>
    <font>
      <u/>
      <sz val="12.0"/>
      <color rgb="FF1155CC"/>
      <name val="Times New Roman"/>
    </font>
    <font>
      <u/>
      <sz val="13.0"/>
      <color rgb="FF1155CC"/>
      <name val="Times New Roman"/>
    </font>
    <font>
      <u/>
      <sz val="12.0"/>
      <color rgb="FF1155CC"/>
      <name val="Times New Roman"/>
    </font>
    <font/>
    <font>
      <b/>
      <sz val="14.0"/>
      <color theme="1"/>
      <name val="Times New Roman"/>
    </font>
    <font>
      <sz val="14.0"/>
      <color theme="1"/>
      <name val="Times New Roman"/>
    </font>
    <font>
      <u/>
      <sz val="12.0"/>
      <color rgb="FF0000FF"/>
      <name val="Times New Roman"/>
    </font>
    <font>
      <u/>
      <sz val="12.0"/>
      <color rgb="FF0000FF"/>
      <name val="Times New Roman"/>
    </font>
    <font>
      <u/>
      <sz val="12.0"/>
      <color rgb="FF1155CC"/>
      <name val="Times New Roman"/>
    </font>
    <font>
      <u/>
      <sz val="12.0"/>
      <color theme="1"/>
      <name val="Times New Roman"/>
    </font>
    <font>
      <u/>
      <sz val="13.0"/>
      <color rgb="FF1155CC"/>
      <name val="Times New Roman"/>
    </font>
    <font>
      <sz val="11.0"/>
      <color rgb="FF000000"/>
      <name val="Calibri"/>
    </font>
    <font>
      <sz val="12.0"/>
      <color rgb="FFD4EDBC"/>
      <name val="Times New Roman"/>
    </font>
    <font>
      <u/>
      <sz val="12.0"/>
      <color rgb="FF000000"/>
      <name val="Times New Roman"/>
    </font>
    <font>
      <u/>
      <sz val="12.0"/>
      <color rgb="FF000000"/>
      <name val="Times New Roman"/>
    </font>
  </fonts>
  <fills count="8">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B6D7A8"/>
        <bgColor rgb="FFB6D7A8"/>
      </patternFill>
    </fill>
    <fill>
      <patternFill patternType="solid">
        <fgColor rgb="FF9FC5E8"/>
        <bgColor rgb="FF9FC5E8"/>
      </patternFill>
    </fill>
    <fill>
      <patternFill patternType="solid">
        <fgColor rgb="FFF9CB9C"/>
        <bgColor rgb="FFF9CB9C"/>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0" fillId="3" fontId="5" numFmtId="0" xfId="0" applyAlignment="1" applyFill="1" applyFont="1">
      <alignment vertical="center"/>
    </xf>
    <xf borderId="0" fillId="3" fontId="5" numFmtId="0" xfId="0" applyAlignment="1" applyFont="1">
      <alignment horizontal="left" vertical="center"/>
    </xf>
    <xf borderId="0" fillId="3" fontId="6" numFmtId="0" xfId="0" applyAlignment="1" applyFont="1">
      <alignment horizontal="center" shrinkToFit="0" vertical="center" wrapText="1"/>
    </xf>
    <xf borderId="1" fillId="3" fontId="7" numFmtId="164" xfId="0" applyAlignment="1" applyBorder="1" applyFont="1" applyNumberFormat="1">
      <alignment horizontal="center" shrinkToFit="0" vertical="center" wrapText="1"/>
    </xf>
    <xf borderId="1" fillId="3" fontId="6" numFmtId="0" xfId="0" applyAlignment="1" applyBorder="1" applyFont="1">
      <alignment horizontal="center" shrinkToFit="0" vertical="center" wrapText="1"/>
    </xf>
    <xf borderId="1" fillId="3" fontId="7" numFmtId="164" xfId="0" applyAlignment="1" applyBorder="1" applyFont="1" applyNumberFormat="1">
      <alignment horizontal="left" shrinkToFit="0" vertical="center" wrapText="1"/>
    </xf>
    <xf borderId="1" fillId="0" fontId="7" numFmtId="0" xfId="0" applyAlignment="1" applyBorder="1" applyFont="1">
      <alignment horizontal="center" shrinkToFit="0" vertical="center" wrapText="1"/>
    </xf>
    <xf borderId="1" fillId="3" fontId="7" numFmtId="0" xfId="0" applyAlignment="1" applyBorder="1" applyFont="1">
      <alignment horizontal="center" shrinkToFit="0" vertical="center" wrapText="1"/>
    </xf>
    <xf borderId="1" fillId="3" fontId="6" numFmtId="0" xfId="0" applyAlignment="1" applyBorder="1" applyFont="1">
      <alignment horizontal="left" shrinkToFit="0" vertical="center" wrapText="1"/>
    </xf>
    <xf borderId="1" fillId="3" fontId="7" numFmtId="0" xfId="0" applyAlignment="1" applyBorder="1" applyFont="1">
      <alignment readingOrder="0" shrinkToFit="0" vertical="center" wrapText="1"/>
    </xf>
    <xf borderId="1" fillId="0" fontId="7" numFmtId="0" xfId="0" applyAlignment="1" applyBorder="1" applyFont="1">
      <alignment horizontal="left" shrinkToFit="0" vertical="center" wrapText="1"/>
    </xf>
    <xf borderId="1" fillId="3" fontId="5" numFmtId="0" xfId="0" applyAlignment="1" applyBorder="1" applyFont="1">
      <alignment shrinkToFit="0" vertical="center" wrapText="1"/>
    </xf>
    <xf borderId="1" fillId="3" fontId="5" numFmtId="0" xfId="0" applyAlignment="1" applyBorder="1" applyFont="1">
      <alignment vertical="center"/>
    </xf>
    <xf borderId="1" fillId="3" fontId="7" numFmtId="0" xfId="0" applyAlignment="1" applyBorder="1" applyFont="1">
      <alignment horizontal="left" readingOrder="0" shrinkToFit="0" vertical="center" wrapText="1"/>
    </xf>
    <xf borderId="1" fillId="3" fontId="5" numFmtId="0" xfId="0" applyAlignment="1" applyBorder="1" applyFont="1">
      <alignment horizontal="left" vertical="center"/>
    </xf>
    <xf borderId="1" fillId="3" fontId="7" numFmtId="0" xfId="0" applyAlignment="1" applyBorder="1" applyFont="1">
      <alignment shrinkToFit="0" vertical="center" wrapText="0"/>
    </xf>
    <xf borderId="1" fillId="3" fontId="7" numFmtId="0" xfId="0" applyAlignment="1" applyBorder="1" applyFont="1">
      <alignment shrinkToFit="0" vertical="center" wrapText="1"/>
    </xf>
    <xf borderId="1" fillId="3" fontId="7" numFmtId="0" xfId="0" applyAlignment="1" applyBorder="1" applyFont="1">
      <alignment horizontal="left" shrinkToFit="0" vertical="center" wrapText="1"/>
    </xf>
    <xf borderId="1" fillId="0" fontId="7" numFmtId="0" xfId="0" applyAlignment="1" applyBorder="1" applyFont="1">
      <alignment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shrinkToFit="0" vertical="center" wrapText="1"/>
    </xf>
    <xf borderId="1" fillId="3" fontId="8" numFmtId="0" xfId="0" applyAlignment="1" applyBorder="1" applyFont="1">
      <alignment shrinkToFit="0" vertical="center" wrapText="1"/>
    </xf>
    <xf borderId="1" fillId="3" fontId="7" numFmtId="0" xfId="0" applyAlignment="1" applyBorder="1" applyFont="1">
      <alignment shrinkToFit="0" vertical="center" wrapText="1"/>
    </xf>
    <xf borderId="1" fillId="3" fontId="9" numFmtId="0" xfId="0" applyAlignment="1" applyBorder="1" applyFont="1">
      <alignment shrinkToFit="0" vertical="center" wrapText="1"/>
    </xf>
    <xf borderId="1" fillId="3" fontId="3" numFmtId="0" xfId="0" applyAlignment="1" applyBorder="1" applyFont="1">
      <alignment horizontal="center" readingOrder="0" shrinkToFit="0" vertical="center" wrapText="1"/>
    </xf>
    <xf borderId="1" fillId="0" fontId="10" numFmtId="0" xfId="0" applyAlignment="1" applyBorder="1" applyFont="1">
      <alignment shrinkToFit="0" vertical="center" wrapText="1"/>
    </xf>
    <xf borderId="1" fillId="3" fontId="2" numFmtId="0" xfId="0" applyAlignment="1" applyBorder="1" applyFont="1">
      <alignment horizontal="center" readingOrder="0" shrinkToFit="0" vertical="center" wrapText="1"/>
    </xf>
    <xf borderId="1" fillId="0" fontId="11" numFmtId="0" xfId="0" applyAlignment="1" applyBorder="1" applyFont="1">
      <alignment horizontal="left" shrinkToFit="0" vertical="center" wrapText="1"/>
    </xf>
    <xf borderId="0" fillId="3" fontId="2" numFmtId="0" xfId="0" applyAlignment="1" applyFont="1">
      <alignment horizontal="center" readingOrder="0" shrinkToFit="0" vertical="center" wrapText="1"/>
    </xf>
    <xf borderId="1" fillId="3" fontId="7" numFmtId="0" xfId="0" applyAlignment="1" applyBorder="1" applyFont="1">
      <alignment horizontal="center" shrinkToFit="0" vertical="center" wrapText="1"/>
    </xf>
    <xf borderId="0" fillId="3" fontId="1" numFmtId="0" xfId="0" applyAlignment="1" applyFont="1">
      <alignment horizontal="center" shrinkToFit="0" vertical="center" wrapText="1"/>
    </xf>
    <xf borderId="1" fillId="0" fontId="7" numFmtId="0" xfId="0" applyAlignment="1" applyBorder="1" applyFont="1">
      <alignment horizontal="center" readingOrder="0" shrinkToFit="0" vertical="center" wrapText="1"/>
    </xf>
    <xf borderId="1" fillId="0" fontId="5" numFmtId="0" xfId="0" applyAlignment="1" applyBorder="1" applyFont="1">
      <alignment horizontal="center" vertical="center"/>
    </xf>
    <xf borderId="0" fillId="4" fontId="5" numFmtId="0" xfId="0" applyAlignment="1" applyFill="1" applyFont="1">
      <alignment vertical="center"/>
    </xf>
    <xf borderId="1" fillId="3" fontId="7" numFmtId="0" xfId="0" applyAlignment="1" applyBorder="1" applyFont="1">
      <alignment horizontal="center" readingOrder="0" shrinkToFit="0" vertical="center" wrapText="1"/>
    </xf>
    <xf borderId="0" fillId="0" fontId="12" numFmtId="0" xfId="0" applyAlignment="1" applyFont="1">
      <alignment horizontal="left" readingOrder="0" shrinkToFit="0" wrapText="1"/>
    </xf>
    <xf borderId="0" fillId="0" fontId="12" numFmtId="0" xfId="0" applyAlignment="1" applyFont="1">
      <alignment horizontal="left"/>
    </xf>
    <xf borderId="1" fillId="4" fontId="7" numFmtId="164" xfId="0" applyAlignment="1" applyBorder="1" applyFont="1" applyNumberFormat="1">
      <alignment horizontal="center" shrinkToFit="0" vertical="center" wrapText="1"/>
    </xf>
    <xf borderId="0" fillId="0" fontId="12" numFmtId="0" xfId="0" applyAlignment="1" applyFont="1">
      <alignment horizontal="left" shrinkToFit="0" vertical="center" wrapText="1"/>
    </xf>
    <xf borderId="0" fillId="5" fontId="5" numFmtId="0" xfId="0" applyAlignment="1" applyFill="1" applyFont="1">
      <alignment horizontal="left" vertical="center"/>
    </xf>
    <xf borderId="1" fillId="4" fontId="7"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4" fontId="5" numFmtId="0" xfId="0" applyAlignment="1" applyBorder="1" applyFont="1">
      <alignment vertical="center"/>
    </xf>
    <xf borderId="1" fillId="4" fontId="7" numFmtId="0" xfId="0" applyAlignment="1" applyBorder="1" applyFont="1">
      <alignment shrinkToFit="0" vertical="center" wrapText="1"/>
    </xf>
    <xf borderId="1" fillId="0" fontId="7" numFmtId="0" xfId="0" applyAlignment="1" applyBorder="1" applyFont="1">
      <alignment shrinkToFit="0" vertical="center" wrapText="1"/>
    </xf>
    <xf borderId="0" fillId="4" fontId="7" numFmtId="165" xfId="0" applyAlignment="1" applyFont="1" applyNumberFormat="1">
      <alignment horizontal="center" shrinkToFit="0" vertical="center" wrapText="1"/>
    </xf>
    <xf borderId="1" fillId="4" fontId="7" numFmtId="165" xfId="0" applyAlignment="1" applyBorder="1" applyFont="1" applyNumberFormat="1">
      <alignment horizontal="center" shrinkToFit="0" vertical="center" wrapText="1"/>
    </xf>
    <xf borderId="1" fillId="4" fontId="13" numFmtId="0" xfId="0" applyAlignment="1" applyBorder="1" applyFont="1">
      <alignment shrinkToFit="0" vertical="center" wrapText="1"/>
    </xf>
    <xf borderId="1" fillId="4" fontId="7" numFmtId="0" xfId="0" applyAlignment="1" applyBorder="1" applyFont="1">
      <alignment horizontal="center" shrinkToFit="0" vertical="center" wrapText="1"/>
    </xf>
    <xf borderId="1" fillId="4" fontId="7" numFmtId="0" xfId="0" applyAlignment="1" applyBorder="1" applyFont="1">
      <alignment shrinkToFit="0" vertical="center" wrapText="1"/>
    </xf>
    <xf borderId="1" fillId="4" fontId="3" numFmtId="0" xfId="0" applyAlignment="1" applyBorder="1" applyFont="1">
      <alignment horizontal="center" readingOrder="0" shrinkToFit="0" vertical="center" wrapText="1"/>
    </xf>
    <xf borderId="1" fillId="4" fontId="14" numFmtId="0" xfId="0" applyAlignment="1" applyBorder="1" applyFont="1">
      <alignment horizontal="left" shrinkToFit="0" vertical="center" wrapText="1"/>
    </xf>
    <xf borderId="1" fillId="0" fontId="15" numFmtId="0" xfId="0" applyAlignment="1" applyBorder="1" applyFont="1">
      <alignment horizontal="left" readingOrder="0" shrinkToFit="0" vertical="center" wrapText="1"/>
    </xf>
    <xf borderId="1" fillId="0" fontId="16" numFmtId="0" xfId="0" applyAlignment="1" applyBorder="1" applyFont="1">
      <alignment shrinkToFit="0" vertical="center" wrapText="1"/>
    </xf>
    <xf borderId="1" fillId="4" fontId="2" numFmtId="0" xfId="0" applyAlignment="1" applyBorder="1" applyFont="1">
      <alignment horizontal="center" readingOrder="0" shrinkToFit="0" vertical="center" wrapText="1"/>
    </xf>
    <xf borderId="0" fillId="4" fontId="2" numFmtId="0" xfId="0" applyAlignment="1" applyFont="1">
      <alignment horizontal="center" readingOrder="0" shrinkToFit="0" vertical="center" wrapText="1"/>
    </xf>
    <xf borderId="0" fillId="4" fontId="1" numFmtId="0" xfId="0" applyAlignment="1" applyFont="1">
      <alignment horizontal="center" shrinkToFit="0" vertical="center" wrapText="1"/>
    </xf>
    <xf borderId="0" fillId="0" fontId="12" numFmtId="0" xfId="0" applyAlignment="1" applyFont="1">
      <alignment horizontal="left" readingOrder="0" shrinkToFit="0" vertical="center" wrapText="1"/>
    </xf>
    <xf borderId="0" fillId="0" fontId="17" numFmtId="0" xfId="0" applyAlignment="1" applyFont="1">
      <alignment horizontal="left" readingOrder="0" shrinkToFit="0" vertical="center" wrapText="1"/>
    </xf>
    <xf borderId="1" fillId="4" fontId="18" numFmtId="0" xfId="0" applyAlignment="1" applyBorder="1" applyFont="1">
      <alignment shrinkToFit="0" vertical="center" wrapText="1"/>
    </xf>
    <xf borderId="1" fillId="3" fontId="19" numFmtId="0" xfId="0" applyAlignment="1" applyBorder="1" applyFont="1">
      <alignment shrinkToFit="0" vertical="center" wrapText="1"/>
    </xf>
    <xf borderId="1" fillId="5" fontId="7" numFmtId="0" xfId="0" applyAlignment="1" applyBorder="1" applyFont="1">
      <alignment horizontal="left" shrinkToFit="0" vertical="center" wrapText="1"/>
    </xf>
    <xf borderId="1" fillId="5" fontId="7" numFmtId="0" xfId="0" applyAlignment="1" applyBorder="1" applyFont="1">
      <alignment horizontal="left" readingOrder="0" shrinkToFit="0" vertical="center" wrapText="1"/>
    </xf>
    <xf borderId="1" fillId="6" fontId="7" numFmtId="0" xfId="0" applyAlignment="1" applyBorder="1" applyFill="1" applyFont="1">
      <alignment horizontal="left" shrinkToFit="0" vertical="center" wrapText="1"/>
    </xf>
    <xf borderId="0" fillId="3" fontId="7" numFmtId="165" xfId="0" applyAlignment="1" applyFont="1" applyNumberFormat="1">
      <alignment horizontal="center" shrinkToFit="0" vertical="center" wrapText="1"/>
    </xf>
    <xf borderId="1" fillId="3" fontId="7" numFmtId="165" xfId="0" applyAlignment="1" applyBorder="1" applyFont="1" applyNumberFormat="1">
      <alignment horizontal="center" shrinkToFit="0" vertical="center" wrapText="1"/>
    </xf>
    <xf borderId="1" fillId="3" fontId="14" numFmtId="0" xfId="0" applyAlignment="1" applyBorder="1" applyFont="1">
      <alignment horizontal="left" shrinkToFit="0" vertical="center" wrapText="1"/>
    </xf>
    <xf borderId="1" fillId="0" fontId="20" numFmtId="0" xfId="0" applyAlignment="1" applyBorder="1" applyFont="1">
      <alignment shrinkToFit="0" vertical="center" wrapText="1"/>
    </xf>
    <xf borderId="1" fillId="4" fontId="21" numFmtId="0" xfId="0" applyAlignment="1" applyBorder="1" applyFont="1">
      <alignment shrinkToFit="0" vertical="center" wrapText="1"/>
    </xf>
    <xf borderId="1" fillId="3" fontId="22" numFmtId="0" xfId="0" applyAlignment="1" applyBorder="1" applyFont="1">
      <alignment shrinkToFit="0" vertical="center" wrapText="1"/>
    </xf>
    <xf borderId="1" fillId="5" fontId="7" numFmtId="164" xfId="0" applyAlignment="1" applyBorder="1" applyFont="1" applyNumberFormat="1">
      <alignment horizontal="center" shrinkToFit="0" vertical="center" wrapText="1"/>
    </xf>
    <xf borderId="1" fillId="5" fontId="7" numFmtId="0" xfId="0" applyAlignment="1" applyBorder="1" applyFont="1">
      <alignment readingOrder="0" shrinkToFit="0" vertical="center" wrapText="1"/>
    </xf>
    <xf borderId="1" fillId="5" fontId="7" numFmtId="0" xfId="0" applyAlignment="1" applyBorder="1" applyFont="1">
      <alignment shrinkToFit="0" vertical="center" wrapText="1"/>
    </xf>
    <xf borderId="1" fillId="6" fontId="7" numFmtId="0" xfId="0" applyAlignment="1" applyBorder="1" applyFont="1">
      <alignment shrinkToFit="0" vertical="center" wrapText="1"/>
    </xf>
    <xf borderId="0" fillId="0" fontId="12" numFmtId="0" xfId="0" applyAlignment="1" applyFont="1">
      <alignment horizontal="left" readingOrder="0"/>
    </xf>
    <xf borderId="1" fillId="0" fontId="23" numFmtId="0" xfId="0" applyAlignment="1" applyBorder="1" applyFont="1">
      <alignment horizontal="left" readingOrder="0" shrinkToFit="0" vertical="center" wrapText="1"/>
    </xf>
    <xf borderId="1" fillId="0" fontId="24" numFmtId="0" xfId="0" applyAlignment="1" applyBorder="1" applyFont="1">
      <alignment horizontal="left" shrinkToFit="0" vertical="center" wrapText="1"/>
    </xf>
    <xf borderId="1" fillId="0" fontId="25" numFmtId="0" xfId="0" applyAlignment="1" applyBorder="1" applyFont="1">
      <alignment shrinkToFit="0" vertical="center" wrapText="1"/>
    </xf>
    <xf borderId="1" fillId="4" fontId="7" numFmtId="0" xfId="0" applyAlignment="1" applyBorder="1" applyFont="1">
      <alignment readingOrder="0" shrinkToFit="0" vertical="center" wrapText="1"/>
    </xf>
    <xf borderId="1" fillId="3" fontId="26" numFmtId="0" xfId="0" applyAlignment="1" applyBorder="1" applyFont="1">
      <alignment shrinkToFit="0" vertical="center" wrapText="1"/>
    </xf>
    <xf borderId="1" fillId="4" fontId="7" numFmtId="0" xfId="0" applyAlignment="1" applyBorder="1" applyFont="1">
      <alignment horizontal="center" readingOrder="0" shrinkToFit="0" vertical="center" wrapText="1"/>
    </xf>
    <xf borderId="1" fillId="4" fontId="7" numFmtId="0" xfId="0" applyAlignment="1" applyBorder="1" applyFont="1">
      <alignment horizontal="center" shrinkToFit="0" vertical="center" wrapText="1"/>
    </xf>
    <xf borderId="1" fillId="4" fontId="7" numFmtId="0" xfId="0" applyAlignment="1" applyBorder="1" applyFont="1">
      <alignment shrinkToFit="0" vertical="center" wrapText="1"/>
    </xf>
    <xf borderId="1" fillId="4" fontId="5" numFmtId="0" xfId="0" applyAlignment="1" applyBorder="1" applyFont="1">
      <alignment vertical="center"/>
    </xf>
    <xf borderId="1" fillId="4" fontId="27" numFmtId="0" xfId="0" applyAlignment="1" applyBorder="1" applyFont="1">
      <alignment shrinkToFit="0" vertical="center" wrapText="1"/>
    </xf>
    <xf borderId="0" fillId="0" fontId="5" numFmtId="0" xfId="0" applyAlignment="1" applyFont="1">
      <alignment shrinkToFit="0" vertical="center" wrapText="1"/>
    </xf>
    <xf borderId="1" fillId="3" fontId="7" numFmtId="0" xfId="0" applyAlignment="1" applyBorder="1" applyFont="1">
      <alignment horizontal="center" shrinkToFit="0" vertical="center" wrapText="1"/>
    </xf>
    <xf borderId="1" fillId="3" fontId="7" numFmtId="0" xfId="0" applyAlignment="1" applyBorder="1" applyFont="1">
      <alignment shrinkToFit="0" vertical="center" wrapText="1"/>
    </xf>
    <xf borderId="1" fillId="3" fontId="5" numFmtId="0" xfId="0" applyAlignment="1" applyBorder="1" applyFont="1">
      <alignment vertical="center"/>
    </xf>
    <xf borderId="1" fillId="3" fontId="28" numFmtId="0" xfId="0" applyAlignment="1" applyBorder="1" applyFont="1">
      <alignment shrinkToFit="0" vertical="center" wrapText="1"/>
    </xf>
    <xf borderId="1" fillId="4" fontId="29" numFmtId="0" xfId="0" applyAlignment="1" applyBorder="1" applyFont="1">
      <alignment shrinkToFit="0" vertical="center" wrapText="1"/>
    </xf>
    <xf borderId="1" fillId="0" fontId="30" numFmtId="0" xfId="0" applyAlignment="1" applyBorder="1" applyFont="1">
      <alignment horizontal="left" shrinkToFit="0" vertical="center" wrapText="1"/>
    </xf>
    <xf borderId="1" fillId="4" fontId="31" numFmtId="0" xfId="0" applyAlignment="1" applyBorder="1" applyFont="1">
      <alignment shrinkToFit="0" vertical="center" wrapText="1"/>
    </xf>
    <xf borderId="0" fillId="6" fontId="5" numFmtId="0" xfId="0" applyAlignment="1" applyFont="1">
      <alignment vertical="center"/>
    </xf>
    <xf borderId="0" fillId="3" fontId="7" numFmtId="0" xfId="0" applyAlignment="1" applyFont="1">
      <alignment horizontal="center" shrinkToFit="0" vertical="center" wrapText="1"/>
    </xf>
    <xf borderId="1" fillId="6" fontId="7" numFmtId="164" xfId="0" applyAlignment="1" applyBorder="1" applyFont="1" applyNumberFormat="1">
      <alignment horizontal="center" shrinkToFit="0" vertical="center" wrapText="1"/>
    </xf>
    <xf borderId="1" fillId="6" fontId="7" numFmtId="0" xfId="0" applyAlignment="1" applyBorder="1" applyFont="1">
      <alignment readingOrder="0" shrinkToFit="0" vertical="center" wrapText="1"/>
    </xf>
    <xf borderId="1" fillId="6" fontId="7" numFmtId="0" xfId="0" applyAlignment="1" applyBorder="1" applyFont="1">
      <alignment shrinkToFit="0" vertical="center" wrapText="1"/>
    </xf>
    <xf borderId="0" fillId="4" fontId="7" numFmtId="0" xfId="0" applyAlignment="1" applyFont="1">
      <alignment horizontal="center" shrinkToFit="0" vertical="center" wrapText="1"/>
    </xf>
    <xf borderId="0" fillId="5" fontId="5" numFmtId="0" xfId="0" applyAlignment="1" applyFont="1">
      <alignment horizontal="left" shrinkToFit="0" vertical="center" wrapText="1"/>
    </xf>
    <xf borderId="1" fillId="0" fontId="7"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0" fontId="5" numFmtId="0" xfId="0" applyAlignment="1" applyBorder="1" applyFont="1">
      <alignment shrinkToFit="0" vertical="center" wrapText="1"/>
    </xf>
    <xf borderId="1" fillId="0" fontId="32" numFmtId="0" xfId="0" applyAlignment="1" applyBorder="1" applyFont="1">
      <alignment horizontal="left"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1"/>
    </xf>
    <xf borderId="1" fillId="3" fontId="7" numFmtId="0" xfId="0" applyAlignment="1" applyBorder="1" applyFont="1">
      <alignment horizontal="left" shrinkToFit="0" vertical="center" wrapText="1"/>
    </xf>
    <xf borderId="1" fillId="4" fontId="7" numFmtId="0" xfId="0" applyAlignment="1" applyBorder="1" applyFont="1">
      <alignment horizontal="left" shrinkToFit="0" vertical="center" wrapText="1"/>
    </xf>
    <xf borderId="0" fillId="0" fontId="5" numFmtId="0" xfId="0" applyAlignment="1" applyFont="1">
      <alignment horizontal="left" vertical="center"/>
    </xf>
    <xf borderId="1" fillId="0" fontId="5" numFmtId="0" xfId="0" applyAlignment="1" applyBorder="1" applyFont="1">
      <alignment horizontal="left" vertical="center"/>
    </xf>
    <xf borderId="0" fillId="0" fontId="5" numFmtId="0" xfId="0" applyAlignment="1" applyFont="1">
      <alignment horizontal="center" vertical="center"/>
    </xf>
    <xf borderId="0" fillId="3"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3" fontId="7" numFmtId="0" xfId="0" applyAlignment="1" applyFont="1">
      <alignment readingOrder="0" shrinkToFit="0" vertical="center" wrapText="1"/>
    </xf>
    <xf borderId="0" fillId="3" fontId="5" numFmtId="0" xfId="0" applyAlignment="1" applyFont="1">
      <alignment readingOrder="0" shrinkToFit="0" vertical="center" wrapText="1"/>
    </xf>
    <xf borderId="0" fillId="0" fontId="7" numFmtId="0" xfId="0" applyAlignment="1" applyFont="1">
      <alignment readingOrder="0" shrinkToFit="0" vertical="center" wrapText="1"/>
    </xf>
    <xf borderId="0" fillId="0" fontId="5" numFmtId="0" xfId="0" applyAlignment="1" applyFont="1">
      <alignment shrinkToFit="0" vertical="center" wrapText="1"/>
    </xf>
    <xf borderId="0" fillId="0" fontId="33"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3" fontId="7" numFmtId="164" xfId="0" applyAlignment="1" applyFont="1" applyNumberFormat="1">
      <alignment horizontal="center" readingOrder="0" shrinkToFit="0" vertical="center" wrapText="1"/>
    </xf>
    <xf borderId="0" fillId="3" fontId="5" numFmtId="0" xfId="0" applyAlignment="1" applyFont="1">
      <alignment shrinkToFit="0" vertical="center" wrapText="1"/>
    </xf>
    <xf borderId="0" fillId="0" fontId="5" numFmtId="0" xfId="0" applyAlignment="1" applyFont="1">
      <alignment readingOrder="0" shrinkToFit="0" vertical="center" wrapText="1"/>
    </xf>
    <xf borderId="2" fillId="0" fontId="5" numFmtId="0" xfId="0" applyBorder="1" applyFont="1"/>
    <xf borderId="3" fillId="0" fontId="34" numFmtId="0" xfId="0" applyBorder="1" applyFont="1"/>
    <xf borderId="2" fillId="5" fontId="35" numFmtId="0" xfId="0" applyAlignment="1" applyBorder="1" applyFont="1">
      <alignment horizontal="center" shrinkToFit="0" wrapText="1"/>
    </xf>
    <xf borderId="4" fillId="0" fontId="34" numFmtId="0" xfId="0" applyBorder="1" applyFont="1"/>
    <xf borderId="1" fillId="0" fontId="35" numFmtId="0" xfId="0" applyAlignment="1" applyBorder="1" applyFont="1">
      <alignment horizontal="center" shrinkToFit="0" wrapText="1"/>
    </xf>
    <xf borderId="1" fillId="5" fontId="35" numFmtId="0" xfId="0" applyAlignment="1" applyBorder="1" applyFont="1">
      <alignment horizontal="center" shrinkToFit="0" wrapText="1"/>
    </xf>
    <xf borderId="1" fillId="7" fontId="35" numFmtId="165" xfId="0" applyAlignment="1" applyBorder="1" applyFill="1" applyFont="1" applyNumberFormat="1">
      <alignment horizontal="center" shrinkToFit="0" wrapText="1"/>
    </xf>
    <xf borderId="1" fillId="0" fontId="35" numFmtId="165" xfId="0" applyAlignment="1" applyBorder="1" applyFont="1" applyNumberFormat="1">
      <alignment horizontal="center" shrinkToFit="0" wrapText="1"/>
    </xf>
    <xf borderId="1" fillId="0" fontId="35" numFmtId="0" xfId="0" applyAlignment="1" applyBorder="1" applyFont="1">
      <alignment shrinkToFit="0" wrapText="1"/>
    </xf>
    <xf borderId="1" fillId="0" fontId="36" numFmtId="0" xfId="0" applyAlignment="1" applyBorder="1" applyFont="1">
      <alignment horizontal="center" shrinkToFit="0" wrapText="1"/>
    </xf>
    <xf borderId="1" fillId="0" fontId="5" numFmtId="0" xfId="0" applyBorder="1" applyFont="1"/>
    <xf borderId="1" fillId="4" fontId="37" numFmtId="0" xfId="0" applyAlignment="1" applyBorder="1" applyFont="1">
      <alignment shrinkToFit="0" vertical="center" wrapText="1"/>
    </xf>
    <xf borderId="1" fillId="4" fontId="7" numFmtId="0" xfId="0" applyAlignment="1" applyBorder="1" applyFont="1">
      <alignment readingOrder="0" shrinkToFit="0" vertical="center" wrapText="1"/>
    </xf>
    <xf borderId="1" fillId="4" fontId="38" numFmtId="0" xfId="0" applyAlignment="1" applyBorder="1" applyFont="1">
      <alignment readingOrder="0" shrinkToFit="0" vertical="center" wrapText="1"/>
    </xf>
    <xf borderId="0" fillId="4" fontId="6" numFmtId="0" xfId="0" applyAlignment="1" applyFont="1">
      <alignment horizontal="center" shrinkToFit="0" vertical="center" wrapText="1"/>
    </xf>
    <xf borderId="1" fillId="4" fontId="6" numFmtId="0" xfId="0" applyAlignment="1" applyBorder="1" applyFont="1">
      <alignment horizontal="center" shrinkToFit="0" vertical="center" wrapText="1"/>
    </xf>
    <xf borderId="1" fillId="4" fontId="6" numFmtId="0" xfId="0" applyAlignment="1" applyBorder="1" applyFont="1">
      <alignment horizontal="left" shrinkToFit="0" vertical="center" wrapText="1"/>
    </xf>
    <xf borderId="1" fillId="0" fontId="39" numFmtId="0" xfId="0" applyAlignment="1" applyBorder="1" applyFont="1">
      <alignment horizontal="left" shrinkToFit="0" vertical="center" wrapText="1"/>
    </xf>
    <xf borderId="1" fillId="0" fontId="40" numFmtId="0" xfId="0" applyAlignment="1" applyBorder="1" applyFont="1">
      <alignment shrinkToFit="0" vertical="center" wrapText="1"/>
    </xf>
    <xf borderId="1" fillId="3" fontId="5" numFmtId="0" xfId="0" applyAlignment="1" applyBorder="1" applyFont="1">
      <alignment horizontal="center" vertical="center"/>
    </xf>
    <xf borderId="0" fillId="3" fontId="7" numFmtId="164" xfId="0" applyAlignment="1" applyFont="1" applyNumberFormat="1">
      <alignment horizontal="left" readingOrder="0" shrinkToFit="0" vertical="center" wrapText="1"/>
    </xf>
    <xf borderId="0" fillId="0" fontId="7" numFmtId="0" xfId="0" applyAlignment="1" applyFont="1">
      <alignment horizontal="left" readingOrder="0" shrinkToFit="0" vertical="center" wrapText="1"/>
    </xf>
    <xf borderId="0" fillId="3" fontId="7" numFmtId="0" xfId="0" applyAlignment="1" applyFont="1">
      <alignment horizontal="left" readingOrder="0" shrinkToFit="0" vertical="center" wrapText="1"/>
    </xf>
    <xf borderId="0" fillId="0" fontId="41" numFmtId="0" xfId="0" applyAlignment="1" applyFont="1">
      <alignment horizontal="left" readingOrder="0" shrinkToFit="0" vertical="center" wrapText="1"/>
    </xf>
    <xf borderId="0" fillId="3" fontId="5" numFmtId="0" xfId="0" applyAlignment="1" applyFont="1">
      <alignment horizontal="center" vertical="center"/>
    </xf>
    <xf borderId="1" fillId="5" fontId="7" numFmtId="164" xfId="0" applyAlignment="1" applyBorder="1" applyFont="1" applyNumberFormat="1">
      <alignment horizontal="left" shrinkToFit="0" vertical="center" wrapText="1"/>
    </xf>
    <xf borderId="1" fillId="0" fontId="7" numFmtId="0" xfId="0" applyAlignment="1" applyBorder="1" applyFont="1">
      <alignment horizontal="left" shrinkToFit="0" vertical="center" wrapText="1"/>
    </xf>
    <xf borderId="1" fillId="5" fontId="7" numFmtId="0" xfId="0" applyAlignment="1" applyBorder="1" applyFont="1">
      <alignment horizontal="left" shrinkToFit="0" vertical="center" wrapText="1"/>
    </xf>
    <xf borderId="1" fillId="6" fontId="7" numFmtId="0" xfId="0" applyAlignment="1" applyBorder="1" applyFont="1">
      <alignment horizontal="left"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4" fontId="42" numFmtId="0" xfId="0" applyAlignment="1" applyBorder="1" applyFont="1">
      <alignment horizontal="left" shrinkToFit="0" vertical="center" wrapText="0"/>
    </xf>
    <xf borderId="1" fillId="3" fontId="42" numFmtId="0" xfId="0" applyAlignment="1" applyBorder="1" applyFont="1">
      <alignment horizontal="left" shrinkToFit="0" vertical="center" wrapText="0"/>
    </xf>
    <xf borderId="1" fillId="3" fontId="5" numFmtId="0" xfId="0" applyAlignment="1" applyBorder="1" applyFont="1">
      <alignment vertical="center"/>
    </xf>
    <xf borderId="1" fillId="3" fontId="43" numFmtId="0" xfId="0" applyAlignment="1" applyBorder="1" applyFont="1">
      <alignment shrinkToFit="0" vertical="center" wrapText="1"/>
    </xf>
    <xf borderId="1" fillId="3" fontId="7" numFmtId="0" xfId="0" applyAlignment="1" applyBorder="1" applyFont="1">
      <alignment horizontal="right" shrinkToFit="0" vertical="center" wrapText="1"/>
    </xf>
    <xf borderId="1" fillId="4" fontId="44" numFmtId="0" xfId="0" applyAlignment="1" applyBorder="1" applyFont="1">
      <alignment readingOrder="0" shrinkToFit="0" vertical="center" wrapText="1"/>
    </xf>
    <xf borderId="1" fillId="4" fontId="7" numFmtId="0" xfId="0" applyAlignment="1" applyBorder="1" applyFont="1">
      <alignment horizontal="right" shrinkToFit="0" vertical="center" wrapText="1"/>
    </xf>
    <xf borderId="1" fillId="3" fontId="45" numFmtId="0" xfId="0" applyAlignment="1" applyBorder="1" applyFont="1">
      <alignment readingOrder="0" shrinkToFit="0" vertical="center" wrapText="1"/>
    </xf>
    <xf borderId="0" fillId="4" fontId="12" numFmtId="0" xfId="0" applyFont="1"/>
    <xf borderId="0" fillId="3" fontId="12" numFmtId="0" xfId="0" applyFont="1"/>
    <xf quotePrefix="1" borderId="0" fillId="3" fontId="7" numFmtId="0" xfId="0" applyAlignment="1" applyFont="1">
      <alignment horizontal="center" readingOrder="0" shrinkToFit="0" vertical="center" wrapText="1"/>
    </xf>
    <xf borderId="1"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UAT_TGPL Doanh Nghiệp-tuần 3-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X1"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UAT_TGPL Doanh Nghiệp-tuần 3-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VxNxJdqZ66ZCzGqj19MW3wAwG4wyw54j&amp;usp=drive_copy" TargetMode="External"/><Relationship Id="rId190" Type="http://schemas.openxmlformats.org/officeDocument/2006/relationships/hyperlink" Target="https://drive.google.com/open?id=1ofuk6ZqKLeWiF4y6tK0MYxVs2ixfWKqB&amp;usp=drive_copy" TargetMode="External"/><Relationship Id="rId42" Type="http://schemas.openxmlformats.org/officeDocument/2006/relationships/hyperlink" Target="https://drive.google.com/open?id=15Us4XpwhnPUBgBvj_S6MM8fk6zegnG53&amp;usp=drive_copy" TargetMode="External"/><Relationship Id="rId41" Type="http://schemas.openxmlformats.org/officeDocument/2006/relationships/hyperlink" Target="https://drive.google.com/open?id=1KuQFDQ4UV0KLnkeOcJHxuB1gm3_VsY8m&amp;usp=drive_copy" TargetMode="External"/><Relationship Id="rId44" Type="http://schemas.openxmlformats.org/officeDocument/2006/relationships/hyperlink" Target="https://drive.google.com/open?id=1rxZUCRKEKHbE3fEzXwNgP9sQ3pASSSpQ&amp;usp=drive_copy" TargetMode="External"/><Relationship Id="rId194" Type="http://schemas.openxmlformats.org/officeDocument/2006/relationships/hyperlink" Target="https://drive.google.com/open?id=1nzZLIxVuzrNGtHz6IjYyz2tizMbueDxt&amp;usp=drive_copy" TargetMode="External"/><Relationship Id="rId43" Type="http://schemas.openxmlformats.org/officeDocument/2006/relationships/hyperlink" Target="https://drive.google.com/open?id=1QSrHT9iLktF6lRXseQFjrTV9Mm2VutZj&amp;usp=drive_copy" TargetMode="External"/><Relationship Id="rId193" Type="http://schemas.openxmlformats.org/officeDocument/2006/relationships/hyperlink" Target="https://drive.google.com/open?id=1lD7J507WneErUPPYIR6hupMh6E1FNw4V&amp;usp=drive_copy" TargetMode="External"/><Relationship Id="rId46" Type="http://schemas.openxmlformats.org/officeDocument/2006/relationships/hyperlink" Target="https://drive.google.com/open?id=1usOyiXKNNTCPx1ddeQzVMY28_3jCDtlp&amp;usp=drive_copy" TargetMode="External"/><Relationship Id="rId192" Type="http://schemas.openxmlformats.org/officeDocument/2006/relationships/hyperlink" Target="https://drive.google.com/open?id=1y_Rp3xlPi5qDWaYW_b9sY1eJQvKL_429&amp;usp=drive_copy" TargetMode="External"/><Relationship Id="rId45" Type="http://schemas.openxmlformats.org/officeDocument/2006/relationships/hyperlink" Target="https://drive.google.com/open?id=1jtTQkWU78fFcJ1whG1WetOiZvrbTrLzJ&amp;usp=drive_copy" TargetMode="External"/><Relationship Id="rId191" Type="http://schemas.openxmlformats.org/officeDocument/2006/relationships/hyperlink" Target="https://drive.google.com/open?id=1jkeAXNIhR-M3R9yvaqc1BJ94C0INwOdD&amp;usp=drive_copy" TargetMode="External"/><Relationship Id="rId48" Type="http://schemas.openxmlformats.org/officeDocument/2006/relationships/hyperlink" Target="https://drive.google.com/open?id=1A3JpWCifojalKYJqkxyb3lMrr_I_tHG2&amp;usp=drive_copy" TargetMode="External"/><Relationship Id="rId187" Type="http://schemas.openxmlformats.org/officeDocument/2006/relationships/hyperlink" Target="https://drive.google.com/open?id=1qfbwRv72Lh9fln2C6TSN7ALIQcQaXbXh&amp;usp=drive_copy" TargetMode="External"/><Relationship Id="rId47" Type="http://schemas.openxmlformats.org/officeDocument/2006/relationships/hyperlink" Target="https://drive.google.com/open?id=1uXhWPWD9Wy-BwFBv67xX5ICXRdMBWwoI&amp;usp=drive_copy" TargetMode="External"/><Relationship Id="rId186" Type="http://schemas.openxmlformats.org/officeDocument/2006/relationships/hyperlink" Target="https://drive.google.com/open?id=1Ku33Z7YU6JZEU1fO3S6-kcjwmIAsWz_z&amp;usp=drive_copy" TargetMode="External"/><Relationship Id="rId185" Type="http://schemas.openxmlformats.org/officeDocument/2006/relationships/hyperlink" Target="https://drive.google.com/open?id=1Nk-ofxZqH94oeOK65rDWmVsTBmqfEEbY&amp;usp=drive_copy" TargetMode="External"/><Relationship Id="rId49" Type="http://schemas.openxmlformats.org/officeDocument/2006/relationships/hyperlink" Target="https://drive.google.com/open?id=1-pjOZe9zJnH52a1ipb0iCv1cEmFZGrvq&amp;usp=drive_copy" TargetMode="External"/><Relationship Id="rId184" Type="http://schemas.openxmlformats.org/officeDocument/2006/relationships/hyperlink" Target="https://drive.google.com/open?id=1ggepdB6tFjF2lva-4V8WMPv_E5Urq1S3&amp;usp=drive_copy" TargetMode="External"/><Relationship Id="rId189" Type="http://schemas.openxmlformats.org/officeDocument/2006/relationships/hyperlink" Target="https://drive.google.com/open?id=19Yz1IokHAUXQnf7nNqiAeldHwBy_6Snd&amp;usp=drive_copy" TargetMode="External"/><Relationship Id="rId188" Type="http://schemas.openxmlformats.org/officeDocument/2006/relationships/hyperlink" Target="https://drive.google.com/open?id=1xBpIPXWQiALOjT2j6iNdf5gXnB03TSte&amp;usp=drive_copy" TargetMode="External"/><Relationship Id="rId31" Type="http://schemas.openxmlformats.org/officeDocument/2006/relationships/hyperlink" Target="https://drive.google.com/file/d/1UVh--zb2A4deiXc13SEJXH7cmFX_hfqu/view?usp=drive_link" TargetMode="External"/><Relationship Id="rId30" Type="http://schemas.openxmlformats.org/officeDocument/2006/relationships/hyperlink" Target="https://drive.google.com/file/d/1r1iloIumKnQ7oi4FhB8FQ4EtqLKJGGYL/view?usp=drive_link" TargetMode="External"/><Relationship Id="rId33" Type="http://schemas.openxmlformats.org/officeDocument/2006/relationships/hyperlink" Target="https://drive.google.com/file/d/1riNYan8JX9IHpKQHUDReymqEPROz3mVc/view?usp=drive_link" TargetMode="External"/><Relationship Id="rId183" Type="http://schemas.openxmlformats.org/officeDocument/2006/relationships/hyperlink" Target="https://drive.google.com/open?id=1xwIUjxtKYd7viM2BOZ-Z0LMTFjw5CNR3&amp;usp=drive_copy" TargetMode="External"/><Relationship Id="rId32" Type="http://schemas.openxmlformats.org/officeDocument/2006/relationships/hyperlink" Target="https://drive.google.com/file/d/1riNYan8JX9IHpKQHUDReymqEPROz3mVc/view?usp=drive_link" TargetMode="External"/><Relationship Id="rId182" Type="http://schemas.openxmlformats.org/officeDocument/2006/relationships/hyperlink" Target="https://drive.google.com/open?id=1bwtX9yK7HskIQ3fF7QowSS-QBcV2P_F6&amp;usp=drive_copy" TargetMode="External"/><Relationship Id="rId35" Type="http://schemas.openxmlformats.org/officeDocument/2006/relationships/hyperlink" Target="https://drive.google.com/file/d/1WB04EJu1UkFRQnzcwBhLUOWwyLCHse7a/view?usp=drive_link" TargetMode="External"/><Relationship Id="rId181" Type="http://schemas.openxmlformats.org/officeDocument/2006/relationships/hyperlink" Target="https://drive.google.com/open?id=1MOUf7Qi_gZqctSOjnpmkMs6zgevhkiMB&amp;usp=drive_copy" TargetMode="External"/><Relationship Id="rId34" Type="http://schemas.openxmlformats.org/officeDocument/2006/relationships/hyperlink" Target="https://drive.google.com/file/d/1RdxBxEqiE2qioMF-ybmyztyzP1FQ8_jX/view?usp=drive_link" TargetMode="External"/><Relationship Id="rId180" Type="http://schemas.openxmlformats.org/officeDocument/2006/relationships/hyperlink" Target="https://drive.google.com/open?id=1Mp3U4dKCTXSLl61sQ_QFEyHx9WjsxKXK&amp;usp=drive_copy" TargetMode="External"/><Relationship Id="rId37" Type="http://schemas.openxmlformats.org/officeDocument/2006/relationships/hyperlink" Target="https://drive.google.com/open?id=1lbUUJZwgyhM-nceuAMFsw_AbAU9ANFcv&amp;usp=drive_copy" TargetMode="External"/><Relationship Id="rId176" Type="http://schemas.openxmlformats.org/officeDocument/2006/relationships/hyperlink" Target="https://drive.google.com/open?id=1lKZnhPG1stNCPP0ir_YD07tiw93O8J4F&amp;usp=drive_copy" TargetMode="External"/><Relationship Id="rId36" Type="http://schemas.openxmlformats.org/officeDocument/2006/relationships/hyperlink" Target="https://drive.google.com/file/d/1RVjaGnXJlJk3ktdXfy-HnWMQ3x3Gu9-z/view?usp=drive_link" TargetMode="External"/><Relationship Id="rId175" Type="http://schemas.openxmlformats.org/officeDocument/2006/relationships/hyperlink" Target="https://drive.google.com/open?id=1n1l3YxjaPFIPUl5biVRybrQK9XuxnXPT&amp;usp=drive_copy" TargetMode="External"/><Relationship Id="rId39" Type="http://schemas.openxmlformats.org/officeDocument/2006/relationships/hyperlink" Target="https://drive.google.com/open?id=10EH99kfsc15OcMvKRJcyplezxitVlgid&amp;usp=drive_copy" TargetMode="External"/><Relationship Id="rId174" Type="http://schemas.openxmlformats.org/officeDocument/2006/relationships/hyperlink" Target="https://drive.google.com/open?id=1m6NZOIw14QJKv0eOG__X-Rf4lCZ-LMal&amp;usp=drive_copy" TargetMode="External"/><Relationship Id="rId38" Type="http://schemas.openxmlformats.org/officeDocument/2006/relationships/hyperlink" Target="https://drive.google.com/open?id=1r4ub3g7tTKEHY8B8d5_050UrzC2J5sD0&amp;usp=drive_copy" TargetMode="External"/><Relationship Id="rId173" Type="http://schemas.openxmlformats.org/officeDocument/2006/relationships/hyperlink" Target="https://drive.google.com/open?id=19XVwPZpyFpRmaZrVdihGCxxCVclUo5c8&amp;usp=drive_copy" TargetMode="External"/><Relationship Id="rId179" Type="http://schemas.openxmlformats.org/officeDocument/2006/relationships/hyperlink" Target="https://drive.google.com/open?id=1Q7MQil5qlJPpMZmQoKJKa20puAeG4Fcx&amp;usp=drive_copy" TargetMode="External"/><Relationship Id="rId178" Type="http://schemas.openxmlformats.org/officeDocument/2006/relationships/hyperlink" Target="https://drive.google.com/open?id=1PxFlr5JLgxl6ytiX_QT16JGDfmpmrsrN&amp;usp=drive_copy" TargetMode="External"/><Relationship Id="rId177" Type="http://schemas.openxmlformats.org/officeDocument/2006/relationships/hyperlink" Target="https://drive.google.com/open?id=1AmZDlgoKKgUNkUZhKZuAL6waENooLdH6&amp;usp=drive_copy" TargetMode="External"/><Relationship Id="rId20" Type="http://schemas.openxmlformats.org/officeDocument/2006/relationships/hyperlink" Target="https://drive.google.com/file/d/1FTxsYqGAQ8s252TQVXr3ve4cAcjBuo2a/view?usp=drive_link" TargetMode="External"/><Relationship Id="rId22" Type="http://schemas.openxmlformats.org/officeDocument/2006/relationships/hyperlink" Target="https://drive.google.com/file/d/1iDTWBtpd8Vd9FMUIg194vPg3ituC-AAH/view?usp=drive_link" TargetMode="External"/><Relationship Id="rId21" Type="http://schemas.openxmlformats.org/officeDocument/2006/relationships/hyperlink" Target="https://drive.google.com/file/d/1A6Z010Mh0KCPaaD17VH5d1B19we0eiec/view?usp=drive_link" TargetMode="External"/><Relationship Id="rId24" Type="http://schemas.openxmlformats.org/officeDocument/2006/relationships/hyperlink" Target="https://drive.google.com/file/d/1GHWE7frRaeykl3pPYp0jOQ88ixjqgtXP/view?usp=drive_link" TargetMode="External"/><Relationship Id="rId23" Type="http://schemas.openxmlformats.org/officeDocument/2006/relationships/hyperlink" Target="https://drive.google.com/file/d/1DZV6EkR0rvFSY7OSj4rJxiApDCtwXH6u/view?usp=drive_link" TargetMode="External"/><Relationship Id="rId26" Type="http://schemas.openxmlformats.org/officeDocument/2006/relationships/hyperlink" Target="https://drive.google.com/file/d/1h36vyd3TBSBLEIeMU0JsTblzIZPCkOAM/view?usp=drive_link" TargetMode="External"/><Relationship Id="rId25" Type="http://schemas.openxmlformats.org/officeDocument/2006/relationships/hyperlink" Target="https://drive.google.com/file/d/1aBbx4_LhhBeZAd88F8C6JFNswVHLgMp_/view?usp=drive_link" TargetMode="External"/><Relationship Id="rId28" Type="http://schemas.openxmlformats.org/officeDocument/2006/relationships/hyperlink" Target="https://drive.google.com/file/d/1aHTfXEpDZSP9z76lqbjT6SdL01sM-IvO/view?usp=drive_link" TargetMode="External"/><Relationship Id="rId27" Type="http://schemas.openxmlformats.org/officeDocument/2006/relationships/hyperlink" Target="https://drive.google.com/file/d/1p696YEgRSBfY00ubqUOGItM6xhXfSt13/view?usp=drive_link" TargetMode="External"/><Relationship Id="rId29" Type="http://schemas.openxmlformats.org/officeDocument/2006/relationships/hyperlink" Target="https://drive.google.com/file/d/1UFrEMFd8z0B6zR0_2x91qBM_WNKeN8Hv/view?usp=drive_link" TargetMode="External"/><Relationship Id="rId11" Type="http://schemas.openxmlformats.org/officeDocument/2006/relationships/hyperlink" Target="https://drive.google.com/file/d/1XdRE6bLPr3QLRum0ylwks7h35xMlx5-d/view?usp=drive_link" TargetMode="External"/><Relationship Id="rId10" Type="http://schemas.openxmlformats.org/officeDocument/2006/relationships/hyperlink" Target="https://drive.google.com/file/d/1H_boEiIzGqvOTvUaNhUSjM9lx9ajfl6I/view?usp=drive_link" TargetMode="External"/><Relationship Id="rId13" Type="http://schemas.openxmlformats.org/officeDocument/2006/relationships/hyperlink" Target="https://drive.google.com/file/d/13HLbvRwEBnU1zGLcslmNWJaJbPS3LMBx/view?usp=drive_link" TargetMode="External"/><Relationship Id="rId12" Type="http://schemas.openxmlformats.org/officeDocument/2006/relationships/hyperlink" Target="https://drive.google.com/file/d/13HLbvRwEBnU1zGLcslmNWJaJbPS3LMBx/view?usp=drive_link" TargetMode="External"/><Relationship Id="rId15" Type="http://schemas.openxmlformats.org/officeDocument/2006/relationships/hyperlink" Target="https://drive.google.com/file/d/1z9eH-iZeU5R3p1Xf27Dpihrl2_Y_3HMy/view?usp=drive_link" TargetMode="External"/><Relationship Id="rId198" Type="http://schemas.openxmlformats.org/officeDocument/2006/relationships/hyperlink" Target="https://drive.google.com/open?id=1WNUi-p8dzUhh7Ot1SbMyifQ0mrY3rMXV&amp;usp=drive_copy" TargetMode="External"/><Relationship Id="rId14" Type="http://schemas.openxmlformats.org/officeDocument/2006/relationships/hyperlink" Target="https://drive.google.com/file/d/13HLbvRwEBnU1zGLcslmNWJaJbPS3LMBx/view?usp=drive_link" TargetMode="External"/><Relationship Id="rId197" Type="http://schemas.openxmlformats.org/officeDocument/2006/relationships/hyperlink" Target="https://drive.google.com/open?id=1l1ZhmFg_6oF5qfC1K3e14GBflch5hvOM&amp;usp=drive_copy" TargetMode="External"/><Relationship Id="rId17" Type="http://schemas.openxmlformats.org/officeDocument/2006/relationships/hyperlink" Target="https://drive.google.com/file/d/1fblKhfVqwhzsmSw0JazomIvB4dRtfbsq/view?usp=drive_link" TargetMode="External"/><Relationship Id="rId196" Type="http://schemas.openxmlformats.org/officeDocument/2006/relationships/hyperlink" Target="https://drive.google.com/open?id=1DqfEeNdtX-D4G5NY61c1gUiIsRLuWAgZ&amp;usp=drive_copy" TargetMode="External"/><Relationship Id="rId16" Type="http://schemas.openxmlformats.org/officeDocument/2006/relationships/hyperlink" Target="https://drive.google.com/file/d/1z9eH-iZeU5R3p1Xf27Dpihrl2_Y_3HMy/view?usp=drive_link" TargetMode="External"/><Relationship Id="rId195" Type="http://schemas.openxmlformats.org/officeDocument/2006/relationships/hyperlink" Target="https://drive.google.com/open?id=1JQeakWFPvubncc42zNA2OxzHUObqZtMc&amp;usp=drive_copy" TargetMode="External"/><Relationship Id="rId19" Type="http://schemas.openxmlformats.org/officeDocument/2006/relationships/hyperlink" Target="https://drive.google.com/file/d/13wgG-KkTvelc2Q4fXjMRxU-vosFB1hv0/view?usp=drive_link" TargetMode="External"/><Relationship Id="rId18" Type="http://schemas.openxmlformats.org/officeDocument/2006/relationships/hyperlink" Target="https://drive.google.com/file/d/1yYHKV9SNRP-3e3dcssfWw6L4DRnhYGjl/view?usp=drive_link" TargetMode="External"/><Relationship Id="rId199" Type="http://schemas.openxmlformats.org/officeDocument/2006/relationships/hyperlink" Target="https://drive.google.com/open?id=1W44LdBQygq_faqtHFVPlmHs96SKBMIEl&amp;usp=drive_copy" TargetMode="External"/><Relationship Id="rId84" Type="http://schemas.openxmlformats.org/officeDocument/2006/relationships/hyperlink" Target="https://drive.google.com/open?id=1sevu59zPE-DqAq0Da9Cp7lwlxdCUktXR&amp;usp=drive_copy" TargetMode="External"/><Relationship Id="rId83" Type="http://schemas.openxmlformats.org/officeDocument/2006/relationships/hyperlink" Target="https://drive.google.com/open?id=10pYRbs5GFTeHs_QxrDMpAmZSrvyLvsRl&amp;usp=drive_copy" TargetMode="External"/><Relationship Id="rId86" Type="http://schemas.openxmlformats.org/officeDocument/2006/relationships/hyperlink" Target="https://drive.google.com/open?id=1Cvv3Dn91sRcEjqqvXPf4BhHOkJRsRiP8&amp;usp=drive_copy" TargetMode="External"/><Relationship Id="rId85" Type="http://schemas.openxmlformats.org/officeDocument/2006/relationships/hyperlink" Target="https://drive.google.com/open?id=1ICx5BuB-VpUB-WnGaHjHH3mvK_lqfJBw&amp;usp=drive_copy" TargetMode="External"/><Relationship Id="rId88" Type="http://schemas.openxmlformats.org/officeDocument/2006/relationships/hyperlink" Target="https://drive.google.com/open?id=16GrUCh35bOZ3MBC3QuYpwYZaPjO_-LrW&amp;usp=drive_copy" TargetMode="External"/><Relationship Id="rId150" Type="http://schemas.openxmlformats.org/officeDocument/2006/relationships/hyperlink" Target="https://drive.google.com/open?id=1vK73HrWbYPjoV6OeqJviAB1vE1koB_Pf&amp;usp=drive_copy" TargetMode="External"/><Relationship Id="rId87" Type="http://schemas.openxmlformats.org/officeDocument/2006/relationships/hyperlink" Target="https://drive.google.com/open?id=1q4YB0S0hIYpCswc8l05t-B9jJcxoP0En&amp;usp=drive_copy" TargetMode="External"/><Relationship Id="rId89" Type="http://schemas.openxmlformats.org/officeDocument/2006/relationships/hyperlink" Target="https://drive.google.com/open?id=12OL9FEQOEAnV-9LhMCuc4pbTfWpMLFXl&amp;usp=drive_copy" TargetMode="External"/><Relationship Id="rId80" Type="http://schemas.openxmlformats.org/officeDocument/2006/relationships/hyperlink" Target="https://drive.google.com/open?id=19djlS85Q2vbd7tyqRlxHHy7fd0GSNKhS&amp;usp=drive_copy" TargetMode="External"/><Relationship Id="rId82" Type="http://schemas.openxmlformats.org/officeDocument/2006/relationships/hyperlink" Target="https://drive.google.com/open?id=1rlvcNd_eb-Es4Tp2t8zHoJnXEqWAtO3J&amp;usp=drive_copy" TargetMode="External"/><Relationship Id="rId81" Type="http://schemas.openxmlformats.org/officeDocument/2006/relationships/hyperlink" Target="https://drive.google.com/open?id=1sMDbXNlGz7CPXSwmwF59HmIi6nVQ7eVG&amp;usp=drive_copy" TargetMode="External"/><Relationship Id="rId1" Type="http://schemas.openxmlformats.org/officeDocument/2006/relationships/hyperlink" Target="https://htpldn-uat.ospgroup.vn/login" TargetMode="External"/><Relationship Id="rId2" Type="http://schemas.openxmlformats.org/officeDocument/2006/relationships/hyperlink" Target="https://drive.google.com/file/d/1RRMEIhZVZWLZak8zB7uaJeDssnhNvTeD/view?usp=drive_link" TargetMode="External"/><Relationship Id="rId3" Type="http://schemas.openxmlformats.org/officeDocument/2006/relationships/hyperlink" Target="https://drive.google.com/file/d/1RRMEIhZVZWLZak8zB7uaJeDssnhNvTeD/view?usp=drive_link" TargetMode="External"/><Relationship Id="rId149" Type="http://schemas.openxmlformats.org/officeDocument/2006/relationships/hyperlink" Target="https://drive.google.com/open?id=1lcP_tIPMIb3BWSoGGdLXLSGqSqEpkpAU&amp;usp=drive_copy" TargetMode="External"/><Relationship Id="rId4" Type="http://schemas.openxmlformats.org/officeDocument/2006/relationships/hyperlink" Target="https://drive.google.com/file/d/1RRMEIhZVZWLZak8zB7uaJeDssnhNvTeD/view?usp=drive_link" TargetMode="External"/><Relationship Id="rId148" Type="http://schemas.openxmlformats.org/officeDocument/2006/relationships/hyperlink" Target="https://drive.google.com/open?id=1Kyln3iXV7bnGlpdAVs8Lg5NtlZbM350L&amp;usp=drive_copy" TargetMode="External"/><Relationship Id="rId9" Type="http://schemas.openxmlformats.org/officeDocument/2006/relationships/hyperlink" Target="https://drive.google.com/file/d/1_sEam8ErkVzhp4--JGccDhQL6dL7PwDJ/view?usp=drive_link" TargetMode="External"/><Relationship Id="rId143" Type="http://schemas.openxmlformats.org/officeDocument/2006/relationships/hyperlink" Target="https://drive.google.com/open?id=1wPW4uwsk7_9VaMxHtQzIgQqZoaOj3QLQ&amp;usp=drive_copy" TargetMode="External"/><Relationship Id="rId142" Type="http://schemas.openxmlformats.org/officeDocument/2006/relationships/hyperlink" Target="https://drive.google.com/open?id=1QBQEBu2R1rBm77a4S0QbbScVMcr6Ooeh&amp;usp=drive_copy" TargetMode="External"/><Relationship Id="rId141" Type="http://schemas.openxmlformats.org/officeDocument/2006/relationships/hyperlink" Target="https://drive.google.com/open?id=14P30np_44rmLUCot4Nj6DI1weEaap4JR&amp;usp=drive_copy" TargetMode="External"/><Relationship Id="rId140" Type="http://schemas.openxmlformats.org/officeDocument/2006/relationships/hyperlink" Target="https://drive.google.com/open?id=1JjaRWKHW9TpaPc_Fz3fAqxyvqT993Z86&amp;usp=drive_copy" TargetMode="External"/><Relationship Id="rId5" Type="http://schemas.openxmlformats.org/officeDocument/2006/relationships/hyperlink" Target="https://drive.google.com/file/d/1bN0Bb30SAnMBpoTuMqzAw9meYWJvVeTj/view?usp=drive_link" TargetMode="External"/><Relationship Id="rId147" Type="http://schemas.openxmlformats.org/officeDocument/2006/relationships/hyperlink" Target="https://drive.google.com/open?id=1dBbDQg_IR24yYKiZJyC3ScLp8lwZeaq6&amp;usp=drive_copy" TargetMode="External"/><Relationship Id="rId6" Type="http://schemas.openxmlformats.org/officeDocument/2006/relationships/hyperlink" Target="https://drive.google.com/file/d/1ThkVZoHd_7WE8LTA8TrFJ79iwtqzUEJy/view?usp=drive_link" TargetMode="External"/><Relationship Id="rId146" Type="http://schemas.openxmlformats.org/officeDocument/2006/relationships/hyperlink" Target="https://drive.google.com/open?id=1npJy9RYk2GTxVEodO4i7dBRp44heq1VI&amp;usp=drive_copy" TargetMode="External"/><Relationship Id="rId7" Type="http://schemas.openxmlformats.org/officeDocument/2006/relationships/hyperlink" Target="https://drive.google.com/file/d/1ot9bmUP4sYZLfu2q5mEcgUODIgo4Tefj/view?usp=drive_link" TargetMode="External"/><Relationship Id="rId145" Type="http://schemas.openxmlformats.org/officeDocument/2006/relationships/hyperlink" Target="https://drive.google.com/open?id=1StNiU4vs1CeWG-016U1F6zNxCFiN8yk9&amp;usp=drive_copy" TargetMode="External"/><Relationship Id="rId8" Type="http://schemas.openxmlformats.org/officeDocument/2006/relationships/hyperlink" Target="https://drive.google.com/file/d/15bN_Cz0woJ8t_yTv3DiXAPdUoGDEumoL/view?usp=drive_link" TargetMode="External"/><Relationship Id="rId144" Type="http://schemas.openxmlformats.org/officeDocument/2006/relationships/hyperlink" Target="https://drive.google.com/open?id=13g-QJsP3ExJzWXiwQJjysGt7VVMKaE65&amp;usp=drive_copy" TargetMode="External"/><Relationship Id="rId73" Type="http://schemas.openxmlformats.org/officeDocument/2006/relationships/hyperlink" Target="https://drive.google.com/open?id=1yNTjNBnVqlZSvlq0yVWBmD4575Z8N8J1&amp;usp=drive_copy" TargetMode="External"/><Relationship Id="rId72" Type="http://schemas.openxmlformats.org/officeDocument/2006/relationships/hyperlink" Target="https://drive.google.com/open?id=1cFtq3-4miUbsnUmAKBMwERqjWzAf65fm&amp;usp=drive_copy" TargetMode="External"/><Relationship Id="rId75" Type="http://schemas.openxmlformats.org/officeDocument/2006/relationships/hyperlink" Target="https://drive.google.com/open?id=1jnggzQYF0h4e0pYEJRXsgrd-9BTQ-C58&amp;usp=drive_copy" TargetMode="External"/><Relationship Id="rId74" Type="http://schemas.openxmlformats.org/officeDocument/2006/relationships/hyperlink" Target="https://drive.google.com/open?id=10Mdvj_JwgABxTB8FEDMWutHar0BgAIUM&amp;usp=drive_copy" TargetMode="External"/><Relationship Id="rId77" Type="http://schemas.openxmlformats.org/officeDocument/2006/relationships/hyperlink" Target="https://drive.google.com/open?id=16Y71UfCmRxnjcaT5enLW8RWGx8QjpX4w&amp;usp=drive_copy" TargetMode="External"/><Relationship Id="rId76" Type="http://schemas.openxmlformats.org/officeDocument/2006/relationships/hyperlink" Target="https://drive.google.com/open?id=10igs877Fr2o_BnBanL6H6221jloWHKh8&amp;usp=drive_copy" TargetMode="External"/><Relationship Id="rId79" Type="http://schemas.openxmlformats.org/officeDocument/2006/relationships/hyperlink" Target="https://drive.google.com/open?id=1pSBbWRBs7c3YfuanEEmlt0eMQEPQI0P_&amp;usp=drive_copy" TargetMode="External"/><Relationship Id="rId78" Type="http://schemas.openxmlformats.org/officeDocument/2006/relationships/hyperlink" Target="https://drive.google.com/open?id=1Wbu3vpYDawE6a8jCOmqmq432D5KncCpn&amp;usp=drive_copy" TargetMode="External"/><Relationship Id="rId71" Type="http://schemas.openxmlformats.org/officeDocument/2006/relationships/hyperlink" Target="https://drive.google.com/open?id=1kZJy27vzy41pPGQ-2hIs3_82qtcXXlq6&amp;usp=drive_copy" TargetMode="External"/><Relationship Id="rId70" Type="http://schemas.openxmlformats.org/officeDocument/2006/relationships/hyperlink" Target="https://drive.google.com/open?id=17eeHxhLPuoxn-t7qVsFPVkxWfDHC7rYH&amp;usp=drive_copy" TargetMode="External"/><Relationship Id="rId139" Type="http://schemas.openxmlformats.org/officeDocument/2006/relationships/hyperlink" Target="https://drive.google.com/open?id=1Nmcno-e5yTHtjfLOF6lYGu760mr3F1Ju&amp;usp=drive_copy" TargetMode="External"/><Relationship Id="rId138" Type="http://schemas.openxmlformats.org/officeDocument/2006/relationships/hyperlink" Target="https://drive.google.com/open?id=1U_QcrjKKZXwg2dzYTpZFM1B5bhZAyh9e&amp;usp=drive_copy" TargetMode="External"/><Relationship Id="rId137" Type="http://schemas.openxmlformats.org/officeDocument/2006/relationships/hyperlink" Target="https://drive.google.com/open?id=1qTpPGarLc1B1VKXBCoAIwgdGIJE1aEtO&amp;usp=drive_copy" TargetMode="External"/><Relationship Id="rId132" Type="http://schemas.openxmlformats.org/officeDocument/2006/relationships/hyperlink" Target="https://drive.google.com/open?id=1w-EfVWGAkxNIAJYkjxfKjoDSWAZoBmlY&amp;usp=drive_copy" TargetMode="External"/><Relationship Id="rId131" Type="http://schemas.openxmlformats.org/officeDocument/2006/relationships/hyperlink" Target="https://drive.google.com/open?id=1Me7IFHfvy4y4UcKogrnZKPb2Oy3ldU10&amp;usp=drive_copy" TargetMode="External"/><Relationship Id="rId130" Type="http://schemas.openxmlformats.org/officeDocument/2006/relationships/hyperlink" Target="https://drive.google.com/open?id=1vxI7jb8i2GX0wFNnWwx7OAKPxgmLMaq-&amp;usp=drive_copy" TargetMode="External"/><Relationship Id="rId136" Type="http://schemas.openxmlformats.org/officeDocument/2006/relationships/hyperlink" Target="https://drive.google.com/open?id=1Fir5KOk9oaT6XVhsnn_3xv7ncaFsrKGo&amp;usp=drive_copy" TargetMode="External"/><Relationship Id="rId135" Type="http://schemas.openxmlformats.org/officeDocument/2006/relationships/hyperlink" Target="https://drive.google.com/open?id=1xg5qHF-zhaEHTDkXQ7y9F2FVf5kKhSWB&amp;usp=drive_copy" TargetMode="External"/><Relationship Id="rId134" Type="http://schemas.openxmlformats.org/officeDocument/2006/relationships/hyperlink" Target="https://drive.google.com/open?id=1pwZGGeAsHoBu00kzetCf66U2Y_5kl9qd&amp;usp=drive_copy" TargetMode="External"/><Relationship Id="rId133" Type="http://schemas.openxmlformats.org/officeDocument/2006/relationships/hyperlink" Target="https://drive.google.com/open?id=11oPBxRds6iux7nBiMJxIUMO9q4BXGi0m&amp;usp=drive_copy" TargetMode="External"/><Relationship Id="rId62" Type="http://schemas.openxmlformats.org/officeDocument/2006/relationships/hyperlink" Target="https://drive.google.com/open?id=1ih8OIqdKXzyu_uAnWzZgxcKQVs2k-rdw&amp;usp=drive_copy" TargetMode="External"/><Relationship Id="rId61" Type="http://schemas.openxmlformats.org/officeDocument/2006/relationships/hyperlink" Target="https://drive.google.com/open?id=1CBOp4G8i91nTGGPCPge41xpvsfOh-hc4&amp;usp=drive_copy" TargetMode="External"/><Relationship Id="rId64" Type="http://schemas.openxmlformats.org/officeDocument/2006/relationships/hyperlink" Target="https://drive.google.com/open?id=1jf3EPM0ekvf_1ucyHuid0TrH5MKALmbN&amp;usp=drive_copy" TargetMode="External"/><Relationship Id="rId63" Type="http://schemas.openxmlformats.org/officeDocument/2006/relationships/hyperlink" Target="https://drive.google.com/open?id=1ZpP-HLHp5EXkzFbVjFt3wg7xyv_Dg60Q&amp;usp=drive_copy" TargetMode="External"/><Relationship Id="rId66" Type="http://schemas.openxmlformats.org/officeDocument/2006/relationships/hyperlink" Target="https://drive.google.com/open?id=1BaqIgawdHqv-5bB8TANOm8WQAxaoJ4GF&amp;usp=drive_copy" TargetMode="External"/><Relationship Id="rId172" Type="http://schemas.openxmlformats.org/officeDocument/2006/relationships/hyperlink" Target="https://drive.google.com/open?id=1SJpTdLwTjx0XSTHQ4RXPa9zB9_sjOtkq&amp;usp=drive_copy" TargetMode="External"/><Relationship Id="rId65" Type="http://schemas.openxmlformats.org/officeDocument/2006/relationships/hyperlink" Target="https://drive.google.com/open?id=1N2n_4-uYxQV6mqmZ34kIrvFix7atsC6C&amp;usp=drive_copy" TargetMode="External"/><Relationship Id="rId171" Type="http://schemas.openxmlformats.org/officeDocument/2006/relationships/hyperlink" Target="https://drive.google.com/open?id=1N5tIKeVV5XT6xcmE_PD7I3sYcK9SAzLs&amp;usp=drive_copy" TargetMode="External"/><Relationship Id="rId68" Type="http://schemas.openxmlformats.org/officeDocument/2006/relationships/hyperlink" Target="https://drive.google.com/open?id=12iX08fnniPRZAhpI9kWNPzjiMQhqMObA&amp;usp=drive_copy" TargetMode="External"/><Relationship Id="rId170" Type="http://schemas.openxmlformats.org/officeDocument/2006/relationships/hyperlink" Target="https://drive.google.com/open?id=1xiSdQEFIdz3j4gQLZVcIBwz7XWYF9AYU&amp;usp=drive_copy" TargetMode="External"/><Relationship Id="rId67" Type="http://schemas.openxmlformats.org/officeDocument/2006/relationships/hyperlink" Target="https://drive.google.com/open?id=12Sk2bW5caJIqF9S0Ib9V7Hs0421_TKfC&amp;usp=drive_copy" TargetMode="External"/><Relationship Id="rId60" Type="http://schemas.openxmlformats.org/officeDocument/2006/relationships/hyperlink" Target="https://drive.google.com/open?id=1w1PQnPMbl9t96LRgNyFx0b62ud7df0yK&amp;usp=drive_copy" TargetMode="External"/><Relationship Id="rId165" Type="http://schemas.openxmlformats.org/officeDocument/2006/relationships/hyperlink" Target="https://drive.google.com/open?id=1Lb6VJDs1S8noqe9m7cUsGK6GCteTQffq&amp;usp=drive_copy" TargetMode="External"/><Relationship Id="rId69" Type="http://schemas.openxmlformats.org/officeDocument/2006/relationships/hyperlink" Target="https://drive.google.com/open?id=1ADyf14O9Bdws3sS3HECUg7fOfLCQZWLd&amp;usp=drive_copy" TargetMode="External"/><Relationship Id="rId164" Type="http://schemas.openxmlformats.org/officeDocument/2006/relationships/hyperlink" Target="https://drive.google.com/open?id=1-djJ1OwgRiC9Wzo6VacFISz_A9FtI9qr&amp;usp=drive_copy" TargetMode="External"/><Relationship Id="rId163" Type="http://schemas.openxmlformats.org/officeDocument/2006/relationships/hyperlink" Target="https://drive.google.com/open?id=14sPzH8OGjN8vWA665Sh0L55robDA59ns&amp;usp=drive_copy" TargetMode="External"/><Relationship Id="rId162" Type="http://schemas.openxmlformats.org/officeDocument/2006/relationships/hyperlink" Target="https://drive.google.com/open?id=1_kbHeOHxd8jPKkyxRhudgmdxQxZ4_kVQ&amp;usp=drive_copy" TargetMode="External"/><Relationship Id="rId169" Type="http://schemas.openxmlformats.org/officeDocument/2006/relationships/hyperlink" Target="https://drive.google.com/open?id=1cSBx4BSrZhAUenSWBRkzVov5vYzRocGY&amp;usp=drive_copy" TargetMode="External"/><Relationship Id="rId168" Type="http://schemas.openxmlformats.org/officeDocument/2006/relationships/hyperlink" Target="https://drive.google.com/open?id=1utuC-5S4iBNpQxLGNTWiMRg61mG2cSl_&amp;usp=drive_copy" TargetMode="External"/><Relationship Id="rId167" Type="http://schemas.openxmlformats.org/officeDocument/2006/relationships/hyperlink" Target="https://drive.google.com/open?id=1d9EMtnB1Ik0SI-ndsmc_O-ZwK_8LfYfY&amp;usp=drive_copy" TargetMode="External"/><Relationship Id="rId166" Type="http://schemas.openxmlformats.org/officeDocument/2006/relationships/hyperlink" Target="https://drive.google.com/open?id=1EedftX7vm_-2unXSG-hVoY4T0F-AQ_QA&amp;usp=drive_copy" TargetMode="External"/><Relationship Id="rId51" Type="http://schemas.openxmlformats.org/officeDocument/2006/relationships/hyperlink" Target="https://drive.google.com/open?id=1GN2NB2vZTsJ770jYAbpqKcSf-ld-jeFk&amp;usp=drive_copy" TargetMode="External"/><Relationship Id="rId50" Type="http://schemas.openxmlformats.org/officeDocument/2006/relationships/hyperlink" Target="https://drive.google.com/open?id=1-vh6BULEH9bb8aTXAHB4HUqjH7s7ntFT&amp;usp=drive_copy" TargetMode="External"/><Relationship Id="rId53" Type="http://schemas.openxmlformats.org/officeDocument/2006/relationships/hyperlink" Target="https://drive.google.com/open?id=1B7IJo9P7Z_yO7mBcOYe8hC4MQDSeSD7S&amp;usp=drive_copy" TargetMode="External"/><Relationship Id="rId52" Type="http://schemas.openxmlformats.org/officeDocument/2006/relationships/hyperlink" Target="https://drive.google.com/open?id=1o5rEHtESyEF4Teb9aBBr_PCFC3G_UFk5&amp;usp=drive_copy" TargetMode="External"/><Relationship Id="rId55" Type="http://schemas.openxmlformats.org/officeDocument/2006/relationships/hyperlink" Target="https://drive.google.com/open?id=1hrEatlIxyOGw7spL0RKsTZucWHPR3hCN&amp;usp=drive_copy" TargetMode="External"/><Relationship Id="rId161" Type="http://schemas.openxmlformats.org/officeDocument/2006/relationships/hyperlink" Target="https://drive.google.com/open?id=1c3U3mNCHHApCYu2MKf3kYBLS31htNlUY&amp;usp=drive_copy" TargetMode="External"/><Relationship Id="rId54" Type="http://schemas.openxmlformats.org/officeDocument/2006/relationships/hyperlink" Target="https://drive.google.com/open?id=1nAfX3qk3_t4ZLa2cWXbs0iq_bUyPlTNX&amp;usp=drive_copy" TargetMode="External"/><Relationship Id="rId160" Type="http://schemas.openxmlformats.org/officeDocument/2006/relationships/hyperlink" Target="https://drive.google.com/open?id=1i4hgERZ4ezMhFdGuvz7q_B756zwlr-Ah&amp;usp=drive_copy" TargetMode="External"/><Relationship Id="rId57" Type="http://schemas.openxmlformats.org/officeDocument/2006/relationships/hyperlink" Target="https://drive.google.com/open?id=1FDQK_GPQoLszgtuxaCwmbRG-l1ioB9lw&amp;usp=drive_copy" TargetMode="External"/><Relationship Id="rId56" Type="http://schemas.openxmlformats.org/officeDocument/2006/relationships/hyperlink" Target="https://drive.google.com/open?id=1FQOHxfEb6aKvqOsnydT4AS--jdt0RJLe&amp;usp=drive_copy" TargetMode="External"/><Relationship Id="rId159" Type="http://schemas.openxmlformats.org/officeDocument/2006/relationships/hyperlink" Target="https://drive.google.com/open?id=1t4S7iENXYuczAZbpaqPbz7KWtiOyADF0&amp;usp=drive_copy" TargetMode="External"/><Relationship Id="rId59" Type="http://schemas.openxmlformats.org/officeDocument/2006/relationships/hyperlink" Target="https://drive.google.com/open?id=131qrfvfj45RjQUN6IFZXOw9oZ9J6sILc&amp;usp=drive_copy" TargetMode="External"/><Relationship Id="rId154" Type="http://schemas.openxmlformats.org/officeDocument/2006/relationships/hyperlink" Target="https://drive.google.com/open?id=1_DcSivCf9tXKgoRUvU4avs3UsZaBXLvp&amp;usp=drive_copy" TargetMode="External"/><Relationship Id="rId58" Type="http://schemas.openxmlformats.org/officeDocument/2006/relationships/hyperlink" Target="https://drive.google.com/open?id=1XGZjCXVZMBnQ8RCNYNNxemNjY1Rb6Hmr&amp;usp=drive_copy" TargetMode="External"/><Relationship Id="rId153" Type="http://schemas.openxmlformats.org/officeDocument/2006/relationships/hyperlink" Target="https://drive.google.com/open?id=1gZo2UHvOQfjLochGwSmSkebHqIzIU4lM&amp;usp=drive_copy" TargetMode="External"/><Relationship Id="rId152" Type="http://schemas.openxmlformats.org/officeDocument/2006/relationships/hyperlink" Target="https://drive.google.com/open?id=1dEOqE1QgsXcK_oaUGqSCPXIIRDrBs5xl&amp;usp=drive_copy" TargetMode="External"/><Relationship Id="rId151" Type="http://schemas.openxmlformats.org/officeDocument/2006/relationships/hyperlink" Target="https://drive.google.com/open?id=1Y8W2W3wOy5UHQoZNQC55BrMEMkVr5Jy3&amp;usp=drive_copy" TargetMode="External"/><Relationship Id="rId158" Type="http://schemas.openxmlformats.org/officeDocument/2006/relationships/hyperlink" Target="https://drive.google.com/open?id=1HYBySgdDXx7o8xth0-D4TEquuzVy3V8R&amp;usp=drive_copy" TargetMode="External"/><Relationship Id="rId157" Type="http://schemas.openxmlformats.org/officeDocument/2006/relationships/hyperlink" Target="https://drive.google.com/open?id=1bUfAKcQoa7icMLk7GoHLhNgisP9_HF8S&amp;usp=drive_copy" TargetMode="External"/><Relationship Id="rId156" Type="http://schemas.openxmlformats.org/officeDocument/2006/relationships/hyperlink" Target="https://drive.google.com/open?id=1WHBejaLr6cVeCxtNRqHnefDVEMYFRcIc&amp;usp=drive_copy" TargetMode="External"/><Relationship Id="rId155" Type="http://schemas.openxmlformats.org/officeDocument/2006/relationships/hyperlink" Target="https://drive.google.com/open?id=1yro5fgZmPhdyvHgULxBLlCQZWvRC5nRM&amp;usp=drive_copy" TargetMode="External"/><Relationship Id="rId107" Type="http://schemas.openxmlformats.org/officeDocument/2006/relationships/hyperlink" Target="https://drive.google.com/open?id=1jakAKiNK8984od2U4Yx2rzOFGpaagqiw&amp;usp=drive_copy" TargetMode="External"/><Relationship Id="rId106" Type="http://schemas.openxmlformats.org/officeDocument/2006/relationships/hyperlink" Target="https://drive.google.com/open?id=1Ps5ol5YjisGabvSjxUVcm8ij4q4wNKDY&amp;usp=drive_copy" TargetMode="External"/><Relationship Id="rId105" Type="http://schemas.openxmlformats.org/officeDocument/2006/relationships/hyperlink" Target="https://drive.google.com/open?id=1baPhGSdUhkHOgZJBGQv0WBnd9vznSPpK&amp;usp=drive_copy" TargetMode="External"/><Relationship Id="rId104" Type="http://schemas.openxmlformats.org/officeDocument/2006/relationships/hyperlink" Target="https://drive.google.com/open?id=1vECVt1uetypx-RV7P04Mwr1BVyH9Aaea&amp;usp=drive_copy" TargetMode="External"/><Relationship Id="rId109" Type="http://schemas.openxmlformats.org/officeDocument/2006/relationships/hyperlink" Target="https://drive.google.com/open?id=1dFmWYd0CmdmFBG2gytaO-hoPo6gyt9Cg&amp;usp=drive_copy" TargetMode="External"/><Relationship Id="rId108" Type="http://schemas.openxmlformats.org/officeDocument/2006/relationships/hyperlink" Target="https://drive.google.com/open?id=1UArb3GcZebcYdIaq9viamJ2U6WbdFFBA&amp;usp=drive_copy" TargetMode="External"/><Relationship Id="rId103" Type="http://schemas.openxmlformats.org/officeDocument/2006/relationships/hyperlink" Target="https://drive.google.com/open?id=1CyOmHP_4nV-KpMMDmG_40TzVW6VUGA17&amp;usp=drive_copy" TargetMode="External"/><Relationship Id="rId102" Type="http://schemas.openxmlformats.org/officeDocument/2006/relationships/hyperlink" Target="https://drive.google.com/open?id=1zwg6suGm5bHULmsep7OOcIzMd941btMx&amp;usp=drive_copy" TargetMode="External"/><Relationship Id="rId101" Type="http://schemas.openxmlformats.org/officeDocument/2006/relationships/hyperlink" Target="https://drive.google.com/open?id=1skqixg6hq_zF2hBhTBNz5EjRIp0IKMkz&amp;usp=drive_copy" TargetMode="External"/><Relationship Id="rId100" Type="http://schemas.openxmlformats.org/officeDocument/2006/relationships/hyperlink" Target="https://drive.google.com/open?id=1skqixg6hq_zF2hBhTBNz5EjRIp0IKMkz&amp;usp=drive_copy" TargetMode="External"/><Relationship Id="rId129" Type="http://schemas.openxmlformats.org/officeDocument/2006/relationships/hyperlink" Target="https://drive.google.com/open?id=1jpI-4UD0die_C1t3H-q4iOT4uDTdrYFq&amp;usp=drive_copy" TargetMode="External"/><Relationship Id="rId128" Type="http://schemas.openxmlformats.org/officeDocument/2006/relationships/hyperlink" Target="https://drive.google.com/open?id=1jXRzsHg846F-YW5MayO2Oo_GI0X36_Kz&amp;usp=drive_copy" TargetMode="External"/><Relationship Id="rId127" Type="http://schemas.openxmlformats.org/officeDocument/2006/relationships/hyperlink" Target="https://drive.google.com/open?id=106I2J95m4BCsssnjIlMy7aodBgnysBXk&amp;usp=drive_copy" TargetMode="External"/><Relationship Id="rId126" Type="http://schemas.openxmlformats.org/officeDocument/2006/relationships/hyperlink" Target="https://drive.google.com/open?id=1FSqCCS6AlKnvrE6TAlaessJ0LHTgj7ge&amp;usp=drive_copy" TargetMode="External"/><Relationship Id="rId121" Type="http://schemas.openxmlformats.org/officeDocument/2006/relationships/hyperlink" Target="https://drive.google.com/open?id=1Xo0kwgkGgk5QOW5VA6lR4ENrWUAVss1I&amp;usp=drive_copy" TargetMode="External"/><Relationship Id="rId120" Type="http://schemas.openxmlformats.org/officeDocument/2006/relationships/hyperlink" Target="https://drive.google.com/open?id=1nh4CUKjzQfoj21CuwYEPUkEojivoI3x9&amp;usp=drive_copy" TargetMode="External"/><Relationship Id="rId125" Type="http://schemas.openxmlformats.org/officeDocument/2006/relationships/hyperlink" Target="https://drive.google.com/open?id=1PF-GTl_XT9KHeTB0n4yrsz3fh2w59WBN&amp;usp=drive_copy" TargetMode="External"/><Relationship Id="rId124" Type="http://schemas.openxmlformats.org/officeDocument/2006/relationships/hyperlink" Target="https://drive.google.com/open?id=1D3M195VfYTE9Y6Z7rblWcePEi9isa424&amp;usp=drive_copy" TargetMode="External"/><Relationship Id="rId123" Type="http://schemas.openxmlformats.org/officeDocument/2006/relationships/hyperlink" Target="https://drive.google.com/open?id=19d7-jxaW_1MrVdaHyadxJuy5i6z5lQSp&amp;usp=drive_copy" TargetMode="External"/><Relationship Id="rId122" Type="http://schemas.openxmlformats.org/officeDocument/2006/relationships/hyperlink" Target="https://drive.google.com/open?id=17CdqeGiTJKJH7_IwKZNOGLJxTZF22aeF&amp;usp=drive_copy" TargetMode="External"/><Relationship Id="rId95" Type="http://schemas.openxmlformats.org/officeDocument/2006/relationships/hyperlink" Target="https://drive.google.com/open?id=1UjUeX-Z3hJjMEXMebAQF5FucBi8oCq-4&amp;usp=drive_copy" TargetMode="External"/><Relationship Id="rId94" Type="http://schemas.openxmlformats.org/officeDocument/2006/relationships/hyperlink" Target="https://drive.google.com/open?id=1v9ZukoBpX0KSfaQH7O2sji8c7iA2qyMg&amp;usp=drive_copy" TargetMode="External"/><Relationship Id="rId97" Type="http://schemas.openxmlformats.org/officeDocument/2006/relationships/hyperlink" Target="https://drive.google.com/open?id=1ubeeu-QlRR93gysAS3_uE_NPBcSajfzS&amp;usp=drive_copy" TargetMode="External"/><Relationship Id="rId96" Type="http://schemas.openxmlformats.org/officeDocument/2006/relationships/hyperlink" Target="https://drive.google.com/open?id=1BQLPm_FqNBdS35Vn4cXqV8YKphV0YIGu&amp;usp=drive_copy" TargetMode="External"/><Relationship Id="rId99" Type="http://schemas.openxmlformats.org/officeDocument/2006/relationships/hyperlink" Target="https://drive.google.com/open?id=1rQXRS2PP4ZcmGBT6qZpGZOEFD3orDllB&amp;usp=drive_copy" TargetMode="External"/><Relationship Id="rId98" Type="http://schemas.openxmlformats.org/officeDocument/2006/relationships/hyperlink" Target="https://drive.google.com/open?id=1s6HK0uWYADJlNPQ4pNLycwRb_2e0Ka7x&amp;usp=drive_copy" TargetMode="External"/><Relationship Id="rId91" Type="http://schemas.openxmlformats.org/officeDocument/2006/relationships/hyperlink" Target="https://drive.google.com/open?id=1SmOSQVoUpsH7gkI3YX36dckyTrB-Vv1o&amp;usp=drive_copy" TargetMode="External"/><Relationship Id="rId90" Type="http://schemas.openxmlformats.org/officeDocument/2006/relationships/hyperlink" Target="https://drive.google.com/open?id=12cyp3a4RG4mE4M8ON58WaffTIc9btfhl&amp;usp=drive_copy" TargetMode="External"/><Relationship Id="rId93" Type="http://schemas.openxmlformats.org/officeDocument/2006/relationships/hyperlink" Target="https://drive.google.com/open?id=1bo4DFhq8LuszN1naUGCFnE55PaZWXE0q&amp;usp=drive_copy" TargetMode="External"/><Relationship Id="rId92" Type="http://schemas.openxmlformats.org/officeDocument/2006/relationships/hyperlink" Target="https://drive.google.com/open?id=104ZlxocZw9a3j6M0l3zJYSjBqaUS8xuK&amp;usp=drive_copy" TargetMode="External"/><Relationship Id="rId118" Type="http://schemas.openxmlformats.org/officeDocument/2006/relationships/hyperlink" Target="https://drive.google.com/open?id=1kXeRfKCIUqRssk0STKq1v0DtO2nq9qb0&amp;usp=drive_copy" TargetMode="External"/><Relationship Id="rId117" Type="http://schemas.openxmlformats.org/officeDocument/2006/relationships/hyperlink" Target="https://drive.google.com/open?id=1qIWOPcyPjYRo9UwFkjcLND-fXr96hZDY&amp;usp=drive_copy" TargetMode="External"/><Relationship Id="rId116" Type="http://schemas.openxmlformats.org/officeDocument/2006/relationships/hyperlink" Target="https://drive.google.com/open?id=1SBJCLKRpQg8cwqFoh16v7iX4N_9Ngj9c&amp;usp=drive_copy" TargetMode="External"/><Relationship Id="rId115" Type="http://schemas.openxmlformats.org/officeDocument/2006/relationships/hyperlink" Target="https://drive.google.com/open?id=1ZBy4hxk2RpPsB3onXQ_EdghF_d_4Wo5N&amp;usp=drive_copy" TargetMode="External"/><Relationship Id="rId119" Type="http://schemas.openxmlformats.org/officeDocument/2006/relationships/hyperlink" Target="https://drive.google.com/open?id=18jp0qfn9RvJyM9GoPf-ietIp-sxb8sQ8&amp;usp=drive_copy" TargetMode="External"/><Relationship Id="rId110" Type="http://schemas.openxmlformats.org/officeDocument/2006/relationships/hyperlink" Target="https://drive.google.com/open?id=1aPU12U_6FmcXi0sYtwbahFXNvKAoy7Td&amp;usp=drive_copy" TargetMode="External"/><Relationship Id="rId114" Type="http://schemas.openxmlformats.org/officeDocument/2006/relationships/hyperlink" Target="https://drive.google.com/open?id=1RUDkoMz161mqmt81ShqTkaxBbvfFUUzL&amp;usp=drive_copy" TargetMode="External"/><Relationship Id="rId113" Type="http://schemas.openxmlformats.org/officeDocument/2006/relationships/hyperlink" Target="https://drive.google.com/open?id=1E0w12kOAVLh-fL-YjQqhJH5TSPf0V_a1&amp;usp=drive_copy" TargetMode="External"/><Relationship Id="rId112" Type="http://schemas.openxmlformats.org/officeDocument/2006/relationships/hyperlink" Target="https://drive.google.com/open?id=1Xa6MOVFGaQrTeij271FVTLu5iEFXYhs_&amp;usp=drive_copy" TargetMode="External"/><Relationship Id="rId111" Type="http://schemas.openxmlformats.org/officeDocument/2006/relationships/hyperlink" Target="https://drive.google.com/open?id=1o2VbBgQb__6WS2-0hbH98h86CkbOVyaE&amp;usp=drive_copy" TargetMode="External"/><Relationship Id="rId201" Type="http://schemas.openxmlformats.org/officeDocument/2006/relationships/drawing" Target="../drawings/drawing1.xml"/><Relationship Id="rId200" Type="http://schemas.openxmlformats.org/officeDocument/2006/relationships/hyperlink" Target="https://drive.google.com/open?id=19oDxprQ2SjAPesG991Bp01-TUywFMVe0&amp;usp=drive_copy"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2d1Ob-aatHptHUuflS5jXRoIIvX1vh_t&amp;usp=drive_copy" TargetMode="External"/><Relationship Id="rId42" Type="http://schemas.openxmlformats.org/officeDocument/2006/relationships/hyperlink" Target="https://drive.google.com/open?id=1gmP7T2u_6ZsbZ50bT4M3RLqjeK2mhrwQ&amp;usp=drive_copy" TargetMode="External"/><Relationship Id="rId41" Type="http://schemas.openxmlformats.org/officeDocument/2006/relationships/hyperlink" Target="https://drive.google.com/open?id=1qU9GJEFUNSmAtlAIXKdwdwENkFetJCEf&amp;usp=drive_copy" TargetMode="External"/><Relationship Id="rId44" Type="http://schemas.openxmlformats.org/officeDocument/2006/relationships/hyperlink" Target="https://drive.google.com/open?id=18mMXx0U0d_uBEnJEf3kCy2ZiF328xht1&amp;usp=drive_copy" TargetMode="External"/><Relationship Id="rId43" Type="http://schemas.openxmlformats.org/officeDocument/2006/relationships/hyperlink" Target="https://drive.google.com/open?id=1glw2ERkN80JNDzb8GhMGFhv3K6veyElu&amp;usp=drive_copy" TargetMode="External"/><Relationship Id="rId46" Type="http://schemas.openxmlformats.org/officeDocument/2006/relationships/hyperlink" Target="https://drive.google.com/open?id=1ggEJfENr1dLJxT1qeuR0ya4Rcm0W_Czp&amp;usp=drive_copy" TargetMode="External"/><Relationship Id="rId45" Type="http://schemas.openxmlformats.org/officeDocument/2006/relationships/hyperlink" Target="https://drive.google.com/open?id=1S-u63g7HhMogqMhOBxUpyTSH0Pm2Kjga&amp;usp=drive_copy" TargetMode="External"/><Relationship Id="rId48" Type="http://schemas.openxmlformats.org/officeDocument/2006/relationships/hyperlink" Target="https://drive.google.com/open?id=1xugOyGIFRHD0ID3kgttqB82QUv34Jmkc&amp;usp=drive_copy" TargetMode="External"/><Relationship Id="rId47" Type="http://schemas.openxmlformats.org/officeDocument/2006/relationships/hyperlink" Target="https://drive.google.com/open?id=1c766g18ka_gdmRIsktYQsZofONaGVx00&amp;usp=drive_copy" TargetMode="External"/><Relationship Id="rId49" Type="http://schemas.openxmlformats.org/officeDocument/2006/relationships/hyperlink" Target="https://drive.google.com/open?id=1Epq3U9HdjeZmsiyIxVlnJsy_bUMTyEyh&amp;usp=drive_copy" TargetMode="External"/><Relationship Id="rId31" Type="http://schemas.openxmlformats.org/officeDocument/2006/relationships/hyperlink" Target="https://drive.google.com/open?id=1N7gVAJue7PRrRdvx9kUJyMOA9pF6K8br&amp;usp=drive_copy" TargetMode="External"/><Relationship Id="rId30" Type="http://schemas.openxmlformats.org/officeDocument/2006/relationships/hyperlink" Target="https://drive.google.com/open?id=1LlE4R2vjVboVc1oaQdVA4sXiRjHjo7Oc&amp;usp=drive_copy" TargetMode="External"/><Relationship Id="rId33" Type="http://schemas.openxmlformats.org/officeDocument/2006/relationships/hyperlink" Target="https://drive.google.com/open?id=1TQQ3eOjphaZCF9MR5OK_knvcL2AjpuA4&amp;usp=drive_copy" TargetMode="External"/><Relationship Id="rId32" Type="http://schemas.openxmlformats.org/officeDocument/2006/relationships/hyperlink" Target="https://drive.google.com/open?id=12XPFTZcFhpRItZhwzWS7jr2kp1VKEaEZ&amp;usp=drive_copy" TargetMode="External"/><Relationship Id="rId35" Type="http://schemas.openxmlformats.org/officeDocument/2006/relationships/hyperlink" Target="https://drive.google.com/open?id=11Xj4f9uNx194AMssV4_I6s1W-sQub9F9&amp;usp=drive_copy" TargetMode="External"/><Relationship Id="rId34" Type="http://schemas.openxmlformats.org/officeDocument/2006/relationships/hyperlink" Target="https://drive.google.com/open?id=1GI6TdemvUUh2h_JEV3HMMF50xeesKNFC&amp;usp=drive_copy" TargetMode="External"/><Relationship Id="rId37" Type="http://schemas.openxmlformats.org/officeDocument/2006/relationships/hyperlink" Target="https://drive.google.com/open?id=1lhX3VGs12QRE5ZObH4CQS0wni6VoWfeA&amp;usp=drive_copy" TargetMode="External"/><Relationship Id="rId36" Type="http://schemas.openxmlformats.org/officeDocument/2006/relationships/hyperlink" Target="https://drive.google.com/open?id=16nqGpCxOclj1AVT8ramTgPbjhoHYbpq0&amp;usp=drive_copy" TargetMode="External"/><Relationship Id="rId39" Type="http://schemas.openxmlformats.org/officeDocument/2006/relationships/hyperlink" Target="https://drive.google.com/open?id=1lBH8jqn0k5QRjdUWGDjCFTpAPoMhHUfD&amp;usp=drive_copy" TargetMode="External"/><Relationship Id="rId38" Type="http://schemas.openxmlformats.org/officeDocument/2006/relationships/hyperlink" Target="https://drive.google.com/open?id=1edPhdegnPHPuquX8ymQRZE5L_2b9abcT&amp;usp=drive_copy" TargetMode="External"/><Relationship Id="rId20" Type="http://schemas.openxmlformats.org/officeDocument/2006/relationships/hyperlink" Target="https://drive.google.com/open?id=1kNooy4yV-NDdIGS2ybFPKD0JdIrXPgik&amp;usp=drive_copy" TargetMode="External"/><Relationship Id="rId22" Type="http://schemas.openxmlformats.org/officeDocument/2006/relationships/hyperlink" Target="https://drive.google.com/open?id=1csuet8K29w8vlFoIdYHn-sQcqgFvIoWd&amp;usp=drive_copy" TargetMode="External"/><Relationship Id="rId21" Type="http://schemas.openxmlformats.org/officeDocument/2006/relationships/hyperlink" Target="https://drive.google.com/open?id=1BvSZXN9pmV4mki3LDLvxM5kSFAzVy8Vt&amp;usp=drive_copy" TargetMode="External"/><Relationship Id="rId24" Type="http://schemas.openxmlformats.org/officeDocument/2006/relationships/hyperlink" Target="https://drive.google.com/open?id=11B8mMF-Y9ZtdVQ5STKg-_5gVUSgqyIeo&amp;usp=drive_copy" TargetMode="External"/><Relationship Id="rId23" Type="http://schemas.openxmlformats.org/officeDocument/2006/relationships/hyperlink" Target="https://drive.google.com/open?id=1jItq9insS7RxQhhI1fNlVOPuhF-crSuo&amp;usp=drive_copy" TargetMode="External"/><Relationship Id="rId26" Type="http://schemas.openxmlformats.org/officeDocument/2006/relationships/hyperlink" Target="https://drive.google.com/open?id=1u0UpBU-WzgLXTG2S0iXjYpu-ah84qtKJ&amp;usp=drive_copy" TargetMode="External"/><Relationship Id="rId25" Type="http://schemas.openxmlformats.org/officeDocument/2006/relationships/hyperlink" Target="https://drive.google.com/open?id=1TifxRbw6MsfUuHxYjgMukyRdrgDZ2zAe&amp;usp=drive_copy" TargetMode="External"/><Relationship Id="rId28" Type="http://schemas.openxmlformats.org/officeDocument/2006/relationships/hyperlink" Target="https://drive.google.com/open?id=10-XD7sC3JZOAfQM05XhWdt_n6JyEYS3C&amp;usp=drive_copy" TargetMode="External"/><Relationship Id="rId27" Type="http://schemas.openxmlformats.org/officeDocument/2006/relationships/hyperlink" Target="https://drive.google.com/open?id=14V1IfbWn3e90ZBPx8r3fjkqcGwPy0eKa&amp;usp=drive_copy" TargetMode="External"/><Relationship Id="rId29" Type="http://schemas.openxmlformats.org/officeDocument/2006/relationships/hyperlink" Target="https://drive.google.com/open?id=1F89j8XRFXPxG7b-AwbDisnXp9-UMj8fS&amp;usp=drive_copy" TargetMode="External"/><Relationship Id="rId11" Type="http://schemas.openxmlformats.org/officeDocument/2006/relationships/hyperlink" Target="https://drive.google.com/open?id=1CbC5wJhnE6IKQMZXzzmQ2Por1WAYZyIZ&amp;usp=drive_copy" TargetMode="External"/><Relationship Id="rId10" Type="http://schemas.openxmlformats.org/officeDocument/2006/relationships/hyperlink" Target="https://drive.google.com/open?id=1IkhJErHPFUy7Zy7h23ctuNeFdvwkWO8v&amp;usp=drive_copy" TargetMode="External"/><Relationship Id="rId13" Type="http://schemas.openxmlformats.org/officeDocument/2006/relationships/hyperlink" Target="https://drive.google.com/open?id=1QzNdBfw3yCUdzbndc-3-3GXL1XHzjTVy&amp;usp=drive_copy" TargetMode="External"/><Relationship Id="rId12" Type="http://schemas.openxmlformats.org/officeDocument/2006/relationships/hyperlink" Target="https://drive.google.com/open?id=1VIJEhBnq9ysl8-k-IxsMAinn6dGQ1Dyf&amp;usp=drive_copy" TargetMode="External"/><Relationship Id="rId15" Type="http://schemas.openxmlformats.org/officeDocument/2006/relationships/hyperlink" Target="https://drive.google.com/open?id=1ywGZacqeSjO1vM25VB6TmYYxIM3k65FW&amp;usp=drive_copy" TargetMode="External"/><Relationship Id="rId14" Type="http://schemas.openxmlformats.org/officeDocument/2006/relationships/hyperlink" Target="https://drive.google.com/open?id=1Gef-F9dHLL2wwUjxXoIi_kcXl01b7EoR&amp;usp=drive_copy" TargetMode="External"/><Relationship Id="rId17" Type="http://schemas.openxmlformats.org/officeDocument/2006/relationships/hyperlink" Target="https://drive.google.com/open?id=1qr_CXemnA1jZCSKV2-pqGLnqojcV-3i7&amp;usp=drive_copy" TargetMode="External"/><Relationship Id="rId16" Type="http://schemas.openxmlformats.org/officeDocument/2006/relationships/hyperlink" Target="https://drive.google.com/open?id=17uUprgCfNuqr4lJwjDHs-cdAHxf18PTI&amp;usp=drive_copy" TargetMode="External"/><Relationship Id="rId19" Type="http://schemas.openxmlformats.org/officeDocument/2006/relationships/hyperlink" Target="https://drive.google.com/open?id=1I_yQL9fUn-qdy63iRn_CKzW4gTCXAbIB&amp;usp=drive_copy" TargetMode="External"/><Relationship Id="rId18" Type="http://schemas.openxmlformats.org/officeDocument/2006/relationships/hyperlink" Target="https://drive.google.com/open?id=1kJ_Gsi6LHG2FmbZGNeghQIbbZ_wosh16&amp;usp=drive_copy" TargetMode="External"/><Relationship Id="rId84" Type="http://schemas.openxmlformats.org/officeDocument/2006/relationships/hyperlink" Target="https://drive.google.com/open?id=1c4X_rgHw7j2tmd855d4ZmZRQ_8GK5NE3&amp;usp=drive_copy" TargetMode="External"/><Relationship Id="rId83" Type="http://schemas.openxmlformats.org/officeDocument/2006/relationships/hyperlink" Target="https://drive.google.com/open?id=1aSHR9lg1ynJBRAUOPdb0co8MFusZRnZ-&amp;usp=drive_copy" TargetMode="External"/><Relationship Id="rId86" Type="http://schemas.openxmlformats.org/officeDocument/2006/relationships/hyperlink" Target="https://drive.google.com/open?id=1MCYZBEs4CIHK395Ic9QUwMAA7Hb2qK5V&amp;usp=drive_copy" TargetMode="External"/><Relationship Id="rId85" Type="http://schemas.openxmlformats.org/officeDocument/2006/relationships/hyperlink" Target="https://drive.google.com/open?id=1Hs_zhD3I_XFfPbgFAFJceJZ3k3nuK3on&amp;usp=drive_copy" TargetMode="External"/><Relationship Id="rId88" Type="http://schemas.openxmlformats.org/officeDocument/2006/relationships/hyperlink" Target="https://drive.google.com/open?id=18VncwCBYijXVnd94Jb5tlhYjVAM35Cjh&amp;usp=drive_copy" TargetMode="External"/><Relationship Id="rId87" Type="http://schemas.openxmlformats.org/officeDocument/2006/relationships/hyperlink" Target="https://drive.google.com/open?id=1Rk5kqgjhrha3sQ1zG4dGnNFSm7UVFHym&amp;usp=drive_copy" TargetMode="External"/><Relationship Id="rId89" Type="http://schemas.openxmlformats.org/officeDocument/2006/relationships/hyperlink" Target="https://drive.google.com/open?id=1nIq9nt7xa6_Dzb8OImCwCyy9eGZlHARg&amp;usp=drive_copy" TargetMode="External"/><Relationship Id="rId80" Type="http://schemas.openxmlformats.org/officeDocument/2006/relationships/hyperlink" Target="https://drive.google.com/open?id=1qIdH84Ojv6QNyw9bJ3OZgPsLPKT3vaUs&amp;usp=drive_copy" TargetMode="External"/><Relationship Id="rId82" Type="http://schemas.openxmlformats.org/officeDocument/2006/relationships/hyperlink" Target="https://drive.google.com/open?id=1kNa1klKO7kZ0Pr7Jz_Vk3guHHQvp4sDm&amp;usp=drive_copy" TargetMode="External"/><Relationship Id="rId81" Type="http://schemas.openxmlformats.org/officeDocument/2006/relationships/hyperlink" Target="https://drive.google.com/open?id=1HZwS3VJGE0fGn_aqsrukhukyV-gfRFUu&amp;usp=drive_copy" TargetMode="External"/><Relationship Id="rId1" Type="http://schemas.openxmlformats.org/officeDocument/2006/relationships/hyperlink" Target="https://drive.google.com/open?id=1zP6TEZtpJ3g8lRwdEbyw4gq6en_eoflq&amp;usp=drive_copy" TargetMode="External"/><Relationship Id="rId2" Type="http://schemas.openxmlformats.org/officeDocument/2006/relationships/hyperlink" Target="https://drive.google.com/open?id=1CNndz0WE_TBWuRfso-OjXktqnuWqU-r5&amp;usp=drive_copy" TargetMode="External"/><Relationship Id="rId3" Type="http://schemas.openxmlformats.org/officeDocument/2006/relationships/hyperlink" Target="https://drive.google.com/open?id=19g_t4eQW9gk3ZZmdqTRHoaFAY11gHNcq&amp;usp=drive_copy" TargetMode="External"/><Relationship Id="rId4" Type="http://schemas.openxmlformats.org/officeDocument/2006/relationships/hyperlink" Target="https://drive.google.com/open?id=1nr3lbjgheYthnohpdZMEzEP8mvzqQFEl&amp;usp=drive_copy" TargetMode="External"/><Relationship Id="rId9" Type="http://schemas.openxmlformats.org/officeDocument/2006/relationships/hyperlink" Target="https://drive.google.com/open?id=1VwEDxjIegBaJ3yXiscd_qI2HxGw5J3kR&amp;usp=drive_copy" TargetMode="External"/><Relationship Id="rId5" Type="http://schemas.openxmlformats.org/officeDocument/2006/relationships/hyperlink" Target="https://drive.google.com/open?id=1X2p6wtBrHG_c-MvqAerSjACGUN2szt7F&amp;usp=drive_copy" TargetMode="External"/><Relationship Id="rId6" Type="http://schemas.openxmlformats.org/officeDocument/2006/relationships/hyperlink" Target="https://drive.google.com/open?id=1LoDkwS19sqxSeyb3DlTeHSDoQtMoso2u&amp;usp=drive_copy" TargetMode="External"/><Relationship Id="rId7" Type="http://schemas.openxmlformats.org/officeDocument/2006/relationships/hyperlink" Target="https://drive.google.com/open?id=1PNqlAags9eCjhAikcjSkaI8GpRDG08FL&amp;usp=drive_copy" TargetMode="External"/><Relationship Id="rId8" Type="http://schemas.openxmlformats.org/officeDocument/2006/relationships/hyperlink" Target="https://drive.google.com/open?id=1RmkEqO0K2VA7a2OWvqvEuxb7Z3x-Yxvu&amp;usp=drive_copy" TargetMode="External"/><Relationship Id="rId73" Type="http://schemas.openxmlformats.org/officeDocument/2006/relationships/hyperlink" Target="https://drive.google.com/open?id=1LjdyWGxViwDwavm-Mui3ieeogQ8l7Qam&amp;usp=drive_copy" TargetMode="External"/><Relationship Id="rId72" Type="http://schemas.openxmlformats.org/officeDocument/2006/relationships/hyperlink" Target="https://drive.google.com/open?id=1xv7zKSdEp2dUzedPuRoETAjnPBu5VuTo&amp;usp=drive_copy" TargetMode="External"/><Relationship Id="rId75" Type="http://schemas.openxmlformats.org/officeDocument/2006/relationships/hyperlink" Target="https://drive.google.com/open?id=1b7-6_GTkvE82lPfyYwGrYMGEHK1_onoi&amp;usp=drive_copy" TargetMode="External"/><Relationship Id="rId74" Type="http://schemas.openxmlformats.org/officeDocument/2006/relationships/hyperlink" Target="https://drive.google.com/open?id=1R3QpzoFx9RWBRp7Y9cyCCLJVoMCa74uq&amp;usp=drive_copy" TargetMode="External"/><Relationship Id="rId77" Type="http://schemas.openxmlformats.org/officeDocument/2006/relationships/hyperlink" Target="https://drive.google.com/open?id=1q5D8IYLeZ0ZVSMR1POhIVmSFtTvLQdsJ&amp;usp=drive_copy" TargetMode="External"/><Relationship Id="rId76" Type="http://schemas.openxmlformats.org/officeDocument/2006/relationships/hyperlink" Target="https://drive.google.com/open?id=1drEx-O00II6rJi0tVL6ab4BALQ3ZzKbH&amp;usp=drive_copy" TargetMode="External"/><Relationship Id="rId79" Type="http://schemas.openxmlformats.org/officeDocument/2006/relationships/hyperlink" Target="https://drive.google.com/open?id=1wfdBIVnbZcUtoCS-E9AFmgdI138BaW2C&amp;usp=drive_copy" TargetMode="External"/><Relationship Id="rId78" Type="http://schemas.openxmlformats.org/officeDocument/2006/relationships/hyperlink" Target="https://drive.google.com/open?id=13t4jIl12Fi7n1NHDrgSh_mYgMffH3R4N&amp;usp=drive_copy" TargetMode="External"/><Relationship Id="rId71" Type="http://schemas.openxmlformats.org/officeDocument/2006/relationships/hyperlink" Target="https://drive.google.com/open?id=1jAtjJHoPZlLGzE4hUJ8Uqw-wHm2a4x4l&amp;usp=drive_copy" TargetMode="External"/><Relationship Id="rId70" Type="http://schemas.openxmlformats.org/officeDocument/2006/relationships/hyperlink" Target="https://drive.google.com/open?id=1ts6soRh-HdgdUHZuUMa5k6w6tAp8Qndx&amp;usp=drive_copy" TargetMode="External"/><Relationship Id="rId62" Type="http://schemas.openxmlformats.org/officeDocument/2006/relationships/hyperlink" Target="https://drive.google.com/open?id=1by8gf1nUnRXcMPqU8zTj7Z1O51aBxG_4&amp;usp=drive_copy" TargetMode="External"/><Relationship Id="rId61" Type="http://schemas.openxmlformats.org/officeDocument/2006/relationships/hyperlink" Target="https://drive.google.com/open?id=1TGI0U-omb84jFIFxdqKQiUeat7rPQ1-M&amp;usp=drive_copy" TargetMode="External"/><Relationship Id="rId64" Type="http://schemas.openxmlformats.org/officeDocument/2006/relationships/hyperlink" Target="https://drive.google.com/open?id=1gfgdrr7Jz5xYzEKXvLJtHWAYQk_d4FFb&amp;usp=drive_copy" TargetMode="External"/><Relationship Id="rId63" Type="http://schemas.openxmlformats.org/officeDocument/2006/relationships/hyperlink" Target="https://drive.google.com/open?id=1RitvCkLEIe4a9ku3cbfXJdNWkj6ng-_t&amp;usp=drive_copy" TargetMode="External"/><Relationship Id="rId66" Type="http://schemas.openxmlformats.org/officeDocument/2006/relationships/hyperlink" Target="https://drive.google.com/open?id=1UkVnSHqKylUTUGBUb5eMtmh--tWE3TZ7&amp;usp=drive_copy" TargetMode="External"/><Relationship Id="rId65" Type="http://schemas.openxmlformats.org/officeDocument/2006/relationships/hyperlink" Target="https://drive.google.com/open?id=1gbYa-cakaVbXjAe_PseXXAuDu9qnpLxQ&amp;usp=drive_copy" TargetMode="External"/><Relationship Id="rId68" Type="http://schemas.openxmlformats.org/officeDocument/2006/relationships/hyperlink" Target="https://drive.google.com/open?id=14QHXagyOhtwebcmgfu61tTIS3yN9I-2F&amp;usp=drive_copy" TargetMode="External"/><Relationship Id="rId67" Type="http://schemas.openxmlformats.org/officeDocument/2006/relationships/hyperlink" Target="https://drive.google.com/open?id=15l1mps0yHMQfUmsXxSrV7nMRsAVIkG6V&amp;usp=drive_copy" TargetMode="External"/><Relationship Id="rId60" Type="http://schemas.openxmlformats.org/officeDocument/2006/relationships/hyperlink" Target="https://drive.google.com/open?id=1PRGWxTw0TjSIIjV09ZmT_M_0TQh-zrV3&amp;usp=drive_copy" TargetMode="External"/><Relationship Id="rId69" Type="http://schemas.openxmlformats.org/officeDocument/2006/relationships/hyperlink" Target="https://drive.google.com/open?id=1Vp7Zg3fLjdFIHVMpCzEVjeXbCMg2d9WV&amp;usp=drive_copy" TargetMode="External"/><Relationship Id="rId51" Type="http://schemas.openxmlformats.org/officeDocument/2006/relationships/hyperlink" Target="https://drive.google.com/open?id=1lwNwwHJIrl5LAGDovR3F5fHSP4zJEPo0&amp;usp=drive_copy" TargetMode="External"/><Relationship Id="rId50" Type="http://schemas.openxmlformats.org/officeDocument/2006/relationships/hyperlink" Target="https://drive.google.com/open?id=1bBI_PTid1GCEq_6n0qfGj7C8R9drojgL&amp;usp=drive_copy" TargetMode="External"/><Relationship Id="rId53" Type="http://schemas.openxmlformats.org/officeDocument/2006/relationships/hyperlink" Target="https://drive.google.com/open?id=177orGGLS74K1teD_YxkjSJyAT3jam76O&amp;usp=drive_copy" TargetMode="External"/><Relationship Id="rId52" Type="http://schemas.openxmlformats.org/officeDocument/2006/relationships/hyperlink" Target="https://drive.google.com/open?id=1ncscXqvDFYnC83gHot3SijPFsNo_63tz&amp;usp=drive_copy" TargetMode="External"/><Relationship Id="rId55" Type="http://schemas.openxmlformats.org/officeDocument/2006/relationships/hyperlink" Target="https://drive.google.com/open?id=10uGv1znueB3KItSkrL5jLX9AfKfmYrDW&amp;usp=drive_copy" TargetMode="External"/><Relationship Id="rId54" Type="http://schemas.openxmlformats.org/officeDocument/2006/relationships/hyperlink" Target="https://drive.google.com/open?id=1JNDaixYwbVuHZR1J2aJYoOegl7CTyN1N&amp;usp=drive_copy" TargetMode="External"/><Relationship Id="rId57" Type="http://schemas.openxmlformats.org/officeDocument/2006/relationships/hyperlink" Target="https://drive.google.com/open?id=1sYdXfwlusBQLxFI6IClRbO0DR8LyZ30R&amp;usp=drive_copy" TargetMode="External"/><Relationship Id="rId56" Type="http://schemas.openxmlformats.org/officeDocument/2006/relationships/hyperlink" Target="https://drive.google.com/open?id=1AFrbT_GOhuI-Q67uvdVbHeS7hXuK6Hxn&amp;usp=drive_copy" TargetMode="External"/><Relationship Id="rId59" Type="http://schemas.openxmlformats.org/officeDocument/2006/relationships/hyperlink" Target="https://drive.google.com/open?id=1d7wrBYd6Y8IUxfqYpI-LRlyRXHyLYiLJ&amp;usp=drive_copy" TargetMode="External"/><Relationship Id="rId58" Type="http://schemas.openxmlformats.org/officeDocument/2006/relationships/hyperlink" Target="https://drive.google.com/open?id=1kPEB_lAhzW__1uSyjJ6qO5tXtLlRNyDM&amp;usp=drive_copy" TargetMode="External"/><Relationship Id="rId107" Type="http://schemas.openxmlformats.org/officeDocument/2006/relationships/hyperlink" Target="https://drive.google.com/open?id=1j4VoFVbr-qPNRrcmxG691hgH8v7icbJa&amp;usp=drive_copy" TargetMode="External"/><Relationship Id="rId106" Type="http://schemas.openxmlformats.org/officeDocument/2006/relationships/hyperlink" Target="https://drive.google.com/open?id=172VL_JfPKbQesB9V1pW3io8T-pccYBEl&amp;usp=drive_copy" TargetMode="External"/><Relationship Id="rId105" Type="http://schemas.openxmlformats.org/officeDocument/2006/relationships/hyperlink" Target="https://drive.google.com/open?id=1ntpRQisvPO1O734bNAwn0qbM9ZI60fLc&amp;usp=drive_copy" TargetMode="External"/><Relationship Id="rId104" Type="http://schemas.openxmlformats.org/officeDocument/2006/relationships/hyperlink" Target="https://drive.google.com/open?id=1Xd94DEBSiGTYNB-gas5nJzro3zjUiSyo&amp;usp=drive_copy" TargetMode="External"/><Relationship Id="rId109" Type="http://schemas.openxmlformats.org/officeDocument/2006/relationships/hyperlink" Target="https://drive.google.com/open?id=1759GGGi5M2v5lADycSJTt8Ns_XbupXiJ&amp;usp=drive_copy" TargetMode="External"/><Relationship Id="rId108" Type="http://schemas.openxmlformats.org/officeDocument/2006/relationships/hyperlink" Target="https://drive.google.com/open?id=197xu-HTGlWofQVHr6nOLlqFSxkB6KIas&amp;usp=drive_copy" TargetMode="External"/><Relationship Id="rId103" Type="http://schemas.openxmlformats.org/officeDocument/2006/relationships/hyperlink" Target="https://drive.google.com/open?id=1cabAQO11a884Kw9pX_XjMcbiBrxngTZL&amp;usp=drive_copy" TargetMode="External"/><Relationship Id="rId102" Type="http://schemas.openxmlformats.org/officeDocument/2006/relationships/hyperlink" Target="https://drive.google.com/open?id=1yFBVX8pbpCi66IZRMcRFEch7U1pE0ZZB&amp;usp=drive_copy" TargetMode="External"/><Relationship Id="rId101" Type="http://schemas.openxmlformats.org/officeDocument/2006/relationships/hyperlink" Target="https://drive.google.com/open?id=1tORZZ_tXy0u2sqcmVvvxhdWKu3gDRlAo&amp;usp=drive_copy" TargetMode="External"/><Relationship Id="rId100" Type="http://schemas.openxmlformats.org/officeDocument/2006/relationships/hyperlink" Target="https://drive.google.com/open?id=1gEw83j1gdt7EoqSi5on0lZLQnh081z4a&amp;usp=drive_copy" TargetMode="External"/><Relationship Id="rId95" Type="http://schemas.openxmlformats.org/officeDocument/2006/relationships/hyperlink" Target="https://drive.google.com/open?id=1S2AoKqNTaxHHIqXIwmU6VCB7uO4eh53y&amp;usp=drive_copy" TargetMode="External"/><Relationship Id="rId94" Type="http://schemas.openxmlformats.org/officeDocument/2006/relationships/hyperlink" Target="https://drive.google.com/open?id=1ZkuOw3wo8XZkXgWioJa0d9OdwrtZgDTL&amp;usp=drive_copy" TargetMode="External"/><Relationship Id="rId97" Type="http://schemas.openxmlformats.org/officeDocument/2006/relationships/hyperlink" Target="https://drive.google.com/open?id=1lNIkkkv34WlkHa8OqUF32a5tp42gicbx&amp;usp=drive_copy" TargetMode="External"/><Relationship Id="rId96" Type="http://schemas.openxmlformats.org/officeDocument/2006/relationships/hyperlink" Target="https://drive.google.com/open?id=18AKmublFEX0bk5CIZLDce6OUNYG7wFlx&amp;usp=drive_copy" TargetMode="External"/><Relationship Id="rId99" Type="http://schemas.openxmlformats.org/officeDocument/2006/relationships/hyperlink" Target="https://drive.google.com/open?id=1Q6JzXQSwVCgmcmzi40aRl30CM1yZK_m-&amp;usp=drive_copy" TargetMode="External"/><Relationship Id="rId98" Type="http://schemas.openxmlformats.org/officeDocument/2006/relationships/hyperlink" Target="https://drive.google.com/open?id=1WgVCIiBzVE32pWIstpLXnUSk5Qh3ouH1&amp;usp=drive_copy" TargetMode="External"/><Relationship Id="rId91" Type="http://schemas.openxmlformats.org/officeDocument/2006/relationships/hyperlink" Target="https://drive.google.com/open?id=13MnzEl7ivtVErgrt4bRcOr9TJ2EdtteM&amp;usp=drive_copy" TargetMode="External"/><Relationship Id="rId90" Type="http://schemas.openxmlformats.org/officeDocument/2006/relationships/hyperlink" Target="https://drive.google.com/open?id=13ogj-0emvEGmVewP_knd2KRxP9fIlOOq&amp;usp=drive_copy" TargetMode="External"/><Relationship Id="rId93" Type="http://schemas.openxmlformats.org/officeDocument/2006/relationships/hyperlink" Target="https://drive.google.com/open?id=1RMCnJgFZyVDfFfGK6DknjILsUEWMB2qQ&amp;usp=drive_copy" TargetMode="External"/><Relationship Id="rId92" Type="http://schemas.openxmlformats.org/officeDocument/2006/relationships/hyperlink" Target="https://drive.google.com/open?id=1rvHq8g8lNzJNV-RINH3laGGE533IUBS6&amp;usp=drive_copy" TargetMode="External"/><Relationship Id="rId118" Type="http://schemas.openxmlformats.org/officeDocument/2006/relationships/hyperlink" Target="https://drive.google.com/open?id=1BXP5qVJxTHEy1FRgOExsjtYgQOst6a3W&amp;usp=drive_copy" TargetMode="External"/><Relationship Id="rId117" Type="http://schemas.openxmlformats.org/officeDocument/2006/relationships/hyperlink" Target="https://drive.google.com/open?id=1ugiY8cmzs2SX6B4XINW4kLvBubycgMh5&amp;usp=drive_copy" TargetMode="External"/><Relationship Id="rId116" Type="http://schemas.openxmlformats.org/officeDocument/2006/relationships/hyperlink" Target="https://drive.google.com/open?id=1qOn_ko2J40WnOZ8WrQrcGDHj2j7Ciqlx&amp;usp=drive_copy" TargetMode="External"/><Relationship Id="rId115" Type="http://schemas.openxmlformats.org/officeDocument/2006/relationships/hyperlink" Target="https://drive.google.com/open?id=1ZoJk1iS5rID81qMKHMv_-czdBfw2ISWC&amp;usp=drive_copy" TargetMode="External"/><Relationship Id="rId119" Type="http://schemas.openxmlformats.org/officeDocument/2006/relationships/drawing" Target="../drawings/drawing2.xml"/><Relationship Id="rId110" Type="http://schemas.openxmlformats.org/officeDocument/2006/relationships/hyperlink" Target="https://drive.google.com/open?id=1Pzb6Facv2eprLF3zef78_ZLTidNf4dBV&amp;usp=drive_copy" TargetMode="External"/><Relationship Id="rId114" Type="http://schemas.openxmlformats.org/officeDocument/2006/relationships/hyperlink" Target="https://drive.google.com/open?id=1XfvBtW-vWR4Ke7himjfWFAbIrPmeP-TQ&amp;usp=drive_copy" TargetMode="External"/><Relationship Id="rId113" Type="http://schemas.openxmlformats.org/officeDocument/2006/relationships/hyperlink" Target="https://drive.google.com/open?id=1xfsPtQUAKek4Wo-ytTMXGATEQd26mLdK&amp;usp=drive_copy" TargetMode="External"/><Relationship Id="rId112" Type="http://schemas.openxmlformats.org/officeDocument/2006/relationships/hyperlink" Target="https://drive.google.com/open?id=1WWLP_Rx0t2JIj90XY9Vv40BmLwhmpPr1&amp;usp=drive_copy" TargetMode="External"/><Relationship Id="rId111" Type="http://schemas.openxmlformats.org/officeDocument/2006/relationships/hyperlink" Target="https://drive.google.com/open?id=16lJzP0RtIayb5NshEUnHYUQ6LBQ_D7Dp&amp;usp=drive_copy"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open?id=1QgXtFkSFF86qUFNJ7BQgiNUUsRruHLAU&amp;usp=drive_copy" TargetMode="External"/><Relationship Id="rId190" Type="http://schemas.openxmlformats.org/officeDocument/2006/relationships/hyperlink" Target="https://drive.google.com/open?id=1NyiMLDVUswatklZ7XhzOnPNXQo0tDdeG&amp;usp=drive_copy" TargetMode="External"/><Relationship Id="rId42" Type="http://schemas.openxmlformats.org/officeDocument/2006/relationships/hyperlink" Target="https://drive.google.com/open?id=187mD-PTxhOvRpEJeOaOKyvVsmzEU51XT&amp;usp=drive_copy" TargetMode="External"/><Relationship Id="rId41" Type="http://schemas.openxmlformats.org/officeDocument/2006/relationships/hyperlink" Target="https://drive.google.com/open?id=1RbYaFcIodl2MnhXN4CkRbK-uAo0U90FP&amp;usp=drive_copy" TargetMode="External"/><Relationship Id="rId44" Type="http://schemas.openxmlformats.org/officeDocument/2006/relationships/hyperlink" Target="https://drive.google.com/open?id=18-U8JSTOf1a27la7rc91EuREnPHpvTIE&amp;usp=drive_copy" TargetMode="External"/><Relationship Id="rId194" Type="http://schemas.openxmlformats.org/officeDocument/2006/relationships/hyperlink" Target="https://drive.google.com/open?id=1HHBxzvqoQpg80jgygkD5fcnGojYkoHlC&amp;usp=drive_copy" TargetMode="External"/><Relationship Id="rId43" Type="http://schemas.openxmlformats.org/officeDocument/2006/relationships/hyperlink" Target="https://drive.google.com/open?id=1CW-qmKTJcDPXT_3asMv0s5yZHH6XItPI&amp;usp=drive_copy" TargetMode="External"/><Relationship Id="rId193" Type="http://schemas.openxmlformats.org/officeDocument/2006/relationships/hyperlink" Target="https://drive.google.com/open?id=18YKRoQIAZJV5zIOe3_94e-3KbkVoLNhL&amp;usp=drive_copy" TargetMode="External"/><Relationship Id="rId46" Type="http://schemas.openxmlformats.org/officeDocument/2006/relationships/hyperlink" Target="https://drive.google.com/open?id=16O1nSyfZMHD9oSF2Rmuy6Zo0Zut6ut1H&amp;usp=drive_copy" TargetMode="External"/><Relationship Id="rId192" Type="http://schemas.openxmlformats.org/officeDocument/2006/relationships/hyperlink" Target="https://drive.google.com/open?id=1CyiEcZBS8jknIT3cCNgmx66eSYn-T0sY&amp;usp=drive_copy" TargetMode="External"/><Relationship Id="rId45" Type="http://schemas.openxmlformats.org/officeDocument/2006/relationships/hyperlink" Target="https://drive.google.com/open?id=1qJ13wpiq5SQZ339c2gHGvT95FPEQwnrG&amp;usp=drive_copy" TargetMode="External"/><Relationship Id="rId191" Type="http://schemas.openxmlformats.org/officeDocument/2006/relationships/hyperlink" Target="https://drive.google.com/open?id=1RufaV-bZ3pTPxSxOL1zm5LWhv14_mm9J&amp;usp=drive_copy" TargetMode="External"/><Relationship Id="rId48" Type="http://schemas.openxmlformats.org/officeDocument/2006/relationships/hyperlink" Target="https://drive.google.com/open?id=1oH4U9suURMqLzkdOxLT8asu0Fg84wE6e&amp;usp=drive_copy" TargetMode="External"/><Relationship Id="rId187" Type="http://schemas.openxmlformats.org/officeDocument/2006/relationships/hyperlink" Target="https://drive.google.com/open?id=1cl118LjeHUt5onerFo1W66a2xMoWV3ni&amp;usp=drive_copy" TargetMode="External"/><Relationship Id="rId47" Type="http://schemas.openxmlformats.org/officeDocument/2006/relationships/hyperlink" Target="https://drive.google.com/open?id=1fiwNH9K7dbUnXPC2VnpAaL8AASdDdg6D&amp;usp=drive_copy" TargetMode="External"/><Relationship Id="rId186" Type="http://schemas.openxmlformats.org/officeDocument/2006/relationships/hyperlink" Target="https://drive.google.com/open?id=1oPvTFZyG0sXwp9cfpry4BJUfqgFE4xRg&amp;usp=drive_copy" TargetMode="External"/><Relationship Id="rId185" Type="http://schemas.openxmlformats.org/officeDocument/2006/relationships/hyperlink" Target="https://drive.google.com/open?id=1GR1LJMGLllIJ6KgwHundk29dMRMlyhXI&amp;usp=drive_copy" TargetMode="External"/><Relationship Id="rId49" Type="http://schemas.openxmlformats.org/officeDocument/2006/relationships/hyperlink" Target="https://drive.google.com/open?id=1FcxP6MXiTkyaUMEdrvn6RBGvkomDgQO0&amp;usp=drive_copy" TargetMode="External"/><Relationship Id="rId184" Type="http://schemas.openxmlformats.org/officeDocument/2006/relationships/hyperlink" Target="https://drive.google.com/open?id=1p3AE3_lPvAqjW-1lyKUpnumjc_HJGrOY&amp;usp=drive_copy" TargetMode="External"/><Relationship Id="rId189" Type="http://schemas.openxmlformats.org/officeDocument/2006/relationships/hyperlink" Target="https://drive.google.com/open?id=15o-sZdERbMRh4ePfdp0rpTvPSXOvvW3f&amp;usp=drive_copy" TargetMode="External"/><Relationship Id="rId188" Type="http://schemas.openxmlformats.org/officeDocument/2006/relationships/hyperlink" Target="https://drive.google.com/open?id=1Bw4c5vZfJthABTDJm1LV3XyPiuKBpRo9&amp;usp=drive_copy" TargetMode="External"/><Relationship Id="rId31" Type="http://schemas.openxmlformats.org/officeDocument/2006/relationships/hyperlink" Target="https://drive.google.com/open?id=1tB8t9zrWAgCvfayySgac3NuFhnZFU22e&amp;usp=drive_copy" TargetMode="External"/><Relationship Id="rId30" Type="http://schemas.openxmlformats.org/officeDocument/2006/relationships/hyperlink" Target="https://drive.google.com/open?id=1VquJ3DcV5NdefAGQ2pYC8-zuSfr6fFRp&amp;usp=drive_copy" TargetMode="External"/><Relationship Id="rId33" Type="http://schemas.openxmlformats.org/officeDocument/2006/relationships/hyperlink" Target="https://drive.google.com/open?id=15EuNALeYVWraeAXhEZHy4MCMJIZmqSRW&amp;usp=drive_copy" TargetMode="External"/><Relationship Id="rId183" Type="http://schemas.openxmlformats.org/officeDocument/2006/relationships/hyperlink" Target="https://drive.google.com/open?id=1DFVdf594NsM4A2nrA-Gli3wbhgf-TXRI&amp;usp=drive_copy" TargetMode="External"/><Relationship Id="rId32" Type="http://schemas.openxmlformats.org/officeDocument/2006/relationships/hyperlink" Target="https://drive.google.com/open?id=1Iw5UWfXUxHCEsX4NislqgxIYl0gMDfr1&amp;usp=drive_copy" TargetMode="External"/><Relationship Id="rId182" Type="http://schemas.openxmlformats.org/officeDocument/2006/relationships/hyperlink" Target="https://drive.google.com/open?id=1bp2MhGjqaWZGLwpdytYkKDZvvCSnPDO7&amp;usp=drive_copy" TargetMode="External"/><Relationship Id="rId35" Type="http://schemas.openxmlformats.org/officeDocument/2006/relationships/hyperlink" Target="https://drive.google.com/open?id=132jYGdnfs2hJbx0NR2SXJf19HxiYL3H2&amp;usp=drive_copy" TargetMode="External"/><Relationship Id="rId181" Type="http://schemas.openxmlformats.org/officeDocument/2006/relationships/hyperlink" Target="https://drive.google.com/open?id=1DxOL7d-M_ASuPrcsU-krKdc7mzlE5RWg&amp;usp=drive_copy" TargetMode="External"/><Relationship Id="rId34" Type="http://schemas.openxmlformats.org/officeDocument/2006/relationships/hyperlink" Target="https://drive.google.com/open?id=1K11_AvfIdm5GjhWm6_OCdfWEJ1Qcc5mD&amp;usp=drive_copy" TargetMode="External"/><Relationship Id="rId180" Type="http://schemas.openxmlformats.org/officeDocument/2006/relationships/hyperlink" Target="https://drive.google.com/open?id=1m0F77zmL4hbXTsFEosP5iGf_JcnbOgAo&amp;usp=drive_copy" TargetMode="External"/><Relationship Id="rId37" Type="http://schemas.openxmlformats.org/officeDocument/2006/relationships/hyperlink" Target="https://drive.google.com/open?id=1l1rOK3z3_w2aOwidtWQfz5Ika4BPjbhY&amp;usp=drive_copy" TargetMode="External"/><Relationship Id="rId176" Type="http://schemas.openxmlformats.org/officeDocument/2006/relationships/hyperlink" Target="https://drive.google.com/open?id=1OTsrvCVH0R518AWfCehrJHx3NBHKzFVd&amp;usp=drive_copy" TargetMode="External"/><Relationship Id="rId297" Type="http://schemas.openxmlformats.org/officeDocument/2006/relationships/hyperlink" Target="https://drive.google.com/open?id=1K1m-aw1a7I1GSMbSzr7q9eSf2eM5Fujb&amp;usp=drive_copy" TargetMode="External"/><Relationship Id="rId36" Type="http://schemas.openxmlformats.org/officeDocument/2006/relationships/hyperlink" Target="https://drive.google.com/open?id=1BHuH_k-9Q236pB4wzv5bB5aqjLWZYFzH&amp;usp=drive_copy" TargetMode="External"/><Relationship Id="rId175" Type="http://schemas.openxmlformats.org/officeDocument/2006/relationships/hyperlink" Target="https://drive.google.com/open?id=1RB_zgjGWQ2udv0m85zDVNuxsnPDav09T&amp;usp=drive_copy" TargetMode="External"/><Relationship Id="rId296" Type="http://schemas.openxmlformats.org/officeDocument/2006/relationships/hyperlink" Target="https://drive.google.com/open?id=199s3k2Sr84zJyfdKBk0nSYKB0Qw5LKeD&amp;usp=drive_copy" TargetMode="External"/><Relationship Id="rId39" Type="http://schemas.openxmlformats.org/officeDocument/2006/relationships/hyperlink" Target="https://drive.google.com/open?id=1onL9dBE80PDyol2xzfktKCeVB5G_8fwe&amp;usp=drive_copy" TargetMode="External"/><Relationship Id="rId174" Type="http://schemas.openxmlformats.org/officeDocument/2006/relationships/hyperlink" Target="https://drive.google.com/open?id=1gNShh-4Dy2mo3gNR6I7dr-1MvqSRS6Fb&amp;usp=drive_copy" TargetMode="External"/><Relationship Id="rId295" Type="http://schemas.openxmlformats.org/officeDocument/2006/relationships/hyperlink" Target="https://drive.google.com/open?id=1hbJAEHYht7L-BtjachXx5pKl7xMCbsFP&amp;usp=drive_copy" TargetMode="External"/><Relationship Id="rId38" Type="http://schemas.openxmlformats.org/officeDocument/2006/relationships/hyperlink" Target="https://drive.google.com/open?id=15cbS54ADFGMrb5gMZwU4PtnxnlzQkTOI&amp;usp=drive_copy" TargetMode="External"/><Relationship Id="rId173" Type="http://schemas.openxmlformats.org/officeDocument/2006/relationships/hyperlink" Target="https://drive.google.com/open?id=1A-9T9qzSGUxUSn8MBQTobUNCrI6wUq9d&amp;usp=drive_copy" TargetMode="External"/><Relationship Id="rId294" Type="http://schemas.openxmlformats.org/officeDocument/2006/relationships/hyperlink" Target="https://drive.google.com/open?id=1k2JPsYRMi3MgFsgazhVRd8n3t4nG1Mz8&amp;usp=drive_copy" TargetMode="External"/><Relationship Id="rId179" Type="http://schemas.openxmlformats.org/officeDocument/2006/relationships/hyperlink" Target="https://drive.google.com/open?id=1GpD3yj6yF9o886D-OsLh6TP9s-9Qsa0L&amp;usp=drive_copy" TargetMode="External"/><Relationship Id="rId178" Type="http://schemas.openxmlformats.org/officeDocument/2006/relationships/hyperlink" Target="https://drive.google.com/open?id=1-1aKHpK4bvl1K2I_6Kz2yTnwhO8Ow2yV&amp;usp=drive_copy" TargetMode="External"/><Relationship Id="rId299" Type="http://schemas.openxmlformats.org/officeDocument/2006/relationships/hyperlink" Target="https://drive.google.com/open?id=16w19sc-txTZRuQB5BRNg6hYk3cdiLjmT&amp;usp=drive_copy" TargetMode="External"/><Relationship Id="rId177" Type="http://schemas.openxmlformats.org/officeDocument/2006/relationships/hyperlink" Target="https://drive.google.com/open?id=1QI6P_4YuPo7LfMkevX3a748SGgok0GzY&amp;usp=drive_copy" TargetMode="External"/><Relationship Id="rId298" Type="http://schemas.openxmlformats.org/officeDocument/2006/relationships/hyperlink" Target="https://drive.google.com/open?id=1VlGitHJMBStniBJKa6gdfrl3AL_9Yebo&amp;usp=drive_copy" TargetMode="External"/><Relationship Id="rId20" Type="http://schemas.openxmlformats.org/officeDocument/2006/relationships/hyperlink" Target="https://drive.google.com/open?id=1O5rr1ItKhOF-2GYXkaZQnAOmypgySf-0&amp;usp=drive_copy" TargetMode="External"/><Relationship Id="rId22" Type="http://schemas.openxmlformats.org/officeDocument/2006/relationships/hyperlink" Target="https://drive.google.com/open?id=1KecNsR4Pn_RsrgivhOH5qjJkJO_iMqbi&amp;usp=drive_copy" TargetMode="External"/><Relationship Id="rId21" Type="http://schemas.openxmlformats.org/officeDocument/2006/relationships/hyperlink" Target="https://drive.google.com/open?id=1eek1Faf2iVb5I4_kYlAPnlANIzdKLxt5&amp;usp=drive_copy" TargetMode="External"/><Relationship Id="rId24" Type="http://schemas.openxmlformats.org/officeDocument/2006/relationships/hyperlink" Target="https://drive.google.com/open?id=1DT5N6xTkHdqOOkttsPNmINXhCYRcII2A&amp;usp=drive_copy" TargetMode="External"/><Relationship Id="rId23" Type="http://schemas.openxmlformats.org/officeDocument/2006/relationships/hyperlink" Target="https://drive.google.com/open?id=1hDTd7WemUFmPS0d14PKGdRBu8uLeje2Y&amp;usp=drive_copy" TargetMode="External"/><Relationship Id="rId26" Type="http://schemas.openxmlformats.org/officeDocument/2006/relationships/hyperlink" Target="https://drive.google.com/open?id=1nprNjJhH_jA36hTPhBhuVpGQXG15Kd0i&amp;usp=drive_copy" TargetMode="External"/><Relationship Id="rId25" Type="http://schemas.openxmlformats.org/officeDocument/2006/relationships/hyperlink" Target="https://drive.google.com/open?id=1CUKtpQFg_TOSsYMOqxboiQlnLnn4v5z-&amp;usp=drive_copy" TargetMode="External"/><Relationship Id="rId28" Type="http://schemas.openxmlformats.org/officeDocument/2006/relationships/hyperlink" Target="https://drive.google.com/open?id=179XPj32GWZJVVKBwc5J2YtdJoqvvw_U3&amp;usp=drive_copy" TargetMode="External"/><Relationship Id="rId27" Type="http://schemas.openxmlformats.org/officeDocument/2006/relationships/hyperlink" Target="https://drive.google.com/open?id=17eZNKo8tZkpJLYqnoLLsVFttK8DmnT7T&amp;usp=drive_copy" TargetMode="External"/><Relationship Id="rId29" Type="http://schemas.openxmlformats.org/officeDocument/2006/relationships/hyperlink" Target="https://drive.google.com/open?id=1RH_417EtzdfNq2iWO4EMOEPfwGxZSrlH&amp;usp=drive_copy" TargetMode="External"/><Relationship Id="rId11" Type="http://schemas.openxmlformats.org/officeDocument/2006/relationships/hyperlink" Target="https://drive.google.com/open?id=1Mzh4tnehO2bXKX-KEKOwsdGvv_auCqHK&amp;usp=drive_copy" TargetMode="External"/><Relationship Id="rId10" Type="http://schemas.openxmlformats.org/officeDocument/2006/relationships/hyperlink" Target="https://drive.google.com/open?id=1tCluSjngbkCrhgz5zHmSxu0fmadrYI9p&amp;usp=drive_copy" TargetMode="External"/><Relationship Id="rId13" Type="http://schemas.openxmlformats.org/officeDocument/2006/relationships/hyperlink" Target="https://drive.google.com/open?id=1hGjKzhnIHaFOfI-Q7-xMFb4OIcFUKytm&amp;usp=drive_copy" TargetMode="External"/><Relationship Id="rId12" Type="http://schemas.openxmlformats.org/officeDocument/2006/relationships/hyperlink" Target="https://drive.google.com/open?id=1-mS7ocFoJPhP2nrBc992_4--fX5vpX_P&amp;usp=drive_copy" TargetMode="External"/><Relationship Id="rId15" Type="http://schemas.openxmlformats.org/officeDocument/2006/relationships/hyperlink" Target="https://drive.google.com/open?id=1xCcY_pxlPJyIE9pGBSxtx6LYAztqPoeO&amp;usp=drive_copy" TargetMode="External"/><Relationship Id="rId198" Type="http://schemas.openxmlformats.org/officeDocument/2006/relationships/hyperlink" Target="https://drive.google.com/open?id=1hDUaRIyzuWAwXZNLt5OpQ_Eq1TK612Ak&amp;usp=drive_copy" TargetMode="External"/><Relationship Id="rId14" Type="http://schemas.openxmlformats.org/officeDocument/2006/relationships/hyperlink" Target="https://drive.google.com/open?id=1YarjvVndYuMLldxsptE31xu24_gMNrUN&amp;usp=drive_copy" TargetMode="External"/><Relationship Id="rId197" Type="http://schemas.openxmlformats.org/officeDocument/2006/relationships/hyperlink" Target="https://drive.google.com/open?id=1apLPZdbFhuTWHDijiv7Oj4Aoi86G30rL&amp;usp=drive_copy" TargetMode="External"/><Relationship Id="rId17" Type="http://schemas.openxmlformats.org/officeDocument/2006/relationships/hyperlink" Target="https://drive.google.com/open?id=1XG64kGScCyQ4Fx3XXDesDRFr3gGwrq8f&amp;usp=drive_copy" TargetMode="External"/><Relationship Id="rId196" Type="http://schemas.openxmlformats.org/officeDocument/2006/relationships/hyperlink" Target="https://drive.google.com/open?id=1nEIZacTNhx_9shplkaY_RlNB0kABC-ao&amp;usp=drive_copy" TargetMode="External"/><Relationship Id="rId16" Type="http://schemas.openxmlformats.org/officeDocument/2006/relationships/hyperlink" Target="https://drive.google.com/open?id=169pcL6Kfni_4rjMivIei_OceXWSW3NEx&amp;usp=drive_copy" TargetMode="External"/><Relationship Id="rId195" Type="http://schemas.openxmlformats.org/officeDocument/2006/relationships/hyperlink" Target="https://drive.google.com/open?id=14WD9IBrqbpL0fcUwN8iJm5RQz46wEXKj&amp;usp=drive_copy" TargetMode="External"/><Relationship Id="rId19" Type="http://schemas.openxmlformats.org/officeDocument/2006/relationships/hyperlink" Target="https://drive.google.com/open?id=1masOc6GjeZvJXgjoW01oE-ghsc4bmSs9&amp;usp=drive_copy" TargetMode="External"/><Relationship Id="rId18" Type="http://schemas.openxmlformats.org/officeDocument/2006/relationships/hyperlink" Target="https://drive.google.com/open?id=1fZB_4D3VPzM-mC8WsdAuVSE9WEEwxjK0&amp;usp=drive_copy" TargetMode="External"/><Relationship Id="rId199" Type="http://schemas.openxmlformats.org/officeDocument/2006/relationships/hyperlink" Target="https://drive.google.com/open?id=1oCvf1vo9UvV-sttKwD-eyzWJG3FK8CpU&amp;usp=drive_copy" TargetMode="External"/><Relationship Id="rId84" Type="http://schemas.openxmlformats.org/officeDocument/2006/relationships/hyperlink" Target="https://drive.google.com/open?id=1JHm98AC8zD45uNEon53QhFsdwRYjUmMV&amp;usp=drive_copy" TargetMode="External"/><Relationship Id="rId83" Type="http://schemas.openxmlformats.org/officeDocument/2006/relationships/hyperlink" Target="https://drive.google.com/open?id=1pUD1uzQQ68ZgBpy2D6SHm_QbQYSoDMEW&amp;usp=drive_copy" TargetMode="External"/><Relationship Id="rId86" Type="http://schemas.openxmlformats.org/officeDocument/2006/relationships/hyperlink" Target="https://drive.google.com/open?id=15Y_s3vv3nsyCSXLdpj2vXKUWhtgv0CMt&amp;usp=drive_copy" TargetMode="External"/><Relationship Id="rId85" Type="http://schemas.openxmlformats.org/officeDocument/2006/relationships/hyperlink" Target="https://drive.google.com/open?id=1ZuaUngl95NIZlCvouYt0Ysi8k68MYAD-&amp;usp=drive_copy" TargetMode="External"/><Relationship Id="rId88" Type="http://schemas.openxmlformats.org/officeDocument/2006/relationships/hyperlink" Target="https://drive.google.com/open?id=1HEX6hniGaJtWNkHC51uIg-GwDE643jQ1&amp;usp=drive_copy" TargetMode="External"/><Relationship Id="rId150" Type="http://schemas.openxmlformats.org/officeDocument/2006/relationships/hyperlink" Target="https://drive.google.com/open?id=1O7GXzXUKBmwUnLU2SldQw5dOmFNgs7Pr&amp;usp=drive_copy" TargetMode="External"/><Relationship Id="rId271" Type="http://schemas.openxmlformats.org/officeDocument/2006/relationships/hyperlink" Target="https://drive.google.com/open?id=1ZlwcgkiWdUP176PVrX3AGc7Pmj31XvwE&amp;usp=drive_copy" TargetMode="External"/><Relationship Id="rId87" Type="http://schemas.openxmlformats.org/officeDocument/2006/relationships/hyperlink" Target="https://drive.google.com/open?id=1SG9vp3iBI29Co2g5cF64q_ZJ3RadWZvA&amp;usp=drive_copy" TargetMode="External"/><Relationship Id="rId270" Type="http://schemas.openxmlformats.org/officeDocument/2006/relationships/hyperlink" Target="https://drive.google.com/open?id=1vzcQgcLf7M1jwzYy0zjP2mx2rhGh3X-L&amp;usp=drive_copy" TargetMode="External"/><Relationship Id="rId89" Type="http://schemas.openxmlformats.org/officeDocument/2006/relationships/hyperlink" Target="https://drive.google.com/open?id=1pbh-5WlwL1CkiANiD1lvWfV_g-xDSmbi&amp;usp=drive_copy" TargetMode="External"/><Relationship Id="rId80" Type="http://schemas.openxmlformats.org/officeDocument/2006/relationships/hyperlink" Target="https://drive.google.com/open?id=13N7mqEIp8T0mN0FtZkS7Bz6dqI2-woBH&amp;usp=drive_copy" TargetMode="External"/><Relationship Id="rId82" Type="http://schemas.openxmlformats.org/officeDocument/2006/relationships/hyperlink" Target="https://drive.google.com/open?id=1m8MRw59-lcC2FhqxKgwnUeuRcXzbyCc5&amp;usp=drive_copy" TargetMode="External"/><Relationship Id="rId81" Type="http://schemas.openxmlformats.org/officeDocument/2006/relationships/hyperlink" Target="https://drive.google.com/open?id=1r-SDfGo3Tw5nSSguBOzaaMNliW8KF5o3&amp;usp=drive_copy" TargetMode="External"/><Relationship Id="rId1" Type="http://schemas.openxmlformats.org/officeDocument/2006/relationships/hyperlink" Target="https://drive.google.com/open?id=1kLpcL9poEudTeiRoWyDcYMiX8jJkBhwN&amp;usp=drive_copy" TargetMode="External"/><Relationship Id="rId2" Type="http://schemas.openxmlformats.org/officeDocument/2006/relationships/hyperlink" Target="https://drive.google.com/open?id=1-h1Ww8tIQJ5t0yfWNaKtJ1LqkpbEFk1j&amp;usp=drive_copy" TargetMode="External"/><Relationship Id="rId3" Type="http://schemas.openxmlformats.org/officeDocument/2006/relationships/hyperlink" Target="https://drive.google.com/open?id=1BAp8mur8MwIHpjdgHbXQIDEnlg93ttnI&amp;usp=drive_copy" TargetMode="External"/><Relationship Id="rId149" Type="http://schemas.openxmlformats.org/officeDocument/2006/relationships/hyperlink" Target="https://drive.google.com/open?id=1sSKhtdaH0W0cNMZSrBETqTCyzAEy7Vtt&amp;usp=drive_copy" TargetMode="External"/><Relationship Id="rId4" Type="http://schemas.openxmlformats.org/officeDocument/2006/relationships/hyperlink" Target="https://drive.google.com/open?id=18OqFXFEA1R52dFJkUNw9rhuEdeKV7_1n&amp;usp=drive_copy" TargetMode="External"/><Relationship Id="rId148" Type="http://schemas.openxmlformats.org/officeDocument/2006/relationships/hyperlink" Target="https://drive.google.com/open?id=1WqxOPUk66UaWq9vxOzNnq7-zfZ4XAc4G&amp;usp=drive_copy" TargetMode="External"/><Relationship Id="rId269" Type="http://schemas.openxmlformats.org/officeDocument/2006/relationships/hyperlink" Target="https://drive.google.com/open?id=1qMnrlcorxJquWUMvRZlLyNBPExhEx-Ca&amp;usp=drive_copy" TargetMode="External"/><Relationship Id="rId9" Type="http://schemas.openxmlformats.org/officeDocument/2006/relationships/hyperlink" Target="https://drive.google.com/open?id=14mkcNXa_1ljfJU59rgd61g8cOkLS6vGb&amp;usp=drive_copy" TargetMode="External"/><Relationship Id="rId143" Type="http://schemas.openxmlformats.org/officeDocument/2006/relationships/hyperlink" Target="https://drive.google.com/open?id=1kf7GA0due6PUk0f__Kk7KXZu699a6fAl&amp;usp=drive_copy" TargetMode="External"/><Relationship Id="rId264" Type="http://schemas.openxmlformats.org/officeDocument/2006/relationships/hyperlink" Target="https://drive.google.com/open?id=1R0PaF1LsyzKNGQuWV8LMI6Q-IRkGDxei&amp;usp=drive_copy" TargetMode="External"/><Relationship Id="rId142" Type="http://schemas.openxmlformats.org/officeDocument/2006/relationships/hyperlink" Target="https://drive.google.com/open?id=1ibBETjwpwYhc3pZq-PQJ38xx41lI6mD-&amp;usp=drive_copy" TargetMode="External"/><Relationship Id="rId263" Type="http://schemas.openxmlformats.org/officeDocument/2006/relationships/hyperlink" Target="https://drive.google.com/open?id=1OQK6AzEv4PGCC3P48U-t_3pyROQRiNjX&amp;usp=drive_copy" TargetMode="External"/><Relationship Id="rId141" Type="http://schemas.openxmlformats.org/officeDocument/2006/relationships/hyperlink" Target="https://drive.google.com/open?id=1Rns3_1yBpNbyBIYV0CLwKQ1ePuVGckJl&amp;usp=drive_copy" TargetMode="External"/><Relationship Id="rId262" Type="http://schemas.openxmlformats.org/officeDocument/2006/relationships/hyperlink" Target="https://drive.google.com/open?id=1nk_b0H9Hi93deCrGfI33rcwmrKWUxe3h&amp;usp=drive_copy" TargetMode="External"/><Relationship Id="rId140" Type="http://schemas.openxmlformats.org/officeDocument/2006/relationships/hyperlink" Target="https://drive.google.com/open?id=1VlHuhjx2z9-UXKi8zzbiSr4aoc3IxJLt&amp;usp=drive_copy" TargetMode="External"/><Relationship Id="rId261" Type="http://schemas.openxmlformats.org/officeDocument/2006/relationships/hyperlink" Target="https://drive.google.com/open?id=149XpmRcFfQiR-aU6j7tlUtAIZWuna_8m&amp;usp=drive_copy" TargetMode="External"/><Relationship Id="rId5" Type="http://schemas.openxmlformats.org/officeDocument/2006/relationships/hyperlink" Target="https://drive.google.com/open?id=1FOTcXprHywf45lLFdqfj1ooztTOqJz2M&amp;usp=drive_copy" TargetMode="External"/><Relationship Id="rId147" Type="http://schemas.openxmlformats.org/officeDocument/2006/relationships/hyperlink" Target="https://drive.google.com/open?id=1V48YDCWeruljBSdKs0cAm-niJT1QXFD-&amp;usp=drive_copy" TargetMode="External"/><Relationship Id="rId268" Type="http://schemas.openxmlformats.org/officeDocument/2006/relationships/hyperlink" Target="https://drive.google.com/open?id=1R-stBof5Ckg2dBKdWexEcOuHNJ5bjlp_&amp;usp=drive_copy" TargetMode="External"/><Relationship Id="rId6" Type="http://schemas.openxmlformats.org/officeDocument/2006/relationships/hyperlink" Target="https://drive.google.com/open?id=1jXiQFb5HNQQysx0vaz-htXzQi1SxNNPe&amp;usp=drive_copy" TargetMode="External"/><Relationship Id="rId146" Type="http://schemas.openxmlformats.org/officeDocument/2006/relationships/hyperlink" Target="https://drive.google.com/open?id=15feTiIf6SEe1zJMB8FShqWs_FwTRmsdu&amp;usp=drive_copy" TargetMode="External"/><Relationship Id="rId267" Type="http://schemas.openxmlformats.org/officeDocument/2006/relationships/hyperlink" Target="https://drive.google.com/open?id=1iBTIliHMPu1AGRjLnOTPSXVYYHSfzxFQ&amp;usp=drive_copy" TargetMode="External"/><Relationship Id="rId7" Type="http://schemas.openxmlformats.org/officeDocument/2006/relationships/hyperlink" Target="https://drive.google.com/open?id=1pUk574oCff6qVCXPSchEf8WiR4ptX3TR&amp;usp=drive_copy" TargetMode="External"/><Relationship Id="rId145" Type="http://schemas.openxmlformats.org/officeDocument/2006/relationships/hyperlink" Target="https://drive.google.com/open?id=1V8EpLe00seAFO6ndBJSbw5Iakq06biif&amp;usp=drive_copy" TargetMode="External"/><Relationship Id="rId266" Type="http://schemas.openxmlformats.org/officeDocument/2006/relationships/hyperlink" Target="https://drive.google.com/open?id=1yE5xSbrxmr457PhIdaMM7x0dbutzZlM-&amp;usp=drive_copy" TargetMode="External"/><Relationship Id="rId8" Type="http://schemas.openxmlformats.org/officeDocument/2006/relationships/hyperlink" Target="https://drive.google.com/open?id=1qkrhA_UKQvcD1rtNzWzb9apuoJxbJ8I9&amp;usp=drive_copy" TargetMode="External"/><Relationship Id="rId144" Type="http://schemas.openxmlformats.org/officeDocument/2006/relationships/hyperlink" Target="https://drive.google.com/open?id=1LSv1vqqCpAXaXOrLWfEjh1-7viY-bJ97&amp;usp=drive_copy" TargetMode="External"/><Relationship Id="rId265" Type="http://schemas.openxmlformats.org/officeDocument/2006/relationships/hyperlink" Target="https://drive.google.com/open?id=1Bbk4E4jIFM4q9nn-1PNkx1cLWf26nhE3&amp;usp=drive_copy" TargetMode="External"/><Relationship Id="rId73" Type="http://schemas.openxmlformats.org/officeDocument/2006/relationships/hyperlink" Target="https://drive.google.com/open?id=1vYXUgXtQ4SoOktK8xsLWdaUvkfgO2Owm&amp;usp=drive_copy" TargetMode="External"/><Relationship Id="rId72" Type="http://schemas.openxmlformats.org/officeDocument/2006/relationships/hyperlink" Target="https://drive.google.com/open?id=1CIl0HL7KeXSWZdRItAcpVFOr5tufrjan&amp;usp=drive_copy" TargetMode="External"/><Relationship Id="rId75" Type="http://schemas.openxmlformats.org/officeDocument/2006/relationships/hyperlink" Target="https://drive.google.com/open?id=15Tg_8Ur0hQlOxkSVxMdq1CMLJegQffYf&amp;usp=drive_copy" TargetMode="External"/><Relationship Id="rId74" Type="http://schemas.openxmlformats.org/officeDocument/2006/relationships/hyperlink" Target="https://drive.google.com/open?id=13U9DrHIsjHh9Fw-J89qSf3weVGCYKg-m&amp;usp=drive_copy" TargetMode="External"/><Relationship Id="rId77" Type="http://schemas.openxmlformats.org/officeDocument/2006/relationships/hyperlink" Target="https://drive.google.com/open?id=18w4Pr74Qp1-5TOfFkAzjal6vkEJZrDkU&amp;usp=drive_copy" TargetMode="External"/><Relationship Id="rId260" Type="http://schemas.openxmlformats.org/officeDocument/2006/relationships/hyperlink" Target="https://drive.google.com/open?id=1q8oJEWokCptWIHCPIdYclfoJL06ZEdiF&amp;usp=drive_copy" TargetMode="External"/><Relationship Id="rId76" Type="http://schemas.openxmlformats.org/officeDocument/2006/relationships/hyperlink" Target="https://drive.google.com/open?id=1lnJBH3f82DZBPx7coXggNgWVZORK6pls&amp;usp=drive_copy" TargetMode="External"/><Relationship Id="rId79" Type="http://schemas.openxmlformats.org/officeDocument/2006/relationships/hyperlink" Target="https://drive.google.com/open?id=1cLYQDh-f4MLXier1Y_W9-EkTWhgr36K9&amp;usp=drive_copy" TargetMode="External"/><Relationship Id="rId78" Type="http://schemas.openxmlformats.org/officeDocument/2006/relationships/hyperlink" Target="https://drive.google.com/open?id=1XE-i_VScCkaQnSRzPUgqFN5F-tvkZ0C8&amp;usp=drive_copy" TargetMode="External"/><Relationship Id="rId71" Type="http://schemas.openxmlformats.org/officeDocument/2006/relationships/hyperlink" Target="https://drive.google.com/open?id=1EqksWB9JSmDU4NMSPxeepzU-9YtsdSc3&amp;usp=drive_copy" TargetMode="External"/><Relationship Id="rId70" Type="http://schemas.openxmlformats.org/officeDocument/2006/relationships/hyperlink" Target="https://drive.google.com/open?id=1anVs0lqqf6GyiUhdJNe4Nonf4T4kpadW&amp;usp=drive_copy" TargetMode="External"/><Relationship Id="rId139" Type="http://schemas.openxmlformats.org/officeDocument/2006/relationships/hyperlink" Target="https://drive.google.com/open?id=1_eF2nVf6gmGAAZbySeJgBEOmo9BTXXMJ&amp;usp=drive_copy" TargetMode="External"/><Relationship Id="rId138" Type="http://schemas.openxmlformats.org/officeDocument/2006/relationships/hyperlink" Target="https://drive.google.com/open?id=1F2hFYFux8kkdu8fC6hvpiVF97QOFbxJk&amp;usp=drive_copy" TargetMode="External"/><Relationship Id="rId259" Type="http://schemas.openxmlformats.org/officeDocument/2006/relationships/hyperlink" Target="https://drive.google.com/open?id=1tGPLExGAPz1yzk6asv781uJll7Yo8cxX&amp;usp=drive_copy" TargetMode="External"/><Relationship Id="rId137" Type="http://schemas.openxmlformats.org/officeDocument/2006/relationships/hyperlink" Target="https://drive.google.com/open?id=1W6NdI6qP031v5lYdYbruC0_45Fwso3VA&amp;usp=drive_copy" TargetMode="External"/><Relationship Id="rId258" Type="http://schemas.openxmlformats.org/officeDocument/2006/relationships/hyperlink" Target="https://drive.google.com/open?id=1BPwzI0mOGTJ3pQCSoQamEAmsWJsxI-tq&amp;usp=drive_copy" TargetMode="External"/><Relationship Id="rId132" Type="http://schemas.openxmlformats.org/officeDocument/2006/relationships/hyperlink" Target="https://drive.google.com/open?id=1EeM9vzzR1uNIQbalmaB826kAQMRGsPiK&amp;usp=drive_copy" TargetMode="External"/><Relationship Id="rId253" Type="http://schemas.openxmlformats.org/officeDocument/2006/relationships/hyperlink" Target="https://drive.google.com/open?id=1SwrbjQ1O_yu3xq6D9KrpaaoTmmQqdVJe&amp;usp=drive_copy" TargetMode="External"/><Relationship Id="rId131" Type="http://schemas.openxmlformats.org/officeDocument/2006/relationships/hyperlink" Target="https://drive.google.com/open?id=1SKkr3297HlXphZ9EyrXClPpAX3rNv1CD&amp;usp=drive_copy" TargetMode="External"/><Relationship Id="rId252" Type="http://schemas.openxmlformats.org/officeDocument/2006/relationships/hyperlink" Target="https://drive.google.com/open?id=1Uaq0eggzQ8gEM8sVRingzXYYBGrqLIpD&amp;usp=drive_copy" TargetMode="External"/><Relationship Id="rId130" Type="http://schemas.openxmlformats.org/officeDocument/2006/relationships/hyperlink" Target="https://drive.google.com/open?id=1OFAEDJAXQJpdDWMNKwxc6-MnkTaMIyTW&amp;usp=drive_copy" TargetMode="External"/><Relationship Id="rId251" Type="http://schemas.openxmlformats.org/officeDocument/2006/relationships/hyperlink" Target="https://drive.google.com/open?id=1rQCEX62rgyxlqTLmRrX-YjFOUqKqKbzM&amp;usp=drive_copy" TargetMode="External"/><Relationship Id="rId250" Type="http://schemas.openxmlformats.org/officeDocument/2006/relationships/hyperlink" Target="https://drive.google.com/open?id=19omLkMf5Rc--LcmHI7mAnGfGXGpYqPQv&amp;usp=drive_copy" TargetMode="External"/><Relationship Id="rId136" Type="http://schemas.openxmlformats.org/officeDocument/2006/relationships/hyperlink" Target="https://drive.google.com/open?id=1dwM_BceRbbH0IVq2PyG5HgjhSwaLcgmE&amp;usp=drive_copy" TargetMode="External"/><Relationship Id="rId257" Type="http://schemas.openxmlformats.org/officeDocument/2006/relationships/hyperlink" Target="https://drive.google.com/open?id=1__ciUB_ANhEcB0I_0LmuAAu8IF7z4sC0&amp;usp=drive_copy" TargetMode="External"/><Relationship Id="rId135" Type="http://schemas.openxmlformats.org/officeDocument/2006/relationships/hyperlink" Target="https://drive.google.com/open?id=1eChdO77p9m8Yj7Iiv8NugaOYxXtZIqVa&amp;usp=drive_copy" TargetMode="External"/><Relationship Id="rId256" Type="http://schemas.openxmlformats.org/officeDocument/2006/relationships/hyperlink" Target="https://drive.google.com/open?id=13mmc14UjwrhPF1Uj2PLtctANtQH9zg4P&amp;usp=drive_copy" TargetMode="External"/><Relationship Id="rId134" Type="http://schemas.openxmlformats.org/officeDocument/2006/relationships/hyperlink" Target="https://drive.google.com/open?id=10vmHqiVlt4HdH7UMDTiy1Fzh_dHmE5Z7&amp;usp=drive_copy" TargetMode="External"/><Relationship Id="rId255" Type="http://schemas.openxmlformats.org/officeDocument/2006/relationships/hyperlink" Target="https://drive.google.com/open?id=1BdnZpRntA2upO2-m34E5zliBBAGwLoga&amp;usp=drive_copy" TargetMode="External"/><Relationship Id="rId133" Type="http://schemas.openxmlformats.org/officeDocument/2006/relationships/hyperlink" Target="https://drive.google.com/open?id=1a4fgxev6i9Gh3sjogo4zuEFmel5Traf7&amp;usp=drive_copy" TargetMode="External"/><Relationship Id="rId254" Type="http://schemas.openxmlformats.org/officeDocument/2006/relationships/hyperlink" Target="https://drive.google.com/open?id=1YPOhvlV2e9Tw_rZfymyr_r9mTaAsS39b&amp;usp=drive_copy" TargetMode="External"/><Relationship Id="rId62" Type="http://schemas.openxmlformats.org/officeDocument/2006/relationships/hyperlink" Target="https://drive.google.com/open?id=1QSYxVxcZiKBMpWF6xz7lKfTAA4a92t16&amp;usp=drive_copy" TargetMode="External"/><Relationship Id="rId61" Type="http://schemas.openxmlformats.org/officeDocument/2006/relationships/hyperlink" Target="https://drive.google.com/open?id=1jcoTE_zc0e5MOQm3L4zpPGGfAxhE0iJu&amp;usp=drive_copy" TargetMode="External"/><Relationship Id="rId64" Type="http://schemas.openxmlformats.org/officeDocument/2006/relationships/hyperlink" Target="https://drive.google.com/open?id=1JxH_RvK61Ane_WDW1Qnqce0LV8DDF2AV&amp;usp=drive_copy" TargetMode="External"/><Relationship Id="rId63" Type="http://schemas.openxmlformats.org/officeDocument/2006/relationships/hyperlink" Target="https://drive.google.com/open?id=1jTFk1Rcs20L0LrHwikBtB6ANkrxqfWDC&amp;usp=drive_copy" TargetMode="External"/><Relationship Id="rId66" Type="http://schemas.openxmlformats.org/officeDocument/2006/relationships/hyperlink" Target="https://drive.google.com/open?id=1uoAF4IsoEpRNWIF82cxdjosLWELd0Boe&amp;usp=drive_copy" TargetMode="External"/><Relationship Id="rId172" Type="http://schemas.openxmlformats.org/officeDocument/2006/relationships/hyperlink" Target="https://drive.google.com/open?id=1Plg3SOcinTh6HVf6IIA26jdv695Pofwo&amp;usp=drive_copy" TargetMode="External"/><Relationship Id="rId293" Type="http://schemas.openxmlformats.org/officeDocument/2006/relationships/hyperlink" Target="https://drive.google.com/open?id=1Kc8BRz2fYdRdv5a065xCF4F_AMsAtTYC&amp;usp=drive_copy" TargetMode="External"/><Relationship Id="rId65" Type="http://schemas.openxmlformats.org/officeDocument/2006/relationships/hyperlink" Target="https://drive.google.com/open?id=15U-yz4Cta3h8YyxZ7zQHoTqicUIs18Ad&amp;usp=drive_copy" TargetMode="External"/><Relationship Id="rId171" Type="http://schemas.openxmlformats.org/officeDocument/2006/relationships/hyperlink" Target="https://drive.google.com/open?id=1RxBQibPanAX0OBc8H0LUElZEV89msrL7&amp;usp=drive_copy" TargetMode="External"/><Relationship Id="rId292" Type="http://schemas.openxmlformats.org/officeDocument/2006/relationships/hyperlink" Target="https://drive.google.com/open?id=1Cq1SzaJHhTywhxOmJwRxFAzIHwrdn8Vh&amp;usp=drive_copy" TargetMode="External"/><Relationship Id="rId68" Type="http://schemas.openxmlformats.org/officeDocument/2006/relationships/hyperlink" Target="https://drive.google.com/open?id=1pqvA81lXNMpa84UJxijDy6-PWrvSHQiO&amp;usp=drive_copy" TargetMode="External"/><Relationship Id="rId170" Type="http://schemas.openxmlformats.org/officeDocument/2006/relationships/hyperlink" Target="https://drive.google.com/open?id=1FJ_d3bF0ReaeZroWArXUf0AUOIGQf5BP&amp;usp=drive_copy" TargetMode="External"/><Relationship Id="rId291" Type="http://schemas.openxmlformats.org/officeDocument/2006/relationships/hyperlink" Target="https://drive.google.com/open?id=1KqjJ2_Oe8RdmW0mMeH1ySiM8GT5h8WMy&amp;usp=drive_copy" TargetMode="External"/><Relationship Id="rId67" Type="http://schemas.openxmlformats.org/officeDocument/2006/relationships/hyperlink" Target="https://drive.google.com/open?id=1Q7eO8t_wyWBd8CrWGn4l7Cl1s6LfhifU&amp;usp=drive_copy" TargetMode="External"/><Relationship Id="rId290" Type="http://schemas.openxmlformats.org/officeDocument/2006/relationships/hyperlink" Target="https://drive.google.com/open?id=1c6p4NJsVs6l78_x9RyMG55j_1-0hv70b&amp;usp=drive_copy" TargetMode="External"/><Relationship Id="rId60" Type="http://schemas.openxmlformats.org/officeDocument/2006/relationships/hyperlink" Target="https://drive.google.com/open?id=1BQpqw8Jebstz8kIplVqvQBzFj6OAmp5B&amp;usp=drive_copy" TargetMode="External"/><Relationship Id="rId165" Type="http://schemas.openxmlformats.org/officeDocument/2006/relationships/hyperlink" Target="https://drive.google.com/open?id=1TpTUEhx76D-TwRbOHut19qyK_xc08RdJ&amp;usp=drive_copy" TargetMode="External"/><Relationship Id="rId286" Type="http://schemas.openxmlformats.org/officeDocument/2006/relationships/hyperlink" Target="https://drive.google.com/open?id=11s66ufksRd_wzEw15XXGJ5aPYvIUUcYo&amp;usp=drive_copy" TargetMode="External"/><Relationship Id="rId69" Type="http://schemas.openxmlformats.org/officeDocument/2006/relationships/hyperlink" Target="https://drive.google.com/open?id=1lXmNOz47E-llAJOPsXqKndetfPxaoKC1&amp;usp=drive_copy" TargetMode="External"/><Relationship Id="rId164" Type="http://schemas.openxmlformats.org/officeDocument/2006/relationships/hyperlink" Target="https://drive.google.com/open?id=1N1ufaiX69_z1JZxXD0jK3I5C17Kaazvj&amp;usp=drive_copy" TargetMode="External"/><Relationship Id="rId285" Type="http://schemas.openxmlformats.org/officeDocument/2006/relationships/hyperlink" Target="https://drive.google.com/open?id=14SPCjyL6HUv91RIaO_BAPLvglKvAEh-8&amp;usp=drive_copy" TargetMode="External"/><Relationship Id="rId163" Type="http://schemas.openxmlformats.org/officeDocument/2006/relationships/hyperlink" Target="https://drive.google.com/open?id=1vAvEPgv1-Qd8qos_kE24rpEM9145fNM_&amp;usp=drive_copy" TargetMode="External"/><Relationship Id="rId284" Type="http://schemas.openxmlformats.org/officeDocument/2006/relationships/hyperlink" Target="https://drive.google.com/open?id=1eUgsvI_UN5SAUzVREOuNngQ6cJ4Zc2B6&amp;usp=drive_copy" TargetMode="External"/><Relationship Id="rId162" Type="http://schemas.openxmlformats.org/officeDocument/2006/relationships/hyperlink" Target="https://drive.google.com/open?id=1tdw1Ta3tSw6aEqxXD30bNeBvMaBP1sGZ&amp;usp=drive_copy" TargetMode="External"/><Relationship Id="rId283" Type="http://schemas.openxmlformats.org/officeDocument/2006/relationships/hyperlink" Target="https://drive.google.com/open?id=164KrQmCJSC0HZYA-OAcXZlX6vUZEtsYR&amp;usp=drive_copy" TargetMode="External"/><Relationship Id="rId169" Type="http://schemas.openxmlformats.org/officeDocument/2006/relationships/hyperlink" Target="https://drive.google.com/open?id=1JmmLeZOL544bqK7PhxhmKNNqFKKlUBc5&amp;usp=drive_copy" TargetMode="External"/><Relationship Id="rId168" Type="http://schemas.openxmlformats.org/officeDocument/2006/relationships/hyperlink" Target="https://drive.google.com/open?id=1oBTMbaU6fyOIsHAawPqe3U2-i5zYY9e2&amp;usp=drive_copy" TargetMode="External"/><Relationship Id="rId289" Type="http://schemas.openxmlformats.org/officeDocument/2006/relationships/hyperlink" Target="https://drive.google.com/open?id=1U0yVKc5ie8FG7B5cXMZiGH1YVHhO3HN2&amp;usp=drive_copy" TargetMode="External"/><Relationship Id="rId167" Type="http://schemas.openxmlformats.org/officeDocument/2006/relationships/hyperlink" Target="https://drive.google.com/open?id=1mN1rDa_OxXTj94mvUglBJ0wjy8ymD52Y&amp;usp=drive_copy" TargetMode="External"/><Relationship Id="rId288" Type="http://schemas.openxmlformats.org/officeDocument/2006/relationships/hyperlink" Target="https://drive.google.com/open?id=1Q9VxM7YXKDxDTA8nVH8f7NPHt6sE-O8o&amp;usp=drive_copy" TargetMode="External"/><Relationship Id="rId166" Type="http://schemas.openxmlformats.org/officeDocument/2006/relationships/hyperlink" Target="https://drive.google.com/open?id=1J1AWQu45sAw4DHsotkpChR1RfObSI3ee&amp;usp=drive_copy" TargetMode="External"/><Relationship Id="rId287" Type="http://schemas.openxmlformats.org/officeDocument/2006/relationships/hyperlink" Target="https://drive.google.com/open?id=1w4bOX__geyH0phouifoZNppcWNYnBD-t&amp;usp=drive_copy" TargetMode="External"/><Relationship Id="rId51" Type="http://schemas.openxmlformats.org/officeDocument/2006/relationships/hyperlink" Target="https://drive.google.com/open?id=1PmOtR-1bJYulcqHlM0USiYCTC3GTxQOU&amp;usp=drive_copy" TargetMode="External"/><Relationship Id="rId50" Type="http://schemas.openxmlformats.org/officeDocument/2006/relationships/hyperlink" Target="https://drive.google.com/open?id=1IW_9sfbzh8IdDDFfJlH_AmFzk85cwHgY&amp;usp=drive_copy" TargetMode="External"/><Relationship Id="rId53" Type="http://schemas.openxmlformats.org/officeDocument/2006/relationships/hyperlink" Target="https://drive.google.com/open?id=15fpoSxH0InWDLfVJkGVPAS0c61_qdqXv&amp;usp=drive_copy" TargetMode="External"/><Relationship Id="rId52" Type="http://schemas.openxmlformats.org/officeDocument/2006/relationships/hyperlink" Target="https://drive.google.com/open?id=1WFSUHkKfIleIij6YjBpJcxKsyvhGOCiI&amp;usp=drive_copy" TargetMode="External"/><Relationship Id="rId55" Type="http://schemas.openxmlformats.org/officeDocument/2006/relationships/hyperlink" Target="https://drive.google.com/open?id=1lOh8E8xEtXAknhhK3tW0QbrxWJTkfWsx&amp;usp=drive_copy" TargetMode="External"/><Relationship Id="rId161" Type="http://schemas.openxmlformats.org/officeDocument/2006/relationships/hyperlink" Target="https://drive.google.com/open?id=1KEP6-PFuGZ3mj_iqYhf9Zm9hnoqbaypU&amp;usp=drive_copy" TargetMode="External"/><Relationship Id="rId282" Type="http://schemas.openxmlformats.org/officeDocument/2006/relationships/hyperlink" Target="https://drive.google.com/open?id=1mA1kECH9ySgnb8d9kt5z994IwSAI4yTl&amp;usp=drive_copy" TargetMode="External"/><Relationship Id="rId54" Type="http://schemas.openxmlformats.org/officeDocument/2006/relationships/hyperlink" Target="https://drive.google.com/open?id=1rBl3fDVyCUKg5pzxswzeGpDWnik1XynF&amp;usp=drive_copy" TargetMode="External"/><Relationship Id="rId160" Type="http://schemas.openxmlformats.org/officeDocument/2006/relationships/hyperlink" Target="https://drive.google.com/open?id=1B-CxNypNrd7hwcn_2MTPbRWESEUimhqg&amp;usp=drive_copy" TargetMode="External"/><Relationship Id="rId281" Type="http://schemas.openxmlformats.org/officeDocument/2006/relationships/hyperlink" Target="https://drive.google.com/open?id=1rXKYqwghH4WkP_JDiuf7dXJGS465z7HI&amp;usp=drive_copy" TargetMode="External"/><Relationship Id="rId57" Type="http://schemas.openxmlformats.org/officeDocument/2006/relationships/hyperlink" Target="https://drive.google.com/open?id=1nJY_a1sFTyH2-S8YAfaHtZ6BQn-T7zPw&amp;usp=drive_copy" TargetMode="External"/><Relationship Id="rId280" Type="http://schemas.openxmlformats.org/officeDocument/2006/relationships/hyperlink" Target="https://drive.google.com/open?id=1X3FwuIfakNEOwD02dGiNx30gSfbXaAHp&amp;usp=drive_copy" TargetMode="External"/><Relationship Id="rId56" Type="http://schemas.openxmlformats.org/officeDocument/2006/relationships/hyperlink" Target="https://drive.google.com/open?id=1JRdv6IDL36Yl7TdTj_Tws5mbSuY92Ye9&amp;usp=drive_copy" TargetMode="External"/><Relationship Id="rId159" Type="http://schemas.openxmlformats.org/officeDocument/2006/relationships/hyperlink" Target="https://drive.google.com/open?id=1E4sYyunhp4IaG072P19UdT-z-8TMElzM&amp;usp=drive_copy" TargetMode="External"/><Relationship Id="rId59" Type="http://schemas.openxmlformats.org/officeDocument/2006/relationships/hyperlink" Target="https://drive.google.com/open?id=1-8ACwBsxeQBx1zaJL7nCwcYacHLsQv5m&amp;usp=drive_copy" TargetMode="External"/><Relationship Id="rId154" Type="http://schemas.openxmlformats.org/officeDocument/2006/relationships/hyperlink" Target="https://drive.google.com/open?id=1Xa0vQca0Yy7gIJhfy45K93SNoOXh6Ak6&amp;usp=drive_copy" TargetMode="External"/><Relationship Id="rId275" Type="http://schemas.openxmlformats.org/officeDocument/2006/relationships/hyperlink" Target="https://drive.google.com/open?id=1UCUpKmkw1k8EQ7JsmdOMAmesQIxxVsv9&amp;usp=drive_copy" TargetMode="External"/><Relationship Id="rId58" Type="http://schemas.openxmlformats.org/officeDocument/2006/relationships/hyperlink" Target="https://drive.google.com/open?id=1SE_r7fzuKN2EUhw1-05WETrOVlrZg0Ba&amp;usp=drive_copy" TargetMode="External"/><Relationship Id="rId153" Type="http://schemas.openxmlformats.org/officeDocument/2006/relationships/hyperlink" Target="https://drive.google.com/open?id=1T6W6V7GbMPxZ1K87VW_1bzz7Kw1aumhI&amp;usp=drive_copy" TargetMode="External"/><Relationship Id="rId274" Type="http://schemas.openxmlformats.org/officeDocument/2006/relationships/hyperlink" Target="https://drive.google.com/open?id=1mBsgYKJZGocsa-62hP-t0PDu1d3bJIam&amp;usp=drive_copy" TargetMode="External"/><Relationship Id="rId152" Type="http://schemas.openxmlformats.org/officeDocument/2006/relationships/hyperlink" Target="https://drive.google.com/open?id=1guaM4LvHsfrCjf2NvGEGDzerimNoEBAo&amp;usp=drive_copy" TargetMode="External"/><Relationship Id="rId273" Type="http://schemas.openxmlformats.org/officeDocument/2006/relationships/hyperlink" Target="https://drive.google.com/open?id=1bVd7EdLv2q9lK3Bjd9_rwD5CKLwa6Hmq&amp;usp=drive_copy" TargetMode="External"/><Relationship Id="rId151" Type="http://schemas.openxmlformats.org/officeDocument/2006/relationships/hyperlink" Target="https://drive.google.com/open?id=1MDbvA7whXEhHHVpXEu_D_s9w_ulCqYYG&amp;usp=drive_copy" TargetMode="External"/><Relationship Id="rId272" Type="http://schemas.openxmlformats.org/officeDocument/2006/relationships/hyperlink" Target="https://drive.google.com/open?id=1ynIoW0wAEk_M_X8D8cgwYAfmi_tN9cxe&amp;usp=drive_copy" TargetMode="External"/><Relationship Id="rId158" Type="http://schemas.openxmlformats.org/officeDocument/2006/relationships/hyperlink" Target="https://drive.google.com/open?id=1A6s1OwuVXQtmRHRcz9Ajmr5LagDZTuzh&amp;usp=drive_copy" TargetMode="External"/><Relationship Id="rId279" Type="http://schemas.openxmlformats.org/officeDocument/2006/relationships/hyperlink" Target="https://drive.google.com/open?id=1Wj50LEIlTnAgIkkyRRvwZOaetnC3ejc7&amp;usp=drive_copy" TargetMode="External"/><Relationship Id="rId157" Type="http://schemas.openxmlformats.org/officeDocument/2006/relationships/hyperlink" Target="https://drive.google.com/open?id=1oiuM1vdVNgavuyVeeIceyRqtQYigTrKb&amp;usp=drive_copy" TargetMode="External"/><Relationship Id="rId278" Type="http://schemas.openxmlformats.org/officeDocument/2006/relationships/hyperlink" Target="https://drive.google.com/open?id=1tv_Yq9WPVyRC1q_GC7wXzlrTLFYGZlOh&amp;usp=drive_copy" TargetMode="External"/><Relationship Id="rId156" Type="http://schemas.openxmlformats.org/officeDocument/2006/relationships/hyperlink" Target="https://drive.google.com/open?id=1ISImA9sBPFE7hy6vMQ9BKDHIfweHxe6-&amp;usp=drive_copy" TargetMode="External"/><Relationship Id="rId277" Type="http://schemas.openxmlformats.org/officeDocument/2006/relationships/hyperlink" Target="https://drive.google.com/open?id=1PNAIoIdf_Djtpw18bZDe1Z18RKLIgPqR&amp;usp=drive_copy" TargetMode="External"/><Relationship Id="rId155" Type="http://schemas.openxmlformats.org/officeDocument/2006/relationships/hyperlink" Target="https://drive.google.com/open?id=1Kf7fhPKh7aUdfa4enq9em_jRPLK0YpXr&amp;usp=drive_copy" TargetMode="External"/><Relationship Id="rId276" Type="http://schemas.openxmlformats.org/officeDocument/2006/relationships/hyperlink" Target="https://drive.google.com/open?id=18Wvx6J8FeF0hBq5Ig4rkxd7LCLe3Hzse&amp;usp=drive_copy" TargetMode="External"/><Relationship Id="rId107" Type="http://schemas.openxmlformats.org/officeDocument/2006/relationships/hyperlink" Target="https://drive.google.com/open?id=1n6mL2CuqYRJt4ob7HSdGHdKkHYPhAzkh&amp;usp=drive_copy" TargetMode="External"/><Relationship Id="rId228" Type="http://schemas.openxmlformats.org/officeDocument/2006/relationships/hyperlink" Target="https://drive.google.com/open?id=1RAcpEzoKexo7qB95wIA2MMMTkDCKKRoZ&amp;usp=drive_copy" TargetMode="External"/><Relationship Id="rId106" Type="http://schemas.openxmlformats.org/officeDocument/2006/relationships/hyperlink" Target="https://drive.google.com/open?id=1dWFZVPTaeRtlK8ljNILssGyzXEm5no0e&amp;usp=drive_copy" TargetMode="External"/><Relationship Id="rId227" Type="http://schemas.openxmlformats.org/officeDocument/2006/relationships/hyperlink" Target="https://drive.google.com/open?id=1V1osVZGZgFqb-mjQaIHCtK7lUeuwgQxQ&amp;usp=drive_copy" TargetMode="External"/><Relationship Id="rId105" Type="http://schemas.openxmlformats.org/officeDocument/2006/relationships/hyperlink" Target="https://drive.google.com/open?id=1XfKwk0F7soaeaM5FOq0qZNiGoihwydfw&amp;usp=drive_copy" TargetMode="External"/><Relationship Id="rId226" Type="http://schemas.openxmlformats.org/officeDocument/2006/relationships/hyperlink" Target="https://drive.google.com/open?id=1b-8svUeew_wJ4-16Bi_7wgJmqnChfSj4&amp;usp=drive_copy" TargetMode="External"/><Relationship Id="rId104" Type="http://schemas.openxmlformats.org/officeDocument/2006/relationships/hyperlink" Target="https://drive.google.com/open?id=1Ogur5ulHDC2qgAqgXAWMOTdce12vTv-h&amp;usp=drive_copy" TargetMode="External"/><Relationship Id="rId225" Type="http://schemas.openxmlformats.org/officeDocument/2006/relationships/hyperlink" Target="https://drive.google.com/open?id=1rD5-gN5F7uvlMK6lMMxnszdGNloScQg9&amp;usp=drive_copy" TargetMode="External"/><Relationship Id="rId109" Type="http://schemas.openxmlformats.org/officeDocument/2006/relationships/hyperlink" Target="https://drive.google.com/open?id=11ifglpy1eyod6zDY333F0SROq3c89SBa&amp;usp=drive_copy" TargetMode="External"/><Relationship Id="rId108" Type="http://schemas.openxmlformats.org/officeDocument/2006/relationships/hyperlink" Target="https://drive.google.com/open?id=1a7AHB2XynnDQSf14N-PJP65ThVLORwoX&amp;usp=drive_copy" TargetMode="External"/><Relationship Id="rId229" Type="http://schemas.openxmlformats.org/officeDocument/2006/relationships/hyperlink" Target="https://drive.google.com/open?id=11DTgDEde_4EYKKi_AvDIKFX8BYISWaFe&amp;usp=drive_copy" TargetMode="External"/><Relationship Id="rId220" Type="http://schemas.openxmlformats.org/officeDocument/2006/relationships/hyperlink" Target="https://drive.google.com/open?id=1rD5-gN5F7uvlMK6lMMxnszdGNloScQg9&amp;usp=drive_copy" TargetMode="External"/><Relationship Id="rId103" Type="http://schemas.openxmlformats.org/officeDocument/2006/relationships/hyperlink" Target="https://drive.google.com/open?id=15Q25MrP_4bzWZxUZHi6HeKP9eHbD0Tsf&amp;usp=drive_copy" TargetMode="External"/><Relationship Id="rId224" Type="http://schemas.openxmlformats.org/officeDocument/2006/relationships/hyperlink" Target="https://drive.google.com/open?id=11rKh239kDwzwUlmmAHj569IXsf_TSUCZ&amp;usp=drive_copy" TargetMode="External"/><Relationship Id="rId102" Type="http://schemas.openxmlformats.org/officeDocument/2006/relationships/hyperlink" Target="https://drive.google.com/open?id=11Onk4s02GZ-9x9DauK_UleGCvWxrV0q5&amp;usp=drive_copy" TargetMode="External"/><Relationship Id="rId223" Type="http://schemas.openxmlformats.org/officeDocument/2006/relationships/hyperlink" Target="https://drive.google.com/open?id=1AmI-_lpgdDc6vvZzQqGHt9__m4zS3CDY&amp;usp=drive_copy" TargetMode="External"/><Relationship Id="rId101" Type="http://schemas.openxmlformats.org/officeDocument/2006/relationships/hyperlink" Target="https://drive.google.com/open?id=1KdkfD4J2aDOpu_j45x7uhdLYGYhf_nhs&amp;usp=drive_copy" TargetMode="External"/><Relationship Id="rId222" Type="http://schemas.openxmlformats.org/officeDocument/2006/relationships/hyperlink" Target="https://drive.google.com/open?id=1V1osVZGZgFqb-mjQaIHCtK7lUeuwgQxQ&amp;usp=drive_copy" TargetMode="External"/><Relationship Id="rId100" Type="http://schemas.openxmlformats.org/officeDocument/2006/relationships/hyperlink" Target="https://drive.google.com/open?id=1VSdoEISwlZMDzEQ5PS5TgYDcrLfEIKXC&amp;usp=drive_copy" TargetMode="External"/><Relationship Id="rId221" Type="http://schemas.openxmlformats.org/officeDocument/2006/relationships/hyperlink" Target="https://drive.google.com/open?id=1b-8svUeew_wJ4-16Bi_7wgJmqnChfSj4&amp;usp=drive_copy" TargetMode="External"/><Relationship Id="rId217" Type="http://schemas.openxmlformats.org/officeDocument/2006/relationships/hyperlink" Target="https://drive.google.com/open?id=1xFYe4P7n_8j1iWEwd_xuPJ-MCk9lWM65&amp;usp=drive_copy" TargetMode="External"/><Relationship Id="rId216" Type="http://schemas.openxmlformats.org/officeDocument/2006/relationships/hyperlink" Target="https://drive.google.com/open?id=13TwRh8Ke1srdLOOcF-mH8ML7kZT9qUMz&amp;usp=drive_copy" TargetMode="External"/><Relationship Id="rId215" Type="http://schemas.openxmlformats.org/officeDocument/2006/relationships/hyperlink" Target="https://drive.google.com/open?id=1H_Mq3I1W3I5Mam9H0eGLUfajbzDjvSc6&amp;usp=drive_copy" TargetMode="External"/><Relationship Id="rId214" Type="http://schemas.openxmlformats.org/officeDocument/2006/relationships/hyperlink" Target="https://drive.google.com/open?id=1R_eWuCbsK8ZxTP1YQecQS7Kde-gUInWH&amp;usp=drive_copy" TargetMode="External"/><Relationship Id="rId219" Type="http://schemas.openxmlformats.org/officeDocument/2006/relationships/hyperlink" Target="https://drive.google.com/open?id=1GFcpuc3BCUeNxU7PQlze_qhoFo_SbQ7j&amp;usp=drive_copy" TargetMode="External"/><Relationship Id="rId218" Type="http://schemas.openxmlformats.org/officeDocument/2006/relationships/hyperlink" Target="https://drive.google.com/open?id=13tOknq0C0Dh9VbTHJ9MttiD_suPfiUuG&amp;usp=drive_copy" TargetMode="External"/><Relationship Id="rId213" Type="http://schemas.openxmlformats.org/officeDocument/2006/relationships/hyperlink" Target="https://drive.google.com/open?id=1MejKiX8Gx1MYy1IqS-mM5HjpCNFOQhOy&amp;usp=drive_copy" TargetMode="External"/><Relationship Id="rId212" Type="http://schemas.openxmlformats.org/officeDocument/2006/relationships/hyperlink" Target="https://drive.google.com/open?id=15-G1MNuX7Obd_vHfK0qooGHcqKxl6yd2&amp;usp=drive_copy" TargetMode="External"/><Relationship Id="rId211" Type="http://schemas.openxmlformats.org/officeDocument/2006/relationships/hyperlink" Target="https://drive.google.com/open?id=11M5Aq71AHWuzG1xA5m1yqHPJ8o4xs10t&amp;usp=drive_copy" TargetMode="External"/><Relationship Id="rId210" Type="http://schemas.openxmlformats.org/officeDocument/2006/relationships/hyperlink" Target="https://drive.google.com/open?id=13wSHNuYObqHmevhe-DMlUyA_6lkEDRPL&amp;usp=drive_copy" TargetMode="External"/><Relationship Id="rId129" Type="http://schemas.openxmlformats.org/officeDocument/2006/relationships/hyperlink" Target="https://drive.google.com/open?id=1ljuosOS_ocTo6RXm5O4jpqZp2Dcn15oy&amp;usp=drive_copy" TargetMode="External"/><Relationship Id="rId128" Type="http://schemas.openxmlformats.org/officeDocument/2006/relationships/hyperlink" Target="https://drive.google.com/open?id=1AUMxpUjMqoU3ZKtGcVoc40EVEma8h8ys&amp;usp=drive_copy" TargetMode="External"/><Relationship Id="rId249" Type="http://schemas.openxmlformats.org/officeDocument/2006/relationships/hyperlink" Target="https://drive.google.com/open?id=1sb7qCDF51E_K9ENrMFrC0i0bkQF7OojT&amp;usp=drive_copy" TargetMode="External"/><Relationship Id="rId127" Type="http://schemas.openxmlformats.org/officeDocument/2006/relationships/hyperlink" Target="https://drive.google.com/open?id=1zsy_zSL3tGO9AK7kHqOUFj-ERaXkErYN&amp;usp=drive_copy" TargetMode="External"/><Relationship Id="rId248" Type="http://schemas.openxmlformats.org/officeDocument/2006/relationships/hyperlink" Target="https://drive.google.com/open?id=16b4QTWXZYykLGeKhNKHNE-76-1e3Ax9j&amp;usp=drive_copy" TargetMode="External"/><Relationship Id="rId126" Type="http://schemas.openxmlformats.org/officeDocument/2006/relationships/hyperlink" Target="https://drive.google.com/open?id=1T06tKkzggavOrKF0KdxLjMi6KJ1KL_x4&amp;usp=drive_copy" TargetMode="External"/><Relationship Id="rId247" Type="http://schemas.openxmlformats.org/officeDocument/2006/relationships/hyperlink" Target="https://drive.google.com/open?id=1AkNjuJmu-aKBwTeopH_6MNMRBaT6XHlI&amp;usp=drive_copy" TargetMode="External"/><Relationship Id="rId121" Type="http://schemas.openxmlformats.org/officeDocument/2006/relationships/hyperlink" Target="https://drive.google.com/open?id=1o2pXVgimT1OUOrbjveM45MRbNhOOh--Q&amp;usp=drive_copy" TargetMode="External"/><Relationship Id="rId242" Type="http://schemas.openxmlformats.org/officeDocument/2006/relationships/hyperlink" Target="https://drive.google.com/open?id=1FeO6M1uAwsrDNCWKHkTvMzz9AvNwTqBj&amp;usp=drive_copy" TargetMode="External"/><Relationship Id="rId120" Type="http://schemas.openxmlformats.org/officeDocument/2006/relationships/hyperlink" Target="https://drive.google.com/open?id=1GjDLFDxgv8Sq_-513qNVZOM_Gq0BVwON&amp;usp=drive_copy" TargetMode="External"/><Relationship Id="rId241" Type="http://schemas.openxmlformats.org/officeDocument/2006/relationships/hyperlink" Target="https://drive.google.com/open?id=13dKszit3OHwL3-Xk6T4P4Bctbg-eD7MG&amp;usp=drive_copy" TargetMode="External"/><Relationship Id="rId240" Type="http://schemas.openxmlformats.org/officeDocument/2006/relationships/hyperlink" Target="https://drive.google.com/open?id=1JgYSs9pgx-mSFTOf-E1I1YZova6ajxv7&amp;usp=drive_copy" TargetMode="External"/><Relationship Id="rId125" Type="http://schemas.openxmlformats.org/officeDocument/2006/relationships/hyperlink" Target="https://drive.google.com/open?id=1BR4xsRfgdf6PeAG0KpAI5mj3jzvIlr0u&amp;usp=drive_copy" TargetMode="External"/><Relationship Id="rId246" Type="http://schemas.openxmlformats.org/officeDocument/2006/relationships/hyperlink" Target="https://drive.google.com/open?id=1C5--X46esNJEwzTfOqpSJHIiadwxXMIb&amp;usp=drive_copy" TargetMode="External"/><Relationship Id="rId124" Type="http://schemas.openxmlformats.org/officeDocument/2006/relationships/hyperlink" Target="https://drive.google.com/open?id=1AYP03HR_io16D-hEy3bPKyjOFd-0aFNP&amp;usp=drive_copy" TargetMode="External"/><Relationship Id="rId245" Type="http://schemas.openxmlformats.org/officeDocument/2006/relationships/hyperlink" Target="https://drive.google.com/open?id=1w-gvpwKShlnjNtAvq6KYmPg6_C52q9Tr&amp;usp=drive_copy" TargetMode="External"/><Relationship Id="rId123" Type="http://schemas.openxmlformats.org/officeDocument/2006/relationships/hyperlink" Target="https://drive.google.com/open?id=11DTcXxkhkxmbpitx9JMF0xahVTJJbhOm&amp;usp=drive_copy" TargetMode="External"/><Relationship Id="rId244" Type="http://schemas.openxmlformats.org/officeDocument/2006/relationships/hyperlink" Target="https://drive.google.com/open?id=1Tqb4GHl2kND_0EK9InwU0ijzTc7eThvQ&amp;usp=drive_copy" TargetMode="External"/><Relationship Id="rId122" Type="http://schemas.openxmlformats.org/officeDocument/2006/relationships/hyperlink" Target="https://drive.google.com/open?id=1D0kX8uooqt0ku0Q1MqvCGE3zLId0a0Is&amp;usp=drive_copy" TargetMode="External"/><Relationship Id="rId243" Type="http://schemas.openxmlformats.org/officeDocument/2006/relationships/hyperlink" Target="https://drive.google.com/open?id=184Lms9is7xfXCZ3_HCti8fP7redYyU4U&amp;usp=drive_copy" TargetMode="External"/><Relationship Id="rId95" Type="http://schemas.openxmlformats.org/officeDocument/2006/relationships/hyperlink" Target="https://drive.google.com/open?id=1vBLGHrGBv2QQDE-rSd3XMZ0jVBQWmr2M&amp;usp=drive_copy" TargetMode="External"/><Relationship Id="rId94" Type="http://schemas.openxmlformats.org/officeDocument/2006/relationships/hyperlink" Target="https://drive.google.com/open?id=1iBU_R27tGLlm55Lj-T4kdnZV9hnddBZZ&amp;usp=drive_copy" TargetMode="External"/><Relationship Id="rId97" Type="http://schemas.openxmlformats.org/officeDocument/2006/relationships/hyperlink" Target="https://drive.google.com/open?id=10ATD5xbUUw6-8SPwgM6Iu_8Yj-CaeiRx&amp;usp=drive_copy" TargetMode="External"/><Relationship Id="rId96" Type="http://schemas.openxmlformats.org/officeDocument/2006/relationships/hyperlink" Target="https://drive.google.com/open?id=1lcDCw9Vomwb4I_i3P-i0t6vIT8daEWFO&amp;usp=drive_copy" TargetMode="External"/><Relationship Id="rId99" Type="http://schemas.openxmlformats.org/officeDocument/2006/relationships/hyperlink" Target="https://drive.google.com/open?id=1K0oZq8QNlnhwB1v1VWn8Ze-1P4IL8Tui&amp;usp=drive_copy" TargetMode="External"/><Relationship Id="rId98" Type="http://schemas.openxmlformats.org/officeDocument/2006/relationships/hyperlink" Target="https://drive.google.com/open?id=17S3uhatTZVNYG7sAk7UlQYLwS-vc-J0I&amp;usp=drive_copy" TargetMode="External"/><Relationship Id="rId91" Type="http://schemas.openxmlformats.org/officeDocument/2006/relationships/hyperlink" Target="https://drive.google.com/open?id=11Uvr6rWlxm_kYdBCCFWIZS1goGSylPXD&amp;usp=drive_copy" TargetMode="External"/><Relationship Id="rId90" Type="http://schemas.openxmlformats.org/officeDocument/2006/relationships/hyperlink" Target="https://drive.google.com/open?id=1dovfzkQEwr2Ey1oOpW1bmVezd6-TY2lR&amp;usp=drive_copy" TargetMode="External"/><Relationship Id="rId93" Type="http://schemas.openxmlformats.org/officeDocument/2006/relationships/hyperlink" Target="https://drive.google.com/open?id=1M4tLO8QIdI7H_nxdmbgt72B_hYcbmhMu&amp;usp=drive_copy" TargetMode="External"/><Relationship Id="rId92" Type="http://schemas.openxmlformats.org/officeDocument/2006/relationships/hyperlink" Target="https://drive.google.com/open?id=1iDA3FKqQ2fZKBPDUXGdevPR4v2ctPNmn&amp;usp=drive_copy" TargetMode="External"/><Relationship Id="rId118" Type="http://schemas.openxmlformats.org/officeDocument/2006/relationships/hyperlink" Target="https://drive.google.com/open?id=1tIE2pxYExLyQ-w5Y0_voTnA6mPq0lgKS&amp;usp=drive_copy" TargetMode="External"/><Relationship Id="rId239" Type="http://schemas.openxmlformats.org/officeDocument/2006/relationships/hyperlink" Target="https://drive.google.com/open?id=1Vh7v6PQ7g8vwHgpXcU1dugBrJshCkPLc&amp;usp=drive_copy" TargetMode="External"/><Relationship Id="rId117" Type="http://schemas.openxmlformats.org/officeDocument/2006/relationships/hyperlink" Target="https://drive.google.com/open?id=1FoeCigB7UFz5Fq0lY5ex2ocuFW73lRq2&amp;usp=drive_copy" TargetMode="External"/><Relationship Id="rId238" Type="http://schemas.openxmlformats.org/officeDocument/2006/relationships/hyperlink" Target="https://drive.google.com/open?id=1ayY9EO9ORTSIrCgGbdpZ6naq9ZR85lq9&amp;usp=drive_copy" TargetMode="External"/><Relationship Id="rId116" Type="http://schemas.openxmlformats.org/officeDocument/2006/relationships/hyperlink" Target="https://drive.google.com/open?id=1Inme3DEYZrZ5SYOHvWovdo64RWvV3lgX&amp;usp=drive_copy" TargetMode="External"/><Relationship Id="rId237" Type="http://schemas.openxmlformats.org/officeDocument/2006/relationships/hyperlink" Target="https://drive.google.com/open?id=1phi9SrciprGaSpST36LEX-Sb07epvOkF&amp;usp=drive_copy" TargetMode="External"/><Relationship Id="rId115" Type="http://schemas.openxmlformats.org/officeDocument/2006/relationships/hyperlink" Target="https://drive.google.com/open?id=1uF5tbRbVeiwnimiwwQmne6B61A8rzkTh&amp;usp=drive_copy" TargetMode="External"/><Relationship Id="rId236" Type="http://schemas.openxmlformats.org/officeDocument/2006/relationships/hyperlink" Target="https://drive.google.com/open?id=1u0yjH4uMS2sNziUsG-7rWuE1hDB9j59n&amp;usp=drive_copy" TargetMode="External"/><Relationship Id="rId119" Type="http://schemas.openxmlformats.org/officeDocument/2006/relationships/hyperlink" Target="https://drive.google.com/open?id=1pcqtoTmCPRJJ_ut3GynK922lxPR499X6&amp;usp=drive_copy" TargetMode="External"/><Relationship Id="rId110" Type="http://schemas.openxmlformats.org/officeDocument/2006/relationships/hyperlink" Target="https://drive.google.com/open?id=1PNl45fiA2IZGI5grzA8BqamP-B8GncR2&amp;usp=drive_copy" TargetMode="External"/><Relationship Id="rId231" Type="http://schemas.openxmlformats.org/officeDocument/2006/relationships/hyperlink" Target="https://drive.google.com/open?id=1RW-fexvPMfHbSoCG6Y4ATgZY-kcYCxY-&amp;usp=drive_copy" TargetMode="External"/><Relationship Id="rId230" Type="http://schemas.openxmlformats.org/officeDocument/2006/relationships/hyperlink" Target="https://drive.google.com/open?id=1ywrh7Qa3LhaYEwGRvxcqdcEPGhWN6FmN&amp;usp=drive_copy" TargetMode="External"/><Relationship Id="rId114" Type="http://schemas.openxmlformats.org/officeDocument/2006/relationships/hyperlink" Target="https://drive.google.com/open?id=1C2xriEoT3xJwsnlTu5yS0k2-c8YH8ba_&amp;usp=drive_copy" TargetMode="External"/><Relationship Id="rId235" Type="http://schemas.openxmlformats.org/officeDocument/2006/relationships/hyperlink" Target="https://drive.google.com/open?id=1KNv-C99qflPWNbFa1HepbN5I2hMzA29E&amp;usp=drive_copy" TargetMode="External"/><Relationship Id="rId113" Type="http://schemas.openxmlformats.org/officeDocument/2006/relationships/hyperlink" Target="https://drive.google.com/open?id=1IApwuj7vUPBq_lfVh118Iblqb22MRBqP&amp;usp=drive_copy" TargetMode="External"/><Relationship Id="rId234" Type="http://schemas.openxmlformats.org/officeDocument/2006/relationships/hyperlink" Target="https://drive.google.com/open?id=10zBLKjaFGZQgtrrO6nh68ZHpUy0YRfSR&amp;usp=drive_copy" TargetMode="External"/><Relationship Id="rId112" Type="http://schemas.openxmlformats.org/officeDocument/2006/relationships/hyperlink" Target="https://drive.google.com/open?id=1nUT5s77leq_zoKXRck7dhoC9_dsdh3q7&amp;usp=drive_copy" TargetMode="External"/><Relationship Id="rId233" Type="http://schemas.openxmlformats.org/officeDocument/2006/relationships/hyperlink" Target="https://drive.google.com/open?id=19rezuprBPjWyVjoEsicei1LDv4PPOldE&amp;usp=drive_copy" TargetMode="External"/><Relationship Id="rId111" Type="http://schemas.openxmlformats.org/officeDocument/2006/relationships/hyperlink" Target="https://drive.google.com/open?id=1IPCHlHcFcfe1p8JWKlI--kpIaGIwqUuU&amp;usp=drive_copy" TargetMode="External"/><Relationship Id="rId232" Type="http://schemas.openxmlformats.org/officeDocument/2006/relationships/hyperlink" Target="https://drive.google.com/open?id=14rNcHpZNLGB3Z3zJaxoIDMC0RAcEezGA&amp;usp=drive_copy" TargetMode="External"/><Relationship Id="rId303" Type="http://schemas.openxmlformats.org/officeDocument/2006/relationships/table" Target="../tables/table1.xml"/><Relationship Id="rId301" Type="http://schemas.openxmlformats.org/officeDocument/2006/relationships/drawing" Target="../drawings/drawing3.xml"/><Relationship Id="rId300" Type="http://schemas.openxmlformats.org/officeDocument/2006/relationships/hyperlink" Target="https://drive.google.com/open?id=1_CiRyH_y63xV4BqWH9UM3ij9AmLluoTn&amp;usp=drive_copy" TargetMode="External"/><Relationship Id="rId206" Type="http://schemas.openxmlformats.org/officeDocument/2006/relationships/hyperlink" Target="https://drive.google.com/open?id=1391X1w_tHE_Z-0jQDRaBSbYD6385wD4T&amp;usp=drive_copy" TargetMode="External"/><Relationship Id="rId205" Type="http://schemas.openxmlformats.org/officeDocument/2006/relationships/hyperlink" Target="https://drive.google.com/open?id=1ToPgGuNHXYdUKB_Ry0EKQycwGa1XwctS&amp;usp=drive_copy" TargetMode="External"/><Relationship Id="rId204" Type="http://schemas.openxmlformats.org/officeDocument/2006/relationships/hyperlink" Target="https://drive.google.com/open?id=1lJXpnoxuAm7koZCyQngZ9diamLI-ai21&amp;usp=drive_copy" TargetMode="External"/><Relationship Id="rId203" Type="http://schemas.openxmlformats.org/officeDocument/2006/relationships/hyperlink" Target="https://drive.google.com/open?id=1iIkPXCVjjPTzUP1jnv8D2Vxdi2ASDUwS&amp;usp=drive_copy" TargetMode="External"/><Relationship Id="rId209" Type="http://schemas.openxmlformats.org/officeDocument/2006/relationships/hyperlink" Target="https://drive.google.com/open?id=1UpKpJ7XRVFsVo7eq34KaCMWlFbq1wR8U&amp;usp=drive_copy" TargetMode="External"/><Relationship Id="rId208" Type="http://schemas.openxmlformats.org/officeDocument/2006/relationships/hyperlink" Target="https://drive.google.com/open?id=1JQZU7W_3k6PGyo0kldAy8_pmM1FCJTls&amp;usp=drive_copy" TargetMode="External"/><Relationship Id="rId207" Type="http://schemas.openxmlformats.org/officeDocument/2006/relationships/hyperlink" Target="https://drive.google.com/open?id=1pQSf05UOH7oPNUXUGGIkICVC21blqkuq&amp;usp=drive_copy" TargetMode="External"/><Relationship Id="rId202" Type="http://schemas.openxmlformats.org/officeDocument/2006/relationships/hyperlink" Target="https://drive.google.com/open?id=1_8UT4f4jyLU8YVKFHiQHD0I-YIJFxO3W&amp;usp=drive_copy" TargetMode="External"/><Relationship Id="rId201" Type="http://schemas.openxmlformats.org/officeDocument/2006/relationships/hyperlink" Target="https://drive.google.com/open?id=1WmXSwKBKBIkeCpsg4uviLLGxq0Rw6_SJ&amp;usp=drive_copy" TargetMode="External"/><Relationship Id="rId200" Type="http://schemas.openxmlformats.org/officeDocument/2006/relationships/hyperlink" Target="https://drive.google.com/open?id=1DFNowYv3NY3dx3zgKAzfXlJhPrHVdsY5&amp;usp=drive_copy" TargetMode="External"/></Relationships>
</file>

<file path=xl/worksheets/_rels/sheet4.xml.rels><?xml version="1.0" encoding="UTF-8" standalone="yes"?><Relationships xmlns="http://schemas.openxmlformats.org/package/2006/relationships"><Relationship Id="rId31" Type="http://schemas.openxmlformats.org/officeDocument/2006/relationships/hyperlink" Target="https://drive.google.com/open?id=1M1ZSDIZFl4y0LWmNpUy_q8bBh56uGvpY&amp;usp=drive_copy" TargetMode="External"/><Relationship Id="rId30" Type="http://schemas.openxmlformats.org/officeDocument/2006/relationships/hyperlink" Target="https://drive.google.com/open?id=1xE1XOyxv2WRujgMDZNC3G01a1D6lJtqW&amp;usp=drive_copy" TargetMode="External"/><Relationship Id="rId33" Type="http://schemas.openxmlformats.org/officeDocument/2006/relationships/hyperlink" Target="https://drive.google.com/open?id=1ysX-Ott5lMDZTmIBGN6oBEIYoi6_TG7a&amp;usp=drive_copy" TargetMode="External"/><Relationship Id="rId32" Type="http://schemas.openxmlformats.org/officeDocument/2006/relationships/hyperlink" Target="https://drive.google.com/open?id=1lACoYX3lzul5pJAn540b-53PdmukMyPE&amp;usp=drive_copy" TargetMode="External"/><Relationship Id="rId35" Type="http://schemas.openxmlformats.org/officeDocument/2006/relationships/drawing" Target="../drawings/drawing4.xml"/><Relationship Id="rId34" Type="http://schemas.openxmlformats.org/officeDocument/2006/relationships/hyperlink" Target="https://drive.google.com/open?id=17HHpOMgaQ8bJHfgN3jyYd7I3pbjWlrQQ&amp;usp=drive_copy" TargetMode="External"/><Relationship Id="rId20" Type="http://schemas.openxmlformats.org/officeDocument/2006/relationships/hyperlink" Target="https://drive.google.com/open?id=1ebpof7-MrBmFcZOdjVpzLqL0auE2H_lJ&amp;usp=drive_copy" TargetMode="External"/><Relationship Id="rId22" Type="http://schemas.openxmlformats.org/officeDocument/2006/relationships/hyperlink" Target="https://drive.google.com/open?id=1gTXLoXOfsMajihQgNVXZYMPGWsmEmucL&amp;usp=drive_copy" TargetMode="External"/><Relationship Id="rId21" Type="http://schemas.openxmlformats.org/officeDocument/2006/relationships/hyperlink" Target="https://drive.google.com/open?id=1mxrj24anY6yNUnKxIbo-VHA0H7Lztwyu&amp;usp=drive_copy" TargetMode="External"/><Relationship Id="rId24" Type="http://schemas.openxmlformats.org/officeDocument/2006/relationships/hyperlink" Target="https://drive.google.com/open?id=1Yh3UHV-zjnXU9tODc9j8VqtS6yjl9APA&amp;usp=drive_copy" TargetMode="External"/><Relationship Id="rId23" Type="http://schemas.openxmlformats.org/officeDocument/2006/relationships/hyperlink" Target="https://drive.google.com/open?id=1AQSUxkJ6wANsHleh42H07LwH66-1tb1U&amp;usp=drive_copy" TargetMode="External"/><Relationship Id="rId26" Type="http://schemas.openxmlformats.org/officeDocument/2006/relationships/hyperlink" Target="https://drive.google.com/open?id=1Qcxk0aodjHxbZOkhLVr4ornSSpU4D9vV&amp;usp=drive_copy" TargetMode="External"/><Relationship Id="rId25" Type="http://schemas.openxmlformats.org/officeDocument/2006/relationships/hyperlink" Target="https://drive.google.com/open?id=156sFC7b6T7Cz6nnouQJdLkamfJrjyCdP&amp;usp=drive_copy" TargetMode="External"/><Relationship Id="rId28" Type="http://schemas.openxmlformats.org/officeDocument/2006/relationships/hyperlink" Target="https://drive.google.com/open?id=1NImUbsLK3tCCkoA8AHV9LZU-0WuEiDyb&amp;usp=drive_copy" TargetMode="External"/><Relationship Id="rId27" Type="http://schemas.openxmlformats.org/officeDocument/2006/relationships/hyperlink" Target="https://drive.google.com/open?id=1D2epEqEjmT7LkKYGxuKJNwSQRpurkaGA&amp;usp=drive_copy" TargetMode="External"/><Relationship Id="rId29" Type="http://schemas.openxmlformats.org/officeDocument/2006/relationships/hyperlink" Target="https://drive.google.com/open?id=1hDAEqNVj0ObcT1tv2f8bKEyLtZXrEurx&amp;usp=drive_copy" TargetMode="External"/><Relationship Id="rId11" Type="http://schemas.openxmlformats.org/officeDocument/2006/relationships/hyperlink" Target="https://drive.google.com/open?id=1QBo2pNouindMg44KcTtO1mzBIUS_Qjld&amp;usp=drive_copy" TargetMode="External"/><Relationship Id="rId10" Type="http://schemas.openxmlformats.org/officeDocument/2006/relationships/hyperlink" Target="https://drive.google.com/open?id=1qH-uCqdUiL8ji6CVl3Wl7htGMKuybXxi&amp;usp=drive_copy" TargetMode="External"/><Relationship Id="rId13" Type="http://schemas.openxmlformats.org/officeDocument/2006/relationships/hyperlink" Target="https://drive.google.com/open?id=1AgbAvOtC5ZQ9aK1b9D4uUrgDdHQYE-kM&amp;usp=drive_copy" TargetMode="External"/><Relationship Id="rId12" Type="http://schemas.openxmlformats.org/officeDocument/2006/relationships/hyperlink" Target="https://drive.google.com/open?id=11xZQFmx8ok1ssjEjjzMCNBZj1imqpssl&amp;usp=drive_copy" TargetMode="External"/><Relationship Id="rId15" Type="http://schemas.openxmlformats.org/officeDocument/2006/relationships/hyperlink" Target="https://drive.google.com/open?id=1TZs3z9aVn4FJWBl8kPnQZO_vzizN44Ta&amp;usp=drive_copy" TargetMode="External"/><Relationship Id="rId14" Type="http://schemas.openxmlformats.org/officeDocument/2006/relationships/hyperlink" Target="https://drive.google.com/open?id=1EvhJ7VNhDrJZ0bE0_NeDTvPcx-dNUgV3&amp;usp=drive_copy" TargetMode="External"/><Relationship Id="rId17" Type="http://schemas.openxmlformats.org/officeDocument/2006/relationships/hyperlink" Target="https://drive.google.com/open?id=1Dh9JkPIV3X3a6XT-3JKk7W368trjDb9a&amp;usp=drive_copy" TargetMode="External"/><Relationship Id="rId16" Type="http://schemas.openxmlformats.org/officeDocument/2006/relationships/hyperlink" Target="https://drive.google.com/open?id=1PVwHlOrxsZI8lbWnBFfQeSt032nJHv9H&amp;usp=drive_copy" TargetMode="External"/><Relationship Id="rId19" Type="http://schemas.openxmlformats.org/officeDocument/2006/relationships/hyperlink" Target="https://drive.google.com/open?id=1peCocPhsfzIPW02Qp_xg_kHy_W020nuX&amp;usp=drive_copy" TargetMode="External"/><Relationship Id="rId18" Type="http://schemas.openxmlformats.org/officeDocument/2006/relationships/hyperlink" Target="https://drive.google.com/open?id=1LgUo4jQPDLrjiGVVevahlPNylA0Gwe7h&amp;usp=drive_copy" TargetMode="External"/><Relationship Id="rId1" Type="http://schemas.openxmlformats.org/officeDocument/2006/relationships/hyperlink" Target="https://drive.google.com/open?id=1P957D_7nq4mGDojEGx3pxZN4d5f8r6F9&amp;usp=drive_copy" TargetMode="External"/><Relationship Id="rId2" Type="http://schemas.openxmlformats.org/officeDocument/2006/relationships/hyperlink" Target="https://drive.google.com/open?id=1uo3Vryi3MMk1LNL6OiOXgb9rrZtVbR3x&amp;usp=drive_copy" TargetMode="External"/><Relationship Id="rId3" Type="http://schemas.openxmlformats.org/officeDocument/2006/relationships/hyperlink" Target="https://drive.google.com/open?id=1jm1PGeVuanGDyzlzf0hPcHzW7GPn0z9f&amp;usp=drive_copy" TargetMode="External"/><Relationship Id="rId4" Type="http://schemas.openxmlformats.org/officeDocument/2006/relationships/hyperlink" Target="https://drive.google.com/open?id=1TgdDXsTWCowAUEGr6wAoe333V2okBLjC&amp;usp=drive_copy" TargetMode="External"/><Relationship Id="rId9" Type="http://schemas.openxmlformats.org/officeDocument/2006/relationships/hyperlink" Target="https://drive.google.com/open?id=1eSB__32gc9Gk_pC-DkW9TUeQsnr0t1BN&amp;usp=drive_copy" TargetMode="External"/><Relationship Id="rId5" Type="http://schemas.openxmlformats.org/officeDocument/2006/relationships/hyperlink" Target="https://drive.google.com/open?id=1f0QU3MqAY2zgo1auokATS6RC_7H_H_BF&amp;usp=drive_copy" TargetMode="External"/><Relationship Id="rId6" Type="http://schemas.openxmlformats.org/officeDocument/2006/relationships/hyperlink" Target="https://drive.google.com/open?id=1puEZbHMsirR2aS3gfTQ-6832Guzk0lLd&amp;usp=drive_copy" TargetMode="External"/><Relationship Id="rId7" Type="http://schemas.openxmlformats.org/officeDocument/2006/relationships/hyperlink" Target="https://drive.google.com/open?id=1lq-HYpyV9QM7AWn9SVb1kRpiPa_BwCKc&amp;usp=drive_copy" TargetMode="External"/><Relationship Id="rId8" Type="http://schemas.openxmlformats.org/officeDocument/2006/relationships/hyperlink" Target="https://drive.google.com/open?id=1tTKj1ePKrTRO5xjiOgaHJNXXg2ZGa_em&amp;usp=drive_copy"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4.38"/>
    <col customWidth="1" min="2" max="2" width="10.75"/>
    <col customWidth="1" min="3" max="3" width="13.13"/>
    <col customWidth="1" min="4" max="4" width="21.88"/>
    <col customWidth="1" min="5" max="5" width="20.25"/>
    <col customWidth="1" min="6" max="6" width="32.0"/>
    <col customWidth="1" min="7" max="7" width="37.5"/>
    <col customWidth="1" min="8" max="9" width="17.25"/>
    <col customWidth="1" min="10" max="10" width="24.88"/>
    <col customWidth="1" min="11" max="12" width="27.75"/>
    <col customWidth="1" min="13" max="13" width="23.38"/>
    <col customWidth="1" min="15" max="15" width="14.13"/>
    <col customWidth="1" min="16" max="17" width="17.38"/>
    <col customWidth="1" min="19" max="19" width="22.13"/>
  </cols>
  <sheetData>
    <row r="1">
      <c r="A1" s="1" t="s">
        <v>0</v>
      </c>
      <c r="B1" s="2" t="s">
        <v>1</v>
      </c>
      <c r="C1" s="2" t="s">
        <v>2</v>
      </c>
      <c r="D1" s="2" t="s">
        <v>3</v>
      </c>
      <c r="E1" s="2" t="s">
        <v>4</v>
      </c>
      <c r="F1" s="4" t="s">
        <v>5</v>
      </c>
      <c r="G1" s="2" t="s">
        <v>6</v>
      </c>
      <c r="H1" s="2" t="s">
        <v>7</v>
      </c>
      <c r="I1" s="2" t="s">
        <v>8</v>
      </c>
      <c r="J1" s="2" t="s">
        <v>9</v>
      </c>
      <c r="K1" s="2" t="s">
        <v>10</v>
      </c>
      <c r="L1" s="2" t="s">
        <v>11</v>
      </c>
      <c r="M1" s="2" t="s">
        <v>12</v>
      </c>
      <c r="N1" s="2" t="s">
        <v>13</v>
      </c>
      <c r="O1" s="2" t="s">
        <v>14</v>
      </c>
      <c r="P1" s="2" t="s">
        <v>15</v>
      </c>
      <c r="Q1" s="4" t="s">
        <v>16</v>
      </c>
      <c r="R1" s="2" t="s">
        <v>17</v>
      </c>
      <c r="S1" s="2" t="s">
        <v>18</v>
      </c>
      <c r="T1" s="2" t="s">
        <v>19</v>
      </c>
      <c r="U1" s="2" t="s">
        <v>20</v>
      </c>
      <c r="V1" s="2" t="s">
        <v>21</v>
      </c>
      <c r="W1" s="2" t="s">
        <v>22</v>
      </c>
      <c r="X1" s="2" t="s">
        <v>23</v>
      </c>
      <c r="Y1" s="11"/>
      <c r="Z1" s="11"/>
      <c r="AA1" s="11"/>
      <c r="AB1" s="11"/>
      <c r="AC1" s="11"/>
      <c r="AD1" s="11"/>
    </row>
    <row r="2" hidden="1">
      <c r="A2" s="14"/>
      <c r="B2" s="16" t="s">
        <v>24</v>
      </c>
      <c r="C2" s="16"/>
      <c r="D2" s="20"/>
      <c r="E2" s="20" t="s">
        <v>30</v>
      </c>
      <c r="F2" s="27" t="s">
        <v>32</v>
      </c>
      <c r="G2" s="33" t="s">
        <v>35</v>
      </c>
      <c r="H2" s="34"/>
      <c r="I2" s="34"/>
      <c r="J2" s="34"/>
      <c r="K2" s="34"/>
      <c r="L2" s="34"/>
      <c r="M2" s="34"/>
      <c r="N2" s="41"/>
      <c r="O2" s="34"/>
      <c r="P2" s="34"/>
      <c r="Q2" s="34"/>
      <c r="R2" s="34"/>
      <c r="S2" s="34"/>
      <c r="T2" s="34"/>
      <c r="U2" s="34"/>
      <c r="V2" s="34"/>
      <c r="W2" s="34"/>
      <c r="X2" s="34"/>
      <c r="Y2" s="56"/>
      <c r="Z2" s="56"/>
      <c r="AA2" s="56"/>
      <c r="AB2" s="56"/>
      <c r="AC2" s="56"/>
      <c r="AD2" s="56"/>
    </row>
    <row r="3" hidden="1">
      <c r="A3" s="57"/>
      <c r="B3" s="58">
        <v>46203.0</v>
      </c>
      <c r="C3" s="60" t="s">
        <v>75</v>
      </c>
      <c r="D3" s="61" t="s">
        <v>77</v>
      </c>
      <c r="E3" s="61"/>
      <c r="F3" s="63" t="s">
        <v>78</v>
      </c>
      <c r="G3" s="63" t="s">
        <v>79</v>
      </c>
      <c r="H3" s="63" t="s">
        <v>80</v>
      </c>
      <c r="I3" s="61" t="s">
        <v>81</v>
      </c>
      <c r="J3" s="63" t="s">
        <v>82</v>
      </c>
      <c r="K3" s="63" t="s">
        <v>83</v>
      </c>
      <c r="L3" s="63" t="s">
        <v>83</v>
      </c>
      <c r="M3" s="71" t="s">
        <v>84</v>
      </c>
      <c r="N3" s="60" t="s">
        <v>54</v>
      </c>
      <c r="O3" s="61"/>
      <c r="P3" s="61"/>
      <c r="Q3" s="61"/>
      <c r="R3" s="61"/>
      <c r="S3" s="61"/>
      <c r="T3" s="61"/>
      <c r="U3" s="61"/>
      <c r="V3" s="61"/>
      <c r="W3" s="61"/>
      <c r="X3" s="61"/>
      <c r="Y3" s="56"/>
      <c r="Z3" s="56"/>
      <c r="AA3" s="56"/>
      <c r="AB3" s="56"/>
      <c r="AC3" s="56"/>
      <c r="AD3" s="56"/>
    </row>
    <row r="4" hidden="1">
      <c r="A4" s="76"/>
      <c r="B4" s="77">
        <v>46203.0</v>
      </c>
      <c r="C4" s="41" t="s">
        <v>75</v>
      </c>
      <c r="D4" s="34" t="s">
        <v>122</v>
      </c>
      <c r="E4" s="34"/>
      <c r="F4" s="78" t="s">
        <v>78</v>
      </c>
      <c r="G4" s="78" t="s">
        <v>126</v>
      </c>
      <c r="H4" s="78" t="s">
        <v>127</v>
      </c>
      <c r="I4" s="34" t="s">
        <v>81</v>
      </c>
      <c r="J4" s="78" t="s">
        <v>129</v>
      </c>
      <c r="K4" s="78" t="s">
        <v>131</v>
      </c>
      <c r="L4" s="78" t="s">
        <v>131</v>
      </c>
      <c r="M4" s="81" t="s">
        <v>84</v>
      </c>
      <c r="N4" s="41" t="s">
        <v>54</v>
      </c>
      <c r="O4" s="34"/>
      <c r="P4" s="34"/>
      <c r="Q4" s="34"/>
      <c r="R4" s="34"/>
      <c r="S4" s="34"/>
      <c r="T4" s="34"/>
      <c r="U4" s="34"/>
      <c r="V4" s="34"/>
      <c r="W4" s="34"/>
      <c r="X4" s="34"/>
      <c r="Y4" s="56"/>
      <c r="Z4" s="56"/>
      <c r="AA4" s="56"/>
      <c r="AB4" s="56"/>
      <c r="AC4" s="56"/>
      <c r="AD4" s="56"/>
    </row>
    <row r="5" hidden="1">
      <c r="A5" s="57"/>
      <c r="B5" s="58">
        <v>46203.0</v>
      </c>
      <c r="C5" s="60" t="s">
        <v>75</v>
      </c>
      <c r="D5" s="61" t="s">
        <v>160</v>
      </c>
      <c r="E5" s="61"/>
      <c r="F5" s="63" t="s">
        <v>78</v>
      </c>
      <c r="G5" s="63" t="s">
        <v>163</v>
      </c>
      <c r="H5" s="63" t="s">
        <v>165</v>
      </c>
      <c r="I5" s="61" t="s">
        <v>81</v>
      </c>
      <c r="J5" s="63" t="s">
        <v>129</v>
      </c>
      <c r="K5" s="63" t="s">
        <v>171</v>
      </c>
      <c r="L5" s="63" t="s">
        <v>171</v>
      </c>
      <c r="M5" s="71" t="s">
        <v>84</v>
      </c>
      <c r="N5" s="60" t="s">
        <v>54</v>
      </c>
      <c r="O5" s="61"/>
      <c r="P5" s="61"/>
      <c r="Q5" s="61"/>
      <c r="R5" s="61"/>
      <c r="S5" s="61"/>
      <c r="T5" s="61"/>
      <c r="U5" s="61"/>
      <c r="V5" s="61"/>
      <c r="W5" s="61"/>
      <c r="X5" s="61"/>
      <c r="Y5" s="56"/>
      <c r="Z5" s="56"/>
      <c r="AA5" s="56"/>
      <c r="AB5" s="56"/>
      <c r="AC5" s="56"/>
      <c r="AD5" s="56"/>
    </row>
    <row r="6" hidden="1">
      <c r="A6" s="76"/>
      <c r="B6" s="77">
        <v>46203.0</v>
      </c>
      <c r="C6" s="41" t="s">
        <v>75</v>
      </c>
      <c r="D6" s="34" t="s">
        <v>196</v>
      </c>
      <c r="E6" s="34"/>
      <c r="F6" s="78" t="s">
        <v>78</v>
      </c>
      <c r="G6" s="78" t="s">
        <v>201</v>
      </c>
      <c r="H6" s="78" t="s">
        <v>203</v>
      </c>
      <c r="I6" s="34" t="s">
        <v>81</v>
      </c>
      <c r="J6" s="78" t="s">
        <v>129</v>
      </c>
      <c r="K6" s="78" t="s">
        <v>208</v>
      </c>
      <c r="L6" s="78" t="s">
        <v>208</v>
      </c>
      <c r="M6" s="81" t="s">
        <v>211</v>
      </c>
      <c r="N6" s="41" t="s">
        <v>54</v>
      </c>
      <c r="O6" s="34"/>
      <c r="P6" s="34"/>
      <c r="Q6" s="34"/>
      <c r="R6" s="34"/>
      <c r="S6" s="34"/>
      <c r="T6" s="34"/>
      <c r="U6" s="34"/>
      <c r="V6" s="34"/>
      <c r="W6" s="34"/>
      <c r="X6" s="34"/>
      <c r="Y6" s="56"/>
      <c r="Z6" s="56"/>
      <c r="AA6" s="56"/>
      <c r="AB6" s="56"/>
      <c r="AC6" s="56"/>
      <c r="AD6" s="56"/>
    </row>
    <row r="7" hidden="1">
      <c r="A7" s="57"/>
      <c r="B7" s="58">
        <v>46203.0</v>
      </c>
      <c r="C7" s="60" t="s">
        <v>75</v>
      </c>
      <c r="D7" s="61" t="s">
        <v>228</v>
      </c>
      <c r="E7" s="61"/>
      <c r="F7" s="63" t="s">
        <v>78</v>
      </c>
      <c r="G7" s="63" t="s">
        <v>229</v>
      </c>
      <c r="H7" s="63" t="s">
        <v>230</v>
      </c>
      <c r="I7" s="61" t="s">
        <v>81</v>
      </c>
      <c r="J7" s="63" t="s">
        <v>129</v>
      </c>
      <c r="K7" s="63" t="s">
        <v>233</v>
      </c>
      <c r="L7" s="63" t="s">
        <v>233</v>
      </c>
      <c r="M7" s="71" t="s">
        <v>235</v>
      </c>
      <c r="N7" s="60" t="s">
        <v>54</v>
      </c>
      <c r="O7" s="61"/>
      <c r="P7" s="61"/>
      <c r="Q7" s="61"/>
      <c r="R7" s="61"/>
      <c r="S7" s="61"/>
      <c r="T7" s="61"/>
      <c r="U7" s="61"/>
      <c r="V7" s="61"/>
      <c r="W7" s="61"/>
      <c r="X7" s="61"/>
      <c r="Y7" s="56"/>
      <c r="Z7" s="56"/>
      <c r="AA7" s="56"/>
      <c r="AB7" s="56"/>
      <c r="AC7" s="56"/>
      <c r="AD7" s="56"/>
    </row>
    <row r="8" hidden="1">
      <c r="A8" s="76"/>
      <c r="B8" s="77">
        <v>46203.0</v>
      </c>
      <c r="C8" s="41" t="s">
        <v>75</v>
      </c>
      <c r="D8" s="34" t="s">
        <v>253</v>
      </c>
      <c r="E8" s="34"/>
      <c r="F8" s="78" t="s">
        <v>78</v>
      </c>
      <c r="G8" s="78" t="s">
        <v>255</v>
      </c>
      <c r="H8" s="78" t="s">
        <v>256</v>
      </c>
      <c r="I8" s="34" t="s">
        <v>81</v>
      </c>
      <c r="J8" s="78" t="s">
        <v>259</v>
      </c>
      <c r="K8" s="78" t="s">
        <v>261</v>
      </c>
      <c r="L8" s="78" t="s">
        <v>264</v>
      </c>
      <c r="M8" s="81" t="s">
        <v>266</v>
      </c>
      <c r="N8" s="41" t="s">
        <v>52</v>
      </c>
      <c r="O8" s="34"/>
      <c r="P8" s="21" t="s">
        <v>53</v>
      </c>
      <c r="Q8" s="46" t="s">
        <v>54</v>
      </c>
      <c r="R8" s="34"/>
      <c r="S8" s="34"/>
      <c r="T8" s="34"/>
      <c r="U8" s="34"/>
      <c r="V8" s="34"/>
      <c r="W8" s="34"/>
      <c r="X8" s="34"/>
      <c r="Y8" s="56"/>
      <c r="Z8" s="56"/>
      <c r="AA8" s="56"/>
      <c r="AB8" s="56"/>
      <c r="AC8" s="56"/>
      <c r="AD8" s="56"/>
    </row>
    <row r="9" hidden="1">
      <c r="A9" s="57"/>
      <c r="B9" s="58">
        <v>46203.0</v>
      </c>
      <c r="C9" s="60" t="s">
        <v>75</v>
      </c>
      <c r="D9" s="61" t="s">
        <v>291</v>
      </c>
      <c r="E9" s="61"/>
      <c r="F9" s="63" t="s">
        <v>78</v>
      </c>
      <c r="G9" s="63" t="s">
        <v>293</v>
      </c>
      <c r="H9" s="63" t="s">
        <v>256</v>
      </c>
      <c r="I9" s="61" t="s">
        <v>81</v>
      </c>
      <c r="J9" s="63" t="s">
        <v>295</v>
      </c>
      <c r="K9" s="63" t="s">
        <v>296</v>
      </c>
      <c r="L9" s="61" t="s">
        <v>298</v>
      </c>
      <c r="M9" s="71" t="s">
        <v>299</v>
      </c>
      <c r="N9" s="60" t="s">
        <v>52</v>
      </c>
      <c r="O9" s="61"/>
      <c r="P9" s="90" t="s">
        <v>53</v>
      </c>
      <c r="Q9" s="92" t="s">
        <v>54</v>
      </c>
      <c r="R9" s="61"/>
      <c r="S9" s="61"/>
      <c r="T9" s="61"/>
      <c r="U9" s="61"/>
      <c r="V9" s="61"/>
      <c r="W9" s="61"/>
      <c r="X9" s="61"/>
      <c r="Y9" s="56"/>
      <c r="Z9" s="56"/>
      <c r="AA9" s="56"/>
      <c r="AB9" s="56"/>
      <c r="AC9" s="56"/>
      <c r="AD9" s="56"/>
    </row>
    <row r="10" hidden="1">
      <c r="A10" s="76"/>
      <c r="B10" s="77">
        <v>46203.0</v>
      </c>
      <c r="C10" s="41" t="s">
        <v>75</v>
      </c>
      <c r="D10" s="34" t="s">
        <v>325</v>
      </c>
      <c r="E10" s="34"/>
      <c r="F10" s="78" t="s">
        <v>78</v>
      </c>
      <c r="G10" s="78" t="s">
        <v>330</v>
      </c>
      <c r="H10" s="78" t="s">
        <v>331</v>
      </c>
      <c r="I10" s="34" t="s">
        <v>81</v>
      </c>
      <c r="J10" s="78" t="s">
        <v>333</v>
      </c>
      <c r="K10" s="78" t="s">
        <v>335</v>
      </c>
      <c r="L10" s="34" t="s">
        <v>338</v>
      </c>
      <c r="M10" s="81" t="s">
        <v>340</v>
      </c>
      <c r="N10" s="41" t="s">
        <v>52</v>
      </c>
      <c r="O10" s="34"/>
      <c r="P10" s="21" t="s">
        <v>53</v>
      </c>
      <c r="Q10" s="46" t="s">
        <v>54</v>
      </c>
      <c r="R10" s="34"/>
      <c r="S10" s="34"/>
      <c r="T10" s="34"/>
      <c r="U10" s="34"/>
      <c r="V10" s="34"/>
      <c r="W10" s="34"/>
      <c r="X10" s="34"/>
      <c r="Y10" s="56"/>
      <c r="Z10" s="56"/>
      <c r="AA10" s="56"/>
      <c r="AB10" s="56"/>
      <c r="AC10" s="56"/>
      <c r="AD10" s="56"/>
    </row>
    <row r="11" hidden="1">
      <c r="A11" s="57"/>
      <c r="B11" s="58">
        <v>46203.0</v>
      </c>
      <c r="C11" s="60" t="s">
        <v>75</v>
      </c>
      <c r="D11" s="61" t="s">
        <v>362</v>
      </c>
      <c r="E11" s="61"/>
      <c r="F11" s="63" t="s">
        <v>78</v>
      </c>
      <c r="G11" s="63" t="s">
        <v>364</v>
      </c>
      <c r="H11" s="63" t="s">
        <v>368</v>
      </c>
      <c r="I11" s="61" t="s">
        <v>81</v>
      </c>
      <c r="J11" s="63" t="s">
        <v>372</v>
      </c>
      <c r="K11" s="63" t="s">
        <v>375</v>
      </c>
      <c r="L11" s="63" t="s">
        <v>375</v>
      </c>
      <c r="M11" s="71" t="s">
        <v>379</v>
      </c>
      <c r="N11" s="60" t="s">
        <v>54</v>
      </c>
      <c r="O11" s="61"/>
      <c r="P11" s="61"/>
      <c r="Q11" s="61"/>
      <c r="R11" s="61"/>
      <c r="S11" s="61"/>
      <c r="T11" s="61"/>
      <c r="U11" s="61"/>
      <c r="V11" s="61"/>
      <c r="W11" s="61"/>
      <c r="X11" s="61"/>
      <c r="Y11" s="56"/>
      <c r="Z11" s="56"/>
      <c r="AA11" s="56"/>
      <c r="AB11" s="56"/>
      <c r="AC11" s="56"/>
      <c r="AD11" s="56"/>
    </row>
    <row r="12" hidden="1">
      <c r="A12" s="76"/>
      <c r="B12" s="77">
        <v>46203.0</v>
      </c>
      <c r="C12" s="41" t="s">
        <v>75</v>
      </c>
      <c r="D12" s="34" t="s">
        <v>402</v>
      </c>
      <c r="E12" s="34"/>
      <c r="F12" s="78" t="s">
        <v>78</v>
      </c>
      <c r="G12" s="78" t="s">
        <v>406</v>
      </c>
      <c r="H12" s="78"/>
      <c r="I12" s="34" t="s">
        <v>81</v>
      </c>
      <c r="J12" s="78" t="s">
        <v>411</v>
      </c>
      <c r="K12" s="78" t="s">
        <v>413</v>
      </c>
      <c r="L12" s="78" t="s">
        <v>413</v>
      </c>
      <c r="M12" s="81" t="s">
        <v>416</v>
      </c>
      <c r="N12" s="41" t="s">
        <v>54</v>
      </c>
      <c r="O12" s="34"/>
      <c r="P12" s="34"/>
      <c r="Q12" s="34"/>
      <c r="R12" s="34"/>
      <c r="S12" s="34"/>
      <c r="T12" s="34"/>
      <c r="U12" s="34"/>
      <c r="V12" s="34"/>
      <c r="W12" s="34"/>
      <c r="X12" s="34"/>
      <c r="Y12" s="56"/>
      <c r="Z12" s="56"/>
      <c r="AA12" s="56"/>
      <c r="AB12" s="56"/>
      <c r="AC12" s="56"/>
      <c r="AD12" s="56"/>
    </row>
    <row r="13" hidden="1">
      <c r="A13" s="57"/>
      <c r="B13" s="58">
        <v>46203.0</v>
      </c>
      <c r="C13" s="60" t="s">
        <v>75</v>
      </c>
      <c r="D13" s="61" t="s">
        <v>436</v>
      </c>
      <c r="E13" s="61"/>
      <c r="F13" s="63" t="s">
        <v>78</v>
      </c>
      <c r="G13" s="63" t="s">
        <v>437</v>
      </c>
      <c r="H13" s="63" t="s">
        <v>256</v>
      </c>
      <c r="I13" s="61" t="s">
        <v>81</v>
      </c>
      <c r="J13" s="63" t="s">
        <v>129</v>
      </c>
      <c r="K13" s="63" t="s">
        <v>442</v>
      </c>
      <c r="L13" s="63" t="s">
        <v>442</v>
      </c>
      <c r="M13" s="71" t="s">
        <v>447</v>
      </c>
      <c r="N13" s="60" t="s">
        <v>54</v>
      </c>
      <c r="O13" s="61"/>
      <c r="P13" s="61"/>
      <c r="Q13" s="61"/>
      <c r="R13" s="61"/>
      <c r="S13" s="61"/>
      <c r="T13" s="61"/>
      <c r="U13" s="61"/>
      <c r="V13" s="61"/>
      <c r="W13" s="61"/>
      <c r="X13" s="61"/>
      <c r="Y13" s="56"/>
      <c r="Z13" s="56"/>
      <c r="AA13" s="56"/>
      <c r="AB13" s="56"/>
      <c r="AC13" s="56"/>
      <c r="AD13" s="56"/>
    </row>
    <row r="14" hidden="1">
      <c r="A14" s="76"/>
      <c r="B14" s="77">
        <v>46203.0</v>
      </c>
      <c r="C14" s="41" t="s">
        <v>75</v>
      </c>
      <c r="D14" s="34" t="s">
        <v>469</v>
      </c>
      <c r="E14" s="34"/>
      <c r="F14" s="78" t="s">
        <v>78</v>
      </c>
      <c r="G14" s="78" t="s">
        <v>472</v>
      </c>
      <c r="H14" s="78" t="s">
        <v>256</v>
      </c>
      <c r="I14" s="34" t="s">
        <v>81</v>
      </c>
      <c r="J14" s="78" t="s">
        <v>129</v>
      </c>
      <c r="K14" s="78" t="s">
        <v>473</v>
      </c>
      <c r="L14" s="78" t="s">
        <v>473</v>
      </c>
      <c r="M14" s="81" t="s">
        <v>447</v>
      </c>
      <c r="N14" s="41" t="s">
        <v>54</v>
      </c>
      <c r="O14" s="34"/>
      <c r="P14" s="34"/>
      <c r="Q14" s="34"/>
      <c r="R14" s="34"/>
      <c r="S14" s="34"/>
      <c r="T14" s="34"/>
      <c r="U14" s="34"/>
      <c r="V14" s="34"/>
      <c r="W14" s="34"/>
      <c r="X14" s="34"/>
      <c r="Y14" s="56"/>
      <c r="Z14" s="56"/>
      <c r="AA14" s="56"/>
      <c r="AB14" s="56"/>
      <c r="AC14" s="56"/>
      <c r="AD14" s="56"/>
    </row>
    <row r="15" hidden="1">
      <c r="A15" s="57"/>
      <c r="B15" s="58">
        <v>46203.0</v>
      </c>
      <c r="C15" s="60" t="s">
        <v>75</v>
      </c>
      <c r="D15" s="61" t="s">
        <v>491</v>
      </c>
      <c r="E15" s="61"/>
      <c r="F15" s="63" t="s">
        <v>78</v>
      </c>
      <c r="G15" s="63" t="s">
        <v>497</v>
      </c>
      <c r="H15" s="63" t="s">
        <v>256</v>
      </c>
      <c r="I15" s="61" t="s">
        <v>81</v>
      </c>
      <c r="J15" s="63" t="s">
        <v>129</v>
      </c>
      <c r="K15" s="63" t="s">
        <v>498</v>
      </c>
      <c r="L15" s="63" t="s">
        <v>498</v>
      </c>
      <c r="M15" s="71" t="s">
        <v>447</v>
      </c>
      <c r="N15" s="60" t="s">
        <v>54</v>
      </c>
      <c r="O15" s="61"/>
      <c r="P15" s="61"/>
      <c r="Q15" s="61"/>
      <c r="R15" s="61"/>
      <c r="S15" s="61"/>
      <c r="T15" s="61"/>
      <c r="U15" s="61"/>
      <c r="V15" s="61"/>
      <c r="W15" s="61"/>
      <c r="X15" s="61"/>
      <c r="Y15" s="56"/>
      <c r="Z15" s="56"/>
      <c r="AA15" s="56"/>
      <c r="AB15" s="56"/>
      <c r="AC15" s="56"/>
      <c r="AD15" s="56"/>
    </row>
    <row r="16" hidden="1">
      <c r="A16" s="106"/>
      <c r="B16" s="41">
        <v>1.0</v>
      </c>
      <c r="C16" s="41" t="s">
        <v>75</v>
      </c>
      <c r="D16" s="34" t="s">
        <v>510</v>
      </c>
      <c r="E16" s="34" t="s">
        <v>512</v>
      </c>
      <c r="F16" s="34" t="s">
        <v>78</v>
      </c>
      <c r="G16" s="34" t="s">
        <v>517</v>
      </c>
      <c r="H16" s="78" t="s">
        <v>256</v>
      </c>
      <c r="I16" s="78"/>
      <c r="J16" s="78" t="s">
        <v>129</v>
      </c>
      <c r="K16" s="78" t="s">
        <v>522</v>
      </c>
      <c r="L16" s="78" t="s">
        <v>522</v>
      </c>
      <c r="M16" s="81" t="s">
        <v>525</v>
      </c>
      <c r="N16" s="41" t="s">
        <v>54</v>
      </c>
      <c r="O16" s="34"/>
      <c r="P16" s="34"/>
      <c r="Q16" s="34"/>
      <c r="R16" s="34"/>
      <c r="S16" s="34"/>
      <c r="T16" s="34"/>
      <c r="U16" s="34"/>
      <c r="V16" s="34"/>
      <c r="W16" s="34"/>
      <c r="X16" s="34"/>
      <c r="Y16" s="56"/>
      <c r="Z16" s="56"/>
      <c r="AA16" s="56"/>
      <c r="AB16" s="56"/>
      <c r="AC16" s="56"/>
      <c r="AD16" s="56"/>
    </row>
    <row r="17" hidden="1">
      <c r="A17" s="110"/>
      <c r="B17" s="60"/>
      <c r="C17" s="60" t="s">
        <v>75</v>
      </c>
      <c r="D17" s="61" t="s">
        <v>550</v>
      </c>
      <c r="E17" s="61"/>
      <c r="F17" s="61"/>
      <c r="G17" s="63" t="s">
        <v>556</v>
      </c>
      <c r="H17" s="63" t="s">
        <v>256</v>
      </c>
      <c r="I17" s="63"/>
      <c r="J17" s="63" t="s">
        <v>129</v>
      </c>
      <c r="K17" s="63" t="s">
        <v>522</v>
      </c>
      <c r="L17" s="63" t="s">
        <v>522</v>
      </c>
      <c r="M17" s="71" t="s">
        <v>525</v>
      </c>
      <c r="N17" s="60" t="s">
        <v>54</v>
      </c>
      <c r="O17" s="61"/>
      <c r="P17" s="61"/>
      <c r="Q17" s="61"/>
      <c r="R17" s="61"/>
      <c r="S17" s="61"/>
      <c r="T17" s="61"/>
      <c r="U17" s="61"/>
      <c r="V17" s="61"/>
      <c r="W17" s="61"/>
      <c r="X17" s="61"/>
      <c r="Y17" s="56"/>
      <c r="Z17" s="56"/>
      <c r="AA17" s="56"/>
      <c r="AB17" s="56"/>
      <c r="AC17" s="56"/>
      <c r="AD17" s="56"/>
    </row>
    <row r="18" hidden="1">
      <c r="A18" s="106"/>
      <c r="B18" s="41"/>
      <c r="C18" s="41" t="s">
        <v>75</v>
      </c>
      <c r="D18" s="34" t="s">
        <v>577</v>
      </c>
      <c r="E18" s="34"/>
      <c r="F18" s="34"/>
      <c r="G18" s="78" t="s">
        <v>578</v>
      </c>
      <c r="H18" s="78" t="s">
        <v>256</v>
      </c>
      <c r="I18" s="78"/>
      <c r="J18" s="78" t="s">
        <v>580</v>
      </c>
      <c r="K18" s="78" t="s">
        <v>582</v>
      </c>
      <c r="L18" s="78" t="s">
        <v>582</v>
      </c>
      <c r="M18" s="81" t="s">
        <v>586</v>
      </c>
      <c r="N18" s="41" t="s">
        <v>54</v>
      </c>
      <c r="O18" s="34"/>
      <c r="P18" s="34"/>
      <c r="Q18" s="34"/>
      <c r="R18" s="34"/>
      <c r="S18" s="34"/>
      <c r="T18" s="34"/>
      <c r="U18" s="34"/>
      <c r="V18" s="34"/>
      <c r="W18" s="34"/>
      <c r="X18" s="34"/>
      <c r="Y18" s="56"/>
      <c r="Z18" s="56"/>
      <c r="AA18" s="56"/>
      <c r="AB18" s="56"/>
      <c r="AC18" s="56"/>
      <c r="AD18" s="56"/>
    </row>
    <row r="19" hidden="1">
      <c r="A19" s="110"/>
      <c r="B19" s="60"/>
      <c r="C19" s="60" t="s">
        <v>75</v>
      </c>
      <c r="D19" s="61" t="s">
        <v>606</v>
      </c>
      <c r="E19" s="61"/>
      <c r="F19" s="61"/>
      <c r="G19" s="63" t="s">
        <v>610</v>
      </c>
      <c r="H19" s="63"/>
      <c r="I19" s="63"/>
      <c r="J19" s="63" t="s">
        <v>612</v>
      </c>
      <c r="K19" s="63" t="s">
        <v>616</v>
      </c>
      <c r="L19" s="63" t="s">
        <v>616</v>
      </c>
      <c r="M19" s="71" t="s">
        <v>618</v>
      </c>
      <c r="N19" s="60" t="s">
        <v>54</v>
      </c>
      <c r="O19" s="61"/>
      <c r="P19" s="61"/>
      <c r="Q19" s="61"/>
      <c r="R19" s="61"/>
      <c r="S19" s="61"/>
      <c r="T19" s="61"/>
      <c r="U19" s="61"/>
      <c r="V19" s="61"/>
      <c r="W19" s="61"/>
      <c r="X19" s="61"/>
      <c r="Y19" s="56"/>
      <c r="Z19" s="56"/>
      <c r="AA19" s="56"/>
      <c r="AB19" s="56"/>
      <c r="AC19" s="56"/>
      <c r="AD19" s="56"/>
    </row>
    <row r="20" hidden="1">
      <c r="A20" s="106"/>
      <c r="B20" s="41">
        <v>2.0</v>
      </c>
      <c r="C20" s="41" t="s">
        <v>75</v>
      </c>
      <c r="D20" s="118" t="s">
        <v>629</v>
      </c>
      <c r="E20" s="118" t="s">
        <v>631</v>
      </c>
      <c r="F20" s="34" t="s">
        <v>78</v>
      </c>
      <c r="G20" s="34" t="s">
        <v>633</v>
      </c>
      <c r="H20" s="78" t="s">
        <v>256</v>
      </c>
      <c r="I20" s="78"/>
      <c r="J20" s="78" t="s">
        <v>129</v>
      </c>
      <c r="K20" s="78" t="s">
        <v>522</v>
      </c>
      <c r="L20" s="78" t="s">
        <v>522</v>
      </c>
      <c r="M20" s="81" t="s">
        <v>636</v>
      </c>
      <c r="N20" s="41" t="s">
        <v>54</v>
      </c>
      <c r="O20" s="34"/>
      <c r="P20" s="34"/>
      <c r="Q20" s="34"/>
      <c r="R20" s="34"/>
      <c r="S20" s="34"/>
      <c r="T20" s="34"/>
      <c r="U20" s="34"/>
      <c r="V20" s="34"/>
      <c r="W20" s="34"/>
      <c r="X20" s="34"/>
      <c r="Y20" s="56"/>
      <c r="Z20" s="56"/>
      <c r="AA20" s="56"/>
      <c r="AB20" s="56"/>
      <c r="AC20" s="56"/>
      <c r="AD20" s="56"/>
    </row>
    <row r="21" hidden="1">
      <c r="A21" s="110"/>
      <c r="B21" s="60"/>
      <c r="C21" s="60" t="s">
        <v>75</v>
      </c>
      <c r="D21" s="119" t="s">
        <v>653</v>
      </c>
      <c r="E21" s="119"/>
      <c r="F21" s="61"/>
      <c r="G21" s="63" t="s">
        <v>656</v>
      </c>
      <c r="H21" s="63" t="s">
        <v>256</v>
      </c>
      <c r="I21" s="63"/>
      <c r="J21" s="63" t="s">
        <v>658</v>
      </c>
      <c r="K21" s="63" t="s">
        <v>660</v>
      </c>
      <c r="L21" s="63" t="s">
        <v>660</v>
      </c>
      <c r="M21" s="71" t="s">
        <v>662</v>
      </c>
      <c r="N21" s="60" t="s">
        <v>54</v>
      </c>
      <c r="O21" s="61"/>
      <c r="P21" s="61"/>
      <c r="Q21" s="61"/>
      <c r="R21" s="61"/>
      <c r="S21" s="61"/>
      <c r="T21" s="61"/>
      <c r="U21" s="61"/>
      <c r="V21" s="61"/>
      <c r="W21" s="61"/>
      <c r="X21" s="61"/>
      <c r="Y21" s="56"/>
      <c r="Z21" s="56"/>
      <c r="AA21" s="56"/>
      <c r="AB21" s="56"/>
      <c r="AC21" s="56"/>
      <c r="AD21" s="56"/>
    </row>
    <row r="22" hidden="1">
      <c r="A22" s="106"/>
      <c r="B22" s="41"/>
      <c r="C22" s="41" t="s">
        <v>75</v>
      </c>
      <c r="D22" s="118" t="s">
        <v>678</v>
      </c>
      <c r="E22" s="118"/>
      <c r="F22" s="34"/>
      <c r="G22" s="78" t="s">
        <v>610</v>
      </c>
      <c r="H22" s="78"/>
      <c r="I22" s="78"/>
      <c r="J22" s="78" t="s">
        <v>612</v>
      </c>
      <c r="K22" s="78" t="s">
        <v>616</v>
      </c>
      <c r="L22" s="78" t="s">
        <v>616</v>
      </c>
      <c r="M22" s="81" t="s">
        <v>683</v>
      </c>
      <c r="N22" s="41" t="s">
        <v>54</v>
      </c>
      <c r="O22" s="34"/>
      <c r="P22" s="34"/>
      <c r="Q22" s="34"/>
      <c r="R22" s="34"/>
      <c r="S22" s="34"/>
      <c r="T22" s="34"/>
      <c r="U22" s="34"/>
      <c r="V22" s="34"/>
      <c r="W22" s="34"/>
      <c r="X22" s="34"/>
      <c r="Y22" s="56"/>
      <c r="Z22" s="56"/>
      <c r="AA22" s="56"/>
      <c r="AB22" s="56"/>
      <c r="AC22" s="56"/>
      <c r="AD22" s="56"/>
    </row>
    <row r="23" hidden="1">
      <c r="A23" s="110"/>
      <c r="B23" s="60">
        <v>3.0</v>
      </c>
      <c r="C23" s="60" t="s">
        <v>75</v>
      </c>
      <c r="D23" s="119" t="s">
        <v>695</v>
      </c>
      <c r="E23" s="119" t="s">
        <v>696</v>
      </c>
      <c r="F23" s="61" t="s">
        <v>78</v>
      </c>
      <c r="G23" s="61" t="s">
        <v>698</v>
      </c>
      <c r="H23" s="63" t="s">
        <v>256</v>
      </c>
      <c r="I23" s="63"/>
      <c r="J23" s="63" t="s">
        <v>129</v>
      </c>
      <c r="K23" s="63" t="s">
        <v>522</v>
      </c>
      <c r="L23" s="63" t="s">
        <v>522</v>
      </c>
      <c r="M23" s="71" t="s">
        <v>702</v>
      </c>
      <c r="N23" s="60" t="s">
        <v>54</v>
      </c>
      <c r="O23" s="61"/>
      <c r="P23" s="61"/>
      <c r="Q23" s="61"/>
      <c r="R23" s="61"/>
      <c r="S23" s="61"/>
      <c r="T23" s="61"/>
      <c r="U23" s="61"/>
      <c r="V23" s="61"/>
      <c r="W23" s="61"/>
      <c r="X23" s="61"/>
      <c r="Y23" s="56"/>
      <c r="Z23" s="56"/>
      <c r="AA23" s="56"/>
      <c r="AB23" s="56"/>
      <c r="AC23" s="56"/>
      <c r="AD23" s="56"/>
    </row>
    <row r="24" hidden="1">
      <c r="A24" s="106"/>
      <c r="B24" s="41"/>
      <c r="C24" s="41" t="s">
        <v>75</v>
      </c>
      <c r="D24" s="118" t="s">
        <v>711</v>
      </c>
      <c r="E24" s="34"/>
      <c r="F24" s="34"/>
      <c r="G24" s="78" t="s">
        <v>714</v>
      </c>
      <c r="H24" s="78" t="s">
        <v>256</v>
      </c>
      <c r="I24" s="78"/>
      <c r="J24" s="78" t="s">
        <v>717</v>
      </c>
      <c r="K24" s="78" t="s">
        <v>719</v>
      </c>
      <c r="L24" s="78" t="s">
        <v>719</v>
      </c>
      <c r="M24" s="81" t="s">
        <v>723</v>
      </c>
      <c r="N24" s="41" t="s">
        <v>54</v>
      </c>
      <c r="O24" s="34"/>
      <c r="P24" s="34"/>
      <c r="Q24" s="34"/>
      <c r="R24" s="34"/>
      <c r="S24" s="34"/>
      <c r="T24" s="34"/>
      <c r="U24" s="34"/>
      <c r="V24" s="34"/>
      <c r="W24" s="34"/>
      <c r="X24" s="34"/>
      <c r="Y24" s="56"/>
      <c r="Z24" s="56"/>
      <c r="AA24" s="56"/>
      <c r="AB24" s="56"/>
      <c r="AC24" s="56"/>
      <c r="AD24" s="56"/>
    </row>
    <row r="25" hidden="1">
      <c r="A25" s="110"/>
      <c r="B25" s="60"/>
      <c r="C25" s="60" t="s">
        <v>75</v>
      </c>
      <c r="D25" s="119" t="s">
        <v>736</v>
      </c>
      <c r="E25" s="61"/>
      <c r="F25" s="61"/>
      <c r="G25" s="63" t="s">
        <v>610</v>
      </c>
      <c r="H25" s="63"/>
      <c r="I25" s="63"/>
      <c r="J25" s="63" t="s">
        <v>612</v>
      </c>
      <c r="K25" s="63" t="s">
        <v>616</v>
      </c>
      <c r="L25" s="63" t="s">
        <v>616</v>
      </c>
      <c r="M25" s="71" t="s">
        <v>745</v>
      </c>
      <c r="N25" s="60" t="s">
        <v>54</v>
      </c>
      <c r="O25" s="61"/>
      <c r="P25" s="61"/>
      <c r="Q25" s="61"/>
      <c r="R25" s="61"/>
      <c r="S25" s="61"/>
      <c r="T25" s="61"/>
      <c r="U25" s="61"/>
      <c r="V25" s="61"/>
      <c r="W25" s="61"/>
      <c r="X25" s="61"/>
      <c r="Y25" s="56"/>
      <c r="Z25" s="56"/>
      <c r="AA25" s="56"/>
      <c r="AB25" s="56"/>
      <c r="AC25" s="56"/>
      <c r="AD25" s="56"/>
    </row>
    <row r="26" hidden="1">
      <c r="A26" s="106"/>
      <c r="B26" s="41">
        <v>4.0</v>
      </c>
      <c r="C26" s="41" t="s">
        <v>75</v>
      </c>
      <c r="D26" s="34" t="s">
        <v>764</v>
      </c>
      <c r="E26" s="34" t="s">
        <v>765</v>
      </c>
      <c r="F26" s="34" t="s">
        <v>78</v>
      </c>
      <c r="G26" s="34" t="s">
        <v>767</v>
      </c>
      <c r="H26" s="78" t="s">
        <v>256</v>
      </c>
      <c r="I26" s="78"/>
      <c r="J26" s="78" t="s">
        <v>129</v>
      </c>
      <c r="K26" s="78" t="s">
        <v>522</v>
      </c>
      <c r="L26" s="78" t="s">
        <v>522</v>
      </c>
      <c r="M26" s="81" t="s">
        <v>773</v>
      </c>
      <c r="N26" s="41" t="s">
        <v>54</v>
      </c>
      <c r="O26" s="34"/>
      <c r="P26" s="34"/>
      <c r="Q26" s="34"/>
      <c r="R26" s="34"/>
      <c r="S26" s="34"/>
      <c r="T26" s="34"/>
      <c r="U26" s="34"/>
      <c r="V26" s="34"/>
      <c r="W26" s="34"/>
      <c r="X26" s="34"/>
      <c r="Y26" s="56"/>
      <c r="Z26" s="56"/>
      <c r="AA26" s="56"/>
      <c r="AB26" s="56"/>
      <c r="AC26" s="56"/>
      <c r="AD26" s="56"/>
    </row>
    <row r="27" hidden="1">
      <c r="A27" s="110"/>
      <c r="B27" s="60"/>
      <c r="C27" s="60" t="s">
        <v>75</v>
      </c>
      <c r="D27" s="61" t="s">
        <v>803</v>
      </c>
      <c r="E27" s="119"/>
      <c r="F27" s="119"/>
      <c r="G27" s="63" t="s">
        <v>807</v>
      </c>
      <c r="H27" s="63" t="s">
        <v>256</v>
      </c>
      <c r="I27" s="63"/>
      <c r="J27" s="63" t="s">
        <v>810</v>
      </c>
      <c r="K27" s="63" t="s">
        <v>811</v>
      </c>
      <c r="L27" s="63" t="s">
        <v>811</v>
      </c>
      <c r="M27" s="71" t="s">
        <v>818</v>
      </c>
      <c r="N27" s="60" t="s">
        <v>54</v>
      </c>
      <c r="O27" s="61"/>
      <c r="P27" s="61"/>
      <c r="Q27" s="61"/>
      <c r="R27" s="61"/>
      <c r="S27" s="61"/>
      <c r="T27" s="61"/>
      <c r="U27" s="61"/>
      <c r="V27" s="61"/>
      <c r="W27" s="61"/>
      <c r="X27" s="61"/>
      <c r="Y27" s="56"/>
      <c r="Z27" s="56"/>
      <c r="AA27" s="56"/>
      <c r="AB27" s="56"/>
      <c r="AC27" s="56"/>
      <c r="AD27" s="56"/>
    </row>
    <row r="28" hidden="1">
      <c r="A28" s="106"/>
      <c r="B28" s="41"/>
      <c r="C28" s="41" t="s">
        <v>75</v>
      </c>
      <c r="D28" s="34" t="s">
        <v>854</v>
      </c>
      <c r="E28" s="118"/>
      <c r="F28" s="118"/>
      <c r="G28" s="78" t="s">
        <v>610</v>
      </c>
      <c r="H28" s="78"/>
      <c r="I28" s="78"/>
      <c r="J28" s="78" t="s">
        <v>612</v>
      </c>
      <c r="K28" s="78" t="s">
        <v>616</v>
      </c>
      <c r="L28" s="78" t="s">
        <v>616</v>
      </c>
      <c r="M28" s="81" t="s">
        <v>866</v>
      </c>
      <c r="N28" s="41" t="s">
        <v>54</v>
      </c>
      <c r="O28" s="34"/>
      <c r="P28" s="34"/>
      <c r="Q28" s="34"/>
      <c r="R28" s="34"/>
      <c r="S28" s="34"/>
      <c r="T28" s="34"/>
      <c r="U28" s="34"/>
      <c r="V28" s="34"/>
      <c r="W28" s="34"/>
      <c r="X28" s="34"/>
      <c r="Y28" s="56"/>
      <c r="Z28" s="56"/>
      <c r="AA28" s="56"/>
      <c r="AB28" s="56"/>
      <c r="AC28" s="56"/>
      <c r="AD28" s="56"/>
    </row>
    <row r="29" hidden="1">
      <c r="A29" s="110"/>
      <c r="B29" s="60">
        <v>5.0</v>
      </c>
      <c r="C29" s="60" t="s">
        <v>75</v>
      </c>
      <c r="D29" s="119" t="s">
        <v>898</v>
      </c>
      <c r="E29" s="119" t="s">
        <v>899</v>
      </c>
      <c r="F29" s="119" t="s">
        <v>78</v>
      </c>
      <c r="G29" s="119" t="s">
        <v>901</v>
      </c>
      <c r="H29" s="63" t="s">
        <v>256</v>
      </c>
      <c r="I29" s="63"/>
      <c r="J29" s="63" t="s">
        <v>129</v>
      </c>
      <c r="K29" s="63" t="s">
        <v>522</v>
      </c>
      <c r="L29" s="63" t="s">
        <v>522</v>
      </c>
      <c r="M29" s="71" t="s">
        <v>903</v>
      </c>
      <c r="N29" s="60" t="s">
        <v>54</v>
      </c>
      <c r="O29" s="61"/>
      <c r="P29" s="61"/>
      <c r="Q29" s="61"/>
      <c r="R29" s="61"/>
      <c r="S29" s="61"/>
      <c r="T29" s="61"/>
      <c r="U29" s="61"/>
      <c r="V29" s="61"/>
      <c r="W29" s="61"/>
      <c r="X29" s="61"/>
      <c r="Y29" s="56"/>
      <c r="Z29" s="56"/>
      <c r="AA29" s="56"/>
      <c r="AB29" s="56"/>
      <c r="AC29" s="56"/>
      <c r="AD29" s="56"/>
    </row>
    <row r="30" hidden="1">
      <c r="A30" s="106"/>
      <c r="B30" s="41"/>
      <c r="C30" s="41" t="s">
        <v>75</v>
      </c>
      <c r="D30" s="118" t="s">
        <v>923</v>
      </c>
      <c r="E30" s="118"/>
      <c r="F30" s="118"/>
      <c r="G30" s="78" t="s">
        <v>928</v>
      </c>
      <c r="H30" s="78" t="s">
        <v>256</v>
      </c>
      <c r="I30" s="78"/>
      <c r="J30" s="78" t="s">
        <v>932</v>
      </c>
      <c r="K30" s="78" t="s">
        <v>933</v>
      </c>
      <c r="L30" s="78" t="s">
        <v>933</v>
      </c>
      <c r="M30" s="81" t="s">
        <v>936</v>
      </c>
      <c r="N30" s="41" t="s">
        <v>54</v>
      </c>
      <c r="O30" s="34"/>
      <c r="P30" s="34"/>
      <c r="Q30" s="34"/>
      <c r="R30" s="34"/>
      <c r="S30" s="34"/>
      <c r="T30" s="34"/>
      <c r="U30" s="34"/>
      <c r="V30" s="34"/>
      <c r="W30" s="34"/>
      <c r="X30" s="34"/>
      <c r="Y30" s="56"/>
      <c r="Z30" s="56"/>
      <c r="AA30" s="56"/>
      <c r="AB30" s="56"/>
      <c r="AC30" s="56"/>
      <c r="AD30" s="56"/>
    </row>
    <row r="31" hidden="1">
      <c r="A31" s="110"/>
      <c r="B31" s="60"/>
      <c r="C31" s="60" t="s">
        <v>75</v>
      </c>
      <c r="D31" s="119" t="s">
        <v>959</v>
      </c>
      <c r="E31" s="119"/>
      <c r="F31" s="119"/>
      <c r="G31" s="63" t="s">
        <v>610</v>
      </c>
      <c r="H31" s="63"/>
      <c r="I31" s="63"/>
      <c r="J31" s="63" t="s">
        <v>612</v>
      </c>
      <c r="K31" s="63" t="s">
        <v>616</v>
      </c>
      <c r="L31" s="63" t="s">
        <v>616</v>
      </c>
      <c r="M31" s="71" t="s">
        <v>966</v>
      </c>
      <c r="N31" s="60" t="s">
        <v>54</v>
      </c>
      <c r="O31" s="61"/>
      <c r="P31" s="61"/>
      <c r="Q31" s="61"/>
      <c r="R31" s="61"/>
      <c r="S31" s="61"/>
      <c r="T31" s="61"/>
      <c r="U31" s="61"/>
      <c r="V31" s="61"/>
      <c r="W31" s="61"/>
      <c r="X31" s="61"/>
      <c r="Y31" s="56"/>
      <c r="Z31" s="56"/>
      <c r="AA31" s="56"/>
      <c r="AB31" s="56"/>
      <c r="AC31" s="56"/>
      <c r="AD31" s="56"/>
    </row>
    <row r="32" hidden="1">
      <c r="A32" s="106"/>
      <c r="B32" s="41">
        <v>6.0</v>
      </c>
      <c r="C32" s="41" t="s">
        <v>75</v>
      </c>
      <c r="D32" s="118" t="s">
        <v>995</v>
      </c>
      <c r="E32" s="118" t="s">
        <v>997</v>
      </c>
      <c r="F32" s="118" t="s">
        <v>78</v>
      </c>
      <c r="G32" s="118" t="s">
        <v>999</v>
      </c>
      <c r="H32" s="78" t="s">
        <v>256</v>
      </c>
      <c r="I32" s="78"/>
      <c r="J32" s="78" t="s">
        <v>129</v>
      </c>
      <c r="K32" s="78" t="s">
        <v>522</v>
      </c>
      <c r="L32" s="78" t="s">
        <v>522</v>
      </c>
      <c r="M32" s="81" t="s">
        <v>1002</v>
      </c>
      <c r="N32" s="41" t="s">
        <v>54</v>
      </c>
      <c r="O32" s="34"/>
      <c r="P32" s="34"/>
      <c r="Q32" s="34"/>
      <c r="R32" s="34"/>
      <c r="S32" s="34"/>
      <c r="T32" s="34"/>
      <c r="U32" s="34"/>
      <c r="V32" s="34"/>
      <c r="W32" s="34"/>
      <c r="X32" s="34"/>
      <c r="Y32" s="56"/>
      <c r="Z32" s="56"/>
      <c r="AA32" s="56"/>
      <c r="AB32" s="56"/>
      <c r="AC32" s="56"/>
      <c r="AD32" s="56"/>
    </row>
    <row r="33" hidden="1">
      <c r="A33" s="110"/>
      <c r="B33" s="60"/>
      <c r="C33" s="60" t="s">
        <v>75</v>
      </c>
      <c r="D33" s="119" t="s">
        <v>1022</v>
      </c>
      <c r="E33" s="119"/>
      <c r="F33" s="119"/>
      <c r="G33" s="63" t="s">
        <v>1023</v>
      </c>
      <c r="H33" s="63" t="s">
        <v>256</v>
      </c>
      <c r="I33" s="63"/>
      <c r="J33" s="63" t="s">
        <v>1026</v>
      </c>
      <c r="K33" s="63" t="s">
        <v>1027</v>
      </c>
      <c r="L33" s="63" t="s">
        <v>1027</v>
      </c>
      <c r="M33" s="71" t="s">
        <v>1031</v>
      </c>
      <c r="N33" s="60" t="s">
        <v>54</v>
      </c>
      <c r="O33" s="61"/>
      <c r="P33" s="61"/>
      <c r="Q33" s="61"/>
      <c r="R33" s="61"/>
      <c r="S33" s="61"/>
      <c r="T33" s="61"/>
      <c r="U33" s="61"/>
      <c r="V33" s="61"/>
      <c r="W33" s="61"/>
      <c r="X33" s="61"/>
      <c r="Y33" s="56"/>
      <c r="Z33" s="56"/>
      <c r="AA33" s="56"/>
      <c r="AB33" s="56"/>
      <c r="AC33" s="56"/>
      <c r="AD33" s="56"/>
    </row>
    <row r="34" hidden="1">
      <c r="A34" s="106"/>
      <c r="B34" s="41"/>
      <c r="C34" s="41" t="s">
        <v>75</v>
      </c>
      <c r="D34" s="118" t="s">
        <v>1044</v>
      </c>
      <c r="E34" s="118"/>
      <c r="F34" s="118"/>
      <c r="G34" s="78" t="s">
        <v>610</v>
      </c>
      <c r="H34" s="78"/>
      <c r="I34" s="78"/>
      <c r="J34" s="78" t="s">
        <v>612</v>
      </c>
      <c r="K34" s="78" t="s">
        <v>616</v>
      </c>
      <c r="L34" s="78" t="s">
        <v>616</v>
      </c>
      <c r="M34" s="81" t="s">
        <v>1031</v>
      </c>
      <c r="N34" s="41" t="s">
        <v>54</v>
      </c>
      <c r="O34" s="34"/>
      <c r="P34" s="34"/>
      <c r="Q34" s="34"/>
      <c r="R34" s="34"/>
      <c r="S34" s="34"/>
      <c r="T34" s="34"/>
      <c r="U34" s="34"/>
      <c r="V34" s="34"/>
      <c r="W34" s="34"/>
      <c r="X34" s="34"/>
      <c r="Y34" s="56"/>
      <c r="Z34" s="56"/>
      <c r="AA34" s="56"/>
      <c r="AB34" s="56"/>
      <c r="AC34" s="56"/>
      <c r="AD34" s="56"/>
    </row>
    <row r="35" hidden="1">
      <c r="A35" s="110"/>
      <c r="B35" s="60">
        <v>7.0</v>
      </c>
      <c r="C35" s="60" t="s">
        <v>75</v>
      </c>
      <c r="D35" s="119" t="s">
        <v>1060</v>
      </c>
      <c r="E35" s="119" t="s">
        <v>1061</v>
      </c>
      <c r="F35" s="119" t="s">
        <v>78</v>
      </c>
      <c r="G35" s="119" t="s">
        <v>1062</v>
      </c>
      <c r="H35" s="63" t="s">
        <v>256</v>
      </c>
      <c r="I35" s="63"/>
      <c r="J35" s="63" t="s">
        <v>129</v>
      </c>
      <c r="K35" s="63" t="s">
        <v>522</v>
      </c>
      <c r="L35" s="63" t="s">
        <v>522</v>
      </c>
      <c r="M35" s="71" t="s">
        <v>1066</v>
      </c>
      <c r="N35" s="60" t="s">
        <v>54</v>
      </c>
      <c r="O35" s="61"/>
      <c r="P35" s="61"/>
      <c r="Q35" s="61"/>
      <c r="R35" s="61"/>
      <c r="S35" s="61"/>
      <c r="T35" s="61"/>
      <c r="U35" s="61"/>
      <c r="V35" s="61"/>
      <c r="W35" s="61"/>
      <c r="X35" s="61"/>
      <c r="Y35" s="56"/>
      <c r="Z35" s="56"/>
      <c r="AA35" s="56"/>
      <c r="AB35" s="56"/>
      <c r="AC35" s="56"/>
      <c r="AD35" s="56"/>
    </row>
    <row r="36" hidden="1">
      <c r="A36" s="106"/>
      <c r="B36" s="41"/>
      <c r="C36" s="41" t="s">
        <v>75</v>
      </c>
      <c r="D36" s="118" t="s">
        <v>1080</v>
      </c>
      <c r="E36" s="118"/>
      <c r="F36" s="118"/>
      <c r="G36" s="78" t="s">
        <v>1085</v>
      </c>
      <c r="H36" s="78" t="s">
        <v>256</v>
      </c>
      <c r="I36" s="78"/>
      <c r="J36" s="78" t="s">
        <v>1087</v>
      </c>
      <c r="K36" s="78" t="s">
        <v>1088</v>
      </c>
      <c r="L36" s="78" t="s">
        <v>1088</v>
      </c>
      <c r="M36" s="81" t="s">
        <v>1090</v>
      </c>
      <c r="N36" s="41" t="s">
        <v>54</v>
      </c>
      <c r="O36" s="34"/>
      <c r="P36" s="34"/>
      <c r="Q36" s="34"/>
      <c r="R36" s="34"/>
      <c r="S36" s="34"/>
      <c r="T36" s="34"/>
      <c r="U36" s="34"/>
      <c r="V36" s="34"/>
      <c r="W36" s="34"/>
      <c r="X36" s="34"/>
      <c r="Y36" s="56"/>
      <c r="Z36" s="56"/>
      <c r="AA36" s="56"/>
      <c r="AB36" s="56"/>
      <c r="AC36" s="56"/>
      <c r="AD36" s="56"/>
    </row>
    <row r="37" hidden="1">
      <c r="A37" s="110"/>
      <c r="B37" s="60"/>
      <c r="C37" s="60" t="s">
        <v>75</v>
      </c>
      <c r="D37" s="119" t="s">
        <v>1110</v>
      </c>
      <c r="E37" s="119"/>
      <c r="F37" s="119"/>
      <c r="G37" s="63" t="s">
        <v>610</v>
      </c>
      <c r="H37" s="63"/>
      <c r="I37" s="63"/>
      <c r="J37" s="63" t="s">
        <v>612</v>
      </c>
      <c r="K37" s="63" t="s">
        <v>616</v>
      </c>
      <c r="L37" s="63" t="s">
        <v>616</v>
      </c>
      <c r="M37" s="71" t="s">
        <v>1119</v>
      </c>
      <c r="N37" s="60" t="s">
        <v>54</v>
      </c>
      <c r="O37" s="61"/>
      <c r="P37" s="61"/>
      <c r="Q37" s="61"/>
      <c r="R37" s="61"/>
      <c r="S37" s="61"/>
      <c r="T37" s="61"/>
      <c r="U37" s="61"/>
      <c r="V37" s="61"/>
      <c r="W37" s="61"/>
      <c r="X37" s="61"/>
      <c r="Y37" s="56"/>
      <c r="Z37" s="56"/>
      <c r="AA37" s="56"/>
      <c r="AB37" s="56"/>
      <c r="AC37" s="56"/>
      <c r="AD37" s="56"/>
    </row>
    <row r="38" hidden="1">
      <c r="A38" s="106"/>
      <c r="B38" s="41" t="s">
        <v>1136</v>
      </c>
      <c r="C38" s="41" t="s">
        <v>75</v>
      </c>
      <c r="D38" s="41"/>
      <c r="E38" s="41" t="s">
        <v>1142</v>
      </c>
      <c r="F38" s="118" t="s">
        <v>78</v>
      </c>
      <c r="G38" s="118"/>
      <c r="H38" s="78"/>
      <c r="I38" s="78"/>
      <c r="J38" s="78"/>
      <c r="K38" s="78"/>
      <c r="L38" s="78"/>
      <c r="M38" s="34"/>
      <c r="N38" s="41"/>
      <c r="O38" s="34"/>
      <c r="P38" s="34"/>
      <c r="Q38" s="34"/>
      <c r="R38" s="34"/>
      <c r="S38" s="34"/>
      <c r="T38" s="34"/>
      <c r="U38" s="34"/>
      <c r="V38" s="34"/>
      <c r="W38" s="34"/>
      <c r="X38" s="34"/>
      <c r="Y38" s="56"/>
      <c r="Z38" s="56"/>
      <c r="AA38" s="56"/>
      <c r="AB38" s="56"/>
      <c r="AC38" s="56"/>
      <c r="AD38" s="56"/>
    </row>
    <row r="39" hidden="1">
      <c r="A39" s="110"/>
      <c r="B39" s="60"/>
      <c r="C39" s="60" t="s">
        <v>75</v>
      </c>
      <c r="D39" s="119"/>
      <c r="E39" s="119"/>
      <c r="F39" s="119"/>
      <c r="G39" s="63" t="s">
        <v>1157</v>
      </c>
      <c r="H39" s="63" t="s">
        <v>256</v>
      </c>
      <c r="I39" s="63"/>
      <c r="J39" s="63" t="s">
        <v>129</v>
      </c>
      <c r="K39" s="63" t="s">
        <v>522</v>
      </c>
      <c r="L39" s="63"/>
      <c r="M39" s="61"/>
      <c r="N39" s="60"/>
      <c r="O39" s="61"/>
      <c r="P39" s="61"/>
      <c r="Q39" s="61"/>
      <c r="R39" s="61"/>
      <c r="S39" s="61"/>
      <c r="T39" s="61"/>
      <c r="U39" s="61"/>
      <c r="V39" s="61"/>
      <c r="W39" s="61"/>
      <c r="X39" s="61"/>
      <c r="Y39" s="56"/>
      <c r="Z39" s="56"/>
      <c r="AA39" s="56"/>
      <c r="AB39" s="56"/>
      <c r="AC39" s="56"/>
      <c r="AD39" s="56"/>
    </row>
    <row r="40" hidden="1">
      <c r="A40" s="106"/>
      <c r="B40" s="41"/>
      <c r="C40" s="41" t="s">
        <v>75</v>
      </c>
      <c r="D40" s="118"/>
      <c r="E40" s="118"/>
      <c r="F40" s="118"/>
      <c r="G40" s="78" t="s">
        <v>1176</v>
      </c>
      <c r="H40" s="78" t="s">
        <v>256</v>
      </c>
      <c r="I40" s="78"/>
      <c r="J40" s="78" t="s">
        <v>1180</v>
      </c>
      <c r="K40" s="78" t="s">
        <v>1183</v>
      </c>
      <c r="L40" s="78"/>
      <c r="M40" s="34"/>
      <c r="N40" s="41"/>
      <c r="O40" s="34"/>
      <c r="P40" s="34"/>
      <c r="Q40" s="34"/>
      <c r="R40" s="34"/>
      <c r="S40" s="34"/>
      <c r="T40" s="34"/>
      <c r="U40" s="34"/>
      <c r="V40" s="34"/>
      <c r="W40" s="34"/>
      <c r="X40" s="34"/>
      <c r="Y40" s="56"/>
      <c r="Z40" s="56"/>
      <c r="AA40" s="56"/>
      <c r="AB40" s="56"/>
      <c r="AC40" s="56"/>
      <c r="AD40" s="56"/>
    </row>
    <row r="41" hidden="1">
      <c r="A41" s="110"/>
      <c r="B41" s="60"/>
      <c r="C41" s="60" t="s">
        <v>75</v>
      </c>
      <c r="D41" s="119"/>
      <c r="E41" s="119"/>
      <c r="F41" s="119"/>
      <c r="G41" s="63" t="s">
        <v>610</v>
      </c>
      <c r="H41" s="63"/>
      <c r="I41" s="63"/>
      <c r="J41" s="63" t="s">
        <v>612</v>
      </c>
      <c r="K41" s="63" t="s">
        <v>616</v>
      </c>
      <c r="L41" s="63"/>
      <c r="M41" s="61"/>
      <c r="N41" s="60"/>
      <c r="O41" s="61"/>
      <c r="P41" s="61"/>
      <c r="Q41" s="61"/>
      <c r="R41" s="61"/>
      <c r="S41" s="61"/>
      <c r="T41" s="61"/>
      <c r="U41" s="61"/>
      <c r="V41" s="61"/>
      <c r="W41" s="61"/>
      <c r="X41" s="61"/>
      <c r="Y41" s="56"/>
      <c r="Z41" s="56"/>
      <c r="AA41" s="56"/>
      <c r="AB41" s="56"/>
      <c r="AC41" s="56"/>
      <c r="AD41" s="56"/>
    </row>
    <row r="42" hidden="1">
      <c r="A42" s="106"/>
      <c r="B42" s="41" t="s">
        <v>1136</v>
      </c>
      <c r="C42" s="41" t="s">
        <v>75</v>
      </c>
      <c r="D42" s="41"/>
      <c r="E42" s="41" t="s">
        <v>1231</v>
      </c>
      <c r="F42" s="118" t="s">
        <v>78</v>
      </c>
      <c r="G42" s="118"/>
      <c r="H42" s="78"/>
      <c r="I42" s="78"/>
      <c r="J42" s="78"/>
      <c r="K42" s="78"/>
      <c r="L42" s="78"/>
      <c r="M42" s="34"/>
      <c r="N42" s="41"/>
      <c r="O42" s="34"/>
      <c r="P42" s="34"/>
      <c r="Q42" s="34"/>
      <c r="R42" s="34"/>
      <c r="S42" s="34"/>
      <c r="T42" s="34"/>
      <c r="U42" s="34"/>
      <c r="V42" s="34"/>
      <c r="W42" s="34"/>
      <c r="X42" s="34"/>
      <c r="Y42" s="56"/>
      <c r="Z42" s="56"/>
      <c r="AA42" s="56"/>
      <c r="AB42" s="56"/>
      <c r="AC42" s="56"/>
      <c r="AD42" s="56"/>
    </row>
    <row r="43" hidden="1">
      <c r="A43" s="110"/>
      <c r="B43" s="60"/>
      <c r="C43" s="60" t="s">
        <v>75</v>
      </c>
      <c r="D43" s="119"/>
      <c r="E43" s="119"/>
      <c r="F43" s="119"/>
      <c r="G43" s="63" t="s">
        <v>1255</v>
      </c>
      <c r="H43" s="63" t="s">
        <v>256</v>
      </c>
      <c r="I43" s="63"/>
      <c r="J43" s="63" t="s">
        <v>129</v>
      </c>
      <c r="K43" s="63" t="s">
        <v>522</v>
      </c>
      <c r="L43" s="63"/>
      <c r="M43" s="61"/>
      <c r="N43" s="60"/>
      <c r="O43" s="61"/>
      <c r="P43" s="61"/>
      <c r="Q43" s="61"/>
      <c r="R43" s="61"/>
      <c r="S43" s="61"/>
      <c r="T43" s="61"/>
      <c r="U43" s="61"/>
      <c r="V43" s="61"/>
      <c r="W43" s="61"/>
      <c r="X43" s="61"/>
      <c r="Y43" s="56"/>
      <c r="Z43" s="56"/>
      <c r="AA43" s="56"/>
      <c r="AB43" s="56"/>
      <c r="AC43" s="56"/>
      <c r="AD43" s="56"/>
    </row>
    <row r="44" hidden="1">
      <c r="A44" s="106"/>
      <c r="B44" s="41"/>
      <c r="C44" s="41" t="s">
        <v>75</v>
      </c>
      <c r="D44" s="118"/>
      <c r="E44" s="118"/>
      <c r="F44" s="118"/>
      <c r="G44" s="78" t="s">
        <v>1279</v>
      </c>
      <c r="H44" s="78" t="s">
        <v>256</v>
      </c>
      <c r="I44" s="78"/>
      <c r="J44" s="78" t="s">
        <v>1281</v>
      </c>
      <c r="K44" s="78" t="s">
        <v>1282</v>
      </c>
      <c r="L44" s="78"/>
      <c r="M44" s="34"/>
      <c r="N44" s="41"/>
      <c r="O44" s="34"/>
      <c r="P44" s="34"/>
      <c r="Q44" s="34"/>
      <c r="R44" s="34"/>
      <c r="S44" s="34"/>
      <c r="T44" s="34"/>
      <c r="U44" s="34"/>
      <c r="V44" s="34"/>
      <c r="W44" s="34"/>
      <c r="X44" s="34"/>
      <c r="Y44" s="56"/>
      <c r="Z44" s="56"/>
      <c r="AA44" s="56"/>
      <c r="AB44" s="56"/>
      <c r="AC44" s="56"/>
      <c r="AD44" s="56"/>
    </row>
    <row r="45" hidden="1">
      <c r="A45" s="110"/>
      <c r="B45" s="60"/>
      <c r="C45" s="60" t="s">
        <v>75</v>
      </c>
      <c r="D45" s="119"/>
      <c r="E45" s="119"/>
      <c r="F45" s="119"/>
      <c r="G45" s="63" t="s">
        <v>610</v>
      </c>
      <c r="H45" s="63"/>
      <c r="I45" s="63"/>
      <c r="J45" s="63" t="s">
        <v>612</v>
      </c>
      <c r="K45" s="63" t="s">
        <v>616</v>
      </c>
      <c r="L45" s="63"/>
      <c r="M45" s="61"/>
      <c r="N45" s="60"/>
      <c r="O45" s="61"/>
      <c r="P45" s="61"/>
      <c r="Q45" s="61"/>
      <c r="R45" s="61"/>
      <c r="S45" s="61"/>
      <c r="T45" s="61"/>
      <c r="U45" s="61"/>
      <c r="V45" s="61"/>
      <c r="W45" s="61"/>
      <c r="X45" s="61"/>
      <c r="Y45" s="56"/>
      <c r="Z45" s="56"/>
      <c r="AA45" s="56"/>
      <c r="AB45" s="56"/>
      <c r="AC45" s="56"/>
      <c r="AD45" s="56"/>
    </row>
    <row r="46" hidden="1">
      <c r="A46" s="106"/>
      <c r="B46" s="41">
        <v>8.0</v>
      </c>
      <c r="C46" s="41" t="s">
        <v>75</v>
      </c>
      <c r="D46" s="118" t="s">
        <v>1327</v>
      </c>
      <c r="E46" s="118" t="s">
        <v>1330</v>
      </c>
      <c r="F46" s="118" t="s">
        <v>78</v>
      </c>
      <c r="G46" s="118" t="s">
        <v>1331</v>
      </c>
      <c r="H46" s="78" t="s">
        <v>256</v>
      </c>
      <c r="I46" s="78"/>
      <c r="J46" s="78" t="s">
        <v>129</v>
      </c>
      <c r="K46" s="78" t="s">
        <v>1333</v>
      </c>
      <c r="L46" s="78" t="s">
        <v>1333</v>
      </c>
      <c r="M46" s="33" t="s">
        <v>1335</v>
      </c>
      <c r="N46" s="41" t="s">
        <v>54</v>
      </c>
      <c r="O46" s="34"/>
      <c r="P46" s="34"/>
      <c r="Q46" s="34"/>
      <c r="R46" s="34"/>
      <c r="S46" s="34"/>
      <c r="T46" s="34"/>
      <c r="U46" s="34"/>
      <c r="V46" s="34"/>
      <c r="W46" s="34"/>
      <c r="X46" s="34"/>
      <c r="Y46" s="56"/>
      <c r="Z46" s="56"/>
      <c r="AA46" s="56"/>
      <c r="AB46" s="56"/>
      <c r="AC46" s="56"/>
      <c r="AD46" s="56"/>
    </row>
    <row r="47">
      <c r="A47" s="110"/>
      <c r="B47" s="60"/>
      <c r="C47" s="60" t="s">
        <v>75</v>
      </c>
      <c r="D47" s="119" t="s">
        <v>1363</v>
      </c>
      <c r="E47" s="119"/>
      <c r="F47" s="119"/>
      <c r="G47" s="63" t="s">
        <v>1365</v>
      </c>
      <c r="H47" s="63" t="s">
        <v>256</v>
      </c>
      <c r="I47" s="63"/>
      <c r="J47" s="63" t="s">
        <v>129</v>
      </c>
      <c r="K47" s="63" t="s">
        <v>1368</v>
      </c>
      <c r="L47" s="63" t="s">
        <v>1370</v>
      </c>
      <c r="M47" s="145" t="s">
        <v>1371</v>
      </c>
      <c r="N47" s="60" t="s">
        <v>52</v>
      </c>
      <c r="O47" s="61"/>
      <c r="P47" s="90" t="s">
        <v>53</v>
      </c>
      <c r="Q47" s="92" t="s">
        <v>55</v>
      </c>
      <c r="R47" s="61"/>
      <c r="S47" s="146" t="s">
        <v>1381</v>
      </c>
      <c r="T47" s="147" t="s">
        <v>1383</v>
      </c>
      <c r="U47" s="146" t="s">
        <v>52</v>
      </c>
      <c r="V47" s="61"/>
      <c r="W47" s="90" t="s">
        <v>96</v>
      </c>
      <c r="X47" s="61"/>
      <c r="Y47" s="56"/>
      <c r="Z47" s="56"/>
      <c r="AA47" s="56"/>
      <c r="AB47" s="56"/>
      <c r="AC47" s="56"/>
      <c r="AD47" s="56"/>
    </row>
    <row r="48" hidden="1">
      <c r="A48" s="106"/>
      <c r="B48" s="41">
        <v>9.0</v>
      </c>
      <c r="C48" s="41" t="s">
        <v>75</v>
      </c>
      <c r="D48" s="118" t="s">
        <v>1393</v>
      </c>
      <c r="E48" s="118" t="s">
        <v>1395</v>
      </c>
      <c r="F48" s="118" t="s">
        <v>78</v>
      </c>
      <c r="G48" s="118" t="s">
        <v>1397</v>
      </c>
      <c r="H48" s="78" t="s">
        <v>256</v>
      </c>
      <c r="I48" s="78"/>
      <c r="J48" s="78" t="s">
        <v>129</v>
      </c>
      <c r="K48" s="78" t="s">
        <v>1401</v>
      </c>
      <c r="L48" s="78"/>
      <c r="M48" s="34"/>
      <c r="N48" s="41" t="s">
        <v>1405</v>
      </c>
      <c r="O48" s="34" t="s">
        <v>1407</v>
      </c>
      <c r="P48" s="34"/>
      <c r="Q48" s="34"/>
      <c r="R48" s="34"/>
      <c r="S48" s="34"/>
      <c r="T48" s="34"/>
      <c r="U48" s="34"/>
      <c r="V48" s="34"/>
      <c r="W48" s="34"/>
      <c r="X48" s="34"/>
      <c r="Y48" s="56"/>
      <c r="Z48" s="56"/>
      <c r="AA48" s="56"/>
      <c r="AB48" s="56"/>
      <c r="AC48" s="56"/>
      <c r="AD48" s="56"/>
    </row>
    <row r="49" hidden="1">
      <c r="A49" s="110"/>
      <c r="B49" s="60"/>
      <c r="C49" s="60" t="s">
        <v>75</v>
      </c>
      <c r="D49" s="119" t="s">
        <v>1419</v>
      </c>
      <c r="E49" s="119"/>
      <c r="F49" s="119"/>
      <c r="G49" s="63" t="s">
        <v>1425</v>
      </c>
      <c r="H49" s="63" t="s">
        <v>256</v>
      </c>
      <c r="I49" s="63"/>
      <c r="J49" s="63" t="s">
        <v>129</v>
      </c>
      <c r="K49" s="63" t="s">
        <v>1401</v>
      </c>
      <c r="L49" s="63"/>
      <c r="M49" s="61"/>
      <c r="N49" s="60" t="s">
        <v>1405</v>
      </c>
      <c r="O49" s="61" t="s">
        <v>1407</v>
      </c>
      <c r="P49" s="61"/>
      <c r="Q49" s="61"/>
      <c r="R49" s="61"/>
      <c r="S49" s="61"/>
      <c r="T49" s="61"/>
      <c r="U49" s="61"/>
      <c r="V49" s="61"/>
      <c r="W49" s="61"/>
      <c r="X49" s="61"/>
      <c r="Y49" s="56"/>
      <c r="Z49" s="56"/>
      <c r="AA49" s="56"/>
      <c r="AB49" s="56"/>
      <c r="AC49" s="56"/>
      <c r="AD49" s="56"/>
    </row>
    <row r="50" hidden="1">
      <c r="A50" s="14"/>
      <c r="B50" s="16" t="s">
        <v>1434</v>
      </c>
      <c r="C50" s="41" t="s">
        <v>75</v>
      </c>
      <c r="D50" s="20"/>
      <c r="E50" s="20" t="s">
        <v>1436</v>
      </c>
      <c r="F50" s="118"/>
      <c r="G50" s="118"/>
      <c r="H50" s="118"/>
      <c r="I50" s="34"/>
      <c r="J50" s="34"/>
      <c r="K50" s="34"/>
      <c r="L50" s="34"/>
      <c r="M50" s="34"/>
      <c r="N50" s="41"/>
      <c r="O50" s="34"/>
      <c r="P50" s="34"/>
      <c r="Q50" s="34"/>
      <c r="R50" s="34"/>
      <c r="S50" s="34"/>
      <c r="T50" s="34"/>
      <c r="U50" s="34"/>
      <c r="V50" s="34"/>
      <c r="W50" s="34"/>
      <c r="X50" s="34"/>
      <c r="Y50" s="56"/>
      <c r="Z50" s="56"/>
      <c r="AA50" s="56"/>
      <c r="AB50" s="56"/>
      <c r="AC50" s="56"/>
      <c r="AD50" s="56"/>
    </row>
    <row r="51" hidden="1">
      <c r="A51" s="148"/>
      <c r="B51" s="149" t="s">
        <v>1454</v>
      </c>
      <c r="C51" s="60" t="s">
        <v>75</v>
      </c>
      <c r="D51" s="150"/>
      <c r="E51" s="150" t="s">
        <v>1455</v>
      </c>
      <c r="F51" s="119"/>
      <c r="G51" s="119"/>
      <c r="H51" s="119"/>
      <c r="I51" s="119"/>
      <c r="J51" s="119"/>
      <c r="K51" s="61"/>
      <c r="L51" s="61"/>
      <c r="M51" s="61"/>
      <c r="N51" s="60"/>
      <c r="O51" s="61"/>
      <c r="P51" s="61"/>
      <c r="Q51" s="61"/>
      <c r="R51" s="61"/>
      <c r="S51" s="61"/>
      <c r="T51" s="61"/>
      <c r="U51" s="61"/>
      <c r="V51" s="61"/>
      <c r="W51" s="61"/>
      <c r="X51" s="61"/>
      <c r="Y51" s="56"/>
      <c r="Z51" s="56"/>
      <c r="AA51" s="56"/>
      <c r="AB51" s="56"/>
      <c r="AC51" s="56"/>
      <c r="AD51" s="56"/>
    </row>
    <row r="52" hidden="1">
      <c r="A52" s="106"/>
      <c r="B52" s="41" t="s">
        <v>1136</v>
      </c>
      <c r="C52" s="41" t="s">
        <v>75</v>
      </c>
      <c r="D52" s="41"/>
      <c r="E52" s="41" t="s">
        <v>1470</v>
      </c>
      <c r="F52" s="118"/>
      <c r="G52" s="118"/>
      <c r="H52" s="78"/>
      <c r="I52" s="41"/>
      <c r="J52" s="34"/>
      <c r="K52" s="34"/>
      <c r="L52" s="34"/>
      <c r="M52" s="34"/>
      <c r="N52" s="41"/>
      <c r="O52" s="34"/>
      <c r="P52" s="34"/>
      <c r="Q52" s="34"/>
      <c r="R52" s="34"/>
      <c r="S52" s="34"/>
      <c r="T52" s="34"/>
      <c r="U52" s="34"/>
      <c r="V52" s="34"/>
      <c r="W52" s="34"/>
      <c r="X52" s="34"/>
      <c r="Y52" s="56"/>
      <c r="Z52" s="56"/>
      <c r="AA52" s="56"/>
      <c r="AB52" s="56"/>
      <c r="AC52" s="56"/>
      <c r="AD52" s="56"/>
    </row>
    <row r="53" hidden="1">
      <c r="A53" s="110"/>
      <c r="B53" s="60"/>
      <c r="C53" s="60" t="s">
        <v>75</v>
      </c>
      <c r="D53" s="119"/>
      <c r="E53" s="119"/>
      <c r="F53" s="63"/>
      <c r="G53" s="63" t="s">
        <v>1486</v>
      </c>
      <c r="H53" s="63" t="s">
        <v>1487</v>
      </c>
      <c r="I53" s="60"/>
      <c r="J53" s="63" t="s">
        <v>1490</v>
      </c>
      <c r="K53" s="63" t="s">
        <v>1491</v>
      </c>
      <c r="L53" s="61"/>
      <c r="M53" s="61"/>
      <c r="N53" s="60"/>
      <c r="O53" s="61"/>
      <c r="P53" s="61"/>
      <c r="Q53" s="61"/>
      <c r="R53" s="61"/>
      <c r="S53" s="61"/>
      <c r="T53" s="61"/>
      <c r="U53" s="61"/>
      <c r="V53" s="61"/>
      <c r="W53" s="61"/>
      <c r="X53" s="61"/>
      <c r="Y53" s="56"/>
      <c r="Z53" s="56"/>
      <c r="AA53" s="56"/>
      <c r="AB53" s="56"/>
      <c r="AC53" s="56"/>
      <c r="AD53" s="56"/>
    </row>
    <row r="54" hidden="1">
      <c r="A54" s="106"/>
      <c r="B54" s="41"/>
      <c r="C54" s="41" t="s">
        <v>75</v>
      </c>
      <c r="D54" s="118"/>
      <c r="E54" s="118"/>
      <c r="F54" s="78"/>
      <c r="G54" s="78" t="s">
        <v>1505</v>
      </c>
      <c r="H54" s="78" t="s">
        <v>1487</v>
      </c>
      <c r="I54" s="41"/>
      <c r="J54" s="78" t="s">
        <v>1490</v>
      </c>
      <c r="K54" s="78" t="s">
        <v>1507</v>
      </c>
      <c r="L54" s="34"/>
      <c r="M54" s="34"/>
      <c r="N54" s="41"/>
      <c r="O54" s="34"/>
      <c r="P54" s="34"/>
      <c r="Q54" s="34"/>
      <c r="R54" s="34"/>
      <c r="S54" s="34"/>
      <c r="T54" s="34"/>
      <c r="U54" s="34"/>
      <c r="V54" s="34"/>
      <c r="W54" s="34"/>
      <c r="X54" s="34"/>
      <c r="Y54" s="56"/>
      <c r="Z54" s="56"/>
      <c r="AA54" s="56"/>
      <c r="AB54" s="56"/>
      <c r="AC54" s="56"/>
      <c r="AD54" s="56"/>
    </row>
    <row r="55" hidden="1">
      <c r="A55" s="110"/>
      <c r="B55" s="60"/>
      <c r="C55" s="60" t="s">
        <v>75</v>
      </c>
      <c r="D55" s="119"/>
      <c r="E55" s="119"/>
      <c r="F55" s="63"/>
      <c r="G55" s="63" t="s">
        <v>1515</v>
      </c>
      <c r="H55" s="63" t="s">
        <v>1487</v>
      </c>
      <c r="I55" s="60"/>
      <c r="J55" s="63" t="s">
        <v>1490</v>
      </c>
      <c r="K55" s="63" t="s">
        <v>1517</v>
      </c>
      <c r="L55" s="61"/>
      <c r="M55" s="61"/>
      <c r="N55" s="60"/>
      <c r="O55" s="61"/>
      <c r="P55" s="61"/>
      <c r="Q55" s="61"/>
      <c r="R55" s="61"/>
      <c r="S55" s="61"/>
      <c r="T55" s="61"/>
      <c r="U55" s="61"/>
      <c r="V55" s="61"/>
      <c r="W55" s="61"/>
      <c r="X55" s="61"/>
      <c r="Y55" s="56"/>
      <c r="Z55" s="56"/>
      <c r="AA55" s="56"/>
      <c r="AB55" s="56"/>
      <c r="AC55" s="56"/>
      <c r="AD55" s="56"/>
    </row>
    <row r="56" hidden="1">
      <c r="A56" s="106"/>
      <c r="B56" s="41"/>
      <c r="C56" s="41" t="s">
        <v>75</v>
      </c>
      <c r="D56" s="118"/>
      <c r="E56" s="118"/>
      <c r="F56" s="78"/>
      <c r="G56" s="78" t="s">
        <v>1533</v>
      </c>
      <c r="H56" s="78" t="s">
        <v>1487</v>
      </c>
      <c r="I56" s="41"/>
      <c r="J56" s="78" t="s">
        <v>1490</v>
      </c>
      <c r="K56" s="78" t="s">
        <v>1517</v>
      </c>
      <c r="L56" s="34"/>
      <c r="M56" s="34"/>
      <c r="N56" s="41"/>
      <c r="O56" s="34"/>
      <c r="P56" s="34"/>
      <c r="Q56" s="34"/>
      <c r="R56" s="34"/>
      <c r="S56" s="34"/>
      <c r="T56" s="34"/>
      <c r="U56" s="34"/>
      <c r="V56" s="34"/>
      <c r="W56" s="34"/>
      <c r="X56" s="34"/>
      <c r="Y56" s="56"/>
      <c r="Z56" s="56"/>
      <c r="AA56" s="56"/>
      <c r="AB56" s="56"/>
      <c r="AC56" s="56"/>
      <c r="AD56" s="56"/>
    </row>
    <row r="57" hidden="1">
      <c r="A57" s="110"/>
      <c r="B57" s="60"/>
      <c r="C57" s="60" t="s">
        <v>75</v>
      </c>
      <c r="D57" s="119"/>
      <c r="E57" s="119"/>
      <c r="F57" s="63"/>
      <c r="G57" s="63" t="s">
        <v>1540</v>
      </c>
      <c r="H57" s="63" t="s">
        <v>1487</v>
      </c>
      <c r="I57" s="60"/>
      <c r="J57" s="63" t="s">
        <v>1490</v>
      </c>
      <c r="K57" s="63" t="s">
        <v>1517</v>
      </c>
      <c r="L57" s="61"/>
      <c r="M57" s="61"/>
      <c r="N57" s="60"/>
      <c r="O57" s="61"/>
      <c r="P57" s="61"/>
      <c r="Q57" s="61"/>
      <c r="R57" s="61"/>
      <c r="S57" s="61"/>
      <c r="T57" s="61"/>
      <c r="U57" s="61"/>
      <c r="V57" s="61"/>
      <c r="W57" s="61"/>
      <c r="X57" s="61"/>
      <c r="Y57" s="56"/>
      <c r="Z57" s="56"/>
      <c r="AA57" s="56"/>
      <c r="AB57" s="56"/>
      <c r="AC57" s="56"/>
      <c r="AD57" s="56"/>
    </row>
    <row r="58" hidden="1">
      <c r="A58" s="106"/>
      <c r="B58" s="41"/>
      <c r="C58" s="41" t="s">
        <v>75</v>
      </c>
      <c r="D58" s="118"/>
      <c r="E58" s="118"/>
      <c r="F58" s="78"/>
      <c r="G58" s="78" t="s">
        <v>1553</v>
      </c>
      <c r="H58" s="78" t="s">
        <v>1487</v>
      </c>
      <c r="I58" s="41"/>
      <c r="J58" s="78" t="s">
        <v>1490</v>
      </c>
      <c r="K58" s="78" t="s">
        <v>1554</v>
      </c>
      <c r="L58" s="34"/>
      <c r="M58" s="34"/>
      <c r="N58" s="41"/>
      <c r="O58" s="34"/>
      <c r="P58" s="34"/>
      <c r="Q58" s="34"/>
      <c r="R58" s="34"/>
      <c r="S58" s="34"/>
      <c r="T58" s="34"/>
      <c r="U58" s="34"/>
      <c r="V58" s="34"/>
      <c r="W58" s="34"/>
      <c r="X58" s="34"/>
      <c r="Y58" s="56"/>
      <c r="Z58" s="56"/>
      <c r="AA58" s="56"/>
      <c r="AB58" s="56"/>
      <c r="AC58" s="56"/>
      <c r="AD58" s="56"/>
    </row>
    <row r="59" hidden="1">
      <c r="A59" s="110"/>
      <c r="B59" s="60"/>
      <c r="C59" s="60" t="s">
        <v>75</v>
      </c>
      <c r="D59" s="119"/>
      <c r="E59" s="119"/>
      <c r="F59" s="63"/>
      <c r="G59" s="63" t="s">
        <v>1564</v>
      </c>
      <c r="H59" s="63" t="s">
        <v>1487</v>
      </c>
      <c r="I59" s="60"/>
      <c r="J59" s="63" t="s">
        <v>1490</v>
      </c>
      <c r="K59" s="63" t="s">
        <v>1554</v>
      </c>
      <c r="L59" s="61"/>
      <c r="M59" s="61"/>
      <c r="N59" s="60"/>
      <c r="O59" s="61"/>
      <c r="P59" s="61"/>
      <c r="Q59" s="61"/>
      <c r="R59" s="61"/>
      <c r="S59" s="61"/>
      <c r="T59" s="61"/>
      <c r="U59" s="61"/>
      <c r="V59" s="61"/>
      <c r="W59" s="61"/>
      <c r="X59" s="61"/>
      <c r="Y59" s="56"/>
      <c r="Z59" s="56"/>
      <c r="AA59" s="56"/>
      <c r="AB59" s="56"/>
      <c r="AC59" s="56"/>
      <c r="AD59" s="56"/>
    </row>
    <row r="60" hidden="1">
      <c r="A60" s="106"/>
      <c r="B60" s="41"/>
      <c r="C60" s="41" t="s">
        <v>75</v>
      </c>
      <c r="D60" s="118"/>
      <c r="E60" s="118"/>
      <c r="F60" s="78"/>
      <c r="G60" s="78" t="s">
        <v>1580</v>
      </c>
      <c r="H60" s="78" t="s">
        <v>1487</v>
      </c>
      <c r="I60" s="41"/>
      <c r="J60" s="78" t="s">
        <v>1490</v>
      </c>
      <c r="K60" s="78" t="s">
        <v>1585</v>
      </c>
      <c r="L60" s="34"/>
      <c r="M60" s="34"/>
      <c r="N60" s="41"/>
      <c r="O60" s="34"/>
      <c r="P60" s="34"/>
      <c r="Q60" s="34"/>
      <c r="R60" s="34"/>
      <c r="S60" s="34"/>
      <c r="T60" s="34"/>
      <c r="U60" s="34"/>
      <c r="V60" s="34"/>
      <c r="W60" s="34"/>
      <c r="X60" s="34"/>
      <c r="Y60" s="56"/>
      <c r="Z60" s="56"/>
      <c r="AA60" s="56"/>
      <c r="AB60" s="56"/>
      <c r="AC60" s="56"/>
      <c r="AD60" s="56"/>
    </row>
    <row r="61" hidden="1">
      <c r="A61" s="110"/>
      <c r="B61" s="60"/>
      <c r="C61" s="60" t="s">
        <v>75</v>
      </c>
      <c r="D61" s="119"/>
      <c r="E61" s="119"/>
      <c r="F61" s="63"/>
      <c r="G61" s="63" t="s">
        <v>1601</v>
      </c>
      <c r="H61" s="63" t="s">
        <v>1487</v>
      </c>
      <c r="I61" s="60"/>
      <c r="J61" s="63" t="s">
        <v>1490</v>
      </c>
      <c r="K61" s="63" t="s">
        <v>1554</v>
      </c>
      <c r="L61" s="61"/>
      <c r="M61" s="61"/>
      <c r="N61" s="60"/>
      <c r="O61" s="61"/>
      <c r="P61" s="61"/>
      <c r="Q61" s="61"/>
      <c r="R61" s="61"/>
      <c r="S61" s="61"/>
      <c r="T61" s="61"/>
      <c r="U61" s="61"/>
      <c r="V61" s="61"/>
      <c r="W61" s="61"/>
      <c r="X61" s="61"/>
      <c r="Y61" s="56"/>
      <c r="Z61" s="56"/>
      <c r="AA61" s="56"/>
      <c r="AB61" s="56"/>
      <c r="AC61" s="56"/>
      <c r="AD61" s="56"/>
    </row>
    <row r="62" hidden="1">
      <c r="A62" s="106"/>
      <c r="B62" s="41"/>
      <c r="C62" s="41" t="s">
        <v>75</v>
      </c>
      <c r="D62" s="118"/>
      <c r="E62" s="118"/>
      <c r="F62" s="78"/>
      <c r="G62" s="78" t="s">
        <v>1625</v>
      </c>
      <c r="H62" s="78" t="s">
        <v>1487</v>
      </c>
      <c r="I62" s="41"/>
      <c r="J62" s="78" t="s">
        <v>1490</v>
      </c>
      <c r="K62" s="78" t="s">
        <v>1517</v>
      </c>
      <c r="L62" s="34"/>
      <c r="M62" s="34"/>
      <c r="N62" s="41"/>
      <c r="O62" s="34"/>
      <c r="P62" s="34"/>
      <c r="Q62" s="34"/>
      <c r="R62" s="34"/>
      <c r="S62" s="34"/>
      <c r="T62" s="34"/>
      <c r="U62" s="34"/>
      <c r="V62" s="34"/>
      <c r="W62" s="34"/>
      <c r="X62" s="34"/>
      <c r="Y62" s="56"/>
      <c r="Z62" s="56"/>
      <c r="AA62" s="56"/>
      <c r="AB62" s="56"/>
      <c r="AC62" s="56"/>
      <c r="AD62" s="56"/>
    </row>
    <row r="63" hidden="1">
      <c r="A63" s="110"/>
      <c r="B63" s="60"/>
      <c r="C63" s="60" t="s">
        <v>75</v>
      </c>
      <c r="D63" s="119"/>
      <c r="E63" s="119"/>
      <c r="F63" s="63"/>
      <c r="G63" s="63" t="s">
        <v>1648</v>
      </c>
      <c r="H63" s="63" t="s">
        <v>1487</v>
      </c>
      <c r="I63" s="60"/>
      <c r="J63" s="63" t="s">
        <v>1490</v>
      </c>
      <c r="K63" s="63" t="s">
        <v>1554</v>
      </c>
      <c r="L63" s="61"/>
      <c r="M63" s="61"/>
      <c r="N63" s="60"/>
      <c r="O63" s="61"/>
      <c r="P63" s="61"/>
      <c r="Q63" s="61"/>
      <c r="R63" s="61"/>
      <c r="S63" s="61"/>
      <c r="T63" s="61"/>
      <c r="U63" s="61"/>
      <c r="V63" s="61"/>
      <c r="W63" s="61"/>
      <c r="X63" s="61"/>
      <c r="Y63" s="56"/>
      <c r="Z63" s="56"/>
      <c r="AA63" s="56"/>
      <c r="AB63" s="56"/>
      <c r="AC63" s="56"/>
      <c r="AD63" s="56"/>
    </row>
    <row r="64" hidden="1">
      <c r="A64" s="106"/>
      <c r="B64" s="41"/>
      <c r="C64" s="41" t="s">
        <v>75</v>
      </c>
      <c r="D64" s="118"/>
      <c r="E64" s="118"/>
      <c r="F64" s="78"/>
      <c r="G64" s="78" t="s">
        <v>1667</v>
      </c>
      <c r="H64" s="78" t="s">
        <v>1487</v>
      </c>
      <c r="I64" s="41"/>
      <c r="J64" s="78" t="s">
        <v>1490</v>
      </c>
      <c r="K64" s="78" t="s">
        <v>1517</v>
      </c>
      <c r="L64" s="34"/>
      <c r="M64" s="34"/>
      <c r="N64" s="41"/>
      <c r="O64" s="34"/>
      <c r="P64" s="34"/>
      <c r="Q64" s="34"/>
      <c r="R64" s="34"/>
      <c r="S64" s="34"/>
      <c r="T64" s="34"/>
      <c r="U64" s="34"/>
      <c r="V64" s="34"/>
      <c r="W64" s="34"/>
      <c r="X64" s="34"/>
      <c r="Y64" s="56"/>
      <c r="Z64" s="56"/>
      <c r="AA64" s="56"/>
      <c r="AB64" s="56"/>
      <c r="AC64" s="56"/>
      <c r="AD64" s="56"/>
    </row>
    <row r="65" hidden="1">
      <c r="A65" s="110"/>
      <c r="B65" s="60"/>
      <c r="C65" s="60" t="s">
        <v>75</v>
      </c>
      <c r="D65" s="119"/>
      <c r="E65" s="119"/>
      <c r="F65" s="63"/>
      <c r="G65" s="63" t="s">
        <v>1688</v>
      </c>
      <c r="H65" s="63" t="s">
        <v>1487</v>
      </c>
      <c r="I65" s="60"/>
      <c r="J65" s="63" t="s">
        <v>1490</v>
      </c>
      <c r="K65" s="63" t="s">
        <v>1690</v>
      </c>
      <c r="L65" s="61"/>
      <c r="M65" s="61"/>
      <c r="N65" s="60"/>
      <c r="O65" s="61"/>
      <c r="P65" s="61"/>
      <c r="Q65" s="61"/>
      <c r="R65" s="61"/>
      <c r="S65" s="61"/>
      <c r="T65" s="61"/>
      <c r="U65" s="61"/>
      <c r="V65" s="61"/>
      <c r="W65" s="61"/>
      <c r="X65" s="61"/>
      <c r="Y65" s="56"/>
      <c r="Z65" s="56"/>
      <c r="AA65" s="56"/>
      <c r="AB65" s="56"/>
      <c r="AC65" s="56"/>
      <c r="AD65" s="56"/>
    </row>
    <row r="66" hidden="1">
      <c r="A66" s="106"/>
      <c r="B66" s="41"/>
      <c r="C66" s="41" t="s">
        <v>75</v>
      </c>
      <c r="D66" s="118"/>
      <c r="E66" s="118"/>
      <c r="F66" s="78"/>
      <c r="G66" s="78" t="s">
        <v>1707</v>
      </c>
      <c r="H66" s="78" t="s">
        <v>1487</v>
      </c>
      <c r="I66" s="41"/>
      <c r="J66" s="78" t="s">
        <v>1490</v>
      </c>
      <c r="K66" s="78" t="s">
        <v>1710</v>
      </c>
      <c r="L66" s="34"/>
      <c r="M66" s="34"/>
      <c r="N66" s="41"/>
      <c r="O66" s="34"/>
      <c r="P66" s="34"/>
      <c r="Q66" s="34"/>
      <c r="R66" s="34"/>
      <c r="S66" s="34"/>
      <c r="T66" s="34"/>
      <c r="U66" s="34"/>
      <c r="V66" s="34"/>
      <c r="W66" s="34"/>
      <c r="X66" s="34"/>
      <c r="Y66" s="56"/>
      <c r="Z66" s="56"/>
      <c r="AA66" s="56"/>
      <c r="AB66" s="56"/>
      <c r="AC66" s="56"/>
      <c r="AD66" s="56"/>
    </row>
    <row r="67" hidden="1">
      <c r="A67" s="110"/>
      <c r="B67" s="60"/>
      <c r="C67" s="60" t="s">
        <v>75</v>
      </c>
      <c r="D67" s="119"/>
      <c r="E67" s="119"/>
      <c r="F67" s="63"/>
      <c r="G67" s="63" t="s">
        <v>1727</v>
      </c>
      <c r="H67" s="63" t="s">
        <v>1487</v>
      </c>
      <c r="I67" s="60"/>
      <c r="J67" s="63" t="s">
        <v>1490</v>
      </c>
      <c r="K67" s="63" t="s">
        <v>1731</v>
      </c>
      <c r="L67" s="61"/>
      <c r="M67" s="61"/>
      <c r="N67" s="60"/>
      <c r="O67" s="61"/>
      <c r="P67" s="61"/>
      <c r="Q67" s="61"/>
      <c r="R67" s="61"/>
      <c r="S67" s="61"/>
      <c r="T67" s="61"/>
      <c r="U67" s="61"/>
      <c r="V67" s="61"/>
      <c r="W67" s="61"/>
      <c r="X67" s="61"/>
      <c r="Y67" s="56"/>
      <c r="Z67" s="56"/>
      <c r="AA67" s="56"/>
      <c r="AB67" s="56"/>
      <c r="AC67" s="56"/>
      <c r="AD67" s="56"/>
    </row>
    <row r="68" hidden="1">
      <c r="A68" s="106"/>
      <c r="B68" s="41"/>
      <c r="C68" s="41" t="s">
        <v>75</v>
      </c>
      <c r="D68" s="118"/>
      <c r="E68" s="118"/>
      <c r="F68" s="78"/>
      <c r="G68" s="78" t="s">
        <v>1746</v>
      </c>
      <c r="H68" s="78" t="s">
        <v>1487</v>
      </c>
      <c r="I68" s="41"/>
      <c r="J68" s="78" t="s">
        <v>1490</v>
      </c>
      <c r="K68" s="78" t="s">
        <v>1748</v>
      </c>
      <c r="L68" s="34"/>
      <c r="M68" s="34"/>
      <c r="N68" s="41"/>
      <c r="O68" s="34"/>
      <c r="P68" s="34"/>
      <c r="Q68" s="34"/>
      <c r="R68" s="34"/>
      <c r="S68" s="34"/>
      <c r="T68" s="34"/>
      <c r="U68" s="34"/>
      <c r="V68" s="34"/>
      <c r="W68" s="34"/>
      <c r="X68" s="34"/>
      <c r="Y68" s="56"/>
      <c r="Z68" s="56"/>
      <c r="AA68" s="56"/>
      <c r="AB68" s="56"/>
      <c r="AC68" s="56"/>
      <c r="AD68" s="56"/>
    </row>
    <row r="69" hidden="1">
      <c r="A69" s="110"/>
      <c r="B69" s="60"/>
      <c r="C69" s="60" t="s">
        <v>75</v>
      </c>
      <c r="D69" s="119"/>
      <c r="E69" s="119"/>
      <c r="F69" s="63"/>
      <c r="G69" s="63" t="s">
        <v>1760</v>
      </c>
      <c r="H69" s="63" t="s">
        <v>1487</v>
      </c>
      <c r="I69" s="60"/>
      <c r="J69" s="63" t="s">
        <v>1490</v>
      </c>
      <c r="K69" s="63" t="s">
        <v>1764</v>
      </c>
      <c r="L69" s="61"/>
      <c r="M69" s="61"/>
      <c r="N69" s="60"/>
      <c r="O69" s="61"/>
      <c r="P69" s="61"/>
      <c r="Q69" s="61"/>
      <c r="R69" s="61"/>
      <c r="S69" s="61"/>
      <c r="T69" s="61"/>
      <c r="U69" s="61"/>
      <c r="V69" s="61"/>
      <c r="W69" s="61"/>
      <c r="X69" s="61"/>
      <c r="Y69" s="56"/>
      <c r="Z69" s="56"/>
      <c r="AA69" s="56"/>
      <c r="AB69" s="56"/>
      <c r="AC69" s="56"/>
      <c r="AD69" s="56"/>
    </row>
    <row r="70" hidden="1">
      <c r="A70" s="106"/>
      <c r="B70" s="41"/>
      <c r="C70" s="41" t="s">
        <v>75</v>
      </c>
      <c r="D70" s="118"/>
      <c r="E70" s="118"/>
      <c r="F70" s="78"/>
      <c r="G70" s="78" t="s">
        <v>1771</v>
      </c>
      <c r="H70" s="78" t="s">
        <v>1487</v>
      </c>
      <c r="I70" s="41"/>
      <c r="J70" s="78" t="s">
        <v>1490</v>
      </c>
      <c r="K70" s="78" t="s">
        <v>1773</v>
      </c>
      <c r="L70" s="34"/>
      <c r="M70" s="34"/>
      <c r="N70" s="41"/>
      <c r="O70" s="34"/>
      <c r="P70" s="34"/>
      <c r="Q70" s="34"/>
      <c r="R70" s="34"/>
      <c r="S70" s="34"/>
      <c r="T70" s="34"/>
      <c r="U70" s="34"/>
      <c r="V70" s="34"/>
      <c r="W70" s="34"/>
      <c r="X70" s="34"/>
      <c r="Y70" s="56"/>
      <c r="Z70" s="56"/>
      <c r="AA70" s="56"/>
      <c r="AB70" s="56"/>
      <c r="AC70" s="56"/>
      <c r="AD70" s="56"/>
    </row>
    <row r="71" hidden="1">
      <c r="A71" s="110"/>
      <c r="B71" s="60"/>
      <c r="C71" s="60" t="s">
        <v>75</v>
      </c>
      <c r="D71" s="119"/>
      <c r="E71" s="119"/>
      <c r="F71" s="63"/>
      <c r="G71" s="63" t="s">
        <v>1786</v>
      </c>
      <c r="H71" s="63" t="s">
        <v>1487</v>
      </c>
      <c r="I71" s="60"/>
      <c r="J71" s="63" t="s">
        <v>1490</v>
      </c>
      <c r="K71" s="63" t="s">
        <v>1773</v>
      </c>
      <c r="L71" s="61"/>
      <c r="M71" s="61"/>
      <c r="N71" s="60"/>
      <c r="O71" s="61"/>
      <c r="P71" s="61"/>
      <c r="Q71" s="61"/>
      <c r="R71" s="61"/>
      <c r="S71" s="61"/>
      <c r="T71" s="61"/>
      <c r="U71" s="61"/>
      <c r="V71" s="61"/>
      <c r="W71" s="61"/>
      <c r="X71" s="61"/>
      <c r="Y71" s="56"/>
      <c r="Z71" s="56"/>
      <c r="AA71" s="56"/>
      <c r="AB71" s="56"/>
      <c r="AC71" s="56"/>
      <c r="AD71" s="56"/>
    </row>
    <row r="72" hidden="1">
      <c r="A72" s="106"/>
      <c r="B72" s="41"/>
      <c r="C72" s="41" t="s">
        <v>75</v>
      </c>
      <c r="D72" s="118"/>
      <c r="E72" s="118"/>
      <c r="F72" s="78"/>
      <c r="G72" s="78" t="s">
        <v>1803</v>
      </c>
      <c r="H72" s="78" t="s">
        <v>1487</v>
      </c>
      <c r="I72" s="41"/>
      <c r="J72" s="78" t="s">
        <v>1490</v>
      </c>
      <c r="K72" s="78" t="s">
        <v>1773</v>
      </c>
      <c r="L72" s="34"/>
      <c r="M72" s="34"/>
      <c r="N72" s="41"/>
      <c r="O72" s="34"/>
      <c r="P72" s="34"/>
      <c r="Q72" s="34"/>
      <c r="R72" s="34"/>
      <c r="S72" s="34"/>
      <c r="T72" s="34"/>
      <c r="U72" s="34"/>
      <c r="V72" s="34"/>
      <c r="W72" s="34"/>
      <c r="X72" s="34"/>
      <c r="Y72" s="56"/>
      <c r="Z72" s="56"/>
      <c r="AA72" s="56"/>
      <c r="AB72" s="56"/>
      <c r="AC72" s="56"/>
      <c r="AD72" s="56"/>
    </row>
    <row r="73" hidden="1">
      <c r="A73" s="110"/>
      <c r="B73" s="60"/>
      <c r="C73" s="60" t="s">
        <v>75</v>
      </c>
      <c r="D73" s="119"/>
      <c r="E73" s="119"/>
      <c r="F73" s="63"/>
      <c r="G73" s="63" t="s">
        <v>1811</v>
      </c>
      <c r="H73" s="63" t="s">
        <v>1487</v>
      </c>
      <c r="I73" s="60"/>
      <c r="J73" s="63" t="s">
        <v>1490</v>
      </c>
      <c r="K73" s="63" t="s">
        <v>1517</v>
      </c>
      <c r="L73" s="61"/>
      <c r="M73" s="61"/>
      <c r="N73" s="60"/>
      <c r="O73" s="61"/>
      <c r="P73" s="61"/>
      <c r="Q73" s="61"/>
      <c r="R73" s="61"/>
      <c r="S73" s="61"/>
      <c r="T73" s="61"/>
      <c r="U73" s="61"/>
      <c r="V73" s="61"/>
      <c r="W73" s="61"/>
      <c r="X73" s="61"/>
      <c r="Y73" s="56"/>
      <c r="Z73" s="56"/>
      <c r="AA73" s="56"/>
      <c r="AB73" s="56"/>
      <c r="AC73" s="56"/>
      <c r="AD73" s="56"/>
    </row>
    <row r="74" hidden="1">
      <c r="A74" s="106"/>
      <c r="B74" s="41"/>
      <c r="C74" s="41" t="s">
        <v>75</v>
      </c>
      <c r="D74" s="118"/>
      <c r="E74" s="118"/>
      <c r="F74" s="78"/>
      <c r="G74" s="78" t="s">
        <v>1831</v>
      </c>
      <c r="H74" s="78" t="s">
        <v>1487</v>
      </c>
      <c r="I74" s="41"/>
      <c r="J74" s="78" t="s">
        <v>1490</v>
      </c>
      <c r="K74" s="78" t="s">
        <v>1517</v>
      </c>
      <c r="L74" s="34"/>
      <c r="M74" s="34"/>
      <c r="N74" s="41"/>
      <c r="O74" s="34"/>
      <c r="P74" s="34"/>
      <c r="Q74" s="34"/>
      <c r="R74" s="34"/>
      <c r="S74" s="34"/>
      <c r="T74" s="34"/>
      <c r="U74" s="34"/>
      <c r="V74" s="34"/>
      <c r="W74" s="34"/>
      <c r="X74" s="34"/>
      <c r="Y74" s="56"/>
      <c r="Z74" s="56"/>
      <c r="AA74" s="56"/>
      <c r="AB74" s="56"/>
      <c r="AC74" s="56"/>
      <c r="AD74" s="56"/>
    </row>
    <row r="75" hidden="1">
      <c r="A75" s="110"/>
      <c r="B75" s="60"/>
      <c r="C75" s="60" t="s">
        <v>75</v>
      </c>
      <c r="D75" s="119"/>
      <c r="E75" s="119"/>
      <c r="F75" s="63"/>
      <c r="G75" s="63" t="s">
        <v>1855</v>
      </c>
      <c r="H75" s="63" t="s">
        <v>1487</v>
      </c>
      <c r="I75" s="60"/>
      <c r="J75" s="63" t="s">
        <v>1490</v>
      </c>
      <c r="K75" s="63" t="s">
        <v>1773</v>
      </c>
      <c r="L75" s="61"/>
      <c r="M75" s="61"/>
      <c r="N75" s="60"/>
      <c r="O75" s="61"/>
      <c r="P75" s="61"/>
      <c r="Q75" s="61"/>
      <c r="R75" s="61"/>
      <c r="S75" s="61"/>
      <c r="T75" s="61"/>
      <c r="U75" s="61"/>
      <c r="V75" s="61"/>
      <c r="W75" s="61"/>
      <c r="X75" s="61"/>
      <c r="Y75" s="56"/>
      <c r="Z75" s="56"/>
      <c r="AA75" s="56"/>
      <c r="AB75" s="56"/>
      <c r="AC75" s="56"/>
      <c r="AD75" s="56"/>
    </row>
    <row r="76" hidden="1">
      <c r="A76" s="106"/>
      <c r="B76" s="41"/>
      <c r="C76" s="41" t="s">
        <v>75</v>
      </c>
      <c r="D76" s="118"/>
      <c r="E76" s="118"/>
      <c r="F76" s="78"/>
      <c r="G76" s="78" t="s">
        <v>1861</v>
      </c>
      <c r="H76" s="78" t="s">
        <v>1487</v>
      </c>
      <c r="I76" s="41"/>
      <c r="J76" s="78" t="s">
        <v>1490</v>
      </c>
      <c r="K76" s="78" t="s">
        <v>1517</v>
      </c>
      <c r="L76" s="34"/>
      <c r="M76" s="34"/>
      <c r="N76" s="41"/>
      <c r="O76" s="34"/>
      <c r="P76" s="34"/>
      <c r="Q76" s="34"/>
      <c r="R76" s="34"/>
      <c r="S76" s="34"/>
      <c r="T76" s="34"/>
      <c r="U76" s="34"/>
      <c r="V76" s="34"/>
      <c r="W76" s="34"/>
      <c r="X76" s="34"/>
      <c r="Y76" s="56"/>
      <c r="Z76" s="56"/>
      <c r="AA76" s="56"/>
      <c r="AB76" s="56"/>
      <c r="AC76" s="56"/>
      <c r="AD76" s="56"/>
    </row>
    <row r="77" hidden="1">
      <c r="A77" s="110"/>
      <c r="B77" s="60"/>
      <c r="C77" s="60" t="s">
        <v>75</v>
      </c>
      <c r="D77" s="119"/>
      <c r="E77" s="119"/>
      <c r="F77" s="63"/>
      <c r="G77" s="63" t="s">
        <v>1865</v>
      </c>
      <c r="H77" s="63" t="s">
        <v>1487</v>
      </c>
      <c r="I77" s="60"/>
      <c r="J77" s="63" t="s">
        <v>1490</v>
      </c>
      <c r="K77" s="63" t="s">
        <v>1517</v>
      </c>
      <c r="L77" s="61"/>
      <c r="M77" s="61"/>
      <c r="N77" s="60"/>
      <c r="O77" s="61"/>
      <c r="P77" s="61"/>
      <c r="Q77" s="61"/>
      <c r="R77" s="61"/>
      <c r="S77" s="61"/>
      <c r="T77" s="61"/>
      <c r="U77" s="61"/>
      <c r="V77" s="61"/>
      <c r="W77" s="61"/>
      <c r="X77" s="61"/>
      <c r="Y77" s="56"/>
      <c r="Z77" s="56"/>
      <c r="AA77" s="56"/>
      <c r="AB77" s="56"/>
      <c r="AC77" s="56"/>
      <c r="AD77" s="56"/>
    </row>
    <row r="78" hidden="1">
      <c r="A78" s="106"/>
      <c r="B78" s="41"/>
      <c r="C78" s="41" t="s">
        <v>75</v>
      </c>
      <c r="D78" s="118"/>
      <c r="E78" s="118"/>
      <c r="F78" s="78"/>
      <c r="G78" s="78" t="s">
        <v>1878</v>
      </c>
      <c r="H78" s="78" t="s">
        <v>1487</v>
      </c>
      <c r="I78" s="41"/>
      <c r="J78" s="78" t="s">
        <v>1490</v>
      </c>
      <c r="K78" s="78" t="s">
        <v>1879</v>
      </c>
      <c r="L78" s="34"/>
      <c r="M78" s="34"/>
      <c r="N78" s="41"/>
      <c r="O78" s="34"/>
      <c r="P78" s="34"/>
      <c r="Q78" s="34"/>
      <c r="R78" s="34"/>
      <c r="S78" s="34"/>
      <c r="T78" s="34"/>
      <c r="U78" s="34"/>
      <c r="V78" s="34"/>
      <c r="W78" s="34"/>
      <c r="X78" s="34"/>
      <c r="Y78" s="56"/>
      <c r="Z78" s="56"/>
      <c r="AA78" s="56"/>
      <c r="AB78" s="56"/>
      <c r="AC78" s="56"/>
      <c r="AD78" s="56"/>
    </row>
    <row r="79" hidden="1">
      <c r="A79" s="110"/>
      <c r="B79" s="60"/>
      <c r="C79" s="60" t="s">
        <v>75</v>
      </c>
      <c r="D79" s="119"/>
      <c r="E79" s="119"/>
      <c r="F79" s="63"/>
      <c r="G79" s="63" t="s">
        <v>1882</v>
      </c>
      <c r="H79" s="63" t="s">
        <v>1487</v>
      </c>
      <c r="I79" s="60"/>
      <c r="J79" s="63" t="s">
        <v>1490</v>
      </c>
      <c r="K79" s="63" t="s">
        <v>1885</v>
      </c>
      <c r="L79" s="61"/>
      <c r="M79" s="61"/>
      <c r="N79" s="60"/>
      <c r="O79" s="61"/>
      <c r="P79" s="61"/>
      <c r="Q79" s="61"/>
      <c r="R79" s="61"/>
      <c r="S79" s="61"/>
      <c r="T79" s="61"/>
      <c r="U79" s="61"/>
      <c r="V79" s="61"/>
      <c r="W79" s="61"/>
      <c r="X79" s="61"/>
      <c r="Y79" s="56"/>
      <c r="Z79" s="56"/>
      <c r="AA79" s="56"/>
      <c r="AB79" s="56"/>
      <c r="AC79" s="56"/>
      <c r="AD79" s="56"/>
    </row>
    <row r="80" hidden="1">
      <c r="A80" s="106"/>
      <c r="B80" s="41"/>
      <c r="C80" s="41" t="s">
        <v>75</v>
      </c>
      <c r="D80" s="118"/>
      <c r="E80" s="118"/>
      <c r="F80" s="78"/>
      <c r="G80" s="78" t="s">
        <v>1890</v>
      </c>
      <c r="H80" s="78" t="s">
        <v>1487</v>
      </c>
      <c r="I80" s="41"/>
      <c r="J80" s="78" t="s">
        <v>1490</v>
      </c>
      <c r="K80" s="78" t="s">
        <v>1892</v>
      </c>
      <c r="L80" s="34"/>
      <c r="M80" s="34"/>
      <c r="N80" s="41"/>
      <c r="O80" s="34"/>
      <c r="P80" s="34"/>
      <c r="Q80" s="34"/>
      <c r="R80" s="34"/>
      <c r="S80" s="34"/>
      <c r="T80" s="34"/>
      <c r="U80" s="34"/>
      <c r="V80" s="34"/>
      <c r="W80" s="34"/>
      <c r="X80" s="34"/>
      <c r="Y80" s="56"/>
      <c r="Z80" s="56"/>
      <c r="AA80" s="56"/>
      <c r="AB80" s="56"/>
      <c r="AC80" s="56"/>
      <c r="AD80" s="56"/>
    </row>
    <row r="81" hidden="1">
      <c r="A81" s="110"/>
      <c r="B81" s="60" t="s">
        <v>1136</v>
      </c>
      <c r="C81" s="60" t="s">
        <v>75</v>
      </c>
      <c r="D81" s="60"/>
      <c r="E81" s="60" t="s">
        <v>1900</v>
      </c>
      <c r="F81" s="119"/>
      <c r="G81" s="119"/>
      <c r="H81" s="63"/>
      <c r="I81" s="60"/>
      <c r="J81" s="61"/>
      <c r="K81" s="61"/>
      <c r="L81" s="61"/>
      <c r="M81" s="61"/>
      <c r="N81" s="60"/>
      <c r="O81" s="61"/>
      <c r="P81" s="61"/>
      <c r="Q81" s="61"/>
      <c r="R81" s="61"/>
      <c r="S81" s="61"/>
      <c r="T81" s="61"/>
      <c r="U81" s="61"/>
      <c r="V81" s="61"/>
      <c r="W81" s="61"/>
      <c r="X81" s="61"/>
      <c r="Y81" s="56"/>
      <c r="Z81" s="56"/>
      <c r="AA81" s="56"/>
      <c r="AB81" s="56"/>
      <c r="AC81" s="56"/>
      <c r="AD81" s="56"/>
    </row>
    <row r="82" hidden="1">
      <c r="A82" s="106"/>
      <c r="B82" s="41"/>
      <c r="C82" s="41" t="s">
        <v>75</v>
      </c>
      <c r="D82" s="118"/>
      <c r="E82" s="118"/>
      <c r="F82" s="78"/>
      <c r="G82" s="78" t="s">
        <v>1907</v>
      </c>
      <c r="H82" s="78" t="s">
        <v>1487</v>
      </c>
      <c r="I82" s="78"/>
      <c r="J82" s="78" t="s">
        <v>1908</v>
      </c>
      <c r="K82" s="78" t="s">
        <v>1909</v>
      </c>
      <c r="L82" s="34"/>
      <c r="M82" s="34"/>
      <c r="N82" s="41"/>
      <c r="O82" s="34"/>
      <c r="P82" s="34"/>
      <c r="Q82" s="34"/>
      <c r="R82" s="34"/>
      <c r="S82" s="34"/>
      <c r="T82" s="34"/>
      <c r="U82" s="34"/>
      <c r="V82" s="34"/>
      <c r="W82" s="34"/>
      <c r="X82" s="34"/>
      <c r="Y82" s="56"/>
      <c r="Z82" s="56"/>
      <c r="AA82" s="56"/>
      <c r="AB82" s="56"/>
      <c r="AC82" s="56"/>
      <c r="AD82" s="56"/>
    </row>
    <row r="83" hidden="1">
      <c r="A83" s="110"/>
      <c r="B83" s="60"/>
      <c r="C83" s="60" t="s">
        <v>75</v>
      </c>
      <c r="D83" s="119"/>
      <c r="E83" s="119"/>
      <c r="F83" s="63"/>
      <c r="G83" s="63" t="s">
        <v>1913</v>
      </c>
      <c r="H83" s="63" t="s">
        <v>1487</v>
      </c>
      <c r="I83" s="63"/>
      <c r="J83" s="63" t="s">
        <v>1908</v>
      </c>
      <c r="K83" s="63" t="s">
        <v>1916</v>
      </c>
      <c r="L83" s="61"/>
      <c r="M83" s="61"/>
      <c r="N83" s="60"/>
      <c r="O83" s="61"/>
      <c r="P83" s="61"/>
      <c r="Q83" s="61"/>
      <c r="R83" s="61"/>
      <c r="S83" s="61"/>
      <c r="T83" s="61"/>
      <c r="U83" s="61"/>
      <c r="V83" s="61"/>
      <c r="W83" s="61"/>
      <c r="X83" s="61"/>
      <c r="Y83" s="56"/>
      <c r="Z83" s="56"/>
      <c r="AA83" s="56"/>
      <c r="AB83" s="56"/>
      <c r="AC83" s="56"/>
      <c r="AD83" s="56"/>
    </row>
    <row r="84" hidden="1">
      <c r="A84" s="106"/>
      <c r="B84" s="41"/>
      <c r="C84" s="41" t="s">
        <v>75</v>
      </c>
      <c r="D84" s="118"/>
      <c r="E84" s="118"/>
      <c r="F84" s="78"/>
      <c r="G84" s="78" t="s">
        <v>1918</v>
      </c>
      <c r="H84" s="78" t="s">
        <v>1487</v>
      </c>
      <c r="I84" s="78"/>
      <c r="J84" s="78" t="s">
        <v>1908</v>
      </c>
      <c r="K84" s="78" t="s">
        <v>1517</v>
      </c>
      <c r="L84" s="34"/>
      <c r="M84" s="34"/>
      <c r="N84" s="41"/>
      <c r="O84" s="34"/>
      <c r="P84" s="34"/>
      <c r="Q84" s="34"/>
      <c r="R84" s="34"/>
      <c r="S84" s="34"/>
      <c r="T84" s="34"/>
      <c r="U84" s="34"/>
      <c r="V84" s="34"/>
      <c r="W84" s="34"/>
      <c r="X84" s="34"/>
      <c r="Y84" s="56"/>
      <c r="Z84" s="56"/>
      <c r="AA84" s="56"/>
      <c r="AB84" s="56"/>
      <c r="AC84" s="56"/>
      <c r="AD84" s="56"/>
    </row>
    <row r="85" hidden="1">
      <c r="A85" s="110"/>
      <c r="B85" s="60"/>
      <c r="C85" s="60" t="s">
        <v>75</v>
      </c>
      <c r="D85" s="119"/>
      <c r="E85" s="119"/>
      <c r="F85" s="63"/>
      <c r="G85" s="63" t="s">
        <v>1925</v>
      </c>
      <c r="H85" s="63" t="s">
        <v>1487</v>
      </c>
      <c r="I85" s="63"/>
      <c r="J85" s="63" t="s">
        <v>1908</v>
      </c>
      <c r="K85" s="63" t="s">
        <v>1554</v>
      </c>
      <c r="L85" s="61"/>
      <c r="M85" s="61"/>
      <c r="N85" s="60"/>
      <c r="O85" s="61"/>
      <c r="P85" s="61"/>
      <c r="Q85" s="61"/>
      <c r="R85" s="61"/>
      <c r="S85" s="61"/>
      <c r="T85" s="61"/>
      <c r="U85" s="61"/>
      <c r="V85" s="61"/>
      <c r="W85" s="61"/>
      <c r="X85" s="61"/>
      <c r="Y85" s="56"/>
      <c r="Z85" s="56"/>
      <c r="AA85" s="56"/>
      <c r="AB85" s="56"/>
      <c r="AC85" s="56"/>
      <c r="AD85" s="56"/>
    </row>
    <row r="86" hidden="1">
      <c r="A86" s="106"/>
      <c r="B86" s="41"/>
      <c r="C86" s="41" t="s">
        <v>75</v>
      </c>
      <c r="D86" s="118"/>
      <c r="E86" s="118"/>
      <c r="F86" s="78"/>
      <c r="G86" s="78" t="s">
        <v>1927</v>
      </c>
      <c r="H86" s="78" t="s">
        <v>1487</v>
      </c>
      <c r="I86" s="78"/>
      <c r="J86" s="78" t="s">
        <v>1908</v>
      </c>
      <c r="K86" s="78" t="s">
        <v>1928</v>
      </c>
      <c r="L86" s="34"/>
      <c r="M86" s="34"/>
      <c r="N86" s="41"/>
      <c r="O86" s="34"/>
      <c r="P86" s="34"/>
      <c r="Q86" s="34"/>
      <c r="R86" s="34"/>
      <c r="S86" s="34"/>
      <c r="T86" s="34"/>
      <c r="U86" s="34"/>
      <c r="V86" s="34"/>
      <c r="W86" s="34"/>
      <c r="X86" s="34"/>
      <c r="Y86" s="56"/>
      <c r="Z86" s="56"/>
      <c r="AA86" s="56"/>
      <c r="AB86" s="56"/>
      <c r="AC86" s="56"/>
      <c r="AD86" s="56"/>
    </row>
    <row r="87" hidden="1">
      <c r="A87" s="110"/>
      <c r="B87" s="60"/>
      <c r="C87" s="60" t="s">
        <v>75</v>
      </c>
      <c r="D87" s="119"/>
      <c r="E87" s="119"/>
      <c r="F87" s="63"/>
      <c r="G87" s="63" t="s">
        <v>1934</v>
      </c>
      <c r="H87" s="63" t="s">
        <v>1487</v>
      </c>
      <c r="I87" s="63"/>
      <c r="J87" s="63" t="s">
        <v>1908</v>
      </c>
      <c r="K87" s="63" t="s">
        <v>1935</v>
      </c>
      <c r="L87" s="61"/>
      <c r="M87" s="61"/>
      <c r="N87" s="60"/>
      <c r="O87" s="61"/>
      <c r="P87" s="61"/>
      <c r="Q87" s="61"/>
      <c r="R87" s="61"/>
      <c r="S87" s="61"/>
      <c r="T87" s="61"/>
      <c r="U87" s="61"/>
      <c r="V87" s="61"/>
      <c r="W87" s="61"/>
      <c r="X87" s="61"/>
      <c r="Y87" s="56"/>
      <c r="Z87" s="56"/>
      <c r="AA87" s="56"/>
      <c r="AB87" s="56"/>
      <c r="AC87" s="56"/>
      <c r="AD87" s="56"/>
    </row>
    <row r="88" hidden="1">
      <c r="A88" s="106"/>
      <c r="B88" s="41"/>
      <c r="C88" s="41" t="s">
        <v>75</v>
      </c>
      <c r="D88" s="118"/>
      <c r="E88" s="118"/>
      <c r="F88" s="78"/>
      <c r="G88" s="78" t="s">
        <v>1936</v>
      </c>
      <c r="H88" s="78" t="s">
        <v>1487</v>
      </c>
      <c r="I88" s="78"/>
      <c r="J88" s="78" t="s">
        <v>1908</v>
      </c>
      <c r="K88" s="78" t="s">
        <v>1938</v>
      </c>
      <c r="L88" s="34"/>
      <c r="M88" s="34"/>
      <c r="N88" s="41"/>
      <c r="O88" s="34"/>
      <c r="P88" s="34"/>
      <c r="Q88" s="34"/>
      <c r="R88" s="34"/>
      <c r="S88" s="34"/>
      <c r="T88" s="34"/>
      <c r="U88" s="34"/>
      <c r="V88" s="34"/>
      <c r="W88" s="34"/>
      <c r="X88" s="34"/>
      <c r="Y88" s="56"/>
      <c r="Z88" s="56"/>
      <c r="AA88" s="56"/>
      <c r="AB88" s="56"/>
      <c r="AC88" s="56"/>
      <c r="AD88" s="56"/>
    </row>
    <row r="89" hidden="1">
      <c r="A89" s="110"/>
      <c r="B89" s="60"/>
      <c r="C89" s="60" t="s">
        <v>75</v>
      </c>
      <c r="D89" s="119"/>
      <c r="E89" s="119"/>
      <c r="F89" s="63"/>
      <c r="G89" s="63" t="s">
        <v>1941</v>
      </c>
      <c r="H89" s="63" t="s">
        <v>1487</v>
      </c>
      <c r="I89" s="63"/>
      <c r="J89" s="63" t="s">
        <v>1908</v>
      </c>
      <c r="K89" s="63" t="s">
        <v>1517</v>
      </c>
      <c r="L89" s="61"/>
      <c r="M89" s="61"/>
      <c r="N89" s="60"/>
      <c r="O89" s="61"/>
      <c r="P89" s="61"/>
      <c r="Q89" s="61"/>
      <c r="R89" s="61"/>
      <c r="S89" s="61"/>
      <c r="T89" s="61"/>
      <c r="U89" s="61"/>
      <c r="V89" s="61"/>
      <c r="W89" s="61"/>
      <c r="X89" s="61"/>
      <c r="Y89" s="56"/>
      <c r="Z89" s="56"/>
      <c r="AA89" s="56"/>
      <c r="AB89" s="56"/>
      <c r="AC89" s="56"/>
      <c r="AD89" s="56"/>
    </row>
    <row r="90" hidden="1">
      <c r="A90" s="106"/>
      <c r="B90" s="41"/>
      <c r="C90" s="41" t="s">
        <v>75</v>
      </c>
      <c r="D90" s="118"/>
      <c r="E90" s="118"/>
      <c r="F90" s="78"/>
      <c r="G90" s="78" t="s">
        <v>1625</v>
      </c>
      <c r="H90" s="78" t="s">
        <v>1487</v>
      </c>
      <c r="I90" s="78"/>
      <c r="J90" s="78" t="s">
        <v>1908</v>
      </c>
      <c r="K90" s="78" t="s">
        <v>1517</v>
      </c>
      <c r="L90" s="34"/>
      <c r="M90" s="34"/>
      <c r="N90" s="41"/>
      <c r="O90" s="34"/>
      <c r="P90" s="34"/>
      <c r="Q90" s="34"/>
      <c r="R90" s="34"/>
      <c r="S90" s="34"/>
      <c r="T90" s="34"/>
      <c r="U90" s="34"/>
      <c r="V90" s="34"/>
      <c r="W90" s="34"/>
      <c r="X90" s="34"/>
      <c r="Y90" s="56"/>
      <c r="Z90" s="56"/>
      <c r="AA90" s="56"/>
      <c r="AB90" s="56"/>
      <c r="AC90" s="56"/>
      <c r="AD90" s="56"/>
    </row>
    <row r="91" hidden="1">
      <c r="A91" s="110"/>
      <c r="B91" s="60"/>
      <c r="C91" s="60" t="s">
        <v>75</v>
      </c>
      <c r="D91" s="119"/>
      <c r="E91" s="119"/>
      <c r="F91" s="63"/>
      <c r="G91" s="63" t="s">
        <v>1890</v>
      </c>
      <c r="H91" s="63" t="s">
        <v>1487</v>
      </c>
      <c r="I91" s="63"/>
      <c r="J91" s="63" t="s">
        <v>1908</v>
      </c>
      <c r="K91" s="63" t="s">
        <v>1957</v>
      </c>
      <c r="L91" s="61"/>
      <c r="M91" s="61"/>
      <c r="N91" s="60"/>
      <c r="O91" s="61"/>
      <c r="P91" s="61"/>
      <c r="Q91" s="61"/>
      <c r="R91" s="61"/>
      <c r="S91" s="61"/>
      <c r="T91" s="61"/>
      <c r="U91" s="61"/>
      <c r="V91" s="61"/>
      <c r="W91" s="61"/>
      <c r="X91" s="61"/>
      <c r="Y91" s="56"/>
      <c r="Z91" s="56"/>
      <c r="AA91" s="56"/>
      <c r="AB91" s="56"/>
      <c r="AC91" s="56"/>
      <c r="AD91" s="56"/>
    </row>
    <row r="92" hidden="1">
      <c r="A92" s="106"/>
      <c r="B92" s="41" t="s">
        <v>1136</v>
      </c>
      <c r="C92" s="41" t="s">
        <v>75</v>
      </c>
      <c r="D92" s="41"/>
      <c r="E92" s="41" t="s">
        <v>1967</v>
      </c>
      <c r="F92" s="118"/>
      <c r="G92" s="118"/>
      <c r="H92" s="78"/>
      <c r="I92" s="41"/>
      <c r="J92" s="34"/>
      <c r="K92" s="34"/>
      <c r="L92" s="34"/>
      <c r="M92" s="34"/>
      <c r="N92" s="41"/>
      <c r="O92" s="34"/>
      <c r="P92" s="34"/>
      <c r="Q92" s="34"/>
      <c r="R92" s="34"/>
      <c r="S92" s="34"/>
      <c r="T92" s="34"/>
      <c r="U92" s="34"/>
      <c r="V92" s="34"/>
      <c r="W92" s="34"/>
      <c r="X92" s="34"/>
      <c r="Y92" s="56"/>
      <c r="Z92" s="56"/>
      <c r="AA92" s="56"/>
      <c r="AB92" s="56"/>
      <c r="AC92" s="56"/>
      <c r="AD92" s="56"/>
    </row>
    <row r="93" hidden="1">
      <c r="A93" s="110"/>
      <c r="B93" s="60"/>
      <c r="C93" s="60" t="s">
        <v>75</v>
      </c>
      <c r="D93" s="119"/>
      <c r="E93" s="119"/>
      <c r="F93" s="166"/>
      <c r="G93" s="63" t="s">
        <v>1980</v>
      </c>
      <c r="H93" s="63" t="s">
        <v>1487</v>
      </c>
      <c r="I93" s="63"/>
      <c r="J93" s="63" t="s">
        <v>1908</v>
      </c>
      <c r="K93" s="63" t="s">
        <v>1773</v>
      </c>
      <c r="L93" s="61"/>
      <c r="M93" s="61"/>
      <c r="N93" s="60"/>
      <c r="O93" s="61"/>
      <c r="P93" s="61"/>
      <c r="Q93" s="61"/>
      <c r="R93" s="61"/>
      <c r="S93" s="61"/>
      <c r="T93" s="61"/>
      <c r="U93" s="61"/>
      <c r="V93" s="61"/>
      <c r="W93" s="61"/>
      <c r="X93" s="61"/>
      <c r="Y93" s="56"/>
      <c r="Z93" s="56"/>
      <c r="AA93" s="56"/>
      <c r="AB93" s="56"/>
      <c r="AC93" s="56"/>
      <c r="AD93" s="56"/>
    </row>
    <row r="94" hidden="1">
      <c r="A94" s="106"/>
      <c r="B94" s="41"/>
      <c r="C94" s="41" t="s">
        <v>75</v>
      </c>
      <c r="D94" s="118"/>
      <c r="E94" s="118"/>
      <c r="F94" s="167"/>
      <c r="G94" s="78" t="s">
        <v>1987</v>
      </c>
      <c r="H94" s="78" t="s">
        <v>1487</v>
      </c>
      <c r="I94" s="78"/>
      <c r="J94" s="78" t="s">
        <v>1908</v>
      </c>
      <c r="K94" s="78" t="s">
        <v>1988</v>
      </c>
      <c r="L94" s="34"/>
      <c r="M94" s="34"/>
      <c r="N94" s="41"/>
      <c r="O94" s="34"/>
      <c r="P94" s="34"/>
      <c r="Q94" s="34"/>
      <c r="R94" s="34"/>
      <c r="S94" s="34"/>
      <c r="T94" s="34"/>
      <c r="U94" s="34"/>
      <c r="V94" s="34"/>
      <c r="W94" s="34"/>
      <c r="X94" s="34"/>
      <c r="Y94" s="56"/>
      <c r="Z94" s="56"/>
      <c r="AA94" s="56"/>
      <c r="AB94" s="56"/>
      <c r="AC94" s="56"/>
      <c r="AD94" s="56"/>
    </row>
    <row r="95" hidden="1">
      <c r="A95" s="110"/>
      <c r="B95" s="60"/>
      <c r="C95" s="60" t="s">
        <v>75</v>
      </c>
      <c r="D95" s="119"/>
      <c r="E95" s="119"/>
      <c r="F95" s="166"/>
      <c r="G95" s="63" t="s">
        <v>1997</v>
      </c>
      <c r="H95" s="63" t="s">
        <v>1487</v>
      </c>
      <c r="I95" s="63"/>
      <c r="J95" s="63" t="s">
        <v>1908</v>
      </c>
      <c r="K95" s="63" t="s">
        <v>1938</v>
      </c>
      <c r="L95" s="61"/>
      <c r="M95" s="61"/>
      <c r="N95" s="60"/>
      <c r="O95" s="61"/>
      <c r="P95" s="61"/>
      <c r="Q95" s="61"/>
      <c r="R95" s="61"/>
      <c r="S95" s="61"/>
      <c r="T95" s="61"/>
      <c r="U95" s="61"/>
      <c r="V95" s="61"/>
      <c r="W95" s="61"/>
      <c r="X95" s="61"/>
      <c r="Y95" s="56"/>
      <c r="Z95" s="56"/>
      <c r="AA95" s="56"/>
      <c r="AB95" s="56"/>
      <c r="AC95" s="56"/>
      <c r="AD95" s="56"/>
    </row>
    <row r="96" hidden="1">
      <c r="A96" s="106"/>
      <c r="B96" s="41"/>
      <c r="C96" s="41" t="s">
        <v>75</v>
      </c>
      <c r="D96" s="118"/>
      <c r="E96" s="118"/>
      <c r="F96" s="167"/>
      <c r="G96" s="78" t="s">
        <v>2004</v>
      </c>
      <c r="H96" s="78" t="s">
        <v>1487</v>
      </c>
      <c r="I96" s="78"/>
      <c r="J96" s="78" t="s">
        <v>1908</v>
      </c>
      <c r="K96" s="78" t="s">
        <v>2009</v>
      </c>
      <c r="L96" s="34"/>
      <c r="M96" s="34"/>
      <c r="N96" s="41"/>
      <c r="O96" s="34"/>
      <c r="P96" s="34"/>
      <c r="Q96" s="34"/>
      <c r="R96" s="34"/>
      <c r="S96" s="34"/>
      <c r="T96" s="34"/>
      <c r="U96" s="34"/>
      <c r="V96" s="34"/>
      <c r="W96" s="34"/>
      <c r="X96" s="34"/>
      <c r="Y96" s="56"/>
      <c r="Z96" s="56"/>
      <c r="AA96" s="56"/>
      <c r="AB96" s="56"/>
      <c r="AC96" s="56"/>
      <c r="AD96" s="56"/>
    </row>
    <row r="97" hidden="1">
      <c r="A97" s="110"/>
      <c r="B97" s="60"/>
      <c r="C97" s="60" t="s">
        <v>75</v>
      </c>
      <c r="D97" s="119"/>
      <c r="E97" s="119"/>
      <c r="F97" s="166"/>
      <c r="G97" s="63" t="s">
        <v>2015</v>
      </c>
      <c r="H97" s="63" t="s">
        <v>1487</v>
      </c>
      <c r="I97" s="63"/>
      <c r="J97" s="63" t="s">
        <v>1908</v>
      </c>
      <c r="K97" s="63" t="s">
        <v>2016</v>
      </c>
      <c r="L97" s="61"/>
      <c r="M97" s="61"/>
      <c r="N97" s="60"/>
      <c r="O97" s="61"/>
      <c r="P97" s="61"/>
      <c r="Q97" s="61"/>
      <c r="R97" s="61"/>
      <c r="S97" s="61"/>
      <c r="T97" s="61"/>
      <c r="U97" s="61"/>
      <c r="V97" s="61"/>
      <c r="W97" s="61"/>
      <c r="X97" s="61"/>
      <c r="Y97" s="56"/>
      <c r="Z97" s="56"/>
      <c r="AA97" s="56"/>
      <c r="AB97" s="56"/>
      <c r="AC97" s="56"/>
      <c r="AD97" s="56"/>
    </row>
    <row r="98" hidden="1">
      <c r="A98" s="106"/>
      <c r="B98" s="41">
        <v>10.0</v>
      </c>
      <c r="C98" s="41" t="s">
        <v>75</v>
      </c>
      <c r="D98" s="118" t="str">
        <f t="shared" ref="D98:D116" si="1">IF(G98&lt;&gt;"","QLTTHDVMPL_"&amp;TEXT(COUNTIF($G$98:G98,"&lt;&gt;"),"00"),"")</f>
        <v>QLTTHDVMPL_01</v>
      </c>
      <c r="E98" s="118" t="s">
        <v>2026</v>
      </c>
      <c r="F98" s="118" t="s">
        <v>722</v>
      </c>
      <c r="G98" s="118" t="s">
        <v>2028</v>
      </c>
      <c r="H98" s="78" t="s">
        <v>2029</v>
      </c>
      <c r="I98" s="41"/>
      <c r="J98" s="78" t="s">
        <v>2030</v>
      </c>
      <c r="K98" s="34" t="s">
        <v>2028</v>
      </c>
      <c r="L98" s="34" t="s">
        <v>2028</v>
      </c>
      <c r="M98" s="33" t="s">
        <v>2031</v>
      </c>
      <c r="N98" s="41" t="s">
        <v>54</v>
      </c>
      <c r="O98" s="34"/>
      <c r="P98" s="34"/>
      <c r="Q98" s="34"/>
      <c r="R98" s="34"/>
      <c r="S98" s="34"/>
      <c r="T98" s="34"/>
      <c r="U98" s="34"/>
      <c r="V98" s="34"/>
      <c r="W98" s="34"/>
      <c r="X98" s="34"/>
      <c r="Y98" s="56"/>
      <c r="Z98" s="56"/>
      <c r="AA98" s="56"/>
      <c r="AB98" s="56"/>
      <c r="AC98" s="56"/>
      <c r="AD98" s="56"/>
    </row>
    <row r="99" hidden="1">
      <c r="A99" s="110"/>
      <c r="B99" s="49">
        <v>46203.0</v>
      </c>
      <c r="C99" s="60" t="s">
        <v>75</v>
      </c>
      <c r="D99" s="119" t="str">
        <f t="shared" si="1"/>
        <v>QLTTHDVMPL_02</v>
      </c>
      <c r="E99" s="119"/>
      <c r="F99" s="119"/>
      <c r="G99" s="63" t="s">
        <v>2039</v>
      </c>
      <c r="H99" s="63" t="s">
        <v>2041</v>
      </c>
      <c r="I99" s="63" t="s">
        <v>2043</v>
      </c>
      <c r="J99" s="63" t="s">
        <v>2044</v>
      </c>
      <c r="K99" s="63" t="s">
        <v>2046</v>
      </c>
      <c r="L99" s="63" t="s">
        <v>2046</v>
      </c>
      <c r="M99" s="145" t="s">
        <v>2048</v>
      </c>
      <c r="N99" s="60" t="s">
        <v>54</v>
      </c>
      <c r="O99" s="61"/>
      <c r="P99" s="61"/>
      <c r="Q99" s="61"/>
      <c r="R99" s="61"/>
      <c r="S99" s="61"/>
      <c r="T99" s="61"/>
      <c r="U99" s="61"/>
      <c r="V99" s="61"/>
      <c r="W99" s="61"/>
      <c r="X99" s="61"/>
      <c r="Y99" s="56"/>
      <c r="Z99" s="56"/>
      <c r="AA99" s="56"/>
      <c r="AB99" s="56"/>
      <c r="AC99" s="56"/>
      <c r="AD99" s="56"/>
    </row>
    <row r="100" hidden="1">
      <c r="A100" s="106"/>
      <c r="B100" s="15">
        <v>46203.0</v>
      </c>
      <c r="C100" s="41" t="s">
        <v>75</v>
      </c>
      <c r="D100" s="118" t="str">
        <f t="shared" si="1"/>
        <v>QLTTHDVMPL_03</v>
      </c>
      <c r="E100" s="118"/>
      <c r="F100" s="118"/>
      <c r="G100" s="78" t="s">
        <v>2050</v>
      </c>
      <c r="H100" s="78" t="s">
        <v>2051</v>
      </c>
      <c r="I100" s="78" t="s">
        <v>2052</v>
      </c>
      <c r="J100" s="78" t="s">
        <v>2054</v>
      </c>
      <c r="K100" s="78" t="s">
        <v>2055</v>
      </c>
      <c r="L100" s="78" t="s">
        <v>2055</v>
      </c>
      <c r="M100" s="33" t="s">
        <v>2056</v>
      </c>
      <c r="N100" s="41" t="s">
        <v>54</v>
      </c>
      <c r="O100" s="34"/>
      <c r="P100" s="34"/>
      <c r="Q100" s="34"/>
      <c r="R100" s="34"/>
      <c r="S100" s="34"/>
      <c r="T100" s="34"/>
      <c r="U100" s="34"/>
      <c r="V100" s="34"/>
      <c r="W100" s="34"/>
      <c r="X100" s="34"/>
      <c r="Y100" s="56"/>
      <c r="Z100" s="56"/>
      <c r="AA100" s="56"/>
      <c r="AB100" s="56"/>
      <c r="AC100" s="56"/>
      <c r="AD100" s="56"/>
    </row>
    <row r="101" hidden="1">
      <c r="A101" s="110"/>
      <c r="B101" s="49">
        <v>46203.0</v>
      </c>
      <c r="C101" s="60" t="s">
        <v>75</v>
      </c>
      <c r="D101" s="119" t="str">
        <f t="shared" si="1"/>
        <v>QLTTHDVMPL_04</v>
      </c>
      <c r="E101" s="119"/>
      <c r="F101" s="119"/>
      <c r="G101" s="63" t="s">
        <v>2061</v>
      </c>
      <c r="H101" s="63" t="s">
        <v>2062</v>
      </c>
      <c r="I101" s="63" t="s">
        <v>2064</v>
      </c>
      <c r="J101" s="63" t="s">
        <v>2065</v>
      </c>
      <c r="K101" s="63" t="s">
        <v>2067</v>
      </c>
      <c r="L101" s="61" t="s">
        <v>2069</v>
      </c>
      <c r="M101" s="145" t="s">
        <v>2071</v>
      </c>
      <c r="N101" s="60" t="s">
        <v>52</v>
      </c>
      <c r="O101" s="61"/>
      <c r="P101" s="90" t="s">
        <v>53</v>
      </c>
      <c r="Q101" s="92" t="s">
        <v>54</v>
      </c>
      <c r="R101" s="61"/>
      <c r="S101" s="61"/>
      <c r="T101" s="61"/>
      <c r="U101" s="61"/>
      <c r="V101" s="61"/>
      <c r="W101" s="61"/>
      <c r="X101" s="61"/>
      <c r="Y101" s="56"/>
      <c r="Z101" s="56"/>
      <c r="AA101" s="56"/>
      <c r="AB101" s="56"/>
      <c r="AC101" s="56"/>
      <c r="AD101" s="56"/>
    </row>
    <row r="102" hidden="1">
      <c r="A102" s="106"/>
      <c r="B102" s="15">
        <v>46203.0</v>
      </c>
      <c r="C102" s="41" t="s">
        <v>75</v>
      </c>
      <c r="D102" s="118" t="str">
        <f t="shared" si="1"/>
        <v>QLTTHDVMPL_05</v>
      </c>
      <c r="E102" s="118"/>
      <c r="F102" s="118"/>
      <c r="G102" s="78" t="s">
        <v>2079</v>
      </c>
      <c r="H102" s="78" t="s">
        <v>2080</v>
      </c>
      <c r="I102" s="78" t="s">
        <v>2081</v>
      </c>
      <c r="J102" s="78" t="s">
        <v>2082</v>
      </c>
      <c r="K102" s="78" t="s">
        <v>2083</v>
      </c>
      <c r="L102" s="78" t="s">
        <v>2083</v>
      </c>
      <c r="M102" s="33" t="s">
        <v>2084</v>
      </c>
      <c r="N102" s="41" t="s">
        <v>54</v>
      </c>
      <c r="O102" s="34"/>
      <c r="P102" s="34"/>
      <c r="Q102" s="34"/>
      <c r="R102" s="34"/>
      <c r="S102" s="34"/>
      <c r="T102" s="34"/>
      <c r="U102" s="34"/>
      <c r="V102" s="34"/>
      <c r="W102" s="34"/>
      <c r="X102" s="34"/>
      <c r="Y102" s="56"/>
      <c r="Z102" s="56"/>
      <c r="AA102" s="56"/>
      <c r="AB102" s="56"/>
      <c r="AC102" s="56"/>
      <c r="AD102" s="56"/>
    </row>
    <row r="103" hidden="1">
      <c r="A103" s="110"/>
      <c r="B103" s="49">
        <v>46203.0</v>
      </c>
      <c r="C103" s="60" t="s">
        <v>75</v>
      </c>
      <c r="D103" s="119" t="str">
        <f t="shared" si="1"/>
        <v>QLTTHDVMPL_06</v>
      </c>
      <c r="E103" s="119"/>
      <c r="F103" s="119"/>
      <c r="G103" s="63" t="s">
        <v>2088</v>
      </c>
      <c r="H103" s="63" t="s">
        <v>2091</v>
      </c>
      <c r="I103" s="63" t="s">
        <v>2092</v>
      </c>
      <c r="J103" s="63" t="s">
        <v>2095</v>
      </c>
      <c r="K103" s="63" t="s">
        <v>2096</v>
      </c>
      <c r="L103" s="63" t="s">
        <v>2096</v>
      </c>
      <c r="M103" s="145" t="s">
        <v>2097</v>
      </c>
      <c r="N103" s="60" t="s">
        <v>54</v>
      </c>
      <c r="O103" s="61"/>
      <c r="P103" s="61"/>
      <c r="Q103" s="61"/>
      <c r="R103" s="61"/>
      <c r="S103" s="61"/>
      <c r="T103" s="61"/>
      <c r="U103" s="61"/>
      <c r="V103" s="61"/>
      <c r="W103" s="61"/>
      <c r="X103" s="61"/>
      <c r="Y103" s="56"/>
      <c r="Z103" s="56"/>
      <c r="AA103" s="56"/>
      <c r="AB103" s="56"/>
      <c r="AC103" s="56"/>
      <c r="AD103" s="56"/>
    </row>
    <row r="104" hidden="1">
      <c r="A104" s="106"/>
      <c r="B104" s="15">
        <v>46203.0</v>
      </c>
      <c r="C104" s="41" t="s">
        <v>75</v>
      </c>
      <c r="D104" s="118" t="str">
        <f t="shared" si="1"/>
        <v>QLTTHDVMPL_07</v>
      </c>
      <c r="E104" s="118"/>
      <c r="F104" s="118"/>
      <c r="G104" s="78" t="s">
        <v>2106</v>
      </c>
      <c r="H104" s="78" t="s">
        <v>2107</v>
      </c>
      <c r="I104" s="78" t="s">
        <v>2108</v>
      </c>
      <c r="J104" s="78" t="s">
        <v>2110</v>
      </c>
      <c r="K104" s="78" t="s">
        <v>2112</v>
      </c>
      <c r="L104" s="78" t="s">
        <v>2112</v>
      </c>
      <c r="M104" s="33" t="s">
        <v>2114</v>
      </c>
      <c r="N104" s="41" t="s">
        <v>54</v>
      </c>
      <c r="O104" s="34"/>
      <c r="P104" s="34"/>
      <c r="Q104" s="34"/>
      <c r="R104" s="34"/>
      <c r="S104" s="34"/>
      <c r="T104" s="34"/>
      <c r="U104" s="34"/>
      <c r="V104" s="34"/>
      <c r="W104" s="34"/>
      <c r="X104" s="34"/>
      <c r="Y104" s="56"/>
      <c r="Z104" s="56"/>
      <c r="AA104" s="56"/>
      <c r="AB104" s="56"/>
      <c r="AC104" s="56"/>
      <c r="AD104" s="56"/>
    </row>
    <row r="105" hidden="1">
      <c r="A105" s="110"/>
      <c r="B105" s="49">
        <v>46203.0</v>
      </c>
      <c r="C105" s="60" t="s">
        <v>75</v>
      </c>
      <c r="D105" s="119" t="str">
        <f t="shared" si="1"/>
        <v>QLTTHDVMPL_08</v>
      </c>
      <c r="E105" s="119"/>
      <c r="F105" s="119"/>
      <c r="G105" s="63" t="s">
        <v>2122</v>
      </c>
      <c r="H105" s="63" t="s">
        <v>2123</v>
      </c>
      <c r="I105" s="63" t="s">
        <v>2124</v>
      </c>
      <c r="J105" s="63" t="s">
        <v>2125</v>
      </c>
      <c r="K105" s="63" t="s">
        <v>2126</v>
      </c>
      <c r="L105" s="63" t="s">
        <v>2126</v>
      </c>
      <c r="M105" s="145" t="s">
        <v>2128</v>
      </c>
      <c r="N105" s="60" t="s">
        <v>54</v>
      </c>
      <c r="O105" s="61"/>
      <c r="P105" s="61"/>
      <c r="Q105" s="61"/>
      <c r="R105" s="61"/>
      <c r="S105" s="61"/>
      <c r="T105" s="61"/>
      <c r="U105" s="61"/>
      <c r="V105" s="61"/>
      <c r="W105" s="61"/>
      <c r="X105" s="61"/>
      <c r="Y105" s="56"/>
      <c r="Z105" s="56"/>
      <c r="AA105" s="56"/>
      <c r="AB105" s="56"/>
      <c r="AC105" s="56"/>
      <c r="AD105" s="56"/>
    </row>
    <row r="106" hidden="1">
      <c r="A106" s="106"/>
      <c r="B106" s="15">
        <v>46203.0</v>
      </c>
      <c r="C106" s="41" t="s">
        <v>75</v>
      </c>
      <c r="D106" s="118" t="str">
        <f t="shared" si="1"/>
        <v>QLTTHDVMPL_09</v>
      </c>
      <c r="E106" s="118"/>
      <c r="F106" s="118"/>
      <c r="G106" s="78" t="s">
        <v>2137</v>
      </c>
      <c r="H106" s="78" t="s">
        <v>2138</v>
      </c>
      <c r="I106" s="78" t="s">
        <v>2140</v>
      </c>
      <c r="J106" s="78" t="s">
        <v>2142</v>
      </c>
      <c r="K106" s="78" t="s">
        <v>2143</v>
      </c>
      <c r="L106" s="78" t="s">
        <v>2143</v>
      </c>
      <c r="M106" s="33" t="s">
        <v>2146</v>
      </c>
      <c r="N106" s="41" t="s">
        <v>54</v>
      </c>
      <c r="O106" s="34"/>
      <c r="P106" s="34"/>
      <c r="Q106" s="34"/>
      <c r="R106" s="34"/>
      <c r="S106" s="34"/>
      <c r="T106" s="34"/>
      <c r="U106" s="34"/>
      <c r="V106" s="34"/>
      <c r="W106" s="34"/>
      <c r="X106" s="34"/>
      <c r="Y106" s="56"/>
      <c r="Z106" s="56"/>
      <c r="AA106" s="56"/>
      <c r="AB106" s="56"/>
      <c r="AC106" s="56"/>
      <c r="AD106" s="56"/>
    </row>
    <row r="107" hidden="1">
      <c r="A107" s="110"/>
      <c r="B107" s="49">
        <v>46203.0</v>
      </c>
      <c r="C107" s="60" t="s">
        <v>75</v>
      </c>
      <c r="D107" s="119" t="str">
        <f t="shared" si="1"/>
        <v>QLTTHDVMPL_10</v>
      </c>
      <c r="E107" s="119"/>
      <c r="F107" s="119"/>
      <c r="G107" s="63" t="s">
        <v>2154</v>
      </c>
      <c r="H107" s="63" t="s">
        <v>2155</v>
      </c>
      <c r="I107" s="63" t="s">
        <v>2156</v>
      </c>
      <c r="J107" s="63" t="s">
        <v>2157</v>
      </c>
      <c r="K107" s="63" t="s">
        <v>2158</v>
      </c>
      <c r="L107" s="61" t="s">
        <v>2159</v>
      </c>
      <c r="M107" s="145" t="s">
        <v>2160</v>
      </c>
      <c r="N107" s="60" t="s">
        <v>52</v>
      </c>
      <c r="O107" s="61"/>
      <c r="P107" s="90" t="s">
        <v>53</v>
      </c>
      <c r="Q107" s="92" t="s">
        <v>54</v>
      </c>
      <c r="R107" s="61"/>
      <c r="S107" s="61"/>
      <c r="T107" s="61"/>
      <c r="U107" s="61"/>
      <c r="V107" s="61"/>
      <c r="W107" s="61"/>
      <c r="X107" s="61"/>
      <c r="Y107" s="56"/>
      <c r="Z107" s="56"/>
      <c r="AA107" s="56"/>
      <c r="AB107" s="56"/>
      <c r="AC107" s="56"/>
      <c r="AD107" s="56"/>
    </row>
    <row r="108" hidden="1">
      <c r="A108" s="106"/>
      <c r="B108" s="15">
        <v>46203.0</v>
      </c>
      <c r="C108" s="41" t="s">
        <v>75</v>
      </c>
      <c r="D108" s="118" t="str">
        <f t="shared" si="1"/>
        <v>QLTTHDVMPL_11</v>
      </c>
      <c r="E108" s="118"/>
      <c r="F108" s="118"/>
      <c r="G108" s="78" t="s">
        <v>2168</v>
      </c>
      <c r="H108" s="78" t="s">
        <v>2169</v>
      </c>
      <c r="I108" s="78" t="s">
        <v>2170</v>
      </c>
      <c r="J108" s="78" t="s">
        <v>2171</v>
      </c>
      <c r="K108" s="78" t="s">
        <v>2172</v>
      </c>
      <c r="L108" s="78" t="s">
        <v>2172</v>
      </c>
      <c r="M108" s="33" t="s">
        <v>2173</v>
      </c>
      <c r="N108" s="41" t="s">
        <v>54</v>
      </c>
      <c r="O108" s="34"/>
      <c r="P108" s="34"/>
      <c r="Q108" s="34"/>
      <c r="R108" s="34"/>
      <c r="S108" s="34"/>
      <c r="T108" s="34"/>
      <c r="U108" s="34"/>
      <c r="V108" s="34"/>
      <c r="W108" s="34"/>
      <c r="X108" s="34"/>
      <c r="Y108" s="56"/>
      <c r="Z108" s="56"/>
      <c r="AA108" s="56"/>
      <c r="AB108" s="56"/>
      <c r="AC108" s="56"/>
      <c r="AD108" s="56"/>
    </row>
    <row r="109" hidden="1">
      <c r="A109" s="110"/>
      <c r="B109" s="49">
        <v>46203.0</v>
      </c>
      <c r="C109" s="60" t="s">
        <v>75</v>
      </c>
      <c r="D109" s="119" t="str">
        <f t="shared" si="1"/>
        <v>QLTTHDVMPL_12</v>
      </c>
      <c r="E109" s="119"/>
      <c r="F109" s="119"/>
      <c r="G109" s="63" t="s">
        <v>2178</v>
      </c>
      <c r="H109" s="63" t="s">
        <v>2179</v>
      </c>
      <c r="I109" s="63" t="s">
        <v>2180</v>
      </c>
      <c r="J109" s="63" t="s">
        <v>2181</v>
      </c>
      <c r="K109" s="63" t="s">
        <v>2182</v>
      </c>
      <c r="L109" s="63" t="s">
        <v>2182</v>
      </c>
      <c r="M109" s="145" t="s">
        <v>2183</v>
      </c>
      <c r="N109" s="60" t="s">
        <v>54</v>
      </c>
      <c r="O109" s="61"/>
      <c r="P109" s="61"/>
      <c r="Q109" s="61"/>
      <c r="R109" s="61"/>
      <c r="S109" s="61"/>
      <c r="T109" s="61"/>
      <c r="U109" s="61"/>
      <c r="V109" s="61"/>
      <c r="W109" s="61"/>
      <c r="X109" s="61"/>
      <c r="Y109" s="56"/>
      <c r="Z109" s="56"/>
      <c r="AA109" s="56"/>
      <c r="AB109" s="56"/>
      <c r="AC109" s="56"/>
      <c r="AD109" s="56"/>
    </row>
    <row r="110" hidden="1">
      <c r="A110" s="106"/>
      <c r="B110" s="15">
        <v>46203.0</v>
      </c>
      <c r="C110" s="41" t="s">
        <v>75</v>
      </c>
      <c r="D110" s="118" t="str">
        <f t="shared" si="1"/>
        <v>QLTTHDVMPL_13</v>
      </c>
      <c r="E110" s="118"/>
      <c r="F110" s="118"/>
      <c r="G110" s="78" t="s">
        <v>2187</v>
      </c>
      <c r="H110" s="78" t="s">
        <v>2188</v>
      </c>
      <c r="I110" s="78" t="s">
        <v>2189</v>
      </c>
      <c r="J110" s="78" t="s">
        <v>2190</v>
      </c>
      <c r="K110" s="78" t="s">
        <v>2191</v>
      </c>
      <c r="L110" s="78" t="s">
        <v>2191</v>
      </c>
      <c r="M110" s="33" t="s">
        <v>2192</v>
      </c>
      <c r="N110" s="41" t="s">
        <v>54</v>
      </c>
      <c r="O110" s="34"/>
      <c r="P110" s="34"/>
      <c r="Q110" s="34"/>
      <c r="R110" s="34"/>
      <c r="S110" s="34"/>
      <c r="T110" s="34"/>
      <c r="U110" s="34"/>
      <c r="V110" s="34"/>
      <c r="W110" s="34"/>
      <c r="X110" s="34"/>
      <c r="Y110" s="56"/>
      <c r="Z110" s="56"/>
      <c r="AA110" s="56"/>
      <c r="AB110" s="56"/>
      <c r="AC110" s="56"/>
      <c r="AD110" s="56"/>
    </row>
    <row r="111" hidden="1">
      <c r="A111" s="110"/>
      <c r="B111" s="49">
        <v>46203.0</v>
      </c>
      <c r="C111" s="60" t="s">
        <v>75</v>
      </c>
      <c r="D111" s="119" t="str">
        <f t="shared" si="1"/>
        <v>QLTTHDVMPL_14</v>
      </c>
      <c r="E111" s="119"/>
      <c r="F111" s="119"/>
      <c r="G111" s="63" t="s">
        <v>2198</v>
      </c>
      <c r="H111" s="63" t="s">
        <v>2091</v>
      </c>
      <c r="I111" s="63" t="s">
        <v>2199</v>
      </c>
      <c r="J111" s="63" t="s">
        <v>2200</v>
      </c>
      <c r="K111" s="63" t="s">
        <v>2201</v>
      </c>
      <c r="L111" s="63" t="s">
        <v>2201</v>
      </c>
      <c r="M111" s="145" t="s">
        <v>2202</v>
      </c>
      <c r="N111" s="60" t="s">
        <v>54</v>
      </c>
      <c r="O111" s="61"/>
      <c r="P111" s="61"/>
      <c r="Q111" s="61"/>
      <c r="R111" s="61"/>
      <c r="S111" s="61"/>
      <c r="T111" s="61"/>
      <c r="U111" s="61"/>
      <c r="V111" s="61"/>
      <c r="W111" s="61"/>
      <c r="X111" s="61"/>
      <c r="Y111" s="56"/>
      <c r="Z111" s="56"/>
      <c r="AA111" s="56"/>
      <c r="AB111" s="56"/>
      <c r="AC111" s="56"/>
      <c r="AD111" s="56"/>
    </row>
    <row r="112" hidden="1">
      <c r="A112" s="106"/>
      <c r="B112" s="15">
        <v>46203.0</v>
      </c>
      <c r="C112" s="41" t="s">
        <v>75</v>
      </c>
      <c r="D112" s="118" t="str">
        <f t="shared" si="1"/>
        <v>QLTTHDVMPL_15</v>
      </c>
      <c r="E112" s="118"/>
      <c r="F112" s="118"/>
      <c r="G112" s="78" t="s">
        <v>2208</v>
      </c>
      <c r="H112" s="78" t="s">
        <v>2091</v>
      </c>
      <c r="I112" s="78" t="s">
        <v>2209</v>
      </c>
      <c r="J112" s="78" t="s">
        <v>2210</v>
      </c>
      <c r="K112" s="78" t="s">
        <v>2211</v>
      </c>
      <c r="L112" s="78" t="s">
        <v>2211</v>
      </c>
      <c r="M112" s="33" t="s">
        <v>2213</v>
      </c>
      <c r="N112" s="41" t="s">
        <v>54</v>
      </c>
      <c r="O112" s="34"/>
      <c r="P112" s="34"/>
      <c r="Q112" s="34"/>
      <c r="R112" s="34"/>
      <c r="S112" s="34"/>
      <c r="T112" s="34"/>
      <c r="U112" s="34"/>
      <c r="V112" s="34"/>
      <c r="W112" s="34"/>
      <c r="X112" s="34"/>
      <c r="Y112" s="56"/>
      <c r="Z112" s="56"/>
      <c r="AA112" s="56"/>
      <c r="AB112" s="56"/>
      <c r="AC112" s="56"/>
      <c r="AD112" s="56"/>
    </row>
    <row r="113" hidden="1">
      <c r="A113" s="110"/>
      <c r="B113" s="49">
        <v>46203.0</v>
      </c>
      <c r="C113" s="60" t="s">
        <v>75</v>
      </c>
      <c r="D113" s="119" t="str">
        <f t="shared" si="1"/>
        <v>QLTTHDVMPL_16</v>
      </c>
      <c r="E113" s="119"/>
      <c r="F113" s="119"/>
      <c r="G113" s="63" t="s">
        <v>2217</v>
      </c>
      <c r="H113" s="63" t="s">
        <v>2218</v>
      </c>
      <c r="I113" s="63" t="s">
        <v>2220</v>
      </c>
      <c r="J113" s="63" t="s">
        <v>2221</v>
      </c>
      <c r="K113" s="63" t="s">
        <v>2222</v>
      </c>
      <c r="L113" s="63" t="s">
        <v>2222</v>
      </c>
      <c r="M113" s="145" t="s">
        <v>2223</v>
      </c>
      <c r="N113" s="60" t="s">
        <v>54</v>
      </c>
      <c r="O113" s="61"/>
      <c r="P113" s="61"/>
      <c r="Q113" s="61"/>
      <c r="R113" s="61"/>
      <c r="S113" s="61"/>
      <c r="T113" s="61"/>
      <c r="U113" s="61"/>
      <c r="V113" s="61"/>
      <c r="W113" s="61"/>
      <c r="X113" s="61"/>
      <c r="Y113" s="56"/>
      <c r="Z113" s="56"/>
      <c r="AA113" s="56"/>
      <c r="AB113" s="56"/>
      <c r="AC113" s="56"/>
      <c r="AD113" s="56"/>
    </row>
    <row r="114" hidden="1">
      <c r="A114" s="106"/>
      <c r="B114" s="15">
        <v>46203.0</v>
      </c>
      <c r="C114" s="41" t="s">
        <v>75</v>
      </c>
      <c r="D114" s="118" t="str">
        <f t="shared" si="1"/>
        <v>QLTTHDVMPL_17</v>
      </c>
      <c r="E114" s="118"/>
      <c r="F114" s="118"/>
      <c r="G114" s="78" t="s">
        <v>2227</v>
      </c>
      <c r="H114" s="78" t="s">
        <v>2228</v>
      </c>
      <c r="I114" s="78" t="s">
        <v>2229</v>
      </c>
      <c r="J114" s="78" t="s">
        <v>2230</v>
      </c>
      <c r="K114" s="78" t="s">
        <v>2231</v>
      </c>
      <c r="L114" s="78" t="s">
        <v>2231</v>
      </c>
      <c r="M114" s="33" t="s">
        <v>2232</v>
      </c>
      <c r="N114" s="41" t="s">
        <v>54</v>
      </c>
      <c r="O114" s="34"/>
      <c r="P114" s="34"/>
      <c r="Q114" s="34"/>
      <c r="R114" s="34"/>
      <c r="S114" s="34"/>
      <c r="T114" s="34"/>
      <c r="U114" s="34"/>
      <c r="V114" s="34"/>
      <c r="W114" s="34"/>
      <c r="X114" s="34"/>
      <c r="Y114" s="56"/>
      <c r="Z114" s="56"/>
      <c r="AA114" s="56"/>
      <c r="AB114" s="56"/>
      <c r="AC114" s="56"/>
      <c r="AD114" s="56"/>
    </row>
    <row r="115" hidden="1">
      <c r="A115" s="110"/>
      <c r="B115" s="49">
        <v>46203.0</v>
      </c>
      <c r="C115" s="60" t="s">
        <v>75</v>
      </c>
      <c r="D115" s="119" t="str">
        <f t="shared" si="1"/>
        <v>QLTTHDVMPL_18</v>
      </c>
      <c r="E115" s="119"/>
      <c r="F115" s="119"/>
      <c r="G115" s="63" t="s">
        <v>2239</v>
      </c>
      <c r="H115" s="63" t="s">
        <v>2240</v>
      </c>
      <c r="I115" s="63" t="s">
        <v>2241</v>
      </c>
      <c r="J115" s="63" t="s">
        <v>2242</v>
      </c>
      <c r="K115" s="63" t="s">
        <v>2243</v>
      </c>
      <c r="L115" s="63" t="s">
        <v>2243</v>
      </c>
      <c r="M115" s="145" t="s">
        <v>2244</v>
      </c>
      <c r="N115" s="60" t="s">
        <v>54</v>
      </c>
      <c r="O115" s="61"/>
      <c r="P115" s="61"/>
      <c r="Q115" s="61"/>
      <c r="R115" s="61"/>
      <c r="S115" s="61"/>
      <c r="T115" s="61"/>
      <c r="U115" s="61"/>
      <c r="V115" s="61"/>
      <c r="W115" s="61"/>
      <c r="X115" s="61"/>
      <c r="Y115" s="56"/>
      <c r="Z115" s="56"/>
      <c r="AA115" s="56"/>
      <c r="AB115" s="56"/>
      <c r="AC115" s="56"/>
      <c r="AD115" s="56"/>
    </row>
    <row r="116" hidden="1">
      <c r="A116" s="106"/>
      <c r="B116" s="15">
        <v>46203.0</v>
      </c>
      <c r="C116" s="41" t="s">
        <v>75</v>
      </c>
      <c r="D116" s="118" t="str">
        <f t="shared" si="1"/>
        <v>QLTTHDVMPL_19</v>
      </c>
      <c r="E116" s="118"/>
      <c r="F116" s="118"/>
      <c r="G116" s="78" t="s">
        <v>2248</v>
      </c>
      <c r="H116" s="78" t="s">
        <v>2249</v>
      </c>
      <c r="I116" s="78" t="s">
        <v>2250</v>
      </c>
      <c r="J116" s="78" t="s">
        <v>2251</v>
      </c>
      <c r="K116" s="78" t="s">
        <v>2252</v>
      </c>
      <c r="L116" s="78" t="s">
        <v>2252</v>
      </c>
      <c r="M116" s="33" t="s">
        <v>2253</v>
      </c>
      <c r="N116" s="41" t="s">
        <v>54</v>
      </c>
      <c r="O116" s="34"/>
      <c r="P116" s="34"/>
      <c r="Q116" s="34"/>
      <c r="R116" s="34"/>
      <c r="S116" s="34"/>
      <c r="T116" s="34"/>
      <c r="U116" s="34"/>
      <c r="V116" s="34"/>
      <c r="W116" s="34"/>
      <c r="X116" s="34"/>
      <c r="Y116" s="56"/>
      <c r="Z116" s="56"/>
      <c r="AA116" s="56"/>
      <c r="AB116" s="56"/>
      <c r="AC116" s="56"/>
      <c r="AD116" s="56"/>
    </row>
    <row r="117" hidden="1">
      <c r="A117" s="110"/>
      <c r="B117" s="60">
        <v>11.0</v>
      </c>
      <c r="C117" s="60" t="s">
        <v>75</v>
      </c>
      <c r="D117" s="119" t="str">
        <f t="shared" ref="D117:D129" si="2">IF(G117&lt;&gt;"","TKHDVMTH_"&amp;TEXT(COUNTIF($G$117:G117,"&lt;&gt;"),"00"),"")</f>
        <v>TKHDVMTH_01</v>
      </c>
      <c r="E117" s="119" t="s">
        <v>2258</v>
      </c>
      <c r="F117" s="119" t="s">
        <v>722</v>
      </c>
      <c r="G117" s="119" t="s">
        <v>2260</v>
      </c>
      <c r="H117" s="119" t="s">
        <v>2261</v>
      </c>
      <c r="I117" s="60"/>
      <c r="J117" s="63" t="s">
        <v>2044</v>
      </c>
      <c r="K117" s="61" t="s">
        <v>2260</v>
      </c>
      <c r="L117" s="61" t="s">
        <v>2260</v>
      </c>
      <c r="M117" s="145" t="s">
        <v>2262</v>
      </c>
      <c r="N117" s="60" t="s">
        <v>54</v>
      </c>
      <c r="O117" s="61"/>
      <c r="P117" s="61"/>
      <c r="Q117" s="61"/>
      <c r="R117" s="61"/>
      <c r="S117" s="61"/>
      <c r="T117" s="61"/>
      <c r="U117" s="61"/>
      <c r="V117" s="61"/>
      <c r="W117" s="61"/>
      <c r="X117" s="61"/>
      <c r="Y117" s="56"/>
      <c r="Z117" s="56"/>
      <c r="AA117" s="56"/>
      <c r="AB117" s="56"/>
      <c r="AC117" s="56"/>
      <c r="AD117" s="56"/>
    </row>
    <row r="118" hidden="1">
      <c r="A118" s="106"/>
      <c r="B118" s="15">
        <v>46203.0</v>
      </c>
      <c r="C118" s="41" t="s">
        <v>75</v>
      </c>
      <c r="D118" s="118" t="str">
        <f t="shared" si="2"/>
        <v>TKHDVMTH_02</v>
      </c>
      <c r="E118" s="118"/>
      <c r="F118" s="118"/>
      <c r="G118" s="78" t="s">
        <v>2270</v>
      </c>
      <c r="H118" s="78" t="s">
        <v>2271</v>
      </c>
      <c r="I118" s="78" t="s">
        <v>2272</v>
      </c>
      <c r="J118" s="78" t="s">
        <v>2273</v>
      </c>
      <c r="K118" s="78" t="s">
        <v>2274</v>
      </c>
      <c r="L118" s="78" t="s">
        <v>2274</v>
      </c>
      <c r="M118" s="33" t="s">
        <v>2276</v>
      </c>
      <c r="N118" s="41" t="s">
        <v>54</v>
      </c>
      <c r="O118" s="34"/>
      <c r="P118" s="34"/>
      <c r="Q118" s="34"/>
      <c r="R118" s="34"/>
      <c r="S118" s="34"/>
      <c r="T118" s="34"/>
      <c r="U118" s="34"/>
      <c r="V118" s="34"/>
      <c r="W118" s="34"/>
      <c r="X118" s="34"/>
      <c r="Y118" s="56"/>
      <c r="Z118" s="56"/>
      <c r="AA118" s="56"/>
      <c r="AB118" s="56"/>
      <c r="AC118" s="56"/>
      <c r="AD118" s="56"/>
    </row>
    <row r="119" hidden="1">
      <c r="A119" s="110"/>
      <c r="B119" s="49">
        <v>46203.0</v>
      </c>
      <c r="C119" s="60" t="s">
        <v>75</v>
      </c>
      <c r="D119" s="119" t="str">
        <f t="shared" si="2"/>
        <v>TKHDVMTH_03</v>
      </c>
      <c r="E119" s="119"/>
      <c r="F119" s="119"/>
      <c r="G119" s="63" t="s">
        <v>2287</v>
      </c>
      <c r="H119" s="63" t="s">
        <v>2288</v>
      </c>
      <c r="I119" s="63" t="s">
        <v>2289</v>
      </c>
      <c r="J119" s="63" t="s">
        <v>2290</v>
      </c>
      <c r="K119" s="63" t="s">
        <v>2291</v>
      </c>
      <c r="L119" s="63" t="s">
        <v>2291</v>
      </c>
      <c r="M119" s="145" t="s">
        <v>2292</v>
      </c>
      <c r="N119" s="60" t="s">
        <v>54</v>
      </c>
      <c r="O119" s="61"/>
      <c r="P119" s="61"/>
      <c r="Q119" s="61"/>
      <c r="R119" s="61"/>
      <c r="S119" s="61"/>
      <c r="T119" s="61"/>
      <c r="U119" s="61"/>
      <c r="V119" s="61"/>
      <c r="W119" s="61"/>
      <c r="X119" s="61"/>
      <c r="Y119" s="56"/>
      <c r="Z119" s="56"/>
      <c r="AA119" s="56"/>
      <c r="AB119" s="56"/>
      <c r="AC119" s="56"/>
      <c r="AD119" s="56"/>
    </row>
    <row r="120" hidden="1">
      <c r="A120" s="106"/>
      <c r="B120" s="15">
        <v>46203.0</v>
      </c>
      <c r="C120" s="41" t="s">
        <v>75</v>
      </c>
      <c r="D120" s="118" t="str">
        <f t="shared" si="2"/>
        <v>TKHDVMTH_04</v>
      </c>
      <c r="E120" s="118"/>
      <c r="F120" s="118"/>
      <c r="G120" s="78" t="s">
        <v>2297</v>
      </c>
      <c r="H120" s="78" t="s">
        <v>2298</v>
      </c>
      <c r="I120" s="78" t="s">
        <v>2299</v>
      </c>
      <c r="J120" s="78" t="s">
        <v>2300</v>
      </c>
      <c r="K120" s="78" t="s">
        <v>2301</v>
      </c>
      <c r="L120" s="78" t="s">
        <v>2301</v>
      </c>
      <c r="M120" s="33" t="s">
        <v>2302</v>
      </c>
      <c r="N120" s="41" t="s">
        <v>54</v>
      </c>
      <c r="O120" s="34"/>
      <c r="P120" s="34"/>
      <c r="Q120" s="34"/>
      <c r="R120" s="34"/>
      <c r="S120" s="34"/>
      <c r="T120" s="34"/>
      <c r="U120" s="34"/>
      <c r="V120" s="34"/>
      <c r="W120" s="34"/>
      <c r="X120" s="34"/>
      <c r="Y120" s="56"/>
      <c r="Z120" s="56"/>
      <c r="AA120" s="56"/>
      <c r="AB120" s="56"/>
      <c r="AC120" s="56"/>
      <c r="AD120" s="56"/>
    </row>
    <row r="121" hidden="1">
      <c r="A121" s="110"/>
      <c r="B121" s="49">
        <v>46203.0</v>
      </c>
      <c r="C121" s="60" t="s">
        <v>75</v>
      </c>
      <c r="D121" s="119" t="str">
        <f t="shared" si="2"/>
        <v>TKHDVMTH_05</v>
      </c>
      <c r="E121" s="119"/>
      <c r="F121" s="119"/>
      <c r="G121" s="63" t="s">
        <v>2306</v>
      </c>
      <c r="H121" s="63" t="s">
        <v>2307</v>
      </c>
      <c r="I121" s="63" t="s">
        <v>2308</v>
      </c>
      <c r="J121" s="63" t="s">
        <v>2309</v>
      </c>
      <c r="K121" s="63" t="s">
        <v>2310</v>
      </c>
      <c r="L121" s="63" t="s">
        <v>2310</v>
      </c>
      <c r="M121" s="145" t="s">
        <v>2311</v>
      </c>
      <c r="N121" s="60" t="s">
        <v>54</v>
      </c>
      <c r="O121" s="61"/>
      <c r="P121" s="61"/>
      <c r="Q121" s="61"/>
      <c r="R121" s="61"/>
      <c r="S121" s="61"/>
      <c r="T121" s="61"/>
      <c r="U121" s="61"/>
      <c r="V121" s="61"/>
      <c r="W121" s="61"/>
      <c r="X121" s="61"/>
      <c r="Y121" s="56"/>
      <c r="Z121" s="56"/>
      <c r="AA121" s="56"/>
      <c r="AB121" s="56"/>
      <c r="AC121" s="56"/>
      <c r="AD121" s="56"/>
    </row>
    <row r="122" hidden="1">
      <c r="A122" s="106"/>
      <c r="B122" s="15">
        <v>46203.0</v>
      </c>
      <c r="C122" s="41" t="s">
        <v>75</v>
      </c>
      <c r="D122" s="118" t="str">
        <f t="shared" si="2"/>
        <v>TKHDVMTH_06</v>
      </c>
      <c r="E122" s="118"/>
      <c r="F122" s="118"/>
      <c r="G122" s="78" t="s">
        <v>2316</v>
      </c>
      <c r="H122" s="78" t="s">
        <v>2317</v>
      </c>
      <c r="I122" s="78" t="s">
        <v>2318</v>
      </c>
      <c r="J122" s="78" t="s">
        <v>2319</v>
      </c>
      <c r="K122" s="78" t="s">
        <v>2320</v>
      </c>
      <c r="L122" s="78" t="s">
        <v>2320</v>
      </c>
      <c r="M122" s="33" t="s">
        <v>2322</v>
      </c>
      <c r="N122" s="41" t="s">
        <v>54</v>
      </c>
      <c r="O122" s="34"/>
      <c r="P122" s="34"/>
      <c r="Q122" s="34"/>
      <c r="R122" s="34"/>
      <c r="S122" s="34"/>
      <c r="T122" s="34"/>
      <c r="U122" s="34"/>
      <c r="V122" s="34"/>
      <c r="W122" s="34"/>
      <c r="X122" s="34"/>
      <c r="Y122" s="56"/>
      <c r="Z122" s="56"/>
      <c r="AA122" s="56"/>
      <c r="AB122" s="56"/>
      <c r="AC122" s="56"/>
      <c r="AD122" s="56"/>
    </row>
    <row r="123">
      <c r="A123" s="110"/>
      <c r="B123" s="49">
        <v>46203.0</v>
      </c>
      <c r="C123" s="60" t="s">
        <v>75</v>
      </c>
      <c r="D123" s="119" t="str">
        <f t="shared" si="2"/>
        <v>TKHDVMTH_07</v>
      </c>
      <c r="E123" s="119"/>
      <c r="F123" s="119"/>
      <c r="G123" s="63" t="s">
        <v>2325</v>
      </c>
      <c r="H123" s="63" t="s">
        <v>2326</v>
      </c>
      <c r="I123" s="63" t="s">
        <v>2327</v>
      </c>
      <c r="J123" s="63" t="s">
        <v>2328</v>
      </c>
      <c r="K123" s="63" t="s">
        <v>2329</v>
      </c>
      <c r="L123" s="61" t="s">
        <v>2330</v>
      </c>
      <c r="M123" s="145" t="s">
        <v>2331</v>
      </c>
      <c r="N123" s="60" t="s">
        <v>52</v>
      </c>
      <c r="O123" s="61"/>
      <c r="P123" s="90" t="s">
        <v>53</v>
      </c>
      <c r="Q123" s="92" t="s">
        <v>54</v>
      </c>
      <c r="R123" s="61"/>
      <c r="S123" s="146" t="s">
        <v>2335</v>
      </c>
      <c r="T123" s="147" t="s">
        <v>2336</v>
      </c>
      <c r="U123" s="146" t="s">
        <v>52</v>
      </c>
      <c r="V123" s="61"/>
      <c r="W123" s="90" t="s">
        <v>96</v>
      </c>
      <c r="X123" s="61"/>
      <c r="Y123" s="56"/>
      <c r="Z123" s="56"/>
      <c r="AA123" s="56"/>
      <c r="AB123" s="56"/>
      <c r="AC123" s="56"/>
      <c r="AD123" s="56"/>
    </row>
    <row r="124" hidden="1">
      <c r="A124" s="106"/>
      <c r="B124" s="15">
        <v>46203.0</v>
      </c>
      <c r="C124" s="46" t="s">
        <v>75</v>
      </c>
      <c r="D124" s="34" t="str">
        <f t="shared" si="2"/>
        <v>TKHDVMTH_08</v>
      </c>
      <c r="E124" s="168"/>
      <c r="F124" s="168"/>
      <c r="G124" s="34" t="s">
        <v>2340</v>
      </c>
      <c r="H124" s="34" t="s">
        <v>2307</v>
      </c>
      <c r="I124" s="34" t="s">
        <v>2341</v>
      </c>
      <c r="J124" s="34" t="s">
        <v>2342</v>
      </c>
      <c r="K124" s="34" t="s">
        <v>2343</v>
      </c>
      <c r="L124" s="34" t="s">
        <v>2343</v>
      </c>
      <c r="M124" s="33" t="s">
        <v>2344</v>
      </c>
      <c r="N124" s="169" t="s">
        <v>54</v>
      </c>
      <c r="O124" s="34"/>
      <c r="P124" s="21" t="s">
        <v>53</v>
      </c>
      <c r="Q124" s="46" t="s">
        <v>54</v>
      </c>
      <c r="R124" s="34"/>
      <c r="S124" s="34"/>
      <c r="T124" s="34"/>
      <c r="U124" s="34"/>
      <c r="V124" s="34"/>
      <c r="W124" s="34"/>
      <c r="X124" s="34"/>
      <c r="Y124" s="56"/>
      <c r="Z124" s="56"/>
      <c r="AA124" s="56"/>
      <c r="AB124" s="56"/>
      <c r="AC124" s="56"/>
      <c r="AD124" s="56"/>
    </row>
    <row r="125" hidden="1">
      <c r="A125" s="110"/>
      <c r="B125" s="49">
        <v>46203.0</v>
      </c>
      <c r="C125" s="60" t="s">
        <v>75</v>
      </c>
      <c r="D125" s="119" t="str">
        <f t="shared" si="2"/>
        <v>TKHDVMTH_09</v>
      </c>
      <c r="E125" s="119"/>
      <c r="F125" s="119"/>
      <c r="G125" s="63" t="s">
        <v>2350</v>
      </c>
      <c r="H125" s="63" t="s">
        <v>2351</v>
      </c>
      <c r="I125" s="63" t="s">
        <v>2353</v>
      </c>
      <c r="J125" s="63" t="s">
        <v>2354</v>
      </c>
      <c r="K125" s="63" t="s">
        <v>2355</v>
      </c>
      <c r="L125" s="63" t="s">
        <v>2355</v>
      </c>
      <c r="M125" s="145" t="s">
        <v>2356</v>
      </c>
      <c r="N125" s="60" t="s">
        <v>54</v>
      </c>
      <c r="O125" s="61"/>
      <c r="P125" s="61"/>
      <c r="Q125" s="61"/>
      <c r="R125" s="61"/>
      <c r="S125" s="61"/>
      <c r="T125" s="61"/>
      <c r="U125" s="61"/>
      <c r="V125" s="61"/>
      <c r="W125" s="61"/>
      <c r="X125" s="61"/>
      <c r="Y125" s="56"/>
      <c r="Z125" s="56"/>
      <c r="AA125" s="56"/>
      <c r="AB125" s="56"/>
      <c r="AC125" s="56"/>
      <c r="AD125" s="56"/>
    </row>
    <row r="126" hidden="1">
      <c r="A126" s="106"/>
      <c r="B126" s="15">
        <v>46203.0</v>
      </c>
      <c r="C126" s="41" t="s">
        <v>75</v>
      </c>
      <c r="D126" s="118" t="str">
        <f t="shared" si="2"/>
        <v>TKHDVMTH_10</v>
      </c>
      <c r="E126" s="118"/>
      <c r="F126" s="118"/>
      <c r="G126" s="78" t="s">
        <v>2360</v>
      </c>
      <c r="H126" s="78" t="s">
        <v>2361</v>
      </c>
      <c r="I126" s="78" t="s">
        <v>2362</v>
      </c>
      <c r="J126" s="78" t="s">
        <v>2363</v>
      </c>
      <c r="K126" s="78" t="s">
        <v>2364</v>
      </c>
      <c r="L126" s="78" t="s">
        <v>2364</v>
      </c>
      <c r="M126" s="33" t="s">
        <v>2366</v>
      </c>
      <c r="N126" s="41" t="s">
        <v>54</v>
      </c>
      <c r="O126" s="34"/>
      <c r="P126" s="34"/>
      <c r="Q126" s="34"/>
      <c r="R126" s="34"/>
      <c r="S126" s="34"/>
      <c r="T126" s="34"/>
      <c r="U126" s="34"/>
      <c r="V126" s="34"/>
      <c r="W126" s="34"/>
      <c r="X126" s="34"/>
      <c r="Y126" s="56"/>
      <c r="Z126" s="56"/>
      <c r="AA126" s="56"/>
      <c r="AB126" s="56"/>
      <c r="AC126" s="56"/>
      <c r="AD126" s="56"/>
    </row>
    <row r="127" hidden="1">
      <c r="A127" s="110"/>
      <c r="B127" s="49">
        <v>46203.0</v>
      </c>
      <c r="C127" s="60" t="s">
        <v>75</v>
      </c>
      <c r="D127" s="119" t="str">
        <f t="shared" si="2"/>
        <v>TKHDVMTH_11</v>
      </c>
      <c r="E127" s="119"/>
      <c r="F127" s="119"/>
      <c r="G127" s="63" t="s">
        <v>2369</v>
      </c>
      <c r="H127" s="63" t="s">
        <v>2371</v>
      </c>
      <c r="I127" s="63" t="s">
        <v>2372</v>
      </c>
      <c r="J127" s="63" t="s">
        <v>2373</v>
      </c>
      <c r="K127" s="63" t="s">
        <v>2374</v>
      </c>
      <c r="L127" s="63" t="s">
        <v>2374</v>
      </c>
      <c r="M127" s="145" t="s">
        <v>2375</v>
      </c>
      <c r="N127" s="60" t="s">
        <v>54</v>
      </c>
      <c r="O127" s="61"/>
      <c r="P127" s="61"/>
      <c r="Q127" s="61"/>
      <c r="R127" s="61"/>
      <c r="S127" s="61"/>
      <c r="T127" s="61"/>
      <c r="U127" s="61"/>
      <c r="V127" s="61"/>
      <c r="W127" s="61"/>
      <c r="X127" s="61"/>
      <c r="Y127" s="56"/>
      <c r="Z127" s="56"/>
      <c r="AA127" s="56"/>
      <c r="AB127" s="56"/>
      <c r="AC127" s="56"/>
      <c r="AD127" s="56"/>
    </row>
    <row r="128" hidden="1">
      <c r="A128" s="106"/>
      <c r="B128" s="15">
        <v>46203.0</v>
      </c>
      <c r="C128" s="41" t="s">
        <v>75</v>
      </c>
      <c r="D128" s="118" t="str">
        <f t="shared" si="2"/>
        <v>TKHDVMTH_12</v>
      </c>
      <c r="E128" s="118"/>
      <c r="F128" s="118"/>
      <c r="G128" s="78" t="s">
        <v>2380</v>
      </c>
      <c r="H128" s="78" t="s">
        <v>2382</v>
      </c>
      <c r="I128" s="78" t="s">
        <v>2383</v>
      </c>
      <c r="J128" s="78" t="s">
        <v>2385</v>
      </c>
      <c r="K128" s="78" t="s">
        <v>2386</v>
      </c>
      <c r="L128" s="78" t="s">
        <v>2386</v>
      </c>
      <c r="M128" s="33" t="s">
        <v>2389</v>
      </c>
      <c r="N128" s="41" t="s">
        <v>54</v>
      </c>
      <c r="O128" s="34"/>
      <c r="P128" s="34"/>
      <c r="Q128" s="34"/>
      <c r="R128" s="34"/>
      <c r="S128" s="34"/>
      <c r="T128" s="34"/>
      <c r="U128" s="34"/>
      <c r="V128" s="34"/>
      <c r="W128" s="34"/>
      <c r="X128" s="34"/>
      <c r="Y128" s="56"/>
      <c r="Z128" s="56"/>
      <c r="AA128" s="56"/>
      <c r="AB128" s="56"/>
      <c r="AC128" s="56"/>
      <c r="AD128" s="56"/>
    </row>
    <row r="129" hidden="1">
      <c r="A129" s="110"/>
      <c r="B129" s="49">
        <v>46203.0</v>
      </c>
      <c r="C129" s="60" t="s">
        <v>75</v>
      </c>
      <c r="D129" s="119" t="str">
        <f t="shared" si="2"/>
        <v>TKHDVMTH_13</v>
      </c>
      <c r="E129" s="119"/>
      <c r="F129" s="119"/>
      <c r="G129" s="63" t="s">
        <v>2395</v>
      </c>
      <c r="H129" s="63" t="s">
        <v>2396</v>
      </c>
      <c r="I129" s="63" t="s">
        <v>2398</v>
      </c>
      <c r="J129" s="63" t="s">
        <v>2399</v>
      </c>
      <c r="K129" s="63" t="s">
        <v>2400</v>
      </c>
      <c r="L129" s="63" t="s">
        <v>2400</v>
      </c>
      <c r="M129" s="145" t="s">
        <v>2402</v>
      </c>
      <c r="N129" s="60" t="s">
        <v>54</v>
      </c>
      <c r="O129" s="61"/>
      <c r="P129" s="61"/>
      <c r="Q129" s="61"/>
      <c r="R129" s="61"/>
      <c r="S129" s="61"/>
      <c r="T129" s="61"/>
      <c r="U129" s="61"/>
      <c r="V129" s="61"/>
      <c r="W129" s="61"/>
      <c r="X129" s="61"/>
      <c r="Y129" s="56"/>
      <c r="Z129" s="56"/>
      <c r="AA129" s="56"/>
      <c r="AB129" s="56"/>
      <c r="AC129" s="56"/>
      <c r="AD129" s="56"/>
    </row>
    <row r="130" hidden="1">
      <c r="A130" s="14"/>
      <c r="B130" s="16" t="s">
        <v>2412</v>
      </c>
      <c r="C130" s="41" t="s">
        <v>75</v>
      </c>
      <c r="D130" s="20"/>
      <c r="E130" s="20" t="s">
        <v>2415</v>
      </c>
      <c r="F130" s="118"/>
      <c r="G130" s="118"/>
      <c r="H130" s="118"/>
      <c r="I130" s="118"/>
      <c r="J130" s="34"/>
      <c r="K130" s="34"/>
      <c r="L130" s="34"/>
      <c r="M130" s="34"/>
      <c r="N130" s="41"/>
      <c r="O130" s="34"/>
      <c r="P130" s="34"/>
      <c r="Q130" s="34"/>
      <c r="R130" s="34"/>
      <c r="S130" s="34"/>
      <c r="T130" s="34"/>
      <c r="U130" s="34"/>
      <c r="V130" s="34"/>
      <c r="W130" s="34"/>
      <c r="X130" s="34"/>
      <c r="Y130" s="56"/>
      <c r="Z130" s="56"/>
      <c r="AA130" s="56"/>
      <c r="AB130" s="56"/>
      <c r="AC130" s="56"/>
      <c r="AD130" s="56"/>
    </row>
    <row r="131" hidden="1">
      <c r="A131" s="110"/>
      <c r="B131" s="60">
        <v>12.0</v>
      </c>
      <c r="C131" s="60" t="s">
        <v>75</v>
      </c>
      <c r="D131" s="119" t="str">
        <f t="shared" ref="D131:D136" si="3">IF(G131&lt;&gt;"","TNXLHDVMPL_"&amp;TEXT(COUNTIF($G$131:G131,"&lt;&gt;"),"00"),"")</f>
        <v>TNXLHDVMPL_01</v>
      </c>
      <c r="E131" s="119" t="s">
        <v>2423</v>
      </c>
      <c r="F131" s="119" t="s">
        <v>722</v>
      </c>
      <c r="G131" s="119" t="s">
        <v>2424</v>
      </c>
      <c r="H131" s="63" t="s">
        <v>2425</v>
      </c>
      <c r="I131" s="63"/>
      <c r="J131" s="63" t="s">
        <v>2426</v>
      </c>
      <c r="K131" s="63" t="s">
        <v>2427</v>
      </c>
      <c r="L131" s="63" t="s">
        <v>2427</v>
      </c>
      <c r="M131" s="145" t="s">
        <v>2428</v>
      </c>
      <c r="N131" s="60" t="s">
        <v>54</v>
      </c>
      <c r="O131" s="61"/>
      <c r="P131" s="61"/>
      <c r="Q131" s="61"/>
      <c r="R131" s="61"/>
      <c r="S131" s="61"/>
      <c r="T131" s="61"/>
      <c r="U131" s="61"/>
      <c r="V131" s="61"/>
      <c r="W131" s="61"/>
      <c r="X131" s="61"/>
      <c r="Y131" s="56"/>
      <c r="Z131" s="56"/>
      <c r="AA131" s="56"/>
      <c r="AB131" s="56"/>
      <c r="AC131" s="56"/>
      <c r="AD131" s="56"/>
    </row>
    <row r="132" hidden="1">
      <c r="A132" s="106"/>
      <c r="B132" s="15">
        <v>46205.0</v>
      </c>
      <c r="C132" s="41" t="s">
        <v>75</v>
      </c>
      <c r="D132" s="118" t="str">
        <f t="shared" si="3"/>
        <v>TNXLHDVMPL_02</v>
      </c>
      <c r="E132" s="118"/>
      <c r="F132" s="118"/>
      <c r="G132" s="78" t="s">
        <v>2432</v>
      </c>
      <c r="H132" s="78" t="s">
        <v>2434</v>
      </c>
      <c r="I132" s="78"/>
      <c r="J132" s="78" t="s">
        <v>2435</v>
      </c>
      <c r="K132" s="78" t="s">
        <v>2436</v>
      </c>
      <c r="L132" s="78" t="s">
        <v>2436</v>
      </c>
      <c r="M132" s="33" t="s">
        <v>2437</v>
      </c>
      <c r="N132" s="41" t="s">
        <v>54</v>
      </c>
      <c r="O132" s="34"/>
      <c r="P132" s="34"/>
      <c r="Q132" s="34"/>
      <c r="R132" s="34"/>
      <c r="S132" s="34"/>
      <c r="T132" s="34"/>
      <c r="U132" s="34"/>
      <c r="V132" s="34"/>
      <c r="W132" s="34"/>
      <c r="X132" s="34"/>
      <c r="Y132" s="56"/>
      <c r="Z132" s="56"/>
      <c r="AA132" s="56"/>
      <c r="AB132" s="56"/>
      <c r="AC132" s="56"/>
      <c r="AD132" s="56"/>
    </row>
    <row r="133" hidden="1">
      <c r="A133" s="110"/>
      <c r="B133" s="49">
        <v>46205.0</v>
      </c>
      <c r="C133" s="60" t="s">
        <v>75</v>
      </c>
      <c r="D133" s="119" t="str">
        <f t="shared" si="3"/>
        <v>TNXLHDVMPL_03</v>
      </c>
      <c r="E133" s="119"/>
      <c r="F133" s="119"/>
      <c r="G133" s="63" t="s">
        <v>2441</v>
      </c>
      <c r="H133" s="63" t="s">
        <v>2442</v>
      </c>
      <c r="I133" s="63"/>
      <c r="J133" s="63" t="s">
        <v>2443</v>
      </c>
      <c r="K133" s="63" t="s">
        <v>2444</v>
      </c>
      <c r="L133" s="63" t="s">
        <v>2444</v>
      </c>
      <c r="M133" s="145" t="s">
        <v>2445</v>
      </c>
      <c r="N133" s="60" t="s">
        <v>54</v>
      </c>
      <c r="O133" s="61"/>
      <c r="P133" s="61"/>
      <c r="Q133" s="61"/>
      <c r="R133" s="61"/>
      <c r="S133" s="61"/>
      <c r="T133" s="61"/>
      <c r="U133" s="61"/>
      <c r="V133" s="61"/>
      <c r="W133" s="61"/>
      <c r="X133" s="61"/>
      <c r="Y133" s="56"/>
      <c r="Z133" s="56"/>
      <c r="AA133" s="56"/>
      <c r="AB133" s="56"/>
      <c r="AC133" s="56"/>
      <c r="AD133" s="56"/>
    </row>
    <row r="134" hidden="1">
      <c r="A134" s="106"/>
      <c r="B134" s="15">
        <v>46205.0</v>
      </c>
      <c r="C134" s="41" t="s">
        <v>75</v>
      </c>
      <c r="D134" s="118" t="str">
        <f t="shared" si="3"/>
        <v>TNXLHDVMPL_04</v>
      </c>
      <c r="E134" s="118"/>
      <c r="F134" s="118"/>
      <c r="G134" s="78" t="s">
        <v>2453</v>
      </c>
      <c r="H134" s="78" t="s">
        <v>2454</v>
      </c>
      <c r="I134" s="78"/>
      <c r="J134" s="78" t="s">
        <v>2456</v>
      </c>
      <c r="K134" s="78" t="s">
        <v>2457</v>
      </c>
      <c r="L134" s="78" t="s">
        <v>2457</v>
      </c>
      <c r="M134" s="33" t="s">
        <v>2458</v>
      </c>
      <c r="N134" s="41" t="s">
        <v>54</v>
      </c>
      <c r="O134" s="34"/>
      <c r="P134" s="34"/>
      <c r="Q134" s="34"/>
      <c r="R134" s="34"/>
      <c r="S134" s="34"/>
      <c r="T134" s="34"/>
      <c r="U134" s="34"/>
      <c r="V134" s="34"/>
      <c r="W134" s="34"/>
      <c r="X134" s="34"/>
      <c r="Y134" s="56"/>
      <c r="Z134" s="56"/>
      <c r="AA134" s="56"/>
      <c r="AB134" s="56"/>
      <c r="AC134" s="56"/>
      <c r="AD134" s="56"/>
    </row>
    <row r="135" hidden="1">
      <c r="A135" s="110"/>
      <c r="B135" s="49">
        <v>46205.0</v>
      </c>
      <c r="C135" s="60" t="s">
        <v>75</v>
      </c>
      <c r="D135" s="119" t="str">
        <f t="shared" si="3"/>
        <v>TNXLHDVMPL_05</v>
      </c>
      <c r="E135" s="119"/>
      <c r="F135" s="119"/>
      <c r="G135" s="63" t="s">
        <v>2460</v>
      </c>
      <c r="H135" s="63" t="s">
        <v>2461</v>
      </c>
      <c r="I135" s="63"/>
      <c r="J135" s="63" t="s">
        <v>2464</v>
      </c>
      <c r="K135" s="63" t="s">
        <v>2465</v>
      </c>
      <c r="L135" s="63" t="s">
        <v>2465</v>
      </c>
      <c r="M135" s="145" t="s">
        <v>2466</v>
      </c>
      <c r="N135" s="60" t="s">
        <v>54</v>
      </c>
      <c r="O135" s="61"/>
      <c r="P135" s="61"/>
      <c r="Q135" s="61"/>
      <c r="R135" s="61"/>
      <c r="S135" s="61"/>
      <c r="T135" s="61"/>
      <c r="U135" s="61"/>
      <c r="V135" s="61"/>
      <c r="W135" s="61"/>
      <c r="X135" s="61"/>
      <c r="Y135" s="56"/>
      <c r="Z135" s="56"/>
      <c r="AA135" s="56"/>
      <c r="AB135" s="56"/>
      <c r="AC135" s="56"/>
      <c r="AD135" s="56"/>
    </row>
    <row r="136" hidden="1">
      <c r="A136" s="106"/>
      <c r="B136" s="15">
        <v>46205.0</v>
      </c>
      <c r="C136" s="41" t="s">
        <v>75</v>
      </c>
      <c r="D136" s="118" t="str">
        <f t="shared" si="3"/>
        <v>TNXLHDVMPL_06</v>
      </c>
      <c r="E136" s="118"/>
      <c r="F136" s="118"/>
      <c r="G136" s="78" t="s">
        <v>2470</v>
      </c>
      <c r="H136" s="78" t="s">
        <v>2472</v>
      </c>
      <c r="I136" s="78"/>
      <c r="J136" s="78" t="s">
        <v>2473</v>
      </c>
      <c r="K136" s="78" t="s">
        <v>2474</v>
      </c>
      <c r="L136" s="78" t="s">
        <v>2474</v>
      </c>
      <c r="M136" s="33" t="s">
        <v>2476</v>
      </c>
      <c r="N136" s="41" t="s">
        <v>54</v>
      </c>
      <c r="O136" s="34"/>
      <c r="P136" s="34"/>
      <c r="Q136" s="34"/>
      <c r="R136" s="34"/>
      <c r="S136" s="34"/>
      <c r="T136" s="34"/>
      <c r="U136" s="34"/>
      <c r="V136" s="34"/>
      <c r="W136" s="34"/>
      <c r="X136" s="34"/>
      <c r="Y136" s="56"/>
      <c r="Z136" s="56"/>
      <c r="AA136" s="56"/>
      <c r="AB136" s="56"/>
      <c r="AC136" s="56"/>
      <c r="AD136" s="56"/>
    </row>
    <row r="137" hidden="1">
      <c r="A137" s="110"/>
      <c r="B137" s="60">
        <v>13.0</v>
      </c>
      <c r="C137" s="60" t="s">
        <v>75</v>
      </c>
      <c r="D137" s="119"/>
      <c r="E137" s="119" t="s">
        <v>2479</v>
      </c>
      <c r="F137" s="119" t="s">
        <v>722</v>
      </c>
      <c r="G137" s="119" t="s">
        <v>2480</v>
      </c>
      <c r="H137" s="119" t="s">
        <v>2481</v>
      </c>
      <c r="I137" s="60"/>
      <c r="J137" s="61"/>
      <c r="K137" s="61"/>
      <c r="L137" s="61"/>
      <c r="M137" s="61"/>
      <c r="N137" s="60"/>
      <c r="O137" s="61"/>
      <c r="P137" s="61"/>
      <c r="Q137" s="61"/>
      <c r="R137" s="61"/>
      <c r="S137" s="61"/>
      <c r="T137" s="61"/>
      <c r="U137" s="61"/>
      <c r="V137" s="61"/>
      <c r="W137" s="61"/>
      <c r="X137" s="61"/>
      <c r="Y137" s="56"/>
      <c r="Z137" s="56"/>
      <c r="AA137" s="56"/>
      <c r="AB137" s="56"/>
      <c r="AC137" s="56"/>
      <c r="AD137" s="56"/>
    </row>
    <row r="138" hidden="1">
      <c r="A138" s="106"/>
      <c r="B138" s="15">
        <v>46205.0</v>
      </c>
      <c r="C138" s="41" t="s">
        <v>75</v>
      </c>
      <c r="D138" s="118" t="str">
        <f t="shared" ref="D138:D146" si="4">IF(G138&lt;&gt;"","QLTNXLHDVM_"&amp;TEXT(COUNTIF($G$138:G138,"&lt;&gt;"),"00"),"")</f>
        <v>QLTNXLHDVM_01</v>
      </c>
      <c r="E138" s="118"/>
      <c r="F138" s="118"/>
      <c r="G138" s="78" t="s">
        <v>2485</v>
      </c>
      <c r="H138" s="78" t="s">
        <v>2486</v>
      </c>
      <c r="I138" s="78"/>
      <c r="J138" s="78" t="s">
        <v>2488</v>
      </c>
      <c r="K138" s="78" t="s">
        <v>2489</v>
      </c>
      <c r="L138" s="78" t="s">
        <v>2489</v>
      </c>
      <c r="M138" s="33" t="s">
        <v>2490</v>
      </c>
      <c r="N138" s="41" t="s">
        <v>54</v>
      </c>
      <c r="O138" s="34"/>
      <c r="P138" s="34"/>
      <c r="Q138" s="34"/>
      <c r="R138" s="34"/>
      <c r="S138" s="34"/>
      <c r="T138" s="34"/>
      <c r="U138" s="34"/>
      <c r="V138" s="34"/>
      <c r="W138" s="34"/>
      <c r="X138" s="34"/>
      <c r="Y138" s="56"/>
      <c r="Z138" s="56"/>
      <c r="AA138" s="56"/>
      <c r="AB138" s="56"/>
      <c r="AC138" s="56"/>
      <c r="AD138" s="56"/>
    </row>
    <row r="139" hidden="1">
      <c r="A139" s="110"/>
      <c r="B139" s="49">
        <v>46205.0</v>
      </c>
      <c r="C139" s="60" t="s">
        <v>75</v>
      </c>
      <c r="D139" s="119" t="str">
        <f t="shared" si="4"/>
        <v>QLTNXLHDVM_02</v>
      </c>
      <c r="E139" s="119"/>
      <c r="F139" s="119"/>
      <c r="G139" s="63" t="s">
        <v>2495</v>
      </c>
      <c r="H139" s="63" t="s">
        <v>2496</v>
      </c>
      <c r="I139" s="63"/>
      <c r="J139" s="63" t="s">
        <v>2497</v>
      </c>
      <c r="K139" s="63" t="s">
        <v>2498</v>
      </c>
      <c r="L139" s="63" t="s">
        <v>2498</v>
      </c>
      <c r="M139" s="145" t="s">
        <v>2500</v>
      </c>
      <c r="N139" s="60" t="s">
        <v>54</v>
      </c>
      <c r="O139" s="61"/>
      <c r="P139" s="61"/>
      <c r="Q139" s="61"/>
      <c r="R139" s="61"/>
      <c r="S139" s="61"/>
      <c r="T139" s="61"/>
      <c r="U139" s="61"/>
      <c r="V139" s="61"/>
      <c r="W139" s="61"/>
      <c r="X139" s="61"/>
      <c r="Y139" s="56"/>
      <c r="Z139" s="56"/>
      <c r="AA139" s="56"/>
      <c r="AB139" s="56"/>
      <c r="AC139" s="56"/>
      <c r="AD139" s="56"/>
    </row>
    <row r="140" hidden="1">
      <c r="A140" s="106"/>
      <c r="B140" s="15">
        <v>46205.0</v>
      </c>
      <c r="C140" s="41" t="s">
        <v>75</v>
      </c>
      <c r="D140" s="118" t="str">
        <f t="shared" si="4"/>
        <v>QLTNXLHDVM_03</v>
      </c>
      <c r="E140" s="118"/>
      <c r="F140" s="118"/>
      <c r="G140" s="78" t="s">
        <v>2503</v>
      </c>
      <c r="H140" s="78" t="s">
        <v>2504</v>
      </c>
      <c r="I140" s="78"/>
      <c r="J140" s="78" t="s">
        <v>2507</v>
      </c>
      <c r="K140" s="78" t="s">
        <v>2508</v>
      </c>
      <c r="L140" s="78" t="s">
        <v>2508</v>
      </c>
      <c r="M140" s="33" t="s">
        <v>2509</v>
      </c>
      <c r="N140" s="41" t="s">
        <v>54</v>
      </c>
      <c r="O140" s="34"/>
      <c r="P140" s="34"/>
      <c r="Q140" s="34"/>
      <c r="R140" s="34"/>
      <c r="S140" s="34"/>
      <c r="T140" s="34"/>
      <c r="U140" s="34"/>
      <c r="V140" s="34"/>
      <c r="W140" s="34"/>
      <c r="X140" s="34"/>
      <c r="Y140" s="56"/>
      <c r="Z140" s="56"/>
      <c r="AA140" s="56"/>
      <c r="AB140" s="56"/>
      <c r="AC140" s="56"/>
      <c r="AD140" s="56"/>
    </row>
    <row r="141" hidden="1">
      <c r="A141" s="110"/>
      <c r="B141" s="49">
        <v>46205.0</v>
      </c>
      <c r="C141" s="60" t="s">
        <v>75</v>
      </c>
      <c r="D141" s="119" t="str">
        <f t="shared" si="4"/>
        <v>QLTNXLHDVM_04</v>
      </c>
      <c r="E141" s="119"/>
      <c r="F141" s="119"/>
      <c r="G141" s="63" t="s">
        <v>2517</v>
      </c>
      <c r="H141" s="63" t="s">
        <v>2518</v>
      </c>
      <c r="I141" s="63"/>
      <c r="J141" s="63" t="s">
        <v>2520</v>
      </c>
      <c r="K141" s="63" t="s">
        <v>2521</v>
      </c>
      <c r="L141" s="63" t="s">
        <v>2521</v>
      </c>
      <c r="M141" s="145" t="s">
        <v>2523</v>
      </c>
      <c r="N141" s="60" t="s">
        <v>54</v>
      </c>
      <c r="O141" s="61"/>
      <c r="P141" s="61"/>
      <c r="Q141" s="61"/>
      <c r="R141" s="61"/>
      <c r="S141" s="61"/>
      <c r="T141" s="61"/>
      <c r="U141" s="61"/>
      <c r="V141" s="61"/>
      <c r="W141" s="61"/>
      <c r="X141" s="61"/>
      <c r="Y141" s="56"/>
      <c r="Z141" s="56"/>
      <c r="AA141" s="56"/>
      <c r="AB141" s="56"/>
      <c r="AC141" s="56"/>
      <c r="AD141" s="56"/>
    </row>
    <row r="142" hidden="1">
      <c r="A142" s="106"/>
      <c r="B142" s="15">
        <v>46205.0</v>
      </c>
      <c r="C142" s="41" t="s">
        <v>75</v>
      </c>
      <c r="D142" s="118" t="str">
        <f t="shared" si="4"/>
        <v>QLTNXLHDVM_05</v>
      </c>
      <c r="E142" s="118"/>
      <c r="F142" s="118"/>
      <c r="G142" s="78" t="s">
        <v>2534</v>
      </c>
      <c r="H142" s="78" t="s">
        <v>2535</v>
      </c>
      <c r="I142" s="78"/>
      <c r="J142" s="78" t="s">
        <v>2536</v>
      </c>
      <c r="K142" s="78" t="s">
        <v>2537</v>
      </c>
      <c r="L142" s="78" t="s">
        <v>2537</v>
      </c>
      <c r="M142" s="33" t="s">
        <v>2538</v>
      </c>
      <c r="N142" s="41" t="s">
        <v>54</v>
      </c>
      <c r="O142" s="34"/>
      <c r="P142" s="34"/>
      <c r="Q142" s="34"/>
      <c r="R142" s="34"/>
      <c r="S142" s="34"/>
      <c r="T142" s="34"/>
      <c r="U142" s="34"/>
      <c r="V142" s="34"/>
      <c r="W142" s="34"/>
      <c r="X142" s="34"/>
      <c r="Y142" s="56"/>
      <c r="Z142" s="56"/>
      <c r="AA142" s="56"/>
      <c r="AB142" s="56"/>
      <c r="AC142" s="56"/>
      <c r="AD142" s="56"/>
    </row>
    <row r="143" hidden="1">
      <c r="A143" s="110"/>
      <c r="B143" s="49">
        <v>46205.0</v>
      </c>
      <c r="C143" s="60" t="s">
        <v>75</v>
      </c>
      <c r="D143" s="119" t="str">
        <f t="shared" si="4"/>
        <v>QLTNXLHDVM_06</v>
      </c>
      <c r="E143" s="119"/>
      <c r="F143" s="119"/>
      <c r="G143" s="63" t="s">
        <v>2545</v>
      </c>
      <c r="H143" s="63" t="s">
        <v>2547</v>
      </c>
      <c r="I143" s="63"/>
      <c r="J143" s="63" t="s">
        <v>2548</v>
      </c>
      <c r="K143" s="63" t="s">
        <v>2549</v>
      </c>
      <c r="L143" s="61" t="s">
        <v>2550</v>
      </c>
      <c r="M143" s="145" t="s">
        <v>2551</v>
      </c>
      <c r="N143" s="60" t="s">
        <v>52</v>
      </c>
      <c r="O143" s="61"/>
      <c r="P143" s="90" t="s">
        <v>53</v>
      </c>
      <c r="Q143" s="92" t="s">
        <v>54</v>
      </c>
      <c r="R143" s="90" t="s">
        <v>2552</v>
      </c>
      <c r="S143" s="61"/>
      <c r="T143" s="61"/>
      <c r="U143" s="61"/>
      <c r="V143" s="61"/>
      <c r="W143" s="61"/>
      <c r="X143" s="61"/>
      <c r="Y143" s="56"/>
      <c r="Z143" s="56"/>
      <c r="AA143" s="56"/>
      <c r="AB143" s="56"/>
      <c r="AC143" s="56"/>
      <c r="AD143" s="56"/>
    </row>
    <row r="144" hidden="1">
      <c r="A144" s="106"/>
      <c r="B144" s="15">
        <v>46205.0</v>
      </c>
      <c r="C144" s="41" t="s">
        <v>75</v>
      </c>
      <c r="D144" s="118" t="str">
        <f t="shared" si="4"/>
        <v>QLTNXLHDVM_07</v>
      </c>
      <c r="E144" s="118"/>
      <c r="F144" s="118"/>
      <c r="G144" s="78" t="s">
        <v>2555</v>
      </c>
      <c r="H144" s="78" t="s">
        <v>2556</v>
      </c>
      <c r="I144" s="78"/>
      <c r="J144" s="78" t="s">
        <v>2558</v>
      </c>
      <c r="K144" s="78" t="s">
        <v>2560</v>
      </c>
      <c r="L144" s="78" t="s">
        <v>2560</v>
      </c>
      <c r="M144" s="33" t="s">
        <v>2562</v>
      </c>
      <c r="N144" s="41" t="s">
        <v>54</v>
      </c>
      <c r="O144" s="34"/>
      <c r="P144" s="34"/>
      <c r="Q144" s="34"/>
      <c r="R144" s="34"/>
      <c r="S144" s="34"/>
      <c r="T144" s="34"/>
      <c r="U144" s="34"/>
      <c r="V144" s="34"/>
      <c r="W144" s="34"/>
      <c r="X144" s="34"/>
      <c r="Y144" s="56"/>
      <c r="Z144" s="56"/>
      <c r="AA144" s="56"/>
      <c r="AB144" s="56"/>
      <c r="AC144" s="56"/>
      <c r="AD144" s="56"/>
    </row>
    <row r="145" hidden="1">
      <c r="A145" s="110"/>
      <c r="B145" s="49">
        <v>46205.0</v>
      </c>
      <c r="C145" s="60" t="s">
        <v>75</v>
      </c>
      <c r="D145" s="119" t="str">
        <f t="shared" si="4"/>
        <v>QLTNXLHDVM_08</v>
      </c>
      <c r="E145" s="119"/>
      <c r="F145" s="119"/>
      <c r="G145" s="63" t="s">
        <v>2564</v>
      </c>
      <c r="H145" s="63" t="s">
        <v>2565</v>
      </c>
      <c r="I145" s="63"/>
      <c r="J145" s="63" t="s">
        <v>2566</v>
      </c>
      <c r="K145" s="63" t="s">
        <v>2567</v>
      </c>
      <c r="L145" s="63" t="s">
        <v>2567</v>
      </c>
      <c r="M145" s="145" t="s">
        <v>2568</v>
      </c>
      <c r="N145" s="60" t="s">
        <v>54</v>
      </c>
      <c r="O145" s="61"/>
      <c r="P145" s="61"/>
      <c r="Q145" s="61"/>
      <c r="R145" s="61"/>
      <c r="S145" s="61"/>
      <c r="T145" s="61"/>
      <c r="U145" s="61"/>
      <c r="V145" s="61"/>
      <c r="W145" s="61"/>
      <c r="X145" s="61"/>
      <c r="Y145" s="56"/>
      <c r="Z145" s="56"/>
      <c r="AA145" s="56"/>
      <c r="AB145" s="56"/>
      <c r="AC145" s="56"/>
      <c r="AD145" s="56"/>
    </row>
    <row r="146" hidden="1">
      <c r="A146" s="106"/>
      <c r="B146" s="15">
        <v>46205.0</v>
      </c>
      <c r="C146" s="41" t="s">
        <v>75</v>
      </c>
      <c r="D146" s="118" t="str">
        <f t="shared" si="4"/>
        <v>QLTNXLHDVM_09</v>
      </c>
      <c r="E146" s="118"/>
      <c r="F146" s="118"/>
      <c r="G146" s="78" t="s">
        <v>2575</v>
      </c>
      <c r="H146" s="78" t="s">
        <v>2577</v>
      </c>
      <c r="I146" s="78"/>
      <c r="J146" s="78" t="s">
        <v>2578</v>
      </c>
      <c r="K146" s="78" t="s">
        <v>2579</v>
      </c>
      <c r="L146" s="78" t="s">
        <v>2579</v>
      </c>
      <c r="M146" s="33" t="s">
        <v>2580</v>
      </c>
      <c r="N146" s="41" t="s">
        <v>54</v>
      </c>
      <c r="O146" s="34"/>
      <c r="P146" s="34"/>
      <c r="Q146" s="34"/>
      <c r="R146" s="34"/>
      <c r="S146" s="34"/>
      <c r="T146" s="34"/>
      <c r="U146" s="34"/>
      <c r="V146" s="34"/>
      <c r="W146" s="34"/>
      <c r="X146" s="34"/>
      <c r="Y146" s="56"/>
      <c r="Z146" s="56"/>
      <c r="AA146" s="56"/>
      <c r="AB146" s="56"/>
      <c r="AC146" s="56"/>
      <c r="AD146" s="56"/>
    </row>
    <row r="147" hidden="1">
      <c r="A147" s="110"/>
      <c r="B147" s="60">
        <v>14.0</v>
      </c>
      <c r="C147" s="60"/>
      <c r="D147" s="119"/>
      <c r="E147" s="119" t="s">
        <v>2587</v>
      </c>
      <c r="F147" s="119" t="s">
        <v>78</v>
      </c>
      <c r="G147" s="119" t="s">
        <v>2588</v>
      </c>
      <c r="H147" s="119"/>
      <c r="I147" s="60"/>
      <c r="J147" s="61"/>
      <c r="K147" s="61"/>
      <c r="L147" s="61"/>
      <c r="M147" s="61"/>
      <c r="N147" s="60"/>
      <c r="O147" s="61"/>
      <c r="P147" s="61"/>
      <c r="Q147" s="61"/>
      <c r="R147" s="61"/>
      <c r="S147" s="61"/>
      <c r="T147" s="61"/>
      <c r="U147" s="61"/>
      <c r="V147" s="61"/>
      <c r="W147" s="61"/>
      <c r="X147" s="61"/>
      <c r="Y147" s="56"/>
      <c r="Z147" s="56"/>
      <c r="AA147" s="56"/>
      <c r="AB147" s="56"/>
      <c r="AC147" s="56"/>
      <c r="AD147" s="56"/>
    </row>
    <row r="148" hidden="1">
      <c r="A148" s="106"/>
      <c r="B148" s="15">
        <v>46205.0</v>
      </c>
      <c r="C148" s="41" t="s">
        <v>75</v>
      </c>
      <c r="D148" s="118" t="str">
        <f t="shared" ref="D148:D159" si="5">IF(G148&lt;&gt;"","TKHDVMPLDTNXL_"&amp;TEXT(COUNTIF($G$148:G148,"&lt;&gt;"),"00"),"")</f>
        <v>TKHDVMPLDTNXL_01</v>
      </c>
      <c r="E148" s="118"/>
      <c r="F148" s="118"/>
      <c r="G148" s="78" t="s">
        <v>2270</v>
      </c>
      <c r="H148" s="78" t="s">
        <v>2271</v>
      </c>
      <c r="I148" s="78" t="s">
        <v>2272</v>
      </c>
      <c r="J148" s="78" t="s">
        <v>2273</v>
      </c>
      <c r="K148" s="78" t="s">
        <v>2274</v>
      </c>
      <c r="L148" s="78" t="s">
        <v>2274</v>
      </c>
      <c r="M148" s="33" t="s">
        <v>2596</v>
      </c>
      <c r="N148" s="41" t="s">
        <v>54</v>
      </c>
      <c r="O148" s="34"/>
      <c r="P148" s="34"/>
      <c r="Q148" s="34"/>
      <c r="R148" s="34"/>
      <c r="S148" s="34"/>
      <c r="T148" s="34"/>
      <c r="U148" s="34"/>
      <c r="V148" s="34"/>
      <c r="W148" s="34"/>
      <c r="X148" s="34"/>
      <c r="Y148" s="56"/>
      <c r="Z148" s="56"/>
      <c r="AA148" s="56"/>
      <c r="AB148" s="56"/>
      <c r="AC148" s="56"/>
      <c r="AD148" s="56"/>
    </row>
    <row r="149" hidden="1">
      <c r="A149" s="110"/>
      <c r="B149" s="49">
        <v>46205.0</v>
      </c>
      <c r="C149" s="60" t="s">
        <v>75</v>
      </c>
      <c r="D149" s="119" t="str">
        <f t="shared" si="5"/>
        <v>TKHDVMPLDTNXL_02</v>
      </c>
      <c r="E149" s="119"/>
      <c r="F149" s="119"/>
      <c r="G149" s="63" t="s">
        <v>2287</v>
      </c>
      <c r="H149" s="63" t="s">
        <v>2288</v>
      </c>
      <c r="I149" s="63" t="s">
        <v>2289</v>
      </c>
      <c r="J149" s="63" t="s">
        <v>2290</v>
      </c>
      <c r="K149" s="63" t="s">
        <v>2291</v>
      </c>
      <c r="L149" s="63" t="s">
        <v>2291</v>
      </c>
      <c r="M149" s="145" t="s">
        <v>2604</v>
      </c>
      <c r="N149" s="60" t="s">
        <v>54</v>
      </c>
      <c r="O149" s="61"/>
      <c r="P149" s="61"/>
      <c r="Q149" s="61"/>
      <c r="R149" s="61"/>
      <c r="S149" s="61"/>
      <c r="T149" s="61"/>
      <c r="U149" s="61"/>
      <c r="V149" s="61"/>
      <c r="W149" s="61"/>
      <c r="X149" s="61"/>
      <c r="Y149" s="56"/>
      <c r="Z149" s="56"/>
      <c r="AA149" s="56"/>
      <c r="AB149" s="56"/>
      <c r="AC149" s="56"/>
      <c r="AD149" s="56"/>
    </row>
    <row r="150" hidden="1">
      <c r="A150" s="106"/>
      <c r="B150" s="15">
        <v>46205.0</v>
      </c>
      <c r="C150" s="41" t="s">
        <v>75</v>
      </c>
      <c r="D150" s="118" t="str">
        <f t="shared" si="5"/>
        <v>TKHDVMPLDTNXL_03</v>
      </c>
      <c r="E150" s="118"/>
      <c r="F150" s="118"/>
      <c r="G150" s="78" t="s">
        <v>2297</v>
      </c>
      <c r="H150" s="78" t="s">
        <v>2298</v>
      </c>
      <c r="I150" s="78" t="s">
        <v>2299</v>
      </c>
      <c r="J150" s="78" t="s">
        <v>2300</v>
      </c>
      <c r="K150" s="78" t="s">
        <v>2301</v>
      </c>
      <c r="L150" s="78" t="s">
        <v>2301</v>
      </c>
      <c r="M150" s="33" t="s">
        <v>2609</v>
      </c>
      <c r="N150" s="41" t="s">
        <v>54</v>
      </c>
      <c r="O150" s="34"/>
      <c r="P150" s="34"/>
      <c r="Q150" s="34"/>
      <c r="R150" s="34"/>
      <c r="S150" s="34"/>
      <c r="T150" s="34"/>
      <c r="U150" s="34"/>
      <c r="V150" s="34"/>
      <c r="W150" s="34"/>
      <c r="X150" s="34"/>
      <c r="Y150" s="56"/>
      <c r="Z150" s="56"/>
      <c r="AA150" s="56"/>
      <c r="AB150" s="56"/>
      <c r="AC150" s="56"/>
      <c r="AD150" s="56"/>
    </row>
    <row r="151" hidden="1">
      <c r="A151" s="110"/>
      <c r="B151" s="49">
        <v>46205.0</v>
      </c>
      <c r="C151" s="60" t="s">
        <v>75</v>
      </c>
      <c r="D151" s="119" t="str">
        <f t="shared" si="5"/>
        <v>TKHDVMPLDTNXL_04</v>
      </c>
      <c r="E151" s="119"/>
      <c r="F151" s="119"/>
      <c r="G151" s="63" t="s">
        <v>2306</v>
      </c>
      <c r="H151" s="63" t="s">
        <v>2307</v>
      </c>
      <c r="I151" s="63" t="s">
        <v>2308</v>
      </c>
      <c r="J151" s="63" t="s">
        <v>2309</v>
      </c>
      <c r="K151" s="63" t="s">
        <v>2310</v>
      </c>
      <c r="L151" s="63" t="s">
        <v>2310</v>
      </c>
      <c r="M151" s="145" t="s">
        <v>2616</v>
      </c>
      <c r="N151" s="92" t="s">
        <v>54</v>
      </c>
      <c r="O151" s="61"/>
      <c r="P151" s="90" t="s">
        <v>53</v>
      </c>
      <c r="Q151" s="92" t="s">
        <v>54</v>
      </c>
      <c r="R151" s="61"/>
      <c r="S151" s="61"/>
      <c r="T151" s="61"/>
      <c r="U151" s="61"/>
      <c r="V151" s="61"/>
      <c r="W151" s="61"/>
      <c r="X151" s="61"/>
      <c r="Y151" s="56"/>
      <c r="Z151" s="56"/>
      <c r="AA151" s="56"/>
      <c r="AB151" s="56"/>
      <c r="AC151" s="56"/>
      <c r="AD151" s="56"/>
    </row>
    <row r="152" hidden="1">
      <c r="A152" s="106"/>
      <c r="B152" s="15">
        <v>46205.0</v>
      </c>
      <c r="C152" s="41" t="s">
        <v>75</v>
      </c>
      <c r="D152" s="118" t="str">
        <f t="shared" si="5"/>
        <v>TKHDVMPLDTNXL_05</v>
      </c>
      <c r="E152" s="118"/>
      <c r="F152" s="118"/>
      <c r="G152" s="78" t="s">
        <v>2316</v>
      </c>
      <c r="H152" s="78" t="s">
        <v>2317</v>
      </c>
      <c r="I152" s="78" t="s">
        <v>2318</v>
      </c>
      <c r="J152" s="78" t="s">
        <v>2319</v>
      </c>
      <c r="K152" s="78" t="s">
        <v>2320</v>
      </c>
      <c r="L152" s="78" t="s">
        <v>2320</v>
      </c>
      <c r="M152" s="33" t="s">
        <v>2634</v>
      </c>
      <c r="N152" s="41" t="s">
        <v>54</v>
      </c>
      <c r="O152" s="34"/>
      <c r="P152" s="34"/>
      <c r="Q152" s="34"/>
      <c r="R152" s="34"/>
      <c r="S152" s="34"/>
      <c r="T152" s="34"/>
      <c r="U152" s="34"/>
      <c r="V152" s="34"/>
      <c r="W152" s="34"/>
      <c r="X152" s="34"/>
      <c r="Y152" s="56"/>
      <c r="Z152" s="56"/>
      <c r="AA152" s="56"/>
      <c r="AB152" s="56"/>
      <c r="AC152" s="56"/>
      <c r="AD152" s="56"/>
    </row>
    <row r="153" hidden="1">
      <c r="A153" s="110"/>
      <c r="B153" s="49">
        <v>46205.0</v>
      </c>
      <c r="C153" s="60" t="s">
        <v>75</v>
      </c>
      <c r="D153" s="119" t="str">
        <f t="shared" si="5"/>
        <v>TKHDVMPLDTNXL_06</v>
      </c>
      <c r="E153" s="119"/>
      <c r="F153" s="119"/>
      <c r="G153" s="63" t="s">
        <v>2325</v>
      </c>
      <c r="H153" s="63" t="s">
        <v>2326</v>
      </c>
      <c r="I153" s="63" t="s">
        <v>2327</v>
      </c>
      <c r="J153" s="63" t="s">
        <v>2328</v>
      </c>
      <c r="K153" s="63" t="s">
        <v>2329</v>
      </c>
      <c r="L153" s="61" t="s">
        <v>2649</v>
      </c>
      <c r="M153" s="145" t="s">
        <v>2650</v>
      </c>
      <c r="N153" s="60" t="s">
        <v>52</v>
      </c>
      <c r="O153" s="61"/>
      <c r="P153" s="90" t="s">
        <v>53</v>
      </c>
      <c r="Q153" s="92" t="s">
        <v>54</v>
      </c>
      <c r="R153" s="61"/>
      <c r="S153" s="61"/>
      <c r="T153" s="61"/>
      <c r="U153" s="61"/>
      <c r="V153" s="61"/>
      <c r="W153" s="61"/>
      <c r="X153" s="61"/>
      <c r="Y153" s="56"/>
      <c r="Z153" s="56"/>
      <c r="AA153" s="56"/>
      <c r="AB153" s="56"/>
      <c r="AC153" s="56"/>
      <c r="AD153" s="56"/>
    </row>
    <row r="154" hidden="1">
      <c r="A154" s="106"/>
      <c r="B154" s="15">
        <v>46205.0</v>
      </c>
      <c r="C154" s="41" t="s">
        <v>75</v>
      </c>
      <c r="D154" s="118" t="str">
        <f t="shared" si="5"/>
        <v>TKHDVMPLDTNXL_07</v>
      </c>
      <c r="E154" s="118"/>
      <c r="F154" s="118"/>
      <c r="G154" s="78" t="s">
        <v>2350</v>
      </c>
      <c r="H154" s="78" t="s">
        <v>2351</v>
      </c>
      <c r="I154" s="78" t="s">
        <v>2353</v>
      </c>
      <c r="J154" s="78" t="s">
        <v>2354</v>
      </c>
      <c r="K154" s="78" t="s">
        <v>2355</v>
      </c>
      <c r="L154" s="78" t="s">
        <v>2355</v>
      </c>
      <c r="M154" s="33" t="s">
        <v>2666</v>
      </c>
      <c r="N154" s="41" t="s">
        <v>54</v>
      </c>
      <c r="O154" s="34"/>
      <c r="P154" s="34"/>
      <c r="Q154" s="34"/>
      <c r="R154" s="34"/>
      <c r="S154" s="34"/>
      <c r="T154" s="34"/>
      <c r="U154" s="34"/>
      <c r="V154" s="34"/>
      <c r="W154" s="34"/>
      <c r="X154" s="34"/>
      <c r="Y154" s="56"/>
      <c r="Z154" s="56"/>
      <c r="AA154" s="56"/>
      <c r="AB154" s="56"/>
      <c r="AC154" s="56"/>
      <c r="AD154" s="56"/>
    </row>
    <row r="155" hidden="1">
      <c r="A155" s="110"/>
      <c r="B155" s="49">
        <v>46205.0</v>
      </c>
      <c r="C155" s="60" t="s">
        <v>75</v>
      </c>
      <c r="D155" s="119" t="str">
        <f t="shared" si="5"/>
        <v>TKHDVMPLDTNXL_08</v>
      </c>
      <c r="E155" s="119"/>
      <c r="F155" s="119"/>
      <c r="G155" s="63" t="s">
        <v>2360</v>
      </c>
      <c r="H155" s="63" t="s">
        <v>2361</v>
      </c>
      <c r="I155" s="63" t="s">
        <v>2362</v>
      </c>
      <c r="J155" s="63" t="s">
        <v>2363</v>
      </c>
      <c r="K155" s="63" t="s">
        <v>2364</v>
      </c>
      <c r="L155" s="63" t="s">
        <v>2364</v>
      </c>
      <c r="M155" s="145" t="s">
        <v>2678</v>
      </c>
      <c r="N155" s="60" t="s">
        <v>54</v>
      </c>
      <c r="O155" s="61"/>
      <c r="P155" s="61"/>
      <c r="Q155" s="61"/>
      <c r="R155" s="61"/>
      <c r="S155" s="61"/>
      <c r="T155" s="61"/>
      <c r="U155" s="61"/>
      <c r="V155" s="61"/>
      <c r="W155" s="61"/>
      <c r="X155" s="61"/>
      <c r="Y155" s="56"/>
      <c r="Z155" s="56"/>
      <c r="AA155" s="56"/>
      <c r="AB155" s="56"/>
      <c r="AC155" s="56"/>
      <c r="AD155" s="56"/>
    </row>
    <row r="156" hidden="1">
      <c r="A156" s="106"/>
      <c r="B156" s="15">
        <v>46205.0</v>
      </c>
      <c r="C156" s="41" t="s">
        <v>75</v>
      </c>
      <c r="D156" s="118" t="str">
        <f t="shared" si="5"/>
        <v>TKHDVMPLDTNXL_09</v>
      </c>
      <c r="E156" s="118"/>
      <c r="F156" s="118"/>
      <c r="G156" s="78" t="s">
        <v>2369</v>
      </c>
      <c r="H156" s="78" t="s">
        <v>2371</v>
      </c>
      <c r="I156" s="78" t="s">
        <v>2372</v>
      </c>
      <c r="J156" s="78" t="s">
        <v>2373</v>
      </c>
      <c r="K156" s="78" t="s">
        <v>2374</v>
      </c>
      <c r="L156" s="78" t="s">
        <v>2374</v>
      </c>
      <c r="M156" s="33" t="s">
        <v>2697</v>
      </c>
      <c r="N156" s="41" t="s">
        <v>54</v>
      </c>
      <c r="O156" s="34"/>
      <c r="P156" s="34"/>
      <c r="Q156" s="34"/>
      <c r="R156" s="34"/>
      <c r="S156" s="34"/>
      <c r="T156" s="34"/>
      <c r="U156" s="34"/>
      <c r="V156" s="34"/>
      <c r="W156" s="34"/>
      <c r="X156" s="34"/>
      <c r="Y156" s="56"/>
      <c r="Z156" s="56"/>
      <c r="AA156" s="56"/>
      <c r="AB156" s="56"/>
      <c r="AC156" s="56"/>
      <c r="AD156" s="56"/>
    </row>
    <row r="157" hidden="1">
      <c r="A157" s="110"/>
      <c r="B157" s="49">
        <v>46205.0</v>
      </c>
      <c r="C157" s="60" t="s">
        <v>75</v>
      </c>
      <c r="D157" s="119" t="str">
        <f t="shared" si="5"/>
        <v>TKHDVMPLDTNXL_10</v>
      </c>
      <c r="E157" s="119"/>
      <c r="F157" s="119"/>
      <c r="G157" s="63" t="s">
        <v>2340</v>
      </c>
      <c r="H157" s="63" t="s">
        <v>2307</v>
      </c>
      <c r="I157" s="63" t="s">
        <v>2341</v>
      </c>
      <c r="J157" s="63" t="s">
        <v>2342</v>
      </c>
      <c r="K157" s="63" t="s">
        <v>2343</v>
      </c>
      <c r="L157" s="63" t="s">
        <v>2343</v>
      </c>
      <c r="M157" s="145" t="s">
        <v>2710</v>
      </c>
      <c r="N157" s="60" t="s">
        <v>54</v>
      </c>
      <c r="O157" s="61"/>
      <c r="P157" s="61"/>
      <c r="Q157" s="61"/>
      <c r="R157" s="61"/>
      <c r="S157" s="61"/>
      <c r="T157" s="61"/>
      <c r="U157" s="61"/>
      <c r="V157" s="61"/>
      <c r="W157" s="61"/>
      <c r="X157" s="61"/>
      <c r="Y157" s="56"/>
      <c r="Z157" s="56"/>
      <c r="AA157" s="56"/>
      <c r="AB157" s="56"/>
      <c r="AC157" s="56"/>
      <c r="AD157" s="56"/>
    </row>
    <row r="158" hidden="1">
      <c r="A158" s="106"/>
      <c r="B158" s="15">
        <v>46205.0</v>
      </c>
      <c r="C158" s="41" t="s">
        <v>75</v>
      </c>
      <c r="D158" s="118" t="str">
        <f t="shared" si="5"/>
        <v>TKHDVMPLDTNXL_11</v>
      </c>
      <c r="E158" s="118"/>
      <c r="F158" s="118"/>
      <c r="G158" s="78" t="s">
        <v>2380</v>
      </c>
      <c r="H158" s="78" t="s">
        <v>2382</v>
      </c>
      <c r="I158" s="78" t="s">
        <v>2383</v>
      </c>
      <c r="J158" s="78" t="s">
        <v>2385</v>
      </c>
      <c r="K158" s="78" t="s">
        <v>2386</v>
      </c>
      <c r="L158" s="78" t="s">
        <v>2386</v>
      </c>
      <c r="M158" s="33" t="s">
        <v>2727</v>
      </c>
      <c r="N158" s="41" t="s">
        <v>54</v>
      </c>
      <c r="O158" s="34"/>
      <c r="P158" s="34"/>
      <c r="Q158" s="34"/>
      <c r="R158" s="34"/>
      <c r="S158" s="34"/>
      <c r="T158" s="34"/>
      <c r="U158" s="34"/>
      <c r="V158" s="34"/>
      <c r="W158" s="34"/>
      <c r="X158" s="34"/>
      <c r="Y158" s="56"/>
      <c r="Z158" s="56"/>
      <c r="AA158" s="56"/>
      <c r="AB158" s="56"/>
      <c r="AC158" s="56"/>
      <c r="AD158" s="56"/>
    </row>
    <row r="159" hidden="1">
      <c r="A159" s="110"/>
      <c r="B159" s="49">
        <v>46205.0</v>
      </c>
      <c r="C159" s="60" t="s">
        <v>75</v>
      </c>
      <c r="D159" s="119" t="str">
        <f t="shared" si="5"/>
        <v>TKHDVMPLDTNXL_12</v>
      </c>
      <c r="E159" s="119"/>
      <c r="F159" s="119"/>
      <c r="G159" s="63" t="s">
        <v>2395</v>
      </c>
      <c r="H159" s="63" t="s">
        <v>2396</v>
      </c>
      <c r="I159" s="63" t="s">
        <v>2398</v>
      </c>
      <c r="J159" s="63" t="s">
        <v>2399</v>
      </c>
      <c r="K159" s="63" t="s">
        <v>2400</v>
      </c>
      <c r="L159" s="63" t="s">
        <v>2400</v>
      </c>
      <c r="M159" s="145" t="s">
        <v>2735</v>
      </c>
      <c r="N159" s="60" t="s">
        <v>54</v>
      </c>
      <c r="O159" s="61"/>
      <c r="P159" s="61"/>
      <c r="Q159" s="61"/>
      <c r="R159" s="61"/>
      <c r="S159" s="61"/>
      <c r="T159" s="61"/>
      <c r="U159" s="61"/>
      <c r="V159" s="61"/>
      <c r="W159" s="61"/>
      <c r="X159" s="61"/>
      <c r="Y159" s="56"/>
      <c r="Z159" s="56"/>
      <c r="AA159" s="56"/>
      <c r="AB159" s="56"/>
      <c r="AC159" s="56"/>
      <c r="AD159" s="56"/>
    </row>
    <row r="160" hidden="1">
      <c r="A160" s="106"/>
      <c r="B160" s="41">
        <v>15.0</v>
      </c>
      <c r="C160" s="41" t="s">
        <v>75</v>
      </c>
      <c r="D160" s="118"/>
      <c r="E160" s="118" t="s">
        <v>2742</v>
      </c>
      <c r="F160" s="118" t="s">
        <v>722</v>
      </c>
      <c r="G160" s="118" t="s">
        <v>2744</v>
      </c>
      <c r="H160" s="170"/>
      <c r="I160" s="41"/>
      <c r="J160" s="34"/>
      <c r="K160" s="34"/>
      <c r="L160" s="34"/>
      <c r="M160" s="34"/>
      <c r="N160" s="41"/>
      <c r="O160" s="34"/>
      <c r="P160" s="34"/>
      <c r="Q160" s="34"/>
      <c r="R160" s="34"/>
      <c r="S160" s="34"/>
      <c r="T160" s="34"/>
      <c r="U160" s="34"/>
      <c r="V160" s="34"/>
      <c r="W160" s="34"/>
      <c r="X160" s="34"/>
      <c r="Y160" s="56"/>
      <c r="Z160" s="56"/>
      <c r="AA160" s="56"/>
      <c r="AB160" s="56"/>
      <c r="AC160" s="56"/>
      <c r="AD160" s="56"/>
    </row>
    <row r="161" hidden="1">
      <c r="A161" s="110"/>
      <c r="B161" s="49">
        <v>46205.0</v>
      </c>
      <c r="C161" s="60" t="s">
        <v>75</v>
      </c>
      <c r="D161" s="119" t="str">
        <f t="shared" ref="D161:D168" si="6">IF(G161&lt;&gt;"","PCXLCHVM_"&amp;TEXT(COUNTIF($G$161:G161,"&lt;&gt;"),"00"),"")</f>
        <v>PCXLCHVM_01</v>
      </c>
      <c r="E161" s="119"/>
      <c r="F161" s="119"/>
      <c r="G161" s="63" t="s">
        <v>2752</v>
      </c>
      <c r="H161" s="63" t="s">
        <v>2753</v>
      </c>
      <c r="I161" s="63"/>
      <c r="J161" s="63" t="s">
        <v>2755</v>
      </c>
      <c r="K161" s="63" t="s">
        <v>2756</v>
      </c>
      <c r="L161" s="63" t="s">
        <v>2757</v>
      </c>
      <c r="M161" s="171" t="s">
        <v>2759</v>
      </c>
      <c r="N161" s="60" t="s">
        <v>52</v>
      </c>
      <c r="O161" s="61"/>
      <c r="P161" s="90" t="s">
        <v>53</v>
      </c>
      <c r="Q161" s="92" t="s">
        <v>54</v>
      </c>
      <c r="R161" s="61"/>
      <c r="S161" s="61"/>
      <c r="T161" s="61"/>
      <c r="U161" s="61"/>
      <c r="V161" s="61"/>
      <c r="W161" s="61"/>
      <c r="X161" s="61"/>
      <c r="Y161" s="56"/>
      <c r="Z161" s="56"/>
      <c r="AA161" s="56"/>
      <c r="AB161" s="56"/>
      <c r="AC161" s="56"/>
      <c r="AD161" s="56"/>
    </row>
    <row r="162" hidden="1">
      <c r="A162" s="106"/>
      <c r="B162" s="15">
        <v>46205.0</v>
      </c>
      <c r="C162" s="41" t="s">
        <v>75</v>
      </c>
      <c r="D162" s="118" t="str">
        <f t="shared" si="6"/>
        <v>PCXLCHVM_02</v>
      </c>
      <c r="E162" s="118"/>
      <c r="F162" s="118"/>
      <c r="G162" s="78" t="s">
        <v>2771</v>
      </c>
      <c r="H162" s="78" t="s">
        <v>2772</v>
      </c>
      <c r="I162" s="78"/>
      <c r="J162" s="78" t="s">
        <v>2773</v>
      </c>
      <c r="K162" s="78" t="s">
        <v>2775</v>
      </c>
      <c r="L162" s="78" t="s">
        <v>2775</v>
      </c>
      <c r="M162" s="33" t="s">
        <v>2777</v>
      </c>
      <c r="N162" s="41" t="s">
        <v>54</v>
      </c>
      <c r="O162" s="34"/>
      <c r="P162" s="34"/>
      <c r="Q162" s="34"/>
      <c r="R162" s="34"/>
      <c r="S162" s="34"/>
      <c r="T162" s="34"/>
      <c r="U162" s="34"/>
      <c r="V162" s="34"/>
      <c r="W162" s="34"/>
      <c r="X162" s="34"/>
      <c r="Y162" s="56"/>
      <c r="Z162" s="56"/>
      <c r="AA162" s="56"/>
      <c r="AB162" s="56"/>
      <c r="AC162" s="56"/>
      <c r="AD162" s="56"/>
    </row>
    <row r="163" hidden="1">
      <c r="A163" s="110"/>
      <c r="B163" s="49">
        <v>46205.0</v>
      </c>
      <c r="C163" s="60" t="s">
        <v>75</v>
      </c>
      <c r="D163" s="119" t="str">
        <f t="shared" si="6"/>
        <v>PCXLCHVM_03</v>
      </c>
      <c r="E163" s="119"/>
      <c r="F163" s="119"/>
      <c r="G163" s="63" t="s">
        <v>2782</v>
      </c>
      <c r="H163" s="63" t="s">
        <v>2783</v>
      </c>
      <c r="I163" s="63"/>
      <c r="J163" s="63" t="s">
        <v>2785</v>
      </c>
      <c r="K163" s="63" t="s">
        <v>2786</v>
      </c>
      <c r="L163" s="63" t="s">
        <v>2786</v>
      </c>
      <c r="M163" s="145" t="s">
        <v>2787</v>
      </c>
      <c r="N163" s="60" t="s">
        <v>54</v>
      </c>
      <c r="O163" s="61"/>
      <c r="P163" s="61"/>
      <c r="Q163" s="61"/>
      <c r="R163" s="61"/>
      <c r="S163" s="61"/>
      <c r="T163" s="61"/>
      <c r="U163" s="61"/>
      <c r="V163" s="61"/>
      <c r="W163" s="61"/>
      <c r="X163" s="61"/>
      <c r="Y163" s="56"/>
      <c r="Z163" s="56"/>
      <c r="AA163" s="56"/>
      <c r="AB163" s="56"/>
      <c r="AC163" s="56"/>
      <c r="AD163" s="56"/>
    </row>
    <row r="164" hidden="1">
      <c r="A164" s="106"/>
      <c r="B164" s="15">
        <v>46205.0</v>
      </c>
      <c r="C164" s="41" t="s">
        <v>75</v>
      </c>
      <c r="D164" s="118" t="str">
        <f t="shared" si="6"/>
        <v>PCXLCHVM_04</v>
      </c>
      <c r="E164" s="118"/>
      <c r="F164" s="118"/>
      <c r="G164" s="78" t="s">
        <v>2793</v>
      </c>
      <c r="H164" s="78" t="s">
        <v>2794</v>
      </c>
      <c r="I164" s="78"/>
      <c r="J164" s="78" t="s">
        <v>2795</v>
      </c>
      <c r="K164" s="78" t="s">
        <v>2796</v>
      </c>
      <c r="L164" s="78" t="s">
        <v>2796</v>
      </c>
      <c r="M164" s="33" t="s">
        <v>2797</v>
      </c>
      <c r="N164" s="41" t="s">
        <v>54</v>
      </c>
      <c r="O164" s="34"/>
      <c r="P164" s="34"/>
      <c r="Q164" s="34"/>
      <c r="R164" s="34"/>
      <c r="S164" s="34"/>
      <c r="T164" s="34"/>
      <c r="U164" s="34"/>
      <c r="V164" s="34"/>
      <c r="W164" s="34"/>
      <c r="X164" s="34"/>
      <c r="Y164" s="56"/>
      <c r="Z164" s="56"/>
      <c r="AA164" s="56"/>
      <c r="AB164" s="56"/>
      <c r="AC164" s="56"/>
      <c r="AD164" s="56"/>
    </row>
    <row r="165" hidden="1">
      <c r="A165" s="110"/>
      <c r="B165" s="49">
        <v>46205.0</v>
      </c>
      <c r="C165" s="60" t="s">
        <v>75</v>
      </c>
      <c r="D165" s="119" t="str">
        <f t="shared" si="6"/>
        <v>PCXLCHVM_05</v>
      </c>
      <c r="E165" s="119"/>
      <c r="F165" s="119"/>
      <c r="G165" s="63" t="s">
        <v>2804</v>
      </c>
      <c r="H165" s="63" t="s">
        <v>2805</v>
      </c>
      <c r="I165" s="63"/>
      <c r="J165" s="63" t="s">
        <v>2806</v>
      </c>
      <c r="K165" s="63" t="s">
        <v>2807</v>
      </c>
      <c r="L165" s="63" t="s">
        <v>2807</v>
      </c>
      <c r="M165" s="145" t="s">
        <v>2808</v>
      </c>
      <c r="N165" s="60" t="s">
        <v>54</v>
      </c>
      <c r="O165" s="61"/>
      <c r="P165" s="61"/>
      <c r="Q165" s="61"/>
      <c r="R165" s="61"/>
      <c r="S165" s="61"/>
      <c r="T165" s="61"/>
      <c r="U165" s="61"/>
      <c r="V165" s="61"/>
      <c r="W165" s="61"/>
      <c r="X165" s="61"/>
      <c r="Y165" s="56"/>
      <c r="Z165" s="56"/>
      <c r="AA165" s="56"/>
      <c r="AB165" s="56"/>
      <c r="AC165" s="56"/>
      <c r="AD165" s="56"/>
    </row>
    <row r="166" hidden="1">
      <c r="A166" s="106"/>
      <c r="B166" s="15">
        <v>46205.0</v>
      </c>
      <c r="C166" s="41" t="s">
        <v>75</v>
      </c>
      <c r="D166" s="118" t="str">
        <f t="shared" si="6"/>
        <v>PCXLCHVM_06</v>
      </c>
      <c r="E166" s="118"/>
      <c r="F166" s="118"/>
      <c r="G166" s="78" t="s">
        <v>2813</v>
      </c>
      <c r="H166" s="78" t="s">
        <v>2815</v>
      </c>
      <c r="I166" s="78"/>
      <c r="J166" s="78" t="s">
        <v>2816</v>
      </c>
      <c r="K166" s="78" t="s">
        <v>2817</v>
      </c>
      <c r="L166" s="78" t="s">
        <v>2817</v>
      </c>
      <c r="M166" s="33" t="s">
        <v>2818</v>
      </c>
      <c r="N166" s="41" t="s">
        <v>54</v>
      </c>
      <c r="O166" s="34"/>
      <c r="P166" s="34"/>
      <c r="Q166" s="34"/>
      <c r="R166" s="34"/>
      <c r="S166" s="34"/>
      <c r="T166" s="34"/>
      <c r="U166" s="34"/>
      <c r="V166" s="34"/>
      <c r="W166" s="34"/>
      <c r="X166" s="34"/>
      <c r="Y166" s="56"/>
      <c r="Z166" s="56"/>
      <c r="AA166" s="56"/>
      <c r="AB166" s="56"/>
      <c r="AC166" s="56"/>
      <c r="AD166" s="56"/>
    </row>
    <row r="167" hidden="1">
      <c r="A167" s="110"/>
      <c r="B167" s="49">
        <v>46205.0</v>
      </c>
      <c r="C167" s="60" t="s">
        <v>75</v>
      </c>
      <c r="D167" s="119" t="str">
        <f t="shared" si="6"/>
        <v>PCXLCHVM_07</v>
      </c>
      <c r="E167" s="119"/>
      <c r="F167" s="119"/>
      <c r="G167" s="63" t="s">
        <v>2822</v>
      </c>
      <c r="H167" s="63" t="s">
        <v>2823</v>
      </c>
      <c r="I167" s="63"/>
      <c r="J167" s="63" t="s">
        <v>2824</v>
      </c>
      <c r="K167" s="63" t="s">
        <v>2826</v>
      </c>
      <c r="L167" s="63" t="s">
        <v>2826</v>
      </c>
      <c r="M167" s="145" t="s">
        <v>2827</v>
      </c>
      <c r="N167" s="60" t="s">
        <v>54</v>
      </c>
      <c r="O167" s="61"/>
      <c r="P167" s="61"/>
      <c r="Q167" s="61"/>
      <c r="R167" s="61"/>
      <c r="S167" s="61"/>
      <c r="T167" s="61"/>
      <c r="U167" s="61"/>
      <c r="V167" s="61"/>
      <c r="W167" s="61"/>
      <c r="X167" s="61"/>
      <c r="Y167" s="56"/>
      <c r="Z167" s="56"/>
      <c r="AA167" s="56"/>
      <c r="AB167" s="56"/>
      <c r="AC167" s="56"/>
      <c r="AD167" s="56"/>
    </row>
    <row r="168" hidden="1">
      <c r="A168" s="106"/>
      <c r="B168" s="15">
        <v>46205.0</v>
      </c>
      <c r="C168" s="41" t="s">
        <v>75</v>
      </c>
      <c r="D168" s="118" t="str">
        <f t="shared" si="6"/>
        <v>PCXLCHVM_08</v>
      </c>
      <c r="E168" s="118"/>
      <c r="F168" s="118"/>
      <c r="G168" s="78" t="s">
        <v>2833</v>
      </c>
      <c r="H168" s="78" t="s">
        <v>2835</v>
      </c>
      <c r="I168" s="78"/>
      <c r="J168" s="78" t="s">
        <v>2837</v>
      </c>
      <c r="K168" s="78" t="s">
        <v>2838</v>
      </c>
      <c r="L168" s="78" t="s">
        <v>2838</v>
      </c>
      <c r="M168" s="33" t="s">
        <v>2839</v>
      </c>
      <c r="N168" s="41" t="s">
        <v>54</v>
      </c>
      <c r="O168" s="34"/>
      <c r="P168" s="34"/>
      <c r="Q168" s="34"/>
      <c r="R168" s="34"/>
      <c r="S168" s="34"/>
      <c r="T168" s="34"/>
      <c r="U168" s="34"/>
      <c r="V168" s="34"/>
      <c r="W168" s="34"/>
      <c r="X168" s="34"/>
      <c r="Y168" s="56"/>
      <c r="Z168" s="56"/>
      <c r="AA168" s="56"/>
      <c r="AB168" s="56"/>
      <c r="AC168" s="56"/>
      <c r="AD168" s="56"/>
    </row>
    <row r="169" hidden="1">
      <c r="A169" s="110"/>
      <c r="B169" s="60">
        <v>16.0</v>
      </c>
      <c r="C169" s="60"/>
      <c r="D169" s="119"/>
      <c r="E169" s="119" t="s">
        <v>2846</v>
      </c>
      <c r="F169" s="119" t="s">
        <v>722</v>
      </c>
      <c r="G169" s="119" t="s">
        <v>2848</v>
      </c>
      <c r="H169" s="172"/>
      <c r="I169" s="60"/>
      <c r="J169" s="61"/>
      <c r="K169" s="61"/>
      <c r="L169" s="61"/>
      <c r="M169" s="61"/>
      <c r="N169" s="60"/>
      <c r="O169" s="61"/>
      <c r="P169" s="61"/>
      <c r="Q169" s="61"/>
      <c r="R169" s="61"/>
      <c r="S169" s="61"/>
      <c r="T169" s="61"/>
      <c r="U169" s="61"/>
      <c r="V169" s="61"/>
      <c r="W169" s="61"/>
      <c r="X169" s="61"/>
      <c r="Y169" s="56"/>
      <c r="Z169" s="56"/>
      <c r="AA169" s="56"/>
      <c r="AB169" s="56"/>
      <c r="AC169" s="56"/>
      <c r="AD169" s="56"/>
    </row>
    <row r="170" hidden="1">
      <c r="A170" s="106"/>
      <c r="B170" s="15">
        <v>46205.0</v>
      </c>
      <c r="C170" s="41" t="s">
        <v>75</v>
      </c>
      <c r="D170" s="118" t="str">
        <f t="shared" ref="D170:D181" si="7">IF(G170&lt;&gt;"","PHCHVM_"&amp;TEXT(COUNTIF($G$170:G170,"&lt;&gt;"),"00"),"")</f>
        <v>PHCHVM_01</v>
      </c>
      <c r="E170" s="118"/>
      <c r="F170" s="118"/>
      <c r="G170" s="78" t="s">
        <v>2855</v>
      </c>
      <c r="H170" s="78" t="s">
        <v>2856</v>
      </c>
      <c r="I170" s="78"/>
      <c r="J170" s="78" t="s">
        <v>2857</v>
      </c>
      <c r="K170" s="78" t="s">
        <v>2858</v>
      </c>
      <c r="L170" s="34" t="s">
        <v>2860</v>
      </c>
      <c r="M170" s="33" t="s">
        <v>2861</v>
      </c>
      <c r="N170" s="41" t="s">
        <v>52</v>
      </c>
      <c r="O170" s="34"/>
      <c r="P170" s="21" t="s">
        <v>53</v>
      </c>
      <c r="Q170" s="46" t="s">
        <v>54</v>
      </c>
      <c r="R170" s="21" t="s">
        <v>2863</v>
      </c>
      <c r="S170" s="34"/>
      <c r="T170" s="34"/>
      <c r="U170" s="34"/>
      <c r="V170" s="34"/>
      <c r="W170" s="34"/>
      <c r="X170" s="34"/>
      <c r="Y170" s="56"/>
      <c r="Z170" s="56"/>
      <c r="AA170" s="56"/>
      <c r="AB170" s="56"/>
      <c r="AC170" s="56"/>
      <c r="AD170" s="56"/>
    </row>
    <row r="171" hidden="1">
      <c r="A171" s="110"/>
      <c r="B171" s="49">
        <v>46205.0</v>
      </c>
      <c r="C171" s="60" t="s">
        <v>75</v>
      </c>
      <c r="D171" s="119" t="str">
        <f t="shared" si="7"/>
        <v>PHCHVM_02</v>
      </c>
      <c r="E171" s="119"/>
      <c r="F171" s="119"/>
      <c r="G171" s="63" t="s">
        <v>2869</v>
      </c>
      <c r="H171" s="63" t="s">
        <v>2856</v>
      </c>
      <c r="I171" s="63"/>
      <c r="J171" s="63" t="s">
        <v>2871</v>
      </c>
      <c r="K171" s="63" t="s">
        <v>2872</v>
      </c>
      <c r="L171" s="63" t="s">
        <v>2872</v>
      </c>
      <c r="M171" s="145" t="s">
        <v>2875</v>
      </c>
      <c r="N171" s="60" t="s">
        <v>54</v>
      </c>
      <c r="O171" s="61"/>
      <c r="P171" s="61"/>
      <c r="Q171" s="61"/>
      <c r="R171" s="61"/>
      <c r="S171" s="61"/>
      <c r="T171" s="61"/>
      <c r="U171" s="61"/>
      <c r="V171" s="61"/>
      <c r="W171" s="61"/>
      <c r="X171" s="61"/>
      <c r="Y171" s="56"/>
      <c r="Z171" s="56"/>
      <c r="AA171" s="56"/>
      <c r="AB171" s="56"/>
      <c r="AC171" s="56"/>
      <c r="AD171" s="56"/>
    </row>
    <row r="172" hidden="1">
      <c r="A172" s="106"/>
      <c r="B172" s="15">
        <v>46205.0</v>
      </c>
      <c r="C172" s="41" t="s">
        <v>75</v>
      </c>
      <c r="D172" s="118" t="str">
        <f t="shared" si="7"/>
        <v>PHCHVM_03</v>
      </c>
      <c r="E172" s="118"/>
      <c r="F172" s="118"/>
      <c r="G172" s="78" t="s">
        <v>2884</v>
      </c>
      <c r="H172" s="78" t="s">
        <v>2856</v>
      </c>
      <c r="I172" s="78"/>
      <c r="J172" s="78" t="s">
        <v>2886</v>
      </c>
      <c r="K172" s="78" t="s">
        <v>2887</v>
      </c>
      <c r="L172" s="34" t="s">
        <v>2889</v>
      </c>
      <c r="M172" s="33" t="s">
        <v>2890</v>
      </c>
      <c r="N172" s="41" t="s">
        <v>52</v>
      </c>
      <c r="O172" s="34"/>
      <c r="P172" s="21" t="s">
        <v>53</v>
      </c>
      <c r="Q172" s="46" t="s">
        <v>54</v>
      </c>
      <c r="R172" s="34"/>
      <c r="S172" s="34"/>
      <c r="T172" s="34"/>
      <c r="U172" s="34"/>
      <c r="V172" s="34"/>
      <c r="W172" s="34"/>
      <c r="X172" s="34"/>
      <c r="Y172" s="56"/>
      <c r="Z172" s="56"/>
      <c r="AA172" s="56"/>
      <c r="AB172" s="56"/>
      <c r="AC172" s="56"/>
      <c r="AD172" s="56"/>
    </row>
    <row r="173" hidden="1">
      <c r="A173" s="110"/>
      <c r="B173" s="49">
        <v>46205.0</v>
      </c>
      <c r="C173" s="60" t="s">
        <v>75</v>
      </c>
      <c r="D173" s="119" t="str">
        <f t="shared" si="7"/>
        <v>PHCHVM_04</v>
      </c>
      <c r="E173" s="119"/>
      <c r="F173" s="119"/>
      <c r="G173" s="63" t="s">
        <v>2895</v>
      </c>
      <c r="H173" s="63" t="s">
        <v>2856</v>
      </c>
      <c r="I173" s="63"/>
      <c r="J173" s="63" t="s">
        <v>2896</v>
      </c>
      <c r="K173" s="63" t="s">
        <v>2897</v>
      </c>
      <c r="L173" s="63" t="s">
        <v>2897</v>
      </c>
      <c r="M173" s="145" t="s">
        <v>2899</v>
      </c>
      <c r="N173" s="60" t="s">
        <v>54</v>
      </c>
      <c r="O173" s="61"/>
      <c r="P173" s="61"/>
      <c r="Q173" s="61"/>
      <c r="R173" s="61"/>
      <c r="S173" s="61"/>
      <c r="T173" s="61"/>
      <c r="U173" s="61"/>
      <c r="V173" s="61"/>
      <c r="W173" s="61"/>
      <c r="X173" s="61"/>
      <c r="Y173" s="56"/>
      <c r="Z173" s="56"/>
      <c r="AA173" s="56"/>
      <c r="AB173" s="56"/>
      <c r="AC173" s="56"/>
      <c r="AD173" s="56"/>
    </row>
    <row r="174" hidden="1">
      <c r="A174" s="106"/>
      <c r="B174" s="15">
        <v>46205.0</v>
      </c>
      <c r="C174" s="41" t="s">
        <v>75</v>
      </c>
      <c r="D174" s="118" t="str">
        <f t="shared" si="7"/>
        <v>PHCHVM_05</v>
      </c>
      <c r="E174" s="118"/>
      <c r="F174" s="118"/>
      <c r="G174" s="78" t="s">
        <v>2904</v>
      </c>
      <c r="H174" s="78" t="s">
        <v>2905</v>
      </c>
      <c r="I174" s="78"/>
      <c r="J174" s="78" t="s">
        <v>2907</v>
      </c>
      <c r="K174" s="78" t="s">
        <v>2908</v>
      </c>
      <c r="L174" s="78" t="s">
        <v>2908</v>
      </c>
      <c r="M174" s="33" t="s">
        <v>2909</v>
      </c>
      <c r="N174" s="41" t="s">
        <v>54</v>
      </c>
      <c r="O174" s="34"/>
      <c r="P174" s="34"/>
      <c r="Q174" s="34"/>
      <c r="R174" s="34"/>
      <c r="S174" s="34"/>
      <c r="T174" s="34"/>
      <c r="U174" s="34"/>
      <c r="V174" s="34"/>
      <c r="W174" s="34"/>
      <c r="X174" s="34"/>
      <c r="Y174" s="56"/>
      <c r="Z174" s="56"/>
      <c r="AA174" s="56"/>
      <c r="AB174" s="56"/>
      <c r="AC174" s="56"/>
      <c r="AD174" s="56"/>
    </row>
    <row r="175" hidden="1">
      <c r="A175" s="110"/>
      <c r="B175" s="49">
        <v>46205.0</v>
      </c>
      <c r="C175" s="60" t="s">
        <v>75</v>
      </c>
      <c r="D175" s="119" t="str">
        <f t="shared" si="7"/>
        <v>PHCHVM_06</v>
      </c>
      <c r="E175" s="119"/>
      <c r="F175" s="119"/>
      <c r="G175" s="63" t="s">
        <v>2916</v>
      </c>
      <c r="H175" s="63" t="s">
        <v>2856</v>
      </c>
      <c r="I175" s="63"/>
      <c r="J175" s="63" t="s">
        <v>2917</v>
      </c>
      <c r="K175" s="63" t="s">
        <v>2919</v>
      </c>
      <c r="L175" s="63" t="s">
        <v>2920</v>
      </c>
      <c r="M175" s="145" t="s">
        <v>2921</v>
      </c>
      <c r="N175" s="60" t="s">
        <v>52</v>
      </c>
      <c r="O175" s="61"/>
      <c r="P175" s="90" t="s">
        <v>55</v>
      </c>
      <c r="Q175" s="92" t="s">
        <v>55</v>
      </c>
      <c r="R175" s="90" t="s">
        <v>2863</v>
      </c>
      <c r="S175" s="61"/>
      <c r="T175" s="61"/>
      <c r="U175" s="61"/>
      <c r="V175" s="61"/>
      <c r="W175" s="61"/>
      <c r="X175" s="61"/>
      <c r="Y175" s="56"/>
      <c r="Z175" s="56"/>
      <c r="AA175" s="56"/>
      <c r="AB175" s="56"/>
      <c r="AC175" s="56"/>
      <c r="AD175" s="56"/>
    </row>
    <row r="176" hidden="1">
      <c r="A176" s="106"/>
      <c r="B176" s="15">
        <v>46205.0</v>
      </c>
      <c r="C176" s="41" t="s">
        <v>75</v>
      </c>
      <c r="D176" s="118" t="str">
        <f t="shared" si="7"/>
        <v>PHCHVM_07</v>
      </c>
      <c r="E176" s="118"/>
      <c r="F176" s="118"/>
      <c r="G176" s="78" t="s">
        <v>2927</v>
      </c>
      <c r="H176" s="78" t="s">
        <v>2928</v>
      </c>
      <c r="I176" s="78"/>
      <c r="J176" s="78" t="s">
        <v>2929</v>
      </c>
      <c r="K176" s="78" t="s">
        <v>2930</v>
      </c>
      <c r="L176" s="78" t="s">
        <v>2930</v>
      </c>
      <c r="M176" s="33" t="s">
        <v>2931</v>
      </c>
      <c r="N176" s="41" t="s">
        <v>54</v>
      </c>
      <c r="O176" s="34"/>
      <c r="P176" s="34"/>
      <c r="Q176" s="34"/>
      <c r="R176" s="34"/>
      <c r="S176" s="34"/>
      <c r="T176" s="34"/>
      <c r="U176" s="34"/>
      <c r="V176" s="34"/>
      <c r="W176" s="34"/>
      <c r="X176" s="34"/>
      <c r="Y176" s="56"/>
      <c r="Z176" s="56"/>
      <c r="AA176" s="56"/>
      <c r="AB176" s="56"/>
      <c r="AC176" s="56"/>
      <c r="AD176" s="56"/>
    </row>
    <row r="177" hidden="1">
      <c r="A177" s="110"/>
      <c r="B177" s="49">
        <v>46205.0</v>
      </c>
      <c r="C177" s="60" t="s">
        <v>75</v>
      </c>
      <c r="D177" s="119" t="str">
        <f t="shared" si="7"/>
        <v>PHCHVM_08</v>
      </c>
      <c r="E177" s="119"/>
      <c r="F177" s="119"/>
      <c r="G177" s="63" t="s">
        <v>2936</v>
      </c>
      <c r="H177" s="63" t="s">
        <v>2937</v>
      </c>
      <c r="I177" s="63"/>
      <c r="J177" s="63" t="s">
        <v>2938</v>
      </c>
      <c r="K177" s="63" t="s">
        <v>2939</v>
      </c>
      <c r="L177" s="63" t="s">
        <v>2939</v>
      </c>
      <c r="M177" s="145" t="s">
        <v>2941</v>
      </c>
      <c r="N177" s="60" t="s">
        <v>54</v>
      </c>
      <c r="O177" s="61"/>
      <c r="P177" s="61"/>
      <c r="Q177" s="61"/>
      <c r="R177" s="61"/>
      <c r="S177" s="61"/>
      <c r="T177" s="61"/>
      <c r="U177" s="61"/>
      <c r="V177" s="61"/>
      <c r="W177" s="61"/>
      <c r="X177" s="61"/>
      <c r="Y177" s="56"/>
      <c r="Z177" s="56"/>
      <c r="AA177" s="56"/>
      <c r="AB177" s="56"/>
      <c r="AC177" s="56"/>
      <c r="AD177" s="56"/>
    </row>
    <row r="178" hidden="1">
      <c r="A178" s="106"/>
      <c r="B178" s="15">
        <v>46205.0</v>
      </c>
      <c r="C178" s="41" t="s">
        <v>75</v>
      </c>
      <c r="D178" s="118" t="str">
        <f t="shared" si="7"/>
        <v>PHCHVM_09</v>
      </c>
      <c r="E178" s="118"/>
      <c r="F178" s="118"/>
      <c r="G178" s="78" t="s">
        <v>2948</v>
      </c>
      <c r="H178" s="78" t="s">
        <v>2949</v>
      </c>
      <c r="I178" s="78"/>
      <c r="J178" s="78" t="s">
        <v>2950</v>
      </c>
      <c r="K178" s="78" t="s">
        <v>2951</v>
      </c>
      <c r="L178" s="34" t="s">
        <v>2952</v>
      </c>
      <c r="M178" s="33" t="s">
        <v>2953</v>
      </c>
      <c r="N178" s="41" t="s">
        <v>52</v>
      </c>
      <c r="O178" s="34"/>
      <c r="P178" s="21" t="s">
        <v>53</v>
      </c>
      <c r="Q178" s="46" t="s">
        <v>54</v>
      </c>
      <c r="R178" s="34"/>
      <c r="S178" s="34"/>
      <c r="T178" s="34"/>
      <c r="U178" s="34"/>
      <c r="V178" s="34"/>
      <c r="W178" s="34"/>
      <c r="X178" s="34"/>
      <c r="Y178" s="56"/>
      <c r="Z178" s="56"/>
      <c r="AA178" s="56"/>
      <c r="AB178" s="56"/>
      <c r="AC178" s="56"/>
      <c r="AD178" s="56"/>
    </row>
    <row r="179" hidden="1">
      <c r="A179" s="110"/>
      <c r="B179" s="49">
        <v>46205.0</v>
      </c>
      <c r="C179" s="60" t="s">
        <v>75</v>
      </c>
      <c r="D179" s="119" t="str">
        <f t="shared" si="7"/>
        <v>PHCHVM_10</v>
      </c>
      <c r="E179" s="119"/>
      <c r="F179" s="119"/>
      <c r="G179" s="63" t="s">
        <v>2958</v>
      </c>
      <c r="H179" s="63" t="s">
        <v>2959</v>
      </c>
      <c r="I179" s="63"/>
      <c r="J179" s="63" t="s">
        <v>2960</v>
      </c>
      <c r="K179" s="63" t="s">
        <v>2962</v>
      </c>
      <c r="L179" s="61" t="s">
        <v>2963</v>
      </c>
      <c r="M179" s="145" t="s">
        <v>2964</v>
      </c>
      <c r="N179" s="60" t="s">
        <v>52</v>
      </c>
      <c r="O179" s="61"/>
      <c r="P179" s="90" t="s">
        <v>53</v>
      </c>
      <c r="Q179" s="92" t="s">
        <v>54</v>
      </c>
      <c r="R179" s="61"/>
      <c r="S179" s="61"/>
      <c r="T179" s="61"/>
      <c r="U179" s="61"/>
      <c r="V179" s="61"/>
      <c r="W179" s="61"/>
      <c r="X179" s="61"/>
      <c r="Y179" s="56"/>
      <c r="Z179" s="56"/>
      <c r="AA179" s="56"/>
      <c r="AB179" s="56"/>
      <c r="AC179" s="56"/>
      <c r="AD179" s="56"/>
    </row>
    <row r="180" hidden="1">
      <c r="A180" s="106"/>
      <c r="B180" s="15">
        <v>46205.0</v>
      </c>
      <c r="C180" s="41" t="s">
        <v>75</v>
      </c>
      <c r="D180" s="118" t="str">
        <f t="shared" si="7"/>
        <v>PHCHVM_11</v>
      </c>
      <c r="E180" s="118"/>
      <c r="F180" s="118"/>
      <c r="G180" s="78" t="s">
        <v>2969</v>
      </c>
      <c r="H180" s="78" t="s">
        <v>2971</v>
      </c>
      <c r="I180" s="78"/>
      <c r="J180" s="78" t="s">
        <v>2974</v>
      </c>
      <c r="K180" s="78" t="s">
        <v>2976</v>
      </c>
      <c r="L180" s="78" t="s">
        <v>2976</v>
      </c>
      <c r="M180" s="33" t="s">
        <v>2977</v>
      </c>
      <c r="N180" s="41" t="s">
        <v>54</v>
      </c>
      <c r="O180" s="34"/>
      <c r="P180" s="34"/>
      <c r="Q180" s="34"/>
      <c r="R180" s="34"/>
      <c r="S180" s="34"/>
      <c r="T180" s="34"/>
      <c r="U180" s="34"/>
      <c r="V180" s="34"/>
      <c r="W180" s="34"/>
      <c r="X180" s="34"/>
      <c r="Y180" s="56"/>
      <c r="Z180" s="56"/>
      <c r="AA180" s="56"/>
      <c r="AB180" s="56"/>
      <c r="AC180" s="56"/>
      <c r="AD180" s="56"/>
    </row>
    <row r="181" hidden="1">
      <c r="A181" s="110"/>
      <c r="B181" s="49">
        <v>46205.0</v>
      </c>
      <c r="C181" s="60" t="s">
        <v>75</v>
      </c>
      <c r="D181" s="119" t="str">
        <f t="shared" si="7"/>
        <v>PHCHVM_12</v>
      </c>
      <c r="E181" s="119"/>
      <c r="F181" s="119"/>
      <c r="G181" s="63" t="s">
        <v>2982</v>
      </c>
      <c r="H181" s="63" t="s">
        <v>2983</v>
      </c>
      <c r="I181" s="63"/>
      <c r="J181" s="63" t="s">
        <v>2984</v>
      </c>
      <c r="K181" s="63" t="s">
        <v>2985</v>
      </c>
      <c r="L181" s="63" t="s">
        <v>2985</v>
      </c>
      <c r="M181" s="145" t="s">
        <v>2986</v>
      </c>
      <c r="N181" s="60" t="s">
        <v>54</v>
      </c>
      <c r="O181" s="61"/>
      <c r="P181" s="61"/>
      <c r="Q181" s="61"/>
      <c r="R181" s="61"/>
      <c r="S181" s="61"/>
      <c r="T181" s="61"/>
      <c r="U181" s="61"/>
      <c r="V181" s="61"/>
      <c r="W181" s="61"/>
      <c r="X181" s="61"/>
      <c r="Y181" s="56"/>
      <c r="Z181" s="56"/>
      <c r="AA181" s="56"/>
      <c r="AB181" s="56"/>
      <c r="AC181" s="56"/>
      <c r="AD181" s="56"/>
    </row>
    <row r="182" hidden="1">
      <c r="A182" s="106"/>
      <c r="B182" s="41">
        <v>17.0</v>
      </c>
      <c r="C182" s="41"/>
      <c r="D182" s="118"/>
      <c r="E182" s="118" t="s">
        <v>2990</v>
      </c>
      <c r="F182" s="118" t="s">
        <v>722</v>
      </c>
      <c r="G182" s="78" t="s">
        <v>2992</v>
      </c>
      <c r="H182" s="78"/>
      <c r="I182" s="78"/>
      <c r="J182" s="78"/>
      <c r="K182" s="78"/>
      <c r="L182" s="34"/>
      <c r="M182" s="34"/>
      <c r="N182" s="41"/>
      <c r="O182" s="34"/>
      <c r="P182" s="34"/>
      <c r="Q182" s="34"/>
      <c r="R182" s="34"/>
      <c r="S182" s="34"/>
      <c r="T182" s="34"/>
      <c r="U182" s="34"/>
      <c r="V182" s="34"/>
      <c r="W182" s="34"/>
      <c r="X182" s="34"/>
      <c r="Y182" s="56"/>
      <c r="Z182" s="56"/>
      <c r="AA182" s="56"/>
      <c r="AB182" s="56"/>
      <c r="AC182" s="56"/>
      <c r="AD182" s="56"/>
    </row>
    <row r="183" hidden="1">
      <c r="A183" s="110"/>
      <c r="B183" s="49">
        <v>46205.0</v>
      </c>
      <c r="C183" s="60" t="s">
        <v>75</v>
      </c>
      <c r="D183" s="119" t="str">
        <f t="shared" ref="D183:D193" si="8">IF(G183&lt;&gt;"","QLCKPHCHVM_"&amp;TEXT(COUNTIF($G$183:G183,"&lt;&gt;"),"00"),"")</f>
        <v>QLCKPHCHVM_01</v>
      </c>
      <c r="E183" s="119"/>
      <c r="F183" s="119"/>
      <c r="G183" s="63" t="s">
        <v>2998</v>
      </c>
      <c r="H183" s="63" t="s">
        <v>3000</v>
      </c>
      <c r="I183" s="63"/>
      <c r="J183" s="63" t="s">
        <v>3001</v>
      </c>
      <c r="K183" s="63" t="s">
        <v>3002</v>
      </c>
      <c r="L183" s="61" t="s">
        <v>3003</v>
      </c>
      <c r="M183" s="145" t="s">
        <v>3004</v>
      </c>
      <c r="N183" s="60" t="s">
        <v>52</v>
      </c>
      <c r="O183" s="61"/>
      <c r="P183" s="90" t="s">
        <v>53</v>
      </c>
      <c r="Q183" s="92" t="s">
        <v>54</v>
      </c>
      <c r="R183" s="90" t="s">
        <v>3007</v>
      </c>
      <c r="S183" s="61"/>
      <c r="T183" s="61"/>
      <c r="U183" s="61"/>
      <c r="V183" s="61"/>
      <c r="W183" s="61"/>
      <c r="X183" s="61"/>
      <c r="Y183" s="56"/>
      <c r="Z183" s="56"/>
      <c r="AA183" s="56"/>
      <c r="AB183" s="56"/>
      <c r="AC183" s="56"/>
      <c r="AD183" s="56"/>
    </row>
    <row r="184" hidden="1">
      <c r="A184" s="106"/>
      <c r="B184" s="15">
        <v>46205.0</v>
      </c>
      <c r="C184" s="41" t="s">
        <v>75</v>
      </c>
      <c r="D184" s="118" t="str">
        <f t="shared" si="8"/>
        <v>QLCKPHCHVM_02</v>
      </c>
      <c r="E184" s="118"/>
      <c r="F184" s="118"/>
      <c r="G184" s="78" t="s">
        <v>3012</v>
      </c>
      <c r="H184" s="78" t="s">
        <v>3014</v>
      </c>
      <c r="I184" s="78"/>
      <c r="J184" s="78" t="s">
        <v>3015</v>
      </c>
      <c r="K184" s="78" t="s">
        <v>3016</v>
      </c>
      <c r="L184" s="34" t="s">
        <v>3017</v>
      </c>
      <c r="M184" s="173" t="s">
        <v>3019</v>
      </c>
      <c r="N184" s="41" t="s">
        <v>52</v>
      </c>
      <c r="O184" s="34"/>
      <c r="P184" s="21" t="s">
        <v>53</v>
      </c>
      <c r="Q184" s="46" t="s">
        <v>54</v>
      </c>
      <c r="R184" s="21"/>
      <c r="S184" s="34"/>
      <c r="T184" s="34"/>
      <c r="U184" s="34"/>
      <c r="V184" s="34"/>
      <c r="W184" s="34"/>
      <c r="X184" s="34"/>
      <c r="Y184" s="56"/>
      <c r="Z184" s="56"/>
      <c r="AA184" s="56"/>
      <c r="AB184" s="56"/>
      <c r="AC184" s="56"/>
      <c r="AD184" s="56"/>
    </row>
    <row r="185" hidden="1">
      <c r="A185" s="110"/>
      <c r="B185" s="49">
        <v>46205.0</v>
      </c>
      <c r="C185" s="60" t="s">
        <v>75</v>
      </c>
      <c r="D185" s="119" t="str">
        <f t="shared" si="8"/>
        <v>QLCKPHCHVM_03</v>
      </c>
      <c r="E185" s="119"/>
      <c r="F185" s="119"/>
      <c r="G185" s="63" t="s">
        <v>3025</v>
      </c>
      <c r="H185" s="63" t="s">
        <v>3027</v>
      </c>
      <c r="I185" s="63"/>
      <c r="J185" s="63" t="s">
        <v>3028</v>
      </c>
      <c r="K185" s="63" t="s">
        <v>3029</v>
      </c>
      <c r="L185" s="63" t="s">
        <v>3029</v>
      </c>
      <c r="M185" s="145" t="s">
        <v>3030</v>
      </c>
      <c r="N185" s="60" t="s">
        <v>54</v>
      </c>
      <c r="O185" s="61"/>
      <c r="P185" s="61"/>
      <c r="Q185" s="61"/>
      <c r="R185" s="61"/>
      <c r="S185" s="61"/>
      <c r="T185" s="61"/>
      <c r="U185" s="61"/>
      <c r="V185" s="61"/>
      <c r="W185" s="61"/>
      <c r="X185" s="61"/>
      <c r="Y185" s="56"/>
      <c r="Z185" s="56"/>
      <c r="AA185" s="56"/>
      <c r="AB185" s="56"/>
      <c r="AC185" s="56"/>
      <c r="AD185" s="56"/>
    </row>
    <row r="186" hidden="1">
      <c r="A186" s="106"/>
      <c r="B186" s="15">
        <v>46205.0</v>
      </c>
      <c r="C186" s="41" t="s">
        <v>75</v>
      </c>
      <c r="D186" s="118" t="str">
        <f t="shared" si="8"/>
        <v>QLCKPHCHVM_04</v>
      </c>
      <c r="E186" s="118"/>
      <c r="F186" s="118"/>
      <c r="G186" s="78" t="s">
        <v>3033</v>
      </c>
      <c r="H186" s="78" t="s">
        <v>3034</v>
      </c>
      <c r="I186" s="78"/>
      <c r="J186" s="78" t="s">
        <v>3036</v>
      </c>
      <c r="K186" s="78" t="s">
        <v>3037</v>
      </c>
      <c r="L186" s="78" t="s">
        <v>3037</v>
      </c>
      <c r="M186" s="33" t="s">
        <v>3038</v>
      </c>
      <c r="N186" s="41" t="s">
        <v>54</v>
      </c>
      <c r="O186" s="34"/>
      <c r="P186" s="34"/>
      <c r="Q186" s="34"/>
      <c r="R186" s="34"/>
      <c r="S186" s="34"/>
      <c r="T186" s="34"/>
      <c r="U186" s="34"/>
      <c r="V186" s="34"/>
      <c r="W186" s="34"/>
      <c r="X186" s="34"/>
      <c r="Y186" s="56"/>
      <c r="Z186" s="56"/>
      <c r="AA186" s="56"/>
      <c r="AB186" s="56"/>
      <c r="AC186" s="56"/>
      <c r="AD186" s="56"/>
    </row>
    <row r="187" hidden="1">
      <c r="A187" s="110"/>
      <c r="B187" s="49">
        <v>46205.0</v>
      </c>
      <c r="C187" s="60" t="s">
        <v>75</v>
      </c>
      <c r="D187" s="119" t="str">
        <f t="shared" si="8"/>
        <v>QLCKPHCHVM_05</v>
      </c>
      <c r="E187" s="119"/>
      <c r="F187" s="119"/>
      <c r="G187" s="63" t="s">
        <v>3046</v>
      </c>
      <c r="H187" s="63" t="s">
        <v>3047</v>
      </c>
      <c r="I187" s="63"/>
      <c r="J187" s="63" t="s">
        <v>3048</v>
      </c>
      <c r="K187" s="63" t="s">
        <v>3049</v>
      </c>
      <c r="L187" s="63" t="s">
        <v>3049</v>
      </c>
      <c r="M187" s="145" t="s">
        <v>3050</v>
      </c>
      <c r="N187" s="60" t="s">
        <v>54</v>
      </c>
      <c r="O187" s="61"/>
      <c r="P187" s="61"/>
      <c r="Q187" s="61"/>
      <c r="R187" s="61"/>
      <c r="S187" s="61"/>
      <c r="T187" s="61"/>
      <c r="U187" s="61"/>
      <c r="V187" s="61"/>
      <c r="W187" s="61"/>
      <c r="X187" s="61"/>
      <c r="Y187" s="56"/>
      <c r="Z187" s="56"/>
      <c r="AA187" s="56"/>
      <c r="AB187" s="56"/>
      <c r="AC187" s="56"/>
      <c r="AD187" s="56"/>
    </row>
    <row r="188" hidden="1">
      <c r="A188" s="106"/>
      <c r="B188" s="15">
        <v>46205.0</v>
      </c>
      <c r="C188" s="41" t="s">
        <v>75</v>
      </c>
      <c r="D188" s="118" t="str">
        <f t="shared" si="8"/>
        <v>QLCKPHCHVM_06</v>
      </c>
      <c r="E188" s="118"/>
      <c r="F188" s="118"/>
      <c r="G188" s="78" t="s">
        <v>3055</v>
      </c>
      <c r="H188" s="78" t="s">
        <v>3056</v>
      </c>
      <c r="I188" s="78"/>
      <c r="J188" s="78" t="s">
        <v>3057</v>
      </c>
      <c r="K188" s="78" t="s">
        <v>3058</v>
      </c>
      <c r="L188" s="78" t="s">
        <v>3058</v>
      </c>
      <c r="M188" s="33" t="s">
        <v>3059</v>
      </c>
      <c r="N188" s="41" t="s">
        <v>54</v>
      </c>
      <c r="O188" s="34"/>
      <c r="P188" s="34"/>
      <c r="Q188" s="34"/>
      <c r="R188" s="34"/>
      <c r="S188" s="34"/>
      <c r="T188" s="34"/>
      <c r="U188" s="34"/>
      <c r="V188" s="34"/>
      <c r="W188" s="34"/>
      <c r="X188" s="34"/>
      <c r="Y188" s="56"/>
      <c r="Z188" s="56"/>
      <c r="AA188" s="56"/>
      <c r="AB188" s="56"/>
      <c r="AC188" s="56"/>
      <c r="AD188" s="56"/>
    </row>
    <row r="189" hidden="1">
      <c r="A189" s="110"/>
      <c r="B189" s="49">
        <v>46205.0</v>
      </c>
      <c r="C189" s="60" t="s">
        <v>75</v>
      </c>
      <c r="D189" s="119" t="str">
        <f t="shared" si="8"/>
        <v>QLCKPHCHVM_07</v>
      </c>
      <c r="E189" s="119"/>
      <c r="F189" s="119"/>
      <c r="G189" s="63" t="s">
        <v>3063</v>
      </c>
      <c r="H189" s="63" t="s">
        <v>3064</v>
      </c>
      <c r="I189" s="63"/>
      <c r="J189" s="63" t="s">
        <v>3065</v>
      </c>
      <c r="K189" s="63" t="s">
        <v>3066</v>
      </c>
      <c r="L189" s="63" t="s">
        <v>3066</v>
      </c>
      <c r="M189" s="145" t="s">
        <v>3068</v>
      </c>
      <c r="N189" s="60" t="s">
        <v>54</v>
      </c>
      <c r="O189" s="61"/>
      <c r="P189" s="61"/>
      <c r="Q189" s="61"/>
      <c r="R189" s="61"/>
      <c r="S189" s="61"/>
      <c r="T189" s="61"/>
      <c r="U189" s="61"/>
      <c r="V189" s="61"/>
      <c r="W189" s="61"/>
      <c r="X189" s="61"/>
      <c r="Y189" s="56"/>
      <c r="Z189" s="56"/>
      <c r="AA189" s="56"/>
      <c r="AB189" s="56"/>
      <c r="AC189" s="56"/>
      <c r="AD189" s="56"/>
    </row>
    <row r="190" hidden="1">
      <c r="A190" s="106"/>
      <c r="B190" s="15">
        <v>46205.0</v>
      </c>
      <c r="C190" s="41" t="s">
        <v>75</v>
      </c>
      <c r="D190" s="118" t="str">
        <f t="shared" si="8"/>
        <v>QLCKPHCHVM_08</v>
      </c>
      <c r="E190" s="118"/>
      <c r="F190" s="118"/>
      <c r="G190" s="78" t="s">
        <v>3073</v>
      </c>
      <c r="H190" s="78" t="s">
        <v>3076</v>
      </c>
      <c r="I190" s="78"/>
      <c r="J190" s="78" t="s">
        <v>3077</v>
      </c>
      <c r="K190" s="78" t="s">
        <v>3078</v>
      </c>
      <c r="L190" s="78" t="s">
        <v>3078</v>
      </c>
      <c r="M190" s="33" t="s">
        <v>3080</v>
      </c>
      <c r="N190" s="41" t="s">
        <v>54</v>
      </c>
      <c r="O190" s="34"/>
      <c r="P190" s="34"/>
      <c r="Q190" s="34"/>
      <c r="R190" s="34"/>
      <c r="S190" s="34"/>
      <c r="T190" s="34"/>
      <c r="U190" s="34"/>
      <c r="V190" s="34"/>
      <c r="W190" s="34"/>
      <c r="X190" s="34"/>
      <c r="Y190" s="56"/>
      <c r="Z190" s="56"/>
      <c r="AA190" s="56"/>
      <c r="AB190" s="56"/>
      <c r="AC190" s="56"/>
      <c r="AD190" s="56"/>
    </row>
    <row r="191" hidden="1">
      <c r="A191" s="110"/>
      <c r="B191" s="49">
        <v>46205.0</v>
      </c>
      <c r="C191" s="60" t="s">
        <v>75</v>
      </c>
      <c r="D191" s="119" t="str">
        <f t="shared" si="8"/>
        <v>QLCKPHCHVM_09</v>
      </c>
      <c r="E191" s="119"/>
      <c r="F191" s="119"/>
      <c r="G191" s="63" t="s">
        <v>3085</v>
      </c>
      <c r="H191" s="63" t="s">
        <v>3086</v>
      </c>
      <c r="I191" s="63"/>
      <c r="J191" s="63" t="s">
        <v>3087</v>
      </c>
      <c r="K191" s="63" t="s">
        <v>3089</v>
      </c>
      <c r="L191" s="63" t="s">
        <v>3089</v>
      </c>
      <c r="M191" s="145" t="s">
        <v>3090</v>
      </c>
      <c r="N191" s="60" t="s">
        <v>54</v>
      </c>
      <c r="O191" s="61"/>
      <c r="P191" s="61"/>
      <c r="Q191" s="61"/>
      <c r="R191" s="61"/>
      <c r="S191" s="61"/>
      <c r="T191" s="61"/>
      <c r="U191" s="61"/>
      <c r="V191" s="61"/>
      <c r="W191" s="61"/>
      <c r="X191" s="61"/>
      <c r="Y191" s="56"/>
      <c r="Z191" s="56"/>
      <c r="AA191" s="56"/>
      <c r="AB191" s="56"/>
      <c r="AC191" s="56"/>
      <c r="AD191" s="56"/>
    </row>
    <row r="192" hidden="1">
      <c r="A192" s="106"/>
      <c r="B192" s="15">
        <v>46205.0</v>
      </c>
      <c r="C192" s="41" t="s">
        <v>75</v>
      </c>
      <c r="D192" s="118" t="str">
        <f t="shared" si="8"/>
        <v>QLCKPHCHVM_10</v>
      </c>
      <c r="E192" s="118"/>
      <c r="F192" s="118"/>
      <c r="G192" s="78" t="s">
        <v>3094</v>
      </c>
      <c r="H192" s="78" t="s">
        <v>3095</v>
      </c>
      <c r="I192" s="78"/>
      <c r="J192" s="78" t="s">
        <v>3096</v>
      </c>
      <c r="K192" s="78" t="s">
        <v>3097</v>
      </c>
      <c r="L192" s="78" t="s">
        <v>3097</v>
      </c>
      <c r="M192" s="33" t="s">
        <v>3098</v>
      </c>
      <c r="N192" s="41" t="s">
        <v>54</v>
      </c>
      <c r="O192" s="34"/>
      <c r="P192" s="34"/>
      <c r="Q192" s="34"/>
      <c r="R192" s="34"/>
      <c r="S192" s="34"/>
      <c r="T192" s="34"/>
      <c r="U192" s="34"/>
      <c r="V192" s="34"/>
      <c r="W192" s="34"/>
      <c r="X192" s="34"/>
      <c r="Y192" s="56"/>
      <c r="Z192" s="56"/>
      <c r="AA192" s="56"/>
      <c r="AB192" s="56"/>
      <c r="AC192" s="56"/>
      <c r="AD192" s="56"/>
    </row>
    <row r="193" hidden="1">
      <c r="A193" s="110"/>
      <c r="B193" s="49">
        <v>46205.0</v>
      </c>
      <c r="C193" s="60" t="s">
        <v>75</v>
      </c>
      <c r="D193" s="119" t="str">
        <f t="shared" si="8"/>
        <v>QLCKPHCHVM_11</v>
      </c>
      <c r="E193" s="119"/>
      <c r="F193" s="119"/>
      <c r="G193" s="63" t="s">
        <v>3103</v>
      </c>
      <c r="H193" s="63" t="s">
        <v>3105</v>
      </c>
      <c r="I193" s="63"/>
      <c r="J193" s="63" t="s">
        <v>3108</v>
      </c>
      <c r="K193" s="63" t="s">
        <v>3109</v>
      </c>
      <c r="L193" s="63" t="s">
        <v>3109</v>
      </c>
      <c r="M193" s="145" t="s">
        <v>3110</v>
      </c>
      <c r="N193" s="60" t="s">
        <v>54</v>
      </c>
      <c r="O193" s="61"/>
      <c r="P193" s="61"/>
      <c r="Q193" s="61"/>
      <c r="R193" s="61"/>
      <c r="S193" s="61"/>
      <c r="T193" s="61"/>
      <c r="U193" s="61"/>
      <c r="V193" s="61"/>
      <c r="W193" s="61"/>
      <c r="X193" s="61"/>
      <c r="Y193" s="56"/>
      <c r="Z193" s="56"/>
      <c r="AA193" s="56"/>
      <c r="AB193" s="56"/>
      <c r="AC193" s="56"/>
      <c r="AD193" s="56"/>
    </row>
    <row r="194" hidden="1">
      <c r="A194" s="14"/>
      <c r="B194" s="16" t="s">
        <v>3113</v>
      </c>
      <c r="C194" s="16" t="s">
        <v>75</v>
      </c>
      <c r="D194" s="20"/>
      <c r="E194" s="20" t="s">
        <v>3115</v>
      </c>
      <c r="F194" s="118"/>
      <c r="G194" s="118"/>
      <c r="H194" s="118"/>
      <c r="I194" s="118"/>
      <c r="J194" s="34"/>
      <c r="K194" s="34"/>
      <c r="L194" s="34"/>
      <c r="M194" s="34"/>
      <c r="N194" s="41"/>
      <c r="O194" s="34"/>
      <c r="P194" s="34"/>
      <c r="Q194" s="34"/>
      <c r="R194" s="34"/>
      <c r="S194" s="34"/>
      <c r="T194" s="34"/>
      <c r="U194" s="34"/>
      <c r="V194" s="34"/>
      <c r="W194" s="34"/>
      <c r="X194" s="34"/>
      <c r="Y194" s="56"/>
      <c r="Z194" s="56"/>
      <c r="AA194" s="56"/>
      <c r="AB194" s="56"/>
      <c r="AC194" s="56"/>
      <c r="AD194" s="56"/>
    </row>
    <row r="195" hidden="1">
      <c r="A195" s="110"/>
      <c r="B195" s="60">
        <v>18.0</v>
      </c>
      <c r="C195" s="60" t="s">
        <v>75</v>
      </c>
      <c r="D195" s="119"/>
      <c r="E195" s="119" t="s">
        <v>3118</v>
      </c>
      <c r="F195" s="119" t="s">
        <v>722</v>
      </c>
      <c r="G195" s="119" t="s">
        <v>3119</v>
      </c>
      <c r="H195" s="172"/>
      <c r="I195" s="60"/>
      <c r="J195" s="61"/>
      <c r="K195" s="61"/>
      <c r="L195" s="61"/>
      <c r="M195" s="61"/>
      <c r="N195" s="60"/>
      <c r="O195" s="61"/>
      <c r="P195" s="61"/>
      <c r="Q195" s="61"/>
      <c r="R195" s="61"/>
      <c r="S195" s="61"/>
      <c r="T195" s="61"/>
      <c r="U195" s="61"/>
      <c r="V195" s="61"/>
      <c r="W195" s="61"/>
      <c r="X195" s="61"/>
      <c r="Y195" s="56"/>
      <c r="Z195" s="56"/>
      <c r="AA195" s="56"/>
      <c r="AB195" s="56"/>
      <c r="AC195" s="56"/>
      <c r="AD195" s="56"/>
    </row>
    <row r="196" hidden="1">
      <c r="A196" s="106"/>
      <c r="B196" s="15">
        <v>46206.0</v>
      </c>
      <c r="C196" s="41" t="s">
        <v>75</v>
      </c>
      <c r="D196" s="118" t="str">
        <f t="shared" ref="D196:D205" si="9">IF(G195&lt;&gt;"","QLCHVMDXL_"&amp;TEXT(COUNTIF($G$195:G195,"&lt;&gt;"),"00"),"")</f>
        <v>QLCHVMDXL_01</v>
      </c>
      <c r="E196" s="118"/>
      <c r="F196" s="118"/>
      <c r="G196" s="78" t="s">
        <v>2485</v>
      </c>
      <c r="H196" s="78" t="s">
        <v>2486</v>
      </c>
      <c r="I196" s="78"/>
      <c r="J196" s="78" t="s">
        <v>3129</v>
      </c>
      <c r="K196" s="78" t="s">
        <v>3130</v>
      </c>
      <c r="L196" s="34" t="s">
        <v>3131</v>
      </c>
      <c r="M196" s="33" t="s">
        <v>3132</v>
      </c>
      <c r="N196" s="41" t="s">
        <v>52</v>
      </c>
      <c r="O196" s="34"/>
      <c r="P196" s="21" t="s">
        <v>55</v>
      </c>
      <c r="Q196" s="46" t="s">
        <v>55</v>
      </c>
      <c r="R196" s="21" t="s">
        <v>3135</v>
      </c>
      <c r="S196" s="34"/>
      <c r="T196" s="34"/>
      <c r="U196" s="34"/>
      <c r="V196" s="34"/>
      <c r="W196" s="34"/>
      <c r="X196" s="34"/>
      <c r="Y196" s="56"/>
      <c r="Z196" s="56"/>
      <c r="AA196" s="56"/>
      <c r="AB196" s="56"/>
      <c r="AC196" s="56"/>
      <c r="AD196" s="56"/>
    </row>
    <row r="197" hidden="1">
      <c r="A197" s="110"/>
      <c r="B197" s="49">
        <v>46206.0</v>
      </c>
      <c r="C197" s="60" t="s">
        <v>75</v>
      </c>
      <c r="D197" s="119" t="str">
        <f t="shared" si="9"/>
        <v>QLCHVMDXL_02</v>
      </c>
      <c r="E197" s="119"/>
      <c r="F197" s="119"/>
      <c r="G197" s="63" t="s">
        <v>2495</v>
      </c>
      <c r="H197" s="63" t="s">
        <v>2496</v>
      </c>
      <c r="I197" s="63"/>
      <c r="J197" s="63" t="s">
        <v>3140</v>
      </c>
      <c r="K197" s="63" t="s">
        <v>3141</v>
      </c>
      <c r="L197" s="63" t="s">
        <v>3141</v>
      </c>
      <c r="M197" s="145" t="s">
        <v>3142</v>
      </c>
      <c r="N197" s="60" t="s">
        <v>54</v>
      </c>
      <c r="O197" s="61"/>
      <c r="P197" s="61"/>
      <c r="Q197" s="61"/>
      <c r="R197" s="61"/>
      <c r="S197" s="61"/>
      <c r="T197" s="61"/>
      <c r="U197" s="61"/>
      <c r="V197" s="61"/>
      <c r="W197" s="61"/>
      <c r="X197" s="61"/>
      <c r="Y197" s="56"/>
      <c r="Z197" s="56"/>
      <c r="AA197" s="56"/>
      <c r="AB197" s="56"/>
      <c r="AC197" s="56"/>
      <c r="AD197" s="56"/>
    </row>
    <row r="198" hidden="1">
      <c r="A198" s="106"/>
      <c r="B198" s="15">
        <v>46206.0</v>
      </c>
      <c r="C198" s="41" t="s">
        <v>75</v>
      </c>
      <c r="D198" s="118" t="str">
        <f t="shared" si="9"/>
        <v>QLCHVMDXL_03</v>
      </c>
      <c r="E198" s="118"/>
      <c r="F198" s="118"/>
      <c r="G198" s="78" t="s">
        <v>2503</v>
      </c>
      <c r="H198" s="78" t="s">
        <v>2504</v>
      </c>
      <c r="I198" s="78"/>
      <c r="J198" s="78" t="s">
        <v>3149</v>
      </c>
      <c r="K198" s="78" t="s">
        <v>3150</v>
      </c>
      <c r="L198" s="78" t="s">
        <v>3150</v>
      </c>
      <c r="M198" s="33" t="s">
        <v>3151</v>
      </c>
      <c r="N198" s="41" t="s">
        <v>54</v>
      </c>
      <c r="O198" s="34"/>
      <c r="P198" s="34"/>
      <c r="Q198" s="34"/>
      <c r="R198" s="34"/>
      <c r="S198" s="34"/>
      <c r="T198" s="34"/>
      <c r="U198" s="34"/>
      <c r="V198" s="34"/>
      <c r="W198" s="34"/>
      <c r="X198" s="34"/>
      <c r="Y198" s="56"/>
      <c r="Z198" s="56"/>
      <c r="AA198" s="56"/>
      <c r="AB198" s="56"/>
      <c r="AC198" s="56"/>
      <c r="AD198" s="56"/>
    </row>
    <row r="199" hidden="1">
      <c r="A199" s="110"/>
      <c r="B199" s="49">
        <v>46206.0</v>
      </c>
      <c r="C199" s="60" t="s">
        <v>75</v>
      </c>
      <c r="D199" s="119" t="str">
        <f t="shared" si="9"/>
        <v>QLCHVMDXL_04</v>
      </c>
      <c r="E199" s="119"/>
      <c r="F199" s="119"/>
      <c r="G199" s="63" t="s">
        <v>2517</v>
      </c>
      <c r="H199" s="63" t="s">
        <v>2518</v>
      </c>
      <c r="I199" s="63"/>
      <c r="J199" s="63" t="s">
        <v>2520</v>
      </c>
      <c r="K199" s="63" t="s">
        <v>3158</v>
      </c>
      <c r="L199" s="63" t="s">
        <v>3158</v>
      </c>
      <c r="M199" s="145" t="s">
        <v>3159</v>
      </c>
      <c r="N199" s="60" t="s">
        <v>54</v>
      </c>
      <c r="O199" s="61"/>
      <c r="P199" s="61"/>
      <c r="Q199" s="61"/>
      <c r="R199" s="61"/>
      <c r="S199" s="61"/>
      <c r="T199" s="61"/>
      <c r="U199" s="61"/>
      <c r="V199" s="61"/>
      <c r="W199" s="61"/>
      <c r="X199" s="61"/>
      <c r="Y199" s="56"/>
      <c r="Z199" s="56"/>
      <c r="AA199" s="56"/>
      <c r="AB199" s="56"/>
      <c r="AC199" s="56"/>
      <c r="AD199" s="56"/>
    </row>
    <row r="200" hidden="1">
      <c r="A200" s="106"/>
      <c r="B200" s="15">
        <v>46206.0</v>
      </c>
      <c r="C200" s="41" t="s">
        <v>75</v>
      </c>
      <c r="D200" s="118" t="str">
        <f t="shared" si="9"/>
        <v>QLCHVMDXL_05</v>
      </c>
      <c r="E200" s="118"/>
      <c r="F200" s="118"/>
      <c r="G200" s="78" t="s">
        <v>2534</v>
      </c>
      <c r="H200" s="78" t="s">
        <v>3164</v>
      </c>
      <c r="I200" s="78"/>
      <c r="J200" s="78" t="s">
        <v>3165</v>
      </c>
      <c r="K200" s="78" t="s">
        <v>3166</v>
      </c>
      <c r="L200" s="78" t="s">
        <v>3166</v>
      </c>
      <c r="M200" s="33" t="s">
        <v>3167</v>
      </c>
      <c r="N200" s="41" t="s">
        <v>54</v>
      </c>
      <c r="O200" s="34"/>
      <c r="P200" s="34"/>
      <c r="Q200" s="34"/>
      <c r="R200" s="34"/>
      <c r="S200" s="34"/>
      <c r="T200" s="34"/>
      <c r="U200" s="34"/>
      <c r="V200" s="34"/>
      <c r="W200" s="34"/>
      <c r="X200" s="34"/>
      <c r="Y200" s="56"/>
      <c r="Z200" s="56"/>
      <c r="AA200" s="56"/>
      <c r="AB200" s="56"/>
      <c r="AC200" s="56"/>
      <c r="AD200" s="56"/>
    </row>
    <row r="201" hidden="1">
      <c r="A201" s="110"/>
      <c r="B201" s="49">
        <v>46206.0</v>
      </c>
      <c r="C201" s="60" t="s">
        <v>75</v>
      </c>
      <c r="D201" s="119" t="str">
        <f t="shared" si="9"/>
        <v>QLCHVMDXL_06</v>
      </c>
      <c r="E201" s="119"/>
      <c r="F201" s="119"/>
      <c r="G201" s="63" t="s">
        <v>2545</v>
      </c>
      <c r="H201" s="63" t="s">
        <v>2547</v>
      </c>
      <c r="I201" s="63"/>
      <c r="J201" s="63" t="s">
        <v>2548</v>
      </c>
      <c r="K201" s="63" t="s">
        <v>2549</v>
      </c>
      <c r="L201" s="61" t="s">
        <v>3173</v>
      </c>
      <c r="M201" s="145" t="s">
        <v>3174</v>
      </c>
      <c r="N201" s="60" t="s">
        <v>52</v>
      </c>
      <c r="O201" s="61"/>
      <c r="P201" s="90" t="s">
        <v>53</v>
      </c>
      <c r="Q201" s="92" t="s">
        <v>54</v>
      </c>
      <c r="R201" s="90" t="s">
        <v>3176</v>
      </c>
      <c r="S201" s="61"/>
      <c r="T201" s="61"/>
      <c r="U201" s="61"/>
      <c r="V201" s="61"/>
      <c r="W201" s="61"/>
      <c r="X201" s="61"/>
      <c r="Y201" s="56"/>
      <c r="Z201" s="56"/>
      <c r="AA201" s="56"/>
      <c r="AB201" s="56"/>
      <c r="AC201" s="56"/>
      <c r="AD201" s="56"/>
    </row>
    <row r="202" hidden="1">
      <c r="A202" s="106"/>
      <c r="B202" s="15">
        <v>46206.0</v>
      </c>
      <c r="C202" s="41" t="s">
        <v>75</v>
      </c>
      <c r="D202" s="118" t="str">
        <f t="shared" si="9"/>
        <v>QLCHVMDXL_07</v>
      </c>
      <c r="E202" s="118"/>
      <c r="F202" s="118"/>
      <c r="G202" s="78" t="s">
        <v>2555</v>
      </c>
      <c r="H202" s="78" t="s">
        <v>3179</v>
      </c>
      <c r="I202" s="78"/>
      <c r="J202" s="78" t="s">
        <v>3180</v>
      </c>
      <c r="K202" s="78" t="s">
        <v>2560</v>
      </c>
      <c r="L202" s="78" t="s">
        <v>2560</v>
      </c>
      <c r="M202" s="33" t="s">
        <v>3181</v>
      </c>
      <c r="N202" s="41" t="s">
        <v>54</v>
      </c>
      <c r="O202" s="34"/>
      <c r="P202" s="34"/>
      <c r="Q202" s="34"/>
      <c r="R202" s="34"/>
      <c r="S202" s="34"/>
      <c r="T202" s="34"/>
      <c r="U202" s="34"/>
      <c r="V202" s="34"/>
      <c r="W202" s="34"/>
      <c r="X202" s="34"/>
      <c r="Y202" s="56"/>
      <c r="Z202" s="56"/>
      <c r="AA202" s="56"/>
      <c r="AB202" s="56"/>
      <c r="AC202" s="56"/>
      <c r="AD202" s="56"/>
    </row>
    <row r="203" hidden="1">
      <c r="A203" s="110"/>
      <c r="B203" s="49">
        <v>46206.0</v>
      </c>
      <c r="C203" s="60" t="s">
        <v>75</v>
      </c>
      <c r="D203" s="119" t="str">
        <f t="shared" si="9"/>
        <v>QLCHVMDXL_08</v>
      </c>
      <c r="E203" s="119"/>
      <c r="F203" s="119"/>
      <c r="G203" s="63" t="s">
        <v>3185</v>
      </c>
      <c r="H203" s="63" t="s">
        <v>3186</v>
      </c>
      <c r="I203" s="63"/>
      <c r="J203" s="63" t="s">
        <v>3187</v>
      </c>
      <c r="K203" s="63" t="s">
        <v>3188</v>
      </c>
      <c r="L203" s="63" t="s">
        <v>3188</v>
      </c>
      <c r="M203" s="145" t="s">
        <v>3189</v>
      </c>
      <c r="N203" s="60" t="s">
        <v>54</v>
      </c>
      <c r="O203" s="61"/>
      <c r="P203" s="61"/>
      <c r="Q203" s="61"/>
      <c r="R203" s="61"/>
      <c r="S203" s="61"/>
      <c r="T203" s="61"/>
      <c r="U203" s="61"/>
      <c r="V203" s="61"/>
      <c r="W203" s="61"/>
      <c r="X203" s="61"/>
      <c r="Y203" s="56"/>
      <c r="Z203" s="56"/>
      <c r="AA203" s="56"/>
      <c r="AB203" s="56"/>
      <c r="AC203" s="56"/>
      <c r="AD203" s="56"/>
    </row>
    <row r="204" hidden="1">
      <c r="A204" s="106"/>
      <c r="B204" s="15">
        <v>46206.0</v>
      </c>
      <c r="C204" s="41" t="s">
        <v>75</v>
      </c>
      <c r="D204" s="118" t="str">
        <f t="shared" si="9"/>
        <v>QLCHVMDXL_09</v>
      </c>
      <c r="E204" s="118"/>
      <c r="F204" s="118"/>
      <c r="G204" s="78" t="s">
        <v>2564</v>
      </c>
      <c r="H204" s="78" t="s">
        <v>2565</v>
      </c>
      <c r="I204" s="78"/>
      <c r="J204" s="78" t="s">
        <v>2566</v>
      </c>
      <c r="K204" s="78" t="s">
        <v>2567</v>
      </c>
      <c r="L204" s="78" t="s">
        <v>2567</v>
      </c>
      <c r="M204" s="33" t="s">
        <v>3197</v>
      </c>
      <c r="N204" s="41" t="s">
        <v>54</v>
      </c>
      <c r="O204" s="34"/>
      <c r="P204" s="34"/>
      <c r="Q204" s="34"/>
      <c r="R204" s="34"/>
      <c r="S204" s="34"/>
      <c r="T204" s="34"/>
      <c r="U204" s="34"/>
      <c r="V204" s="34"/>
      <c r="W204" s="34"/>
      <c r="X204" s="34"/>
      <c r="Y204" s="56"/>
      <c r="Z204" s="56"/>
      <c r="AA204" s="56"/>
      <c r="AB204" s="56"/>
      <c r="AC204" s="56"/>
      <c r="AD204" s="56"/>
    </row>
    <row r="205" hidden="1">
      <c r="A205" s="110"/>
      <c r="B205" s="49">
        <v>46206.0</v>
      </c>
      <c r="C205" s="60" t="s">
        <v>75</v>
      </c>
      <c r="D205" s="119" t="str">
        <f t="shared" si="9"/>
        <v>QLCHVMDXL_10</v>
      </c>
      <c r="E205" s="119"/>
      <c r="F205" s="119"/>
      <c r="G205" s="63" t="s">
        <v>2575</v>
      </c>
      <c r="H205" s="63" t="s">
        <v>2577</v>
      </c>
      <c r="I205" s="63"/>
      <c r="J205" s="63" t="s">
        <v>3204</v>
      </c>
      <c r="K205" s="63" t="s">
        <v>3205</v>
      </c>
      <c r="L205" s="63" t="s">
        <v>3205</v>
      </c>
      <c r="M205" s="145" t="s">
        <v>3207</v>
      </c>
      <c r="N205" s="60" t="s">
        <v>54</v>
      </c>
      <c r="O205" s="61"/>
      <c r="P205" s="61"/>
      <c r="Q205" s="61"/>
      <c r="R205" s="61"/>
      <c r="S205" s="61"/>
      <c r="T205" s="61"/>
      <c r="U205" s="61"/>
      <c r="V205" s="61"/>
      <c r="W205" s="61"/>
      <c r="X205" s="61"/>
      <c r="Y205" s="56"/>
      <c r="Z205" s="56"/>
      <c r="AA205" s="56"/>
      <c r="AB205" s="56"/>
      <c r="AC205" s="56"/>
      <c r="AD205" s="56"/>
    </row>
    <row r="206" hidden="1">
      <c r="A206" s="106"/>
      <c r="B206" s="41">
        <v>19.0</v>
      </c>
      <c r="C206" s="41" t="s">
        <v>75</v>
      </c>
      <c r="D206" s="118"/>
      <c r="E206" s="118" t="s">
        <v>3211</v>
      </c>
      <c r="F206" s="118" t="s">
        <v>78</v>
      </c>
      <c r="G206" s="118" t="s">
        <v>3212</v>
      </c>
      <c r="H206" s="118"/>
      <c r="I206" s="41"/>
      <c r="J206" s="34"/>
      <c r="K206" s="34"/>
      <c r="L206" s="34"/>
      <c r="M206" s="34"/>
      <c r="N206" s="41"/>
      <c r="O206" s="34"/>
      <c r="P206" s="34"/>
      <c r="Q206" s="34"/>
      <c r="R206" s="34"/>
      <c r="S206" s="34"/>
      <c r="T206" s="34"/>
      <c r="U206" s="34"/>
      <c r="V206" s="34"/>
      <c r="W206" s="34"/>
      <c r="X206" s="34"/>
      <c r="Y206" s="56"/>
      <c r="Z206" s="56"/>
      <c r="AA206" s="56"/>
      <c r="AB206" s="56"/>
      <c r="AC206" s="56"/>
      <c r="AD206" s="56"/>
    </row>
    <row r="207" hidden="1">
      <c r="A207" s="110"/>
      <c r="B207" s="49">
        <v>46206.0</v>
      </c>
      <c r="C207" s="60" t="s">
        <v>75</v>
      </c>
      <c r="D207" s="119" t="str">
        <f t="shared" ref="D207:D218" si="10">IF(G207&lt;&gt;"","TKCHVMDXL_"&amp;TEXT(COUNTIF($G$207:G207,"&lt;&gt;"),"00"),"")</f>
        <v>TKCHVMDXL_01</v>
      </c>
      <c r="E207" s="119"/>
      <c r="F207" s="119"/>
      <c r="G207" s="63" t="s">
        <v>2270</v>
      </c>
      <c r="H207" s="63" t="s">
        <v>2271</v>
      </c>
      <c r="I207" s="63" t="s">
        <v>2272</v>
      </c>
      <c r="J207" s="63" t="s">
        <v>2273</v>
      </c>
      <c r="K207" s="63" t="s">
        <v>2274</v>
      </c>
      <c r="L207" s="63" t="s">
        <v>2274</v>
      </c>
      <c r="M207" s="145" t="s">
        <v>3217</v>
      </c>
      <c r="N207" s="60" t="s">
        <v>54</v>
      </c>
      <c r="O207" s="61"/>
      <c r="P207" s="61"/>
      <c r="Q207" s="61"/>
      <c r="R207" s="61"/>
      <c r="S207" s="61"/>
      <c r="T207" s="61"/>
      <c r="U207" s="61"/>
      <c r="V207" s="61"/>
      <c r="W207" s="61"/>
      <c r="X207" s="61"/>
      <c r="Y207" s="56"/>
      <c r="Z207" s="56"/>
      <c r="AA207" s="56"/>
      <c r="AB207" s="56"/>
      <c r="AC207" s="56"/>
      <c r="AD207" s="56"/>
    </row>
    <row r="208" hidden="1">
      <c r="A208" s="106"/>
      <c r="B208" s="15">
        <v>46206.0</v>
      </c>
      <c r="C208" s="41" t="s">
        <v>75</v>
      </c>
      <c r="D208" s="118" t="str">
        <f t="shared" si="10"/>
        <v>TKCHVMDXL_02</v>
      </c>
      <c r="E208" s="118"/>
      <c r="F208" s="118"/>
      <c r="G208" s="78" t="s">
        <v>2287</v>
      </c>
      <c r="H208" s="78" t="s">
        <v>2288</v>
      </c>
      <c r="I208" s="78" t="s">
        <v>2289</v>
      </c>
      <c r="J208" s="78" t="s">
        <v>2290</v>
      </c>
      <c r="K208" s="78" t="s">
        <v>2291</v>
      </c>
      <c r="L208" s="78" t="s">
        <v>2291</v>
      </c>
      <c r="M208" s="33" t="s">
        <v>3225</v>
      </c>
      <c r="N208" s="41" t="s">
        <v>54</v>
      </c>
      <c r="O208" s="34"/>
      <c r="P208" s="34"/>
      <c r="Q208" s="34"/>
      <c r="R208" s="34"/>
      <c r="S208" s="34"/>
      <c r="T208" s="34"/>
      <c r="U208" s="34"/>
      <c r="V208" s="34"/>
      <c r="W208" s="34"/>
      <c r="X208" s="34"/>
      <c r="Y208" s="56"/>
      <c r="Z208" s="56"/>
      <c r="AA208" s="56"/>
      <c r="AB208" s="56"/>
      <c r="AC208" s="56"/>
      <c r="AD208" s="56"/>
    </row>
    <row r="209" hidden="1">
      <c r="A209" s="110"/>
      <c r="B209" s="49">
        <v>46206.0</v>
      </c>
      <c r="C209" s="60" t="s">
        <v>75</v>
      </c>
      <c r="D209" s="119" t="str">
        <f t="shared" si="10"/>
        <v>TKCHVMDXL_03</v>
      </c>
      <c r="E209" s="119"/>
      <c r="F209" s="119"/>
      <c r="G209" s="63" t="s">
        <v>2297</v>
      </c>
      <c r="H209" s="63" t="s">
        <v>2298</v>
      </c>
      <c r="I209" s="63" t="s">
        <v>2299</v>
      </c>
      <c r="J209" s="63" t="s">
        <v>2300</v>
      </c>
      <c r="K209" s="63" t="s">
        <v>2301</v>
      </c>
      <c r="L209" s="63" t="s">
        <v>2301</v>
      </c>
      <c r="M209" s="145" t="s">
        <v>3231</v>
      </c>
      <c r="N209" s="60" t="s">
        <v>54</v>
      </c>
      <c r="O209" s="61"/>
      <c r="P209" s="61"/>
      <c r="Q209" s="61"/>
      <c r="R209" s="61"/>
      <c r="S209" s="61"/>
      <c r="T209" s="61"/>
      <c r="U209" s="61"/>
      <c r="V209" s="61"/>
      <c r="W209" s="61"/>
      <c r="X209" s="61"/>
      <c r="Y209" s="56"/>
      <c r="Z209" s="56"/>
      <c r="AA209" s="56"/>
      <c r="AB209" s="56"/>
      <c r="AC209" s="56"/>
      <c r="AD209" s="56"/>
    </row>
    <row r="210" hidden="1">
      <c r="A210" s="106"/>
      <c r="B210" s="15">
        <v>46206.0</v>
      </c>
      <c r="C210" s="41" t="s">
        <v>75</v>
      </c>
      <c r="D210" s="118" t="str">
        <f t="shared" si="10"/>
        <v>TKCHVMDXL_04</v>
      </c>
      <c r="E210" s="118"/>
      <c r="F210" s="118"/>
      <c r="G210" s="78" t="s">
        <v>2306</v>
      </c>
      <c r="H210" s="78" t="s">
        <v>2307</v>
      </c>
      <c r="I210" s="78" t="s">
        <v>2308</v>
      </c>
      <c r="J210" s="78" t="s">
        <v>2309</v>
      </c>
      <c r="K210" s="78" t="s">
        <v>2310</v>
      </c>
      <c r="L210" s="78" t="s">
        <v>2310</v>
      </c>
      <c r="M210" s="33" t="s">
        <v>3239</v>
      </c>
      <c r="N210" s="41" t="s">
        <v>54</v>
      </c>
      <c r="O210" s="34"/>
      <c r="P210" s="34"/>
      <c r="Q210" s="34"/>
      <c r="R210" s="34"/>
      <c r="S210" s="34"/>
      <c r="T210" s="34"/>
      <c r="U210" s="34"/>
      <c r="V210" s="34"/>
      <c r="W210" s="34"/>
      <c r="X210" s="34"/>
      <c r="Y210" s="56"/>
      <c r="Z210" s="56"/>
      <c r="AA210" s="56"/>
      <c r="AB210" s="56"/>
      <c r="AC210" s="56"/>
      <c r="AD210" s="56"/>
    </row>
    <row r="211" hidden="1">
      <c r="A211" s="110"/>
      <c r="B211" s="49">
        <v>46206.0</v>
      </c>
      <c r="C211" s="60" t="s">
        <v>75</v>
      </c>
      <c r="D211" s="119" t="str">
        <f t="shared" si="10"/>
        <v>TKCHVMDXL_05</v>
      </c>
      <c r="E211" s="119"/>
      <c r="F211" s="119"/>
      <c r="G211" s="63" t="s">
        <v>2316</v>
      </c>
      <c r="H211" s="63" t="s">
        <v>2317</v>
      </c>
      <c r="I211" s="63" t="s">
        <v>2318</v>
      </c>
      <c r="J211" s="63" t="s">
        <v>2319</v>
      </c>
      <c r="K211" s="63" t="s">
        <v>2320</v>
      </c>
      <c r="L211" s="63" t="s">
        <v>2320</v>
      </c>
      <c r="M211" s="145" t="s">
        <v>3247</v>
      </c>
      <c r="N211" s="60" t="s">
        <v>54</v>
      </c>
      <c r="O211" s="61"/>
      <c r="P211" s="61"/>
      <c r="Q211" s="61"/>
      <c r="R211" s="61"/>
      <c r="S211" s="61"/>
      <c r="T211" s="61"/>
      <c r="U211" s="61"/>
      <c r="V211" s="61"/>
      <c r="W211" s="61"/>
      <c r="X211" s="61"/>
      <c r="Y211" s="56"/>
      <c r="Z211" s="56"/>
      <c r="AA211" s="56"/>
      <c r="AB211" s="56"/>
      <c r="AC211" s="56"/>
      <c r="AD211" s="56"/>
    </row>
    <row r="212" hidden="1">
      <c r="A212" s="106"/>
      <c r="B212" s="15">
        <v>46206.0</v>
      </c>
      <c r="C212" s="41" t="s">
        <v>75</v>
      </c>
      <c r="D212" s="118" t="str">
        <f t="shared" si="10"/>
        <v>TKCHVMDXL_06</v>
      </c>
      <c r="E212" s="118"/>
      <c r="F212" s="118"/>
      <c r="G212" s="78" t="s">
        <v>2325</v>
      </c>
      <c r="H212" s="78" t="s">
        <v>2326</v>
      </c>
      <c r="I212" s="78" t="s">
        <v>2327</v>
      </c>
      <c r="J212" s="78" t="s">
        <v>2328</v>
      </c>
      <c r="K212" s="78" t="s">
        <v>2329</v>
      </c>
      <c r="L212" s="34" t="s">
        <v>3255</v>
      </c>
      <c r="M212" s="33" t="s">
        <v>3256</v>
      </c>
      <c r="N212" s="41" t="s">
        <v>52</v>
      </c>
      <c r="O212" s="34"/>
      <c r="P212" s="21" t="s">
        <v>53</v>
      </c>
      <c r="Q212" s="46" t="s">
        <v>54</v>
      </c>
      <c r="R212" s="34"/>
      <c r="S212" s="34"/>
      <c r="T212" s="34"/>
      <c r="U212" s="34"/>
      <c r="V212" s="34"/>
      <c r="W212" s="34"/>
      <c r="X212" s="34"/>
      <c r="Y212" s="56"/>
      <c r="Z212" s="56"/>
      <c r="AA212" s="56"/>
      <c r="AB212" s="56"/>
      <c r="AC212" s="56"/>
      <c r="AD212" s="56"/>
    </row>
    <row r="213" hidden="1">
      <c r="A213" s="110"/>
      <c r="B213" s="49">
        <v>46206.0</v>
      </c>
      <c r="C213" s="60" t="s">
        <v>75</v>
      </c>
      <c r="D213" s="119" t="str">
        <f t="shared" si="10"/>
        <v>TKCHVMDXL_07</v>
      </c>
      <c r="E213" s="119"/>
      <c r="F213" s="119"/>
      <c r="G213" s="63" t="s">
        <v>2350</v>
      </c>
      <c r="H213" s="63" t="s">
        <v>2351</v>
      </c>
      <c r="I213" s="63" t="s">
        <v>2353</v>
      </c>
      <c r="J213" s="63" t="s">
        <v>2354</v>
      </c>
      <c r="K213" s="63" t="s">
        <v>2355</v>
      </c>
      <c r="L213" s="63" t="s">
        <v>2355</v>
      </c>
      <c r="M213" s="145" t="s">
        <v>3265</v>
      </c>
      <c r="N213" s="60" t="s">
        <v>54</v>
      </c>
      <c r="O213" s="61"/>
      <c r="P213" s="61"/>
      <c r="Q213" s="61"/>
      <c r="R213" s="61"/>
      <c r="S213" s="61"/>
      <c r="T213" s="61"/>
      <c r="U213" s="61"/>
      <c r="V213" s="61"/>
      <c r="W213" s="61"/>
      <c r="X213" s="61"/>
      <c r="Y213" s="56"/>
      <c r="Z213" s="56"/>
      <c r="AA213" s="56"/>
      <c r="AB213" s="56"/>
      <c r="AC213" s="56"/>
      <c r="AD213" s="56"/>
    </row>
    <row r="214" hidden="1">
      <c r="A214" s="106"/>
      <c r="B214" s="15">
        <v>46206.0</v>
      </c>
      <c r="C214" s="41" t="s">
        <v>75</v>
      </c>
      <c r="D214" s="118" t="str">
        <f t="shared" si="10"/>
        <v>TKCHVMDXL_08</v>
      </c>
      <c r="E214" s="118"/>
      <c r="F214" s="118"/>
      <c r="G214" s="78" t="s">
        <v>2360</v>
      </c>
      <c r="H214" s="78" t="s">
        <v>2361</v>
      </c>
      <c r="I214" s="78" t="s">
        <v>2362</v>
      </c>
      <c r="J214" s="78" t="s">
        <v>2363</v>
      </c>
      <c r="K214" s="78" t="s">
        <v>2364</v>
      </c>
      <c r="L214" s="78" t="s">
        <v>2364</v>
      </c>
      <c r="M214" s="33" t="s">
        <v>3276</v>
      </c>
      <c r="N214" s="41" t="s">
        <v>54</v>
      </c>
      <c r="O214" s="34"/>
      <c r="P214" s="34"/>
      <c r="Q214" s="34"/>
      <c r="R214" s="34"/>
      <c r="S214" s="34"/>
      <c r="T214" s="34"/>
      <c r="U214" s="34"/>
      <c r="V214" s="34"/>
      <c r="W214" s="34"/>
      <c r="X214" s="34"/>
      <c r="Y214" s="56"/>
      <c r="Z214" s="56"/>
      <c r="AA214" s="56"/>
      <c r="AB214" s="56"/>
      <c r="AC214" s="56"/>
      <c r="AD214" s="56"/>
    </row>
    <row r="215" hidden="1">
      <c r="A215" s="110"/>
      <c r="B215" s="49">
        <v>46206.0</v>
      </c>
      <c r="C215" s="60" t="s">
        <v>75</v>
      </c>
      <c r="D215" s="119" t="str">
        <f t="shared" si="10"/>
        <v>TKCHVMDXL_09</v>
      </c>
      <c r="E215" s="119"/>
      <c r="F215" s="119"/>
      <c r="G215" s="63" t="s">
        <v>2369</v>
      </c>
      <c r="H215" s="63" t="s">
        <v>2371</v>
      </c>
      <c r="I215" s="63" t="s">
        <v>2372</v>
      </c>
      <c r="J215" s="63" t="s">
        <v>2373</v>
      </c>
      <c r="K215" s="63" t="s">
        <v>2374</v>
      </c>
      <c r="L215" s="63" t="s">
        <v>2374</v>
      </c>
      <c r="M215" s="145" t="s">
        <v>3283</v>
      </c>
      <c r="N215" s="60" t="s">
        <v>54</v>
      </c>
      <c r="O215" s="61"/>
      <c r="P215" s="61"/>
      <c r="Q215" s="61"/>
      <c r="R215" s="61"/>
      <c r="S215" s="61"/>
      <c r="T215" s="61"/>
      <c r="U215" s="61"/>
      <c r="V215" s="61"/>
      <c r="W215" s="61"/>
      <c r="X215" s="61"/>
      <c r="Y215" s="56"/>
      <c r="Z215" s="56"/>
      <c r="AA215" s="56"/>
      <c r="AB215" s="56"/>
      <c r="AC215" s="56"/>
      <c r="AD215" s="56"/>
    </row>
    <row r="216" hidden="1">
      <c r="A216" s="106"/>
      <c r="B216" s="15">
        <v>46206.0</v>
      </c>
      <c r="C216" s="41" t="s">
        <v>75</v>
      </c>
      <c r="D216" s="118" t="str">
        <f t="shared" si="10"/>
        <v>TKCHVMDXL_10</v>
      </c>
      <c r="E216" s="118"/>
      <c r="F216" s="118"/>
      <c r="G216" s="78" t="s">
        <v>2340</v>
      </c>
      <c r="H216" s="78" t="s">
        <v>2307</v>
      </c>
      <c r="I216" s="78" t="s">
        <v>2341</v>
      </c>
      <c r="J216" s="78" t="s">
        <v>2342</v>
      </c>
      <c r="K216" s="78" t="s">
        <v>2343</v>
      </c>
      <c r="L216" s="78" t="s">
        <v>2343</v>
      </c>
      <c r="M216" s="33" t="s">
        <v>3293</v>
      </c>
      <c r="N216" s="41" t="s">
        <v>54</v>
      </c>
      <c r="O216" s="34"/>
      <c r="P216" s="34"/>
      <c r="Q216" s="34"/>
      <c r="R216" s="34"/>
      <c r="S216" s="34"/>
      <c r="T216" s="34"/>
      <c r="U216" s="34"/>
      <c r="V216" s="34"/>
      <c r="W216" s="34"/>
      <c r="X216" s="34"/>
      <c r="Y216" s="56"/>
      <c r="Z216" s="56"/>
      <c r="AA216" s="56"/>
      <c r="AB216" s="56"/>
      <c r="AC216" s="56"/>
      <c r="AD216" s="56"/>
    </row>
    <row r="217" hidden="1">
      <c r="A217" s="110"/>
      <c r="B217" s="49">
        <v>46206.0</v>
      </c>
      <c r="C217" s="60" t="s">
        <v>75</v>
      </c>
      <c r="D217" s="119" t="str">
        <f t="shared" si="10"/>
        <v>TKCHVMDXL_11</v>
      </c>
      <c r="E217" s="119"/>
      <c r="F217" s="119"/>
      <c r="G217" s="63" t="s">
        <v>2380</v>
      </c>
      <c r="H217" s="63" t="s">
        <v>2382</v>
      </c>
      <c r="I217" s="63" t="s">
        <v>2383</v>
      </c>
      <c r="J217" s="63" t="s">
        <v>2385</v>
      </c>
      <c r="K217" s="63" t="s">
        <v>2386</v>
      </c>
      <c r="L217" s="61" t="s">
        <v>3302</v>
      </c>
      <c r="M217" s="145" t="s">
        <v>3303</v>
      </c>
      <c r="N217" s="60" t="s">
        <v>52</v>
      </c>
      <c r="O217" s="61"/>
      <c r="P217" s="90" t="s">
        <v>53</v>
      </c>
      <c r="Q217" s="92" t="s">
        <v>54</v>
      </c>
      <c r="R217" s="61"/>
      <c r="S217" s="61"/>
      <c r="T217" s="61"/>
      <c r="U217" s="61"/>
      <c r="V217" s="61"/>
      <c r="W217" s="61"/>
      <c r="X217" s="61"/>
      <c r="Y217" s="56"/>
      <c r="Z217" s="56"/>
      <c r="AA217" s="56"/>
      <c r="AB217" s="56"/>
      <c r="AC217" s="56"/>
      <c r="AD217" s="56"/>
    </row>
    <row r="218" hidden="1">
      <c r="A218" s="106"/>
      <c r="B218" s="15">
        <v>46206.0</v>
      </c>
      <c r="C218" s="41" t="s">
        <v>75</v>
      </c>
      <c r="D218" s="118" t="str">
        <f t="shared" si="10"/>
        <v>TKCHVMDXL_12</v>
      </c>
      <c r="E218" s="118"/>
      <c r="F218" s="118"/>
      <c r="G218" s="78" t="s">
        <v>2395</v>
      </c>
      <c r="H218" s="78" t="s">
        <v>2396</v>
      </c>
      <c r="I218" s="78" t="s">
        <v>2398</v>
      </c>
      <c r="J218" s="78" t="s">
        <v>2399</v>
      </c>
      <c r="K218" s="78" t="s">
        <v>2400</v>
      </c>
      <c r="L218" s="78" t="s">
        <v>2400</v>
      </c>
      <c r="M218" s="33" t="s">
        <v>3315</v>
      </c>
      <c r="N218" s="41" t="s">
        <v>54</v>
      </c>
      <c r="O218" s="34"/>
      <c r="P218" s="34"/>
      <c r="Q218" s="34"/>
      <c r="R218" s="34"/>
      <c r="S218" s="34"/>
      <c r="T218" s="34"/>
      <c r="U218" s="34"/>
      <c r="V218" s="34"/>
      <c r="W218" s="34"/>
      <c r="X218" s="34"/>
      <c r="Y218" s="56"/>
      <c r="Z218" s="56"/>
      <c r="AA218" s="56"/>
      <c r="AB218" s="56"/>
      <c r="AC218" s="56"/>
      <c r="AD218" s="56"/>
    </row>
    <row r="219" hidden="1">
      <c r="A219" s="148"/>
      <c r="B219" s="149" t="s">
        <v>3322</v>
      </c>
      <c r="C219" s="149" t="s">
        <v>75</v>
      </c>
      <c r="D219" s="150"/>
      <c r="E219" s="150" t="s">
        <v>3324</v>
      </c>
      <c r="F219" s="119"/>
      <c r="G219" s="119"/>
      <c r="H219" s="119"/>
      <c r="I219" s="119"/>
      <c r="J219" s="119"/>
      <c r="K219" s="61"/>
      <c r="L219" s="61"/>
      <c r="M219" s="61"/>
      <c r="N219" s="60"/>
      <c r="O219" s="61"/>
      <c r="P219" s="61"/>
      <c r="Q219" s="61"/>
      <c r="R219" s="61"/>
      <c r="S219" s="61"/>
      <c r="T219" s="61"/>
      <c r="U219" s="61"/>
      <c r="V219" s="61"/>
      <c r="W219" s="61"/>
      <c r="X219" s="61"/>
      <c r="Y219" s="56"/>
      <c r="Z219" s="56"/>
      <c r="AA219" s="56"/>
      <c r="AB219" s="56"/>
      <c r="AC219" s="56"/>
      <c r="AD219" s="56"/>
    </row>
    <row r="220" hidden="1">
      <c r="A220" s="106"/>
      <c r="B220" s="41">
        <v>20.0</v>
      </c>
      <c r="C220" s="41" t="s">
        <v>75</v>
      </c>
      <c r="D220" s="118"/>
      <c r="E220" s="118" t="s">
        <v>3332</v>
      </c>
      <c r="F220" s="118" t="s">
        <v>611</v>
      </c>
      <c r="G220" s="118" t="s">
        <v>3333</v>
      </c>
      <c r="H220" s="41"/>
      <c r="I220" s="34"/>
      <c r="J220" s="34"/>
      <c r="K220" s="34"/>
      <c r="L220" s="34"/>
      <c r="M220" s="34"/>
      <c r="N220" s="41"/>
      <c r="O220" s="34"/>
      <c r="P220" s="34"/>
      <c r="Q220" s="34"/>
      <c r="R220" s="34"/>
      <c r="S220" s="34"/>
      <c r="T220" s="34"/>
      <c r="U220" s="34"/>
      <c r="V220" s="34"/>
      <c r="W220" s="34"/>
      <c r="X220" s="34"/>
      <c r="Y220" s="56"/>
      <c r="Z220" s="56"/>
      <c r="AA220" s="56"/>
      <c r="AB220" s="56"/>
      <c r="AC220" s="56"/>
      <c r="AD220" s="56"/>
    </row>
    <row r="221" hidden="1">
      <c r="A221" s="110"/>
      <c r="B221" s="49">
        <v>46206.0</v>
      </c>
      <c r="C221" s="60" t="s">
        <v>75</v>
      </c>
      <c r="D221" s="119" t="str">
        <f t="shared" ref="D221:D243" si="11">IF(G221&lt;&gt;"","TTCTDTTH_"&amp;TEXT(COUNTIF($G$221:G221,"&lt;&gt;"),"00"),"")</f>
        <v>TTCTDTTH_01</v>
      </c>
      <c r="E221" s="174"/>
      <c r="F221" s="63"/>
      <c r="G221" s="63" t="s">
        <v>3340</v>
      </c>
      <c r="H221" s="63" t="s">
        <v>3341</v>
      </c>
      <c r="I221" s="63" t="s">
        <v>3342</v>
      </c>
      <c r="J221" s="63" t="s">
        <v>3343</v>
      </c>
      <c r="K221" s="63" t="s">
        <v>3344</v>
      </c>
      <c r="L221" s="63" t="s">
        <v>3344</v>
      </c>
      <c r="M221" s="145" t="s">
        <v>3345</v>
      </c>
      <c r="N221" s="60" t="s">
        <v>54</v>
      </c>
      <c r="O221" s="61"/>
      <c r="P221" s="61"/>
      <c r="Q221" s="61"/>
      <c r="R221" s="61"/>
      <c r="S221" s="61"/>
      <c r="T221" s="61"/>
      <c r="U221" s="61"/>
      <c r="V221" s="61"/>
      <c r="W221" s="61"/>
      <c r="X221" s="61"/>
      <c r="Y221" s="56"/>
      <c r="Z221" s="56"/>
      <c r="AA221" s="56"/>
      <c r="AB221" s="56"/>
      <c r="AC221" s="56"/>
      <c r="AD221" s="56"/>
    </row>
    <row r="222" hidden="1">
      <c r="A222" s="106"/>
      <c r="B222" s="15">
        <v>46206.0</v>
      </c>
      <c r="C222" s="41" t="s">
        <v>75</v>
      </c>
      <c r="D222" s="118" t="str">
        <f t="shared" si="11"/>
        <v>TTCTDTTH_02</v>
      </c>
      <c r="E222" s="175"/>
      <c r="F222" s="78"/>
      <c r="G222" s="78" t="s">
        <v>3353</v>
      </c>
      <c r="H222" s="78" t="s">
        <v>3354</v>
      </c>
      <c r="I222" s="78" t="s">
        <v>3342</v>
      </c>
      <c r="J222" s="78" t="s">
        <v>2448</v>
      </c>
      <c r="K222" s="78" t="s">
        <v>3356</v>
      </c>
      <c r="L222" s="78" t="s">
        <v>3356</v>
      </c>
      <c r="M222" s="33" t="s">
        <v>3358</v>
      </c>
      <c r="N222" s="41" t="s">
        <v>54</v>
      </c>
      <c r="O222" s="34"/>
      <c r="P222" s="34"/>
      <c r="Q222" s="34"/>
      <c r="R222" s="34"/>
      <c r="S222" s="34"/>
      <c r="T222" s="34"/>
      <c r="U222" s="34"/>
      <c r="V222" s="34"/>
      <c r="W222" s="34"/>
      <c r="X222" s="34"/>
      <c r="Y222" s="56"/>
      <c r="Z222" s="56"/>
      <c r="AA222" s="56"/>
      <c r="AB222" s="56"/>
      <c r="AC222" s="56"/>
      <c r="AD222" s="56"/>
    </row>
    <row r="223" hidden="1">
      <c r="A223" s="110"/>
      <c r="B223" s="49">
        <v>46206.0</v>
      </c>
      <c r="C223" s="60" t="s">
        <v>75</v>
      </c>
      <c r="D223" s="119" t="str">
        <f t="shared" si="11"/>
        <v>TTCTDTTH_03</v>
      </c>
      <c r="E223" s="174"/>
      <c r="F223" s="63"/>
      <c r="G223" s="63" t="s">
        <v>3367</v>
      </c>
      <c r="H223" s="63" t="s">
        <v>256</v>
      </c>
      <c r="I223" s="63" t="s">
        <v>3368</v>
      </c>
      <c r="J223" s="63" t="s">
        <v>3369</v>
      </c>
      <c r="K223" s="63" t="s">
        <v>3371</v>
      </c>
      <c r="L223" s="63" t="s">
        <v>3371</v>
      </c>
      <c r="M223" s="145" t="s">
        <v>3372</v>
      </c>
      <c r="N223" s="60" t="s">
        <v>54</v>
      </c>
      <c r="O223" s="61"/>
      <c r="P223" s="61"/>
      <c r="Q223" s="61"/>
      <c r="R223" s="61"/>
      <c r="S223" s="61"/>
      <c r="T223" s="61"/>
      <c r="U223" s="61"/>
      <c r="V223" s="61"/>
      <c r="W223" s="61"/>
      <c r="X223" s="61"/>
      <c r="Y223" s="56"/>
      <c r="Z223" s="56"/>
      <c r="AA223" s="56"/>
      <c r="AB223" s="56"/>
      <c r="AC223" s="56"/>
      <c r="AD223" s="56"/>
    </row>
    <row r="224" hidden="1">
      <c r="A224" s="106"/>
      <c r="B224" s="15">
        <v>46206.0</v>
      </c>
      <c r="C224" s="41" t="s">
        <v>75</v>
      </c>
      <c r="D224" s="118" t="str">
        <f t="shared" si="11"/>
        <v>TTCTDTTH_04</v>
      </c>
      <c r="E224" s="175"/>
      <c r="F224" s="78"/>
      <c r="G224" s="78" t="s">
        <v>3379</v>
      </c>
      <c r="H224" s="78" t="s">
        <v>256</v>
      </c>
      <c r="I224" s="78" t="s">
        <v>3380</v>
      </c>
      <c r="J224" s="78" t="s">
        <v>3381</v>
      </c>
      <c r="K224" s="78" t="s">
        <v>3383</v>
      </c>
      <c r="L224" s="78" t="s">
        <v>3383</v>
      </c>
      <c r="M224" s="33" t="s">
        <v>3384</v>
      </c>
      <c r="N224" s="41" t="s">
        <v>54</v>
      </c>
      <c r="O224" s="34"/>
      <c r="P224" s="34"/>
      <c r="Q224" s="34"/>
      <c r="R224" s="34"/>
      <c r="S224" s="34"/>
      <c r="T224" s="34"/>
      <c r="U224" s="34"/>
      <c r="V224" s="34"/>
      <c r="W224" s="34"/>
      <c r="X224" s="34"/>
      <c r="Y224" s="56"/>
      <c r="Z224" s="56"/>
      <c r="AA224" s="56"/>
      <c r="AB224" s="56"/>
      <c r="AC224" s="56"/>
      <c r="AD224" s="56"/>
    </row>
    <row r="225" hidden="1">
      <c r="A225" s="110"/>
      <c r="B225" s="49">
        <v>46206.0</v>
      </c>
      <c r="C225" s="60" t="s">
        <v>75</v>
      </c>
      <c r="D225" s="119" t="str">
        <f t="shared" si="11"/>
        <v>TTCTDTTH_05</v>
      </c>
      <c r="E225" s="174"/>
      <c r="F225" s="63"/>
      <c r="G225" s="63" t="s">
        <v>3391</v>
      </c>
      <c r="H225" s="63" t="s">
        <v>3342</v>
      </c>
      <c r="I225" s="63" t="s">
        <v>3393</v>
      </c>
      <c r="J225" s="63" t="s">
        <v>3394</v>
      </c>
      <c r="K225" s="63" t="s">
        <v>3396</v>
      </c>
      <c r="L225" s="63" t="s">
        <v>3396</v>
      </c>
      <c r="M225" s="145" t="s">
        <v>3398</v>
      </c>
      <c r="N225" s="60" t="s">
        <v>54</v>
      </c>
      <c r="O225" s="61"/>
      <c r="P225" s="61"/>
      <c r="Q225" s="61"/>
      <c r="R225" s="61"/>
      <c r="S225" s="61"/>
      <c r="T225" s="61"/>
      <c r="U225" s="61"/>
      <c r="V225" s="61"/>
      <c r="W225" s="61"/>
      <c r="X225" s="61"/>
      <c r="Y225" s="56"/>
      <c r="Z225" s="56"/>
      <c r="AA225" s="56"/>
      <c r="AB225" s="56"/>
      <c r="AC225" s="56"/>
      <c r="AD225" s="56"/>
    </row>
    <row r="226" hidden="1">
      <c r="A226" s="106"/>
      <c r="B226" s="15">
        <v>46206.0</v>
      </c>
      <c r="C226" s="41" t="s">
        <v>75</v>
      </c>
      <c r="D226" s="118" t="str">
        <f t="shared" si="11"/>
        <v>TTCTDTTH_06</v>
      </c>
      <c r="E226" s="175"/>
      <c r="F226" s="78"/>
      <c r="G226" s="78" t="s">
        <v>3403</v>
      </c>
      <c r="H226" s="78" t="s">
        <v>3342</v>
      </c>
      <c r="I226" s="78" t="s">
        <v>3405</v>
      </c>
      <c r="J226" s="78" t="s">
        <v>3406</v>
      </c>
      <c r="K226" s="78" t="s">
        <v>3408</v>
      </c>
      <c r="L226" s="78" t="s">
        <v>3408</v>
      </c>
      <c r="M226" s="33" t="s">
        <v>3410</v>
      </c>
      <c r="N226" s="41" t="s">
        <v>54</v>
      </c>
      <c r="O226" s="34"/>
      <c r="P226" s="34"/>
      <c r="Q226" s="34"/>
      <c r="R226" s="34"/>
      <c r="S226" s="34"/>
      <c r="T226" s="34"/>
      <c r="U226" s="34"/>
      <c r="V226" s="34"/>
      <c r="W226" s="34"/>
      <c r="X226" s="34"/>
      <c r="Y226" s="56"/>
      <c r="Z226" s="56"/>
      <c r="AA226" s="56"/>
      <c r="AB226" s="56"/>
      <c r="AC226" s="56"/>
      <c r="AD226" s="56"/>
    </row>
    <row r="227" hidden="1">
      <c r="A227" s="110"/>
      <c r="B227" s="49">
        <v>46206.0</v>
      </c>
      <c r="C227" s="60" t="s">
        <v>75</v>
      </c>
      <c r="D227" s="119" t="str">
        <f t="shared" si="11"/>
        <v>TTCTDTTH_07</v>
      </c>
      <c r="E227" s="174"/>
      <c r="F227" s="63"/>
      <c r="G227" s="63" t="s">
        <v>3417</v>
      </c>
      <c r="H227" s="63" t="s">
        <v>256</v>
      </c>
      <c r="I227" s="63" t="s">
        <v>3419</v>
      </c>
      <c r="J227" s="63" t="s">
        <v>3420</v>
      </c>
      <c r="K227" s="63" t="s">
        <v>3423</v>
      </c>
      <c r="L227" s="63" t="s">
        <v>3423</v>
      </c>
      <c r="M227" s="145" t="s">
        <v>3426</v>
      </c>
      <c r="N227" s="60" t="s">
        <v>54</v>
      </c>
      <c r="O227" s="61"/>
      <c r="P227" s="61"/>
      <c r="Q227" s="61"/>
      <c r="R227" s="61"/>
      <c r="S227" s="61"/>
      <c r="T227" s="61"/>
      <c r="U227" s="61"/>
      <c r="V227" s="61"/>
      <c r="W227" s="61"/>
      <c r="X227" s="61"/>
      <c r="Y227" s="56"/>
      <c r="Z227" s="56"/>
      <c r="AA227" s="56"/>
      <c r="AB227" s="56"/>
      <c r="AC227" s="56"/>
      <c r="AD227" s="56"/>
    </row>
    <row r="228" hidden="1">
      <c r="A228" s="106"/>
      <c r="B228" s="15">
        <v>46206.0</v>
      </c>
      <c r="C228" s="41" t="s">
        <v>75</v>
      </c>
      <c r="D228" s="118" t="str">
        <f t="shared" si="11"/>
        <v>TTCTDTTH_08</v>
      </c>
      <c r="E228" s="175"/>
      <c r="F228" s="78"/>
      <c r="G228" s="78" t="s">
        <v>3433</v>
      </c>
      <c r="H228" s="78" t="s">
        <v>3342</v>
      </c>
      <c r="I228" s="78" t="s">
        <v>3342</v>
      </c>
      <c r="J228" s="78" t="s">
        <v>3435</v>
      </c>
      <c r="K228" s="78" t="s">
        <v>3436</v>
      </c>
      <c r="L228" s="78" t="s">
        <v>3436</v>
      </c>
      <c r="M228" s="33" t="s">
        <v>3437</v>
      </c>
      <c r="N228" s="41" t="s">
        <v>54</v>
      </c>
      <c r="O228" s="34"/>
      <c r="P228" s="34"/>
      <c r="Q228" s="34"/>
      <c r="R228" s="34"/>
      <c r="S228" s="34"/>
      <c r="T228" s="34"/>
      <c r="U228" s="34"/>
      <c r="V228" s="34"/>
      <c r="W228" s="34"/>
      <c r="X228" s="34"/>
      <c r="Y228" s="56"/>
      <c r="Z228" s="56"/>
      <c r="AA228" s="56"/>
      <c r="AB228" s="56"/>
      <c r="AC228" s="56"/>
      <c r="AD228" s="56"/>
    </row>
    <row r="229" hidden="1">
      <c r="A229" s="110"/>
      <c r="B229" s="49">
        <v>46206.0</v>
      </c>
      <c r="C229" s="60" t="s">
        <v>75</v>
      </c>
      <c r="D229" s="119" t="str">
        <f t="shared" si="11"/>
        <v>TTCTDTTH_09</v>
      </c>
      <c r="E229" s="174"/>
      <c r="F229" s="63"/>
      <c r="G229" s="63" t="s">
        <v>3458</v>
      </c>
      <c r="H229" s="63" t="s">
        <v>3460</v>
      </c>
      <c r="I229" s="63" t="s">
        <v>3342</v>
      </c>
      <c r="J229" s="63" t="s">
        <v>372</v>
      </c>
      <c r="K229" s="63" t="s">
        <v>3461</v>
      </c>
      <c r="L229" s="63" t="s">
        <v>3461</v>
      </c>
      <c r="M229" s="145" t="s">
        <v>3464</v>
      </c>
      <c r="N229" s="60" t="s">
        <v>54</v>
      </c>
      <c r="O229" s="61"/>
      <c r="P229" s="61"/>
      <c r="Q229" s="61"/>
      <c r="R229" s="61"/>
      <c r="S229" s="61"/>
      <c r="T229" s="61"/>
      <c r="U229" s="61"/>
      <c r="V229" s="61"/>
      <c r="W229" s="61"/>
      <c r="X229" s="61"/>
      <c r="Y229" s="56"/>
      <c r="Z229" s="56"/>
      <c r="AA229" s="56"/>
      <c r="AB229" s="56"/>
      <c r="AC229" s="56"/>
      <c r="AD229" s="56"/>
    </row>
    <row r="230" hidden="1">
      <c r="A230" s="106"/>
      <c r="B230" s="15">
        <v>46206.0</v>
      </c>
      <c r="C230" s="41" t="s">
        <v>75</v>
      </c>
      <c r="D230" s="118" t="str">
        <f t="shared" si="11"/>
        <v>TTCTDTTH_10</v>
      </c>
      <c r="E230" s="175"/>
      <c r="F230" s="78"/>
      <c r="G230" s="78" t="s">
        <v>3490</v>
      </c>
      <c r="H230" s="78" t="s">
        <v>3342</v>
      </c>
      <c r="I230" s="78" t="s">
        <v>3342</v>
      </c>
      <c r="J230" s="78" t="s">
        <v>411</v>
      </c>
      <c r="K230" s="78" t="s">
        <v>3492</v>
      </c>
      <c r="L230" s="78" t="s">
        <v>3492</v>
      </c>
      <c r="M230" s="33" t="s">
        <v>3495</v>
      </c>
      <c r="N230" s="41" t="s">
        <v>54</v>
      </c>
      <c r="O230" s="34"/>
      <c r="P230" s="34"/>
      <c r="Q230" s="34"/>
      <c r="R230" s="34"/>
      <c r="S230" s="34"/>
      <c r="T230" s="34"/>
      <c r="U230" s="34"/>
      <c r="V230" s="34"/>
      <c r="W230" s="34"/>
      <c r="X230" s="34"/>
      <c r="Y230" s="56"/>
      <c r="Z230" s="56"/>
      <c r="AA230" s="56"/>
      <c r="AB230" s="56"/>
      <c r="AC230" s="56"/>
      <c r="AD230" s="56"/>
    </row>
    <row r="231" hidden="1">
      <c r="A231" s="110"/>
      <c r="B231" s="49">
        <v>46206.0</v>
      </c>
      <c r="C231" s="60" t="s">
        <v>75</v>
      </c>
      <c r="D231" s="119" t="str">
        <f t="shared" si="11"/>
        <v>TTCTDTTH_11</v>
      </c>
      <c r="E231" s="174"/>
      <c r="F231" s="63"/>
      <c r="G231" s="63" t="s">
        <v>3517</v>
      </c>
      <c r="H231" s="63" t="s">
        <v>3342</v>
      </c>
      <c r="I231" s="63" t="s">
        <v>3342</v>
      </c>
      <c r="J231" s="63" t="s">
        <v>3521</v>
      </c>
      <c r="K231" s="63" t="s">
        <v>3524</v>
      </c>
      <c r="L231" s="63" t="s">
        <v>3524</v>
      </c>
      <c r="M231" s="145" t="s">
        <v>3528</v>
      </c>
      <c r="N231" s="60" t="s">
        <v>54</v>
      </c>
      <c r="O231" s="61"/>
      <c r="P231" s="61"/>
      <c r="Q231" s="61"/>
      <c r="R231" s="61"/>
      <c r="S231" s="61"/>
      <c r="T231" s="61"/>
      <c r="U231" s="61"/>
      <c r="V231" s="61"/>
      <c r="W231" s="61"/>
      <c r="X231" s="61"/>
      <c r="Y231" s="56"/>
      <c r="Z231" s="56"/>
      <c r="AA231" s="56"/>
      <c r="AB231" s="56"/>
      <c r="AC231" s="56"/>
      <c r="AD231" s="56"/>
    </row>
    <row r="232" hidden="1">
      <c r="A232" s="106"/>
      <c r="B232" s="15">
        <v>46206.0</v>
      </c>
      <c r="C232" s="41" t="s">
        <v>75</v>
      </c>
      <c r="D232" s="118" t="str">
        <f t="shared" si="11"/>
        <v>TTCTDTTH_12</v>
      </c>
      <c r="E232" s="175"/>
      <c r="F232" s="78"/>
      <c r="G232" s="78" t="s">
        <v>3529</v>
      </c>
      <c r="H232" s="78" t="s">
        <v>256</v>
      </c>
      <c r="I232" s="78" t="s">
        <v>3342</v>
      </c>
      <c r="J232" s="78" t="s">
        <v>3530</v>
      </c>
      <c r="K232" s="78" t="s">
        <v>3531</v>
      </c>
      <c r="L232" s="78" t="s">
        <v>3531</v>
      </c>
      <c r="M232" s="33" t="s">
        <v>3532</v>
      </c>
      <c r="N232" s="41" t="s">
        <v>54</v>
      </c>
      <c r="O232" s="34"/>
      <c r="P232" s="34"/>
      <c r="Q232" s="34"/>
      <c r="R232" s="34"/>
      <c r="S232" s="34"/>
      <c r="T232" s="34"/>
      <c r="U232" s="34"/>
      <c r="V232" s="34"/>
      <c r="W232" s="34"/>
      <c r="X232" s="34"/>
      <c r="Y232" s="56"/>
      <c r="Z232" s="56"/>
      <c r="AA232" s="56"/>
      <c r="AB232" s="56"/>
      <c r="AC232" s="56"/>
      <c r="AD232" s="56"/>
    </row>
    <row r="233" hidden="1">
      <c r="A233" s="110"/>
      <c r="B233" s="49">
        <v>46206.0</v>
      </c>
      <c r="C233" s="60" t="s">
        <v>75</v>
      </c>
      <c r="D233" s="119" t="str">
        <f t="shared" si="11"/>
        <v>TTCTDTTH_13</v>
      </c>
      <c r="E233" s="174"/>
      <c r="F233" s="63"/>
      <c r="G233" s="63" t="s">
        <v>3533</v>
      </c>
      <c r="H233" s="63" t="s">
        <v>256</v>
      </c>
      <c r="I233" s="63" t="s">
        <v>3342</v>
      </c>
      <c r="J233" s="63" t="s">
        <v>3534</v>
      </c>
      <c r="K233" s="63" t="s">
        <v>3535</v>
      </c>
      <c r="L233" s="63" t="s">
        <v>3535</v>
      </c>
      <c r="M233" s="145" t="s">
        <v>3536</v>
      </c>
      <c r="N233" s="60" t="s">
        <v>54</v>
      </c>
      <c r="O233" s="61"/>
      <c r="P233" s="61"/>
      <c r="Q233" s="61"/>
      <c r="R233" s="61"/>
      <c r="S233" s="61"/>
      <c r="T233" s="61"/>
      <c r="U233" s="61"/>
      <c r="V233" s="61"/>
      <c r="W233" s="61"/>
      <c r="X233" s="61"/>
      <c r="Y233" s="56"/>
      <c r="Z233" s="56"/>
      <c r="AA233" s="56"/>
      <c r="AB233" s="56"/>
      <c r="AC233" s="56"/>
      <c r="AD233" s="56"/>
    </row>
    <row r="234" hidden="1">
      <c r="A234" s="106"/>
      <c r="B234" s="15">
        <v>46206.0</v>
      </c>
      <c r="C234" s="41" t="s">
        <v>75</v>
      </c>
      <c r="D234" s="118" t="str">
        <f t="shared" si="11"/>
        <v>TTCTDTTH_14</v>
      </c>
      <c r="E234" s="175"/>
      <c r="F234" s="78"/>
      <c r="G234" s="78" t="s">
        <v>3537</v>
      </c>
      <c r="H234" s="78" t="s">
        <v>256</v>
      </c>
      <c r="I234" s="78" t="s">
        <v>3342</v>
      </c>
      <c r="J234" s="78" t="s">
        <v>3538</v>
      </c>
      <c r="K234" s="78" t="s">
        <v>3539</v>
      </c>
      <c r="L234" s="78" t="s">
        <v>3539</v>
      </c>
      <c r="M234" s="33" t="s">
        <v>3540</v>
      </c>
      <c r="N234" s="41" t="s">
        <v>54</v>
      </c>
      <c r="O234" s="34"/>
      <c r="P234" s="34"/>
      <c r="Q234" s="34"/>
      <c r="R234" s="34"/>
      <c r="S234" s="34"/>
      <c r="T234" s="34"/>
      <c r="U234" s="34"/>
      <c r="V234" s="34"/>
      <c r="W234" s="34"/>
      <c r="X234" s="34"/>
      <c r="Y234" s="56"/>
      <c r="Z234" s="56"/>
      <c r="AA234" s="56"/>
      <c r="AB234" s="56"/>
      <c r="AC234" s="56"/>
      <c r="AD234" s="56"/>
    </row>
    <row r="235" hidden="1">
      <c r="A235" s="110"/>
      <c r="B235" s="49">
        <v>46206.0</v>
      </c>
      <c r="C235" s="60" t="s">
        <v>75</v>
      </c>
      <c r="D235" s="119" t="str">
        <f t="shared" si="11"/>
        <v>TTCTDTTH_15</v>
      </c>
      <c r="E235" s="174"/>
      <c r="F235" s="63"/>
      <c r="G235" s="63" t="s">
        <v>3541</v>
      </c>
      <c r="H235" s="63" t="s">
        <v>256</v>
      </c>
      <c r="I235" s="63" t="s">
        <v>3342</v>
      </c>
      <c r="J235" s="63" t="s">
        <v>3542</v>
      </c>
      <c r="K235" s="63" t="s">
        <v>3543</v>
      </c>
      <c r="L235" s="63" t="s">
        <v>3543</v>
      </c>
      <c r="M235" s="145" t="s">
        <v>3544</v>
      </c>
      <c r="N235" s="60" t="s">
        <v>54</v>
      </c>
      <c r="O235" s="61"/>
      <c r="P235" s="61"/>
      <c r="Q235" s="61"/>
      <c r="R235" s="61"/>
      <c r="S235" s="61"/>
      <c r="T235" s="61"/>
      <c r="U235" s="61"/>
      <c r="V235" s="61"/>
      <c r="W235" s="61"/>
      <c r="X235" s="61"/>
      <c r="Y235" s="56"/>
      <c r="Z235" s="56"/>
      <c r="AA235" s="56"/>
      <c r="AB235" s="56"/>
      <c r="AC235" s="56"/>
      <c r="AD235" s="56"/>
    </row>
    <row r="236" hidden="1">
      <c r="A236" s="106"/>
      <c r="B236" s="15">
        <v>46206.0</v>
      </c>
      <c r="C236" s="41" t="s">
        <v>75</v>
      </c>
      <c r="D236" s="118" t="str">
        <f t="shared" si="11"/>
        <v>TTCTDTTH_16</v>
      </c>
      <c r="E236" s="175"/>
      <c r="F236" s="78"/>
      <c r="G236" s="78" t="s">
        <v>3545</v>
      </c>
      <c r="H236" s="78" t="s">
        <v>256</v>
      </c>
      <c r="I236" s="78" t="s">
        <v>3342</v>
      </c>
      <c r="J236" s="78" t="s">
        <v>3546</v>
      </c>
      <c r="K236" s="78" t="s">
        <v>3547</v>
      </c>
      <c r="L236" s="78"/>
      <c r="M236" s="34"/>
      <c r="N236" s="41" t="s">
        <v>1405</v>
      </c>
      <c r="O236" s="34" t="s">
        <v>1407</v>
      </c>
      <c r="P236" s="34"/>
      <c r="Q236" s="34"/>
      <c r="R236" s="34"/>
      <c r="S236" s="34"/>
      <c r="T236" s="34"/>
      <c r="U236" s="34"/>
      <c r="V236" s="34"/>
      <c r="W236" s="34"/>
      <c r="X236" s="34"/>
      <c r="Y236" s="56"/>
      <c r="Z236" s="56"/>
      <c r="AA236" s="56"/>
      <c r="AB236" s="56"/>
      <c r="AC236" s="56"/>
      <c r="AD236" s="56"/>
    </row>
    <row r="237" hidden="1">
      <c r="A237" s="110"/>
      <c r="B237" s="49">
        <v>46206.0</v>
      </c>
      <c r="C237" s="60" t="s">
        <v>75</v>
      </c>
      <c r="D237" s="119" t="str">
        <f t="shared" si="11"/>
        <v>TTCTDTTH_17</v>
      </c>
      <c r="E237" s="174"/>
      <c r="F237" s="63"/>
      <c r="G237" s="63" t="s">
        <v>3548</v>
      </c>
      <c r="H237" s="63" t="s">
        <v>256</v>
      </c>
      <c r="I237" s="63" t="s">
        <v>3342</v>
      </c>
      <c r="J237" s="63" t="s">
        <v>3549</v>
      </c>
      <c r="K237" s="63" t="s">
        <v>3550</v>
      </c>
      <c r="L237" s="63"/>
      <c r="M237" s="61"/>
      <c r="N237" s="60" t="s">
        <v>1405</v>
      </c>
      <c r="O237" s="61" t="s">
        <v>1407</v>
      </c>
      <c r="P237" s="61"/>
      <c r="Q237" s="61"/>
      <c r="R237" s="61"/>
      <c r="S237" s="61"/>
      <c r="T237" s="61"/>
      <c r="U237" s="61"/>
      <c r="V237" s="61"/>
      <c r="W237" s="61"/>
      <c r="X237" s="61"/>
      <c r="Y237" s="56"/>
      <c r="Z237" s="56"/>
      <c r="AA237" s="56"/>
      <c r="AB237" s="56"/>
      <c r="AC237" s="56"/>
      <c r="AD237" s="56"/>
    </row>
    <row r="238" hidden="1">
      <c r="A238" s="106"/>
      <c r="B238" s="15">
        <v>46206.0</v>
      </c>
      <c r="C238" s="41" t="s">
        <v>75</v>
      </c>
      <c r="D238" s="118" t="str">
        <f t="shared" si="11"/>
        <v>TTCTDTTH_18</v>
      </c>
      <c r="E238" s="175"/>
      <c r="F238" s="78"/>
      <c r="G238" s="78" t="s">
        <v>3551</v>
      </c>
      <c r="H238" s="78" t="s">
        <v>256</v>
      </c>
      <c r="I238" s="78" t="s">
        <v>3342</v>
      </c>
      <c r="J238" s="78" t="s">
        <v>3552</v>
      </c>
      <c r="K238" s="78" t="s">
        <v>3553</v>
      </c>
      <c r="L238" s="78" t="s">
        <v>3553</v>
      </c>
      <c r="M238" s="33" t="s">
        <v>3554</v>
      </c>
      <c r="N238" s="41" t="s">
        <v>54</v>
      </c>
      <c r="O238" s="34"/>
      <c r="P238" s="34"/>
      <c r="Q238" s="34"/>
      <c r="R238" s="34"/>
      <c r="S238" s="34"/>
      <c r="T238" s="34"/>
      <c r="U238" s="34"/>
      <c r="V238" s="34"/>
      <c r="W238" s="34"/>
      <c r="X238" s="34"/>
      <c r="Y238" s="56"/>
      <c r="Z238" s="56"/>
      <c r="AA238" s="56"/>
      <c r="AB238" s="56"/>
      <c r="AC238" s="56"/>
      <c r="AD238" s="56"/>
    </row>
    <row r="239" hidden="1">
      <c r="A239" s="110"/>
      <c r="B239" s="49">
        <v>46206.0</v>
      </c>
      <c r="C239" s="60" t="s">
        <v>75</v>
      </c>
      <c r="D239" s="119" t="str">
        <f t="shared" si="11"/>
        <v>TTCTDTTH_19</v>
      </c>
      <c r="E239" s="174"/>
      <c r="F239" s="63"/>
      <c r="G239" s="63" t="s">
        <v>3555</v>
      </c>
      <c r="H239" s="63" t="s">
        <v>3556</v>
      </c>
      <c r="I239" s="63" t="s">
        <v>3342</v>
      </c>
      <c r="J239" s="63" t="s">
        <v>3557</v>
      </c>
      <c r="K239" s="63" t="s">
        <v>3558</v>
      </c>
      <c r="L239" s="63" t="s">
        <v>3558</v>
      </c>
      <c r="M239" s="145" t="s">
        <v>3559</v>
      </c>
      <c r="N239" s="60" t="s">
        <v>54</v>
      </c>
      <c r="O239" s="61"/>
      <c r="P239" s="61"/>
      <c r="Q239" s="61"/>
      <c r="R239" s="61"/>
      <c r="S239" s="61"/>
      <c r="T239" s="61"/>
      <c r="U239" s="61"/>
      <c r="V239" s="61"/>
      <c r="W239" s="61"/>
      <c r="X239" s="61"/>
      <c r="Y239" s="56"/>
      <c r="Z239" s="56"/>
      <c r="AA239" s="56"/>
      <c r="AB239" s="56"/>
      <c r="AC239" s="56"/>
      <c r="AD239" s="56"/>
    </row>
    <row r="240" hidden="1">
      <c r="A240" s="106"/>
      <c r="B240" s="15">
        <v>46206.0</v>
      </c>
      <c r="C240" s="41" t="s">
        <v>75</v>
      </c>
      <c r="D240" s="118" t="str">
        <f t="shared" si="11"/>
        <v>TTCTDTTH_20</v>
      </c>
      <c r="E240" s="175"/>
      <c r="F240" s="78"/>
      <c r="G240" s="78" t="s">
        <v>3560</v>
      </c>
      <c r="H240" s="78" t="s">
        <v>3561</v>
      </c>
      <c r="I240" s="78" t="s">
        <v>3342</v>
      </c>
      <c r="J240" s="78" t="s">
        <v>3562</v>
      </c>
      <c r="K240" s="78" t="s">
        <v>3563</v>
      </c>
      <c r="L240" s="78" t="s">
        <v>3563</v>
      </c>
      <c r="M240" s="33" t="s">
        <v>3564</v>
      </c>
      <c r="N240" s="41" t="s">
        <v>54</v>
      </c>
      <c r="O240" s="34"/>
      <c r="P240" s="34"/>
      <c r="Q240" s="34"/>
      <c r="R240" s="34"/>
      <c r="S240" s="34"/>
      <c r="T240" s="34"/>
      <c r="U240" s="34"/>
      <c r="V240" s="34"/>
      <c r="W240" s="34"/>
      <c r="X240" s="34"/>
      <c r="Y240" s="56"/>
      <c r="Z240" s="56"/>
      <c r="AA240" s="56"/>
      <c r="AB240" s="56"/>
      <c r="AC240" s="56"/>
      <c r="AD240" s="56"/>
    </row>
    <row r="241" hidden="1">
      <c r="A241" s="110"/>
      <c r="B241" s="49">
        <v>46206.0</v>
      </c>
      <c r="C241" s="60" t="s">
        <v>75</v>
      </c>
      <c r="D241" s="119" t="str">
        <f t="shared" si="11"/>
        <v>TTCTDTTH_21</v>
      </c>
      <c r="E241" s="174"/>
      <c r="F241" s="63"/>
      <c r="G241" s="63" t="s">
        <v>3565</v>
      </c>
      <c r="H241" s="63" t="s">
        <v>256</v>
      </c>
      <c r="I241" s="63" t="s">
        <v>3342</v>
      </c>
      <c r="J241" s="63" t="s">
        <v>3566</v>
      </c>
      <c r="K241" s="63" t="s">
        <v>3567</v>
      </c>
      <c r="L241" s="63" t="s">
        <v>3567</v>
      </c>
      <c r="M241" s="145" t="s">
        <v>3568</v>
      </c>
      <c r="N241" s="60" t="s">
        <v>54</v>
      </c>
      <c r="O241" s="61"/>
      <c r="P241" s="61"/>
      <c r="Q241" s="61"/>
      <c r="R241" s="61"/>
      <c r="S241" s="61"/>
      <c r="T241" s="61"/>
      <c r="U241" s="61"/>
      <c r="V241" s="61"/>
      <c r="W241" s="61"/>
      <c r="X241" s="61"/>
      <c r="Y241" s="56"/>
      <c r="Z241" s="56"/>
      <c r="AA241" s="56"/>
      <c r="AB241" s="56"/>
      <c r="AC241" s="56"/>
      <c r="AD241" s="56"/>
    </row>
    <row r="242" hidden="1">
      <c r="A242" s="106"/>
      <c r="B242" s="15">
        <v>46206.0</v>
      </c>
      <c r="C242" s="41" t="s">
        <v>75</v>
      </c>
      <c r="D242" s="118" t="str">
        <f t="shared" si="11"/>
        <v>TTCTDTTH_22</v>
      </c>
      <c r="E242" s="175"/>
      <c r="F242" s="78"/>
      <c r="G242" s="78" t="s">
        <v>3569</v>
      </c>
      <c r="H242" s="78" t="s">
        <v>3342</v>
      </c>
      <c r="I242" s="78" t="s">
        <v>3342</v>
      </c>
      <c r="J242" s="78" t="s">
        <v>3570</v>
      </c>
      <c r="K242" s="78" t="s">
        <v>3571</v>
      </c>
      <c r="L242" s="78" t="s">
        <v>3571</v>
      </c>
      <c r="M242" s="33" t="s">
        <v>3572</v>
      </c>
      <c r="N242" s="41" t="s">
        <v>54</v>
      </c>
      <c r="O242" s="34"/>
      <c r="P242" s="34"/>
      <c r="Q242" s="34"/>
      <c r="R242" s="34"/>
      <c r="S242" s="34"/>
      <c r="T242" s="34"/>
      <c r="U242" s="34"/>
      <c r="V242" s="34"/>
      <c r="W242" s="34"/>
      <c r="X242" s="34"/>
      <c r="Y242" s="56"/>
      <c r="Z242" s="56"/>
      <c r="AA242" s="56"/>
      <c r="AB242" s="56"/>
      <c r="AC242" s="56"/>
      <c r="AD242" s="56"/>
    </row>
    <row r="243" hidden="1">
      <c r="A243" s="110"/>
      <c r="B243" s="49">
        <v>46206.0</v>
      </c>
      <c r="C243" s="60" t="s">
        <v>75</v>
      </c>
      <c r="D243" s="119" t="str">
        <f t="shared" si="11"/>
        <v>TTCTDTTH_23</v>
      </c>
      <c r="E243" s="174"/>
      <c r="F243" s="63"/>
      <c r="G243" s="63" t="s">
        <v>3573</v>
      </c>
      <c r="H243" s="63" t="s">
        <v>3342</v>
      </c>
      <c r="I243" s="63" t="s">
        <v>3342</v>
      </c>
      <c r="J243" s="63" t="s">
        <v>3574</v>
      </c>
      <c r="K243" s="63" t="s">
        <v>3575</v>
      </c>
      <c r="L243" s="63" t="s">
        <v>3575</v>
      </c>
      <c r="M243" s="145" t="s">
        <v>3576</v>
      </c>
      <c r="N243" s="60" t="s">
        <v>54</v>
      </c>
      <c r="O243" s="61"/>
      <c r="P243" s="61"/>
      <c r="Q243" s="61"/>
      <c r="R243" s="61"/>
      <c r="S243" s="61"/>
      <c r="T243" s="61"/>
      <c r="U243" s="61"/>
      <c r="V243" s="61"/>
      <c r="W243" s="61"/>
      <c r="X243" s="61"/>
      <c r="Y243" s="56"/>
      <c r="Z243" s="56"/>
      <c r="AA243" s="56"/>
      <c r="AB243" s="56"/>
      <c r="AC243" s="56"/>
      <c r="AD243" s="56"/>
    </row>
    <row r="244" hidden="1">
      <c r="A244" s="106"/>
      <c r="B244" s="41">
        <v>21.0</v>
      </c>
      <c r="C244" s="41" t="s">
        <v>75</v>
      </c>
      <c r="D244" s="118"/>
      <c r="E244" s="118" t="s">
        <v>3577</v>
      </c>
      <c r="F244" s="118" t="s">
        <v>879</v>
      </c>
      <c r="G244" s="118" t="s">
        <v>3578</v>
      </c>
      <c r="H244" s="41"/>
      <c r="I244" s="34"/>
      <c r="J244" s="34"/>
      <c r="K244" s="34"/>
      <c r="L244" s="34"/>
      <c r="M244" s="34"/>
      <c r="N244" s="41"/>
      <c r="O244" s="34"/>
      <c r="P244" s="34"/>
      <c r="Q244" s="34"/>
      <c r="R244" s="34"/>
      <c r="S244" s="34"/>
      <c r="T244" s="34"/>
      <c r="U244" s="34"/>
      <c r="V244" s="34"/>
      <c r="W244" s="34"/>
      <c r="X244" s="34"/>
      <c r="Y244" s="56"/>
      <c r="Z244" s="56"/>
      <c r="AA244" s="56"/>
      <c r="AB244" s="56"/>
      <c r="AC244" s="56"/>
      <c r="AD244" s="56"/>
    </row>
    <row r="245" hidden="1">
      <c r="A245" s="110"/>
      <c r="B245" s="49">
        <v>46206.0</v>
      </c>
      <c r="C245" s="60" t="s">
        <v>75</v>
      </c>
      <c r="D245" s="119" t="str">
        <f t="shared" ref="D245:D265" si="12">IF(G245&lt;&gt;"","TKCTDTTH_"&amp;TEXT(COUNTIF($G$245:G245,"&lt;&gt;"),"00"),"")</f>
        <v>TKCTDTTH_01</v>
      </c>
      <c r="E245" s="174"/>
      <c r="F245" s="63"/>
      <c r="G245" s="63" t="s">
        <v>3579</v>
      </c>
      <c r="H245" s="63" t="s">
        <v>3580</v>
      </c>
      <c r="I245" s="63" t="s">
        <v>3581</v>
      </c>
      <c r="J245" s="63" t="s">
        <v>3582</v>
      </c>
      <c r="K245" s="63" t="s">
        <v>3583</v>
      </c>
      <c r="L245" s="63" t="s">
        <v>3583</v>
      </c>
      <c r="M245" s="145" t="s">
        <v>3584</v>
      </c>
      <c r="N245" s="60" t="s">
        <v>54</v>
      </c>
      <c r="O245" s="61"/>
      <c r="P245" s="61"/>
      <c r="Q245" s="61"/>
      <c r="R245" s="61"/>
      <c r="S245" s="61"/>
      <c r="T245" s="61"/>
      <c r="U245" s="61"/>
      <c r="V245" s="61"/>
      <c r="W245" s="61"/>
      <c r="X245" s="61"/>
      <c r="Y245" s="56"/>
      <c r="Z245" s="56"/>
      <c r="AA245" s="56"/>
      <c r="AB245" s="56"/>
      <c r="AC245" s="56"/>
      <c r="AD245" s="56"/>
    </row>
    <row r="246" hidden="1">
      <c r="A246" s="106"/>
      <c r="B246" s="15">
        <v>46206.0</v>
      </c>
      <c r="C246" s="41" t="s">
        <v>75</v>
      </c>
      <c r="D246" s="118" t="str">
        <f t="shared" si="12"/>
        <v>TKCTDTTH_02</v>
      </c>
      <c r="E246" s="175"/>
      <c r="F246" s="78"/>
      <c r="G246" s="78" t="s">
        <v>3585</v>
      </c>
      <c r="H246" s="78" t="s">
        <v>3586</v>
      </c>
      <c r="I246" s="78" t="s">
        <v>3587</v>
      </c>
      <c r="J246" s="78" t="s">
        <v>3588</v>
      </c>
      <c r="K246" s="78" t="s">
        <v>3589</v>
      </c>
      <c r="L246" s="78" t="s">
        <v>3589</v>
      </c>
      <c r="M246" s="33" t="s">
        <v>3590</v>
      </c>
      <c r="N246" s="41" t="s">
        <v>54</v>
      </c>
      <c r="O246" s="34"/>
      <c r="P246" s="34"/>
      <c r="Q246" s="34"/>
      <c r="R246" s="34"/>
      <c r="S246" s="34"/>
      <c r="T246" s="34"/>
      <c r="U246" s="34"/>
      <c r="V246" s="34"/>
      <c r="W246" s="34"/>
      <c r="X246" s="34"/>
      <c r="Y246" s="56"/>
      <c r="Z246" s="56"/>
      <c r="AA246" s="56"/>
      <c r="AB246" s="56"/>
      <c r="AC246" s="56"/>
      <c r="AD246" s="56"/>
    </row>
    <row r="247" hidden="1">
      <c r="A247" s="110"/>
      <c r="B247" s="49">
        <v>46206.0</v>
      </c>
      <c r="C247" s="60" t="s">
        <v>75</v>
      </c>
      <c r="D247" s="119" t="str">
        <f t="shared" si="12"/>
        <v>TKCTDTTH_03</v>
      </c>
      <c r="E247" s="174"/>
      <c r="F247" s="63"/>
      <c r="G247" s="63" t="s">
        <v>3591</v>
      </c>
      <c r="H247" s="63" t="s">
        <v>3592</v>
      </c>
      <c r="I247" s="63" t="s">
        <v>3593</v>
      </c>
      <c r="J247" s="63" t="s">
        <v>3594</v>
      </c>
      <c r="K247" s="63" t="s">
        <v>3595</v>
      </c>
      <c r="L247" s="63" t="s">
        <v>3595</v>
      </c>
      <c r="M247" s="145" t="s">
        <v>3596</v>
      </c>
      <c r="N247" s="60" t="s">
        <v>54</v>
      </c>
      <c r="O247" s="61"/>
      <c r="P247" s="61"/>
      <c r="Q247" s="61"/>
      <c r="R247" s="61"/>
      <c r="S247" s="61"/>
      <c r="T247" s="61"/>
      <c r="U247" s="61"/>
      <c r="V247" s="61"/>
      <c r="W247" s="61"/>
      <c r="X247" s="61"/>
      <c r="Y247" s="56"/>
      <c r="Z247" s="56"/>
      <c r="AA247" s="56"/>
      <c r="AB247" s="56"/>
      <c r="AC247" s="56"/>
      <c r="AD247" s="56"/>
    </row>
    <row r="248" hidden="1">
      <c r="A248" s="106"/>
      <c r="B248" s="15">
        <v>46206.0</v>
      </c>
      <c r="C248" s="41" t="s">
        <v>75</v>
      </c>
      <c r="D248" s="118" t="str">
        <f t="shared" si="12"/>
        <v>TKCTDTTH_04</v>
      </c>
      <c r="E248" s="175"/>
      <c r="F248" s="78"/>
      <c r="G248" s="78" t="s">
        <v>3597</v>
      </c>
      <c r="H248" s="78" t="s">
        <v>3592</v>
      </c>
      <c r="I248" s="78" t="s">
        <v>3598</v>
      </c>
      <c r="J248" s="78" t="s">
        <v>3599</v>
      </c>
      <c r="K248" s="78" t="s">
        <v>3600</v>
      </c>
      <c r="L248" s="78" t="s">
        <v>3600</v>
      </c>
      <c r="M248" s="33" t="s">
        <v>3601</v>
      </c>
      <c r="N248" s="41" t="s">
        <v>54</v>
      </c>
      <c r="O248" s="34"/>
      <c r="P248" s="34"/>
      <c r="Q248" s="34"/>
      <c r="R248" s="34"/>
      <c r="S248" s="34"/>
      <c r="T248" s="34"/>
      <c r="U248" s="34"/>
      <c r="V248" s="34"/>
      <c r="W248" s="34"/>
      <c r="X248" s="34"/>
      <c r="Y248" s="56"/>
      <c r="Z248" s="56"/>
      <c r="AA248" s="56"/>
      <c r="AB248" s="56"/>
      <c r="AC248" s="56"/>
      <c r="AD248" s="56"/>
    </row>
    <row r="249" hidden="1">
      <c r="A249" s="110"/>
      <c r="B249" s="49">
        <v>46206.0</v>
      </c>
      <c r="C249" s="60" t="s">
        <v>75</v>
      </c>
      <c r="D249" s="119" t="str">
        <f t="shared" si="12"/>
        <v>TKCTDTTH_05</v>
      </c>
      <c r="E249" s="174"/>
      <c r="F249" s="63"/>
      <c r="G249" s="63" t="s">
        <v>3602</v>
      </c>
      <c r="H249" s="63" t="s">
        <v>3592</v>
      </c>
      <c r="I249" s="63" t="s">
        <v>3603</v>
      </c>
      <c r="J249" s="63" t="s">
        <v>3604</v>
      </c>
      <c r="K249" s="63" t="s">
        <v>3605</v>
      </c>
      <c r="L249" s="63" t="s">
        <v>3605</v>
      </c>
      <c r="M249" s="145" t="s">
        <v>3606</v>
      </c>
      <c r="N249" s="60" t="s">
        <v>54</v>
      </c>
      <c r="O249" s="61"/>
      <c r="P249" s="61"/>
      <c r="Q249" s="61"/>
      <c r="R249" s="61"/>
      <c r="S249" s="61"/>
      <c r="T249" s="61"/>
      <c r="U249" s="61"/>
      <c r="V249" s="61"/>
      <c r="W249" s="61"/>
      <c r="X249" s="61"/>
      <c r="Y249" s="56"/>
      <c r="Z249" s="56"/>
      <c r="AA249" s="56"/>
      <c r="AB249" s="56"/>
      <c r="AC249" s="56"/>
      <c r="AD249" s="56"/>
    </row>
    <row r="250" hidden="1">
      <c r="A250" s="106"/>
      <c r="B250" s="15">
        <v>46206.0</v>
      </c>
      <c r="C250" s="41" t="s">
        <v>75</v>
      </c>
      <c r="D250" s="118" t="str">
        <f t="shared" si="12"/>
        <v>TKCTDTTH_06</v>
      </c>
      <c r="E250" s="175"/>
      <c r="F250" s="78"/>
      <c r="G250" s="78" t="s">
        <v>3607</v>
      </c>
      <c r="H250" s="78" t="s">
        <v>3608</v>
      </c>
      <c r="I250" s="78" t="s">
        <v>3609</v>
      </c>
      <c r="J250" s="78" t="s">
        <v>2309</v>
      </c>
      <c r="K250" s="78" t="s">
        <v>3610</v>
      </c>
      <c r="L250" s="78" t="s">
        <v>3610</v>
      </c>
      <c r="M250" s="33" t="s">
        <v>3611</v>
      </c>
      <c r="N250" s="41" t="s">
        <v>54</v>
      </c>
      <c r="O250" s="34"/>
      <c r="P250" s="34"/>
      <c r="Q250" s="34"/>
      <c r="R250" s="34"/>
      <c r="S250" s="34"/>
      <c r="T250" s="34"/>
      <c r="U250" s="34"/>
      <c r="V250" s="34"/>
      <c r="W250" s="34"/>
      <c r="X250" s="34"/>
      <c r="Y250" s="56"/>
      <c r="Z250" s="56"/>
      <c r="AA250" s="56"/>
      <c r="AB250" s="56"/>
      <c r="AC250" s="56"/>
      <c r="AD250" s="56"/>
    </row>
    <row r="251" hidden="1">
      <c r="A251" s="110"/>
      <c r="B251" s="49">
        <v>46206.0</v>
      </c>
      <c r="C251" s="60" t="s">
        <v>75</v>
      </c>
      <c r="D251" s="119" t="str">
        <f t="shared" si="12"/>
        <v>TKCTDTTH_07</v>
      </c>
      <c r="E251" s="174"/>
      <c r="F251" s="63"/>
      <c r="G251" s="63" t="s">
        <v>3612</v>
      </c>
      <c r="H251" s="63" t="s">
        <v>3342</v>
      </c>
      <c r="I251" s="63" t="s">
        <v>3613</v>
      </c>
      <c r="J251" s="63" t="s">
        <v>3614</v>
      </c>
      <c r="K251" s="63" t="s">
        <v>3615</v>
      </c>
      <c r="L251" s="63" t="s">
        <v>3615</v>
      </c>
      <c r="M251" s="145" t="s">
        <v>3616</v>
      </c>
      <c r="N251" s="60" t="s">
        <v>54</v>
      </c>
      <c r="O251" s="61"/>
      <c r="P251" s="61"/>
      <c r="Q251" s="61"/>
      <c r="R251" s="61"/>
      <c r="S251" s="61"/>
      <c r="T251" s="61"/>
      <c r="U251" s="61"/>
      <c r="V251" s="61"/>
      <c r="W251" s="61"/>
      <c r="X251" s="61"/>
      <c r="Y251" s="56"/>
      <c r="Z251" s="56"/>
      <c r="AA251" s="56"/>
      <c r="AB251" s="56"/>
      <c r="AC251" s="56"/>
      <c r="AD251" s="56"/>
    </row>
    <row r="252" hidden="1">
      <c r="A252" s="106"/>
      <c r="B252" s="15">
        <v>46206.0</v>
      </c>
      <c r="C252" s="41" t="s">
        <v>75</v>
      </c>
      <c r="D252" s="118" t="str">
        <f t="shared" si="12"/>
        <v>TKCTDTTH_08</v>
      </c>
      <c r="E252" s="175"/>
      <c r="F252" s="78"/>
      <c r="G252" s="78" t="s">
        <v>3617</v>
      </c>
      <c r="H252" s="78" t="s">
        <v>3618</v>
      </c>
      <c r="I252" s="78" t="s">
        <v>3342</v>
      </c>
      <c r="J252" s="78" t="s">
        <v>3619</v>
      </c>
      <c r="K252" s="78" t="s">
        <v>3620</v>
      </c>
      <c r="L252" s="78" t="s">
        <v>3620</v>
      </c>
      <c r="M252" s="33" t="s">
        <v>3621</v>
      </c>
      <c r="N252" s="41" t="s">
        <v>54</v>
      </c>
      <c r="O252" s="34"/>
      <c r="P252" s="34"/>
      <c r="Q252" s="34"/>
      <c r="R252" s="34"/>
      <c r="S252" s="34"/>
      <c r="T252" s="34"/>
      <c r="U252" s="34"/>
      <c r="V252" s="34"/>
      <c r="W252" s="34"/>
      <c r="X252" s="34"/>
      <c r="Y252" s="56"/>
      <c r="Z252" s="56"/>
      <c r="AA252" s="56"/>
      <c r="AB252" s="56"/>
      <c r="AC252" s="56"/>
      <c r="AD252" s="56"/>
    </row>
    <row r="253" hidden="1">
      <c r="A253" s="110"/>
      <c r="B253" s="49">
        <v>46206.0</v>
      </c>
      <c r="C253" s="60" t="s">
        <v>75</v>
      </c>
      <c r="D253" s="119" t="str">
        <f t="shared" si="12"/>
        <v>TKCTDTTH_09</v>
      </c>
      <c r="E253" s="174"/>
      <c r="F253" s="63"/>
      <c r="G253" s="63" t="s">
        <v>3622</v>
      </c>
      <c r="H253" s="63" t="s">
        <v>3623</v>
      </c>
      <c r="I253" s="63" t="s">
        <v>3405</v>
      </c>
      <c r="J253" s="63" t="s">
        <v>3624</v>
      </c>
      <c r="K253" s="63" t="s">
        <v>3625</v>
      </c>
      <c r="L253" s="63" t="s">
        <v>3625</v>
      </c>
      <c r="M253" s="145" t="s">
        <v>3626</v>
      </c>
      <c r="N253" s="60" t="s">
        <v>54</v>
      </c>
      <c r="O253" s="61"/>
      <c r="P253" s="61"/>
      <c r="Q253" s="61"/>
      <c r="R253" s="61"/>
      <c r="S253" s="61"/>
      <c r="T253" s="61"/>
      <c r="U253" s="61"/>
      <c r="V253" s="61"/>
      <c r="W253" s="61"/>
      <c r="X253" s="61"/>
      <c r="Y253" s="56"/>
      <c r="Z253" s="56"/>
      <c r="AA253" s="56"/>
      <c r="AB253" s="56"/>
      <c r="AC253" s="56"/>
      <c r="AD253" s="56"/>
    </row>
    <row r="254" hidden="1">
      <c r="A254" s="106"/>
      <c r="B254" s="15">
        <v>46206.0</v>
      </c>
      <c r="C254" s="41" t="s">
        <v>75</v>
      </c>
      <c r="D254" s="118" t="str">
        <f t="shared" si="12"/>
        <v>TKCTDTTH_10</v>
      </c>
      <c r="E254" s="175"/>
      <c r="F254" s="78"/>
      <c r="G254" s="78" t="s">
        <v>3627</v>
      </c>
      <c r="H254" s="78" t="s">
        <v>3342</v>
      </c>
      <c r="I254" s="78">
        <v>46023.0</v>
      </c>
      <c r="J254" s="78" t="s">
        <v>3628</v>
      </c>
      <c r="K254" s="78" t="s">
        <v>3629</v>
      </c>
      <c r="L254" s="78" t="s">
        <v>3629</v>
      </c>
      <c r="M254" s="33" t="s">
        <v>3630</v>
      </c>
      <c r="N254" s="41" t="s">
        <v>54</v>
      </c>
      <c r="O254" s="34"/>
      <c r="P254" s="34"/>
      <c r="Q254" s="34"/>
      <c r="R254" s="34"/>
      <c r="S254" s="34"/>
      <c r="T254" s="34"/>
      <c r="U254" s="34"/>
      <c r="V254" s="34"/>
      <c r="W254" s="34"/>
      <c r="X254" s="34"/>
      <c r="Y254" s="56"/>
      <c r="Z254" s="56"/>
      <c r="AA254" s="56"/>
      <c r="AB254" s="56"/>
      <c r="AC254" s="56"/>
      <c r="AD254" s="56"/>
    </row>
    <row r="255" hidden="1">
      <c r="A255" s="110"/>
      <c r="B255" s="49">
        <v>46206.0</v>
      </c>
      <c r="C255" s="60" t="s">
        <v>75</v>
      </c>
      <c r="D255" s="119" t="str">
        <f t="shared" si="12"/>
        <v>TKCTDTTH_11</v>
      </c>
      <c r="E255" s="174"/>
      <c r="F255" s="63"/>
      <c r="G255" s="63" t="s">
        <v>3631</v>
      </c>
      <c r="H255" s="63" t="s">
        <v>3342</v>
      </c>
      <c r="I255" s="63">
        <v>46387.0</v>
      </c>
      <c r="J255" s="63" t="s">
        <v>3632</v>
      </c>
      <c r="K255" s="63" t="s">
        <v>3633</v>
      </c>
      <c r="L255" s="63" t="s">
        <v>3633</v>
      </c>
      <c r="M255" s="145" t="s">
        <v>3634</v>
      </c>
      <c r="N255" s="60" t="s">
        <v>54</v>
      </c>
      <c r="O255" s="61"/>
      <c r="P255" s="61"/>
      <c r="Q255" s="61"/>
      <c r="R255" s="61"/>
      <c r="S255" s="61"/>
      <c r="T255" s="61"/>
      <c r="U255" s="61"/>
      <c r="V255" s="61"/>
      <c r="W255" s="61"/>
      <c r="X255" s="61"/>
      <c r="Y255" s="56"/>
      <c r="Z255" s="56"/>
      <c r="AA255" s="56"/>
      <c r="AB255" s="56"/>
      <c r="AC255" s="56"/>
      <c r="AD255" s="56"/>
    </row>
    <row r="256" hidden="1">
      <c r="A256" s="106"/>
      <c r="B256" s="15">
        <v>46206.0</v>
      </c>
      <c r="C256" s="41" t="s">
        <v>75</v>
      </c>
      <c r="D256" s="118" t="str">
        <f t="shared" si="12"/>
        <v>TKCTDTTH_12</v>
      </c>
      <c r="E256" s="175"/>
      <c r="F256" s="78"/>
      <c r="G256" s="78" t="s">
        <v>3635</v>
      </c>
      <c r="H256" s="78" t="s">
        <v>2371</v>
      </c>
      <c r="I256" s="78" t="s">
        <v>3636</v>
      </c>
      <c r="J256" s="78" t="s">
        <v>3637</v>
      </c>
      <c r="K256" s="78" t="s">
        <v>3638</v>
      </c>
      <c r="L256" s="78" t="s">
        <v>3638</v>
      </c>
      <c r="M256" s="33" t="s">
        <v>3639</v>
      </c>
      <c r="N256" s="41" t="s">
        <v>54</v>
      </c>
      <c r="O256" s="34"/>
      <c r="P256" s="34"/>
      <c r="Q256" s="34"/>
      <c r="R256" s="34"/>
      <c r="S256" s="34"/>
      <c r="T256" s="34"/>
      <c r="U256" s="34"/>
      <c r="V256" s="34"/>
      <c r="W256" s="34"/>
      <c r="X256" s="34"/>
      <c r="Y256" s="56"/>
      <c r="Z256" s="56"/>
      <c r="AA256" s="56"/>
      <c r="AB256" s="56"/>
      <c r="AC256" s="56"/>
      <c r="AD256" s="56"/>
    </row>
    <row r="257" hidden="1">
      <c r="A257" s="110"/>
      <c r="B257" s="49">
        <v>46206.0</v>
      </c>
      <c r="C257" s="60" t="s">
        <v>75</v>
      </c>
      <c r="D257" s="119" t="str">
        <f t="shared" si="12"/>
        <v>TKCTDTTH_13</v>
      </c>
      <c r="E257" s="174"/>
      <c r="F257" s="63"/>
      <c r="G257" s="63" t="s">
        <v>3640</v>
      </c>
      <c r="H257" s="63" t="s">
        <v>3641</v>
      </c>
      <c r="I257" s="63">
        <v>46023.0</v>
      </c>
      <c r="J257" s="63" t="s">
        <v>3642</v>
      </c>
      <c r="K257" s="63" t="s">
        <v>3643</v>
      </c>
      <c r="L257" s="63" t="s">
        <v>3643</v>
      </c>
      <c r="M257" s="145" t="s">
        <v>3644</v>
      </c>
      <c r="N257" s="60" t="s">
        <v>54</v>
      </c>
      <c r="O257" s="61"/>
      <c r="P257" s="61"/>
      <c r="Q257" s="61"/>
      <c r="R257" s="61"/>
      <c r="S257" s="61"/>
      <c r="T257" s="61"/>
      <c r="U257" s="61"/>
      <c r="V257" s="61"/>
      <c r="W257" s="61"/>
      <c r="X257" s="61"/>
      <c r="Y257" s="56"/>
      <c r="Z257" s="56"/>
      <c r="AA257" s="56"/>
      <c r="AB257" s="56"/>
      <c r="AC257" s="56"/>
      <c r="AD257" s="56"/>
    </row>
    <row r="258" hidden="1">
      <c r="A258" s="106"/>
      <c r="B258" s="15">
        <v>46206.0</v>
      </c>
      <c r="C258" s="41" t="s">
        <v>75</v>
      </c>
      <c r="D258" s="118" t="str">
        <f t="shared" si="12"/>
        <v>TKCTDTTH_14</v>
      </c>
      <c r="E258" s="175"/>
      <c r="F258" s="78"/>
      <c r="G258" s="78" t="s">
        <v>3645</v>
      </c>
      <c r="H258" s="78" t="s">
        <v>3646</v>
      </c>
      <c r="I258" s="78">
        <v>46387.0</v>
      </c>
      <c r="J258" s="78" t="s">
        <v>3647</v>
      </c>
      <c r="K258" s="78" t="s">
        <v>3648</v>
      </c>
      <c r="L258" s="78" t="s">
        <v>3648</v>
      </c>
      <c r="M258" s="33" t="s">
        <v>3649</v>
      </c>
      <c r="N258" s="41" t="s">
        <v>54</v>
      </c>
      <c r="O258" s="34"/>
      <c r="P258" s="34"/>
      <c r="Q258" s="34"/>
      <c r="R258" s="34"/>
      <c r="S258" s="34"/>
      <c r="T258" s="34"/>
      <c r="U258" s="34"/>
      <c r="V258" s="34"/>
      <c r="W258" s="34"/>
      <c r="X258" s="34"/>
      <c r="Y258" s="56"/>
      <c r="Z258" s="56"/>
      <c r="AA258" s="56"/>
      <c r="AB258" s="56"/>
      <c r="AC258" s="56"/>
      <c r="AD258" s="56"/>
    </row>
    <row r="259" hidden="1">
      <c r="A259" s="110"/>
      <c r="B259" s="49">
        <v>46206.0</v>
      </c>
      <c r="C259" s="60" t="s">
        <v>75</v>
      </c>
      <c r="D259" s="119" t="str">
        <f t="shared" si="12"/>
        <v>TKCTDTTH_15</v>
      </c>
      <c r="E259" s="174"/>
      <c r="F259" s="63"/>
      <c r="G259" s="63" t="s">
        <v>3650</v>
      </c>
      <c r="H259" s="63" t="s">
        <v>3342</v>
      </c>
      <c r="I259" s="63" t="s">
        <v>3651</v>
      </c>
      <c r="J259" s="63" t="s">
        <v>3652</v>
      </c>
      <c r="K259" s="63" t="s">
        <v>3653</v>
      </c>
      <c r="L259" s="63" t="s">
        <v>3653</v>
      </c>
      <c r="M259" s="145" t="s">
        <v>3654</v>
      </c>
      <c r="N259" s="60" t="s">
        <v>54</v>
      </c>
      <c r="O259" s="61"/>
      <c r="P259" s="61"/>
      <c r="Q259" s="61"/>
      <c r="R259" s="61"/>
      <c r="S259" s="61"/>
      <c r="T259" s="61"/>
      <c r="U259" s="61"/>
      <c r="V259" s="61"/>
      <c r="W259" s="61"/>
      <c r="X259" s="61"/>
      <c r="Y259" s="56"/>
      <c r="Z259" s="56"/>
      <c r="AA259" s="56"/>
      <c r="AB259" s="56"/>
      <c r="AC259" s="56"/>
      <c r="AD259" s="56"/>
    </row>
    <row r="260" hidden="1">
      <c r="A260" s="106"/>
      <c r="B260" s="15">
        <v>46206.0</v>
      </c>
      <c r="C260" s="41" t="s">
        <v>75</v>
      </c>
      <c r="D260" s="118" t="str">
        <f t="shared" si="12"/>
        <v>TKCTDTTH_16</v>
      </c>
      <c r="E260" s="175"/>
      <c r="F260" s="78"/>
      <c r="G260" s="78" t="s">
        <v>3655</v>
      </c>
      <c r="H260" s="78" t="s">
        <v>3656</v>
      </c>
      <c r="I260" s="78" t="s">
        <v>3657</v>
      </c>
      <c r="J260" s="78" t="s">
        <v>3658</v>
      </c>
      <c r="K260" s="78" t="s">
        <v>3659</v>
      </c>
      <c r="L260" s="78" t="s">
        <v>3659</v>
      </c>
      <c r="M260" s="33" t="s">
        <v>3660</v>
      </c>
      <c r="N260" s="41" t="s">
        <v>54</v>
      </c>
      <c r="O260" s="34"/>
      <c r="P260" s="34"/>
      <c r="Q260" s="34"/>
      <c r="R260" s="34"/>
      <c r="S260" s="34"/>
      <c r="T260" s="34"/>
      <c r="U260" s="34"/>
      <c r="V260" s="34"/>
      <c r="W260" s="34"/>
      <c r="X260" s="34"/>
      <c r="Y260" s="56"/>
      <c r="Z260" s="56"/>
      <c r="AA260" s="56"/>
      <c r="AB260" s="56"/>
      <c r="AC260" s="56"/>
      <c r="AD260" s="56"/>
    </row>
    <row r="261" hidden="1">
      <c r="A261" s="110"/>
      <c r="B261" s="49">
        <v>46206.0</v>
      </c>
      <c r="C261" s="60" t="s">
        <v>75</v>
      </c>
      <c r="D261" s="119" t="str">
        <f t="shared" si="12"/>
        <v>TKCTDTTH_17</v>
      </c>
      <c r="E261" s="174"/>
      <c r="F261" s="63"/>
      <c r="G261" s="63" t="s">
        <v>3661</v>
      </c>
      <c r="H261" s="63" t="s">
        <v>3592</v>
      </c>
      <c r="I261" s="63"/>
      <c r="J261" s="63" t="s">
        <v>3662</v>
      </c>
      <c r="K261" s="63" t="s">
        <v>3663</v>
      </c>
      <c r="L261" s="63" t="s">
        <v>3663</v>
      </c>
      <c r="M261" s="145" t="s">
        <v>3664</v>
      </c>
      <c r="N261" s="60" t="s">
        <v>54</v>
      </c>
      <c r="O261" s="61"/>
      <c r="P261" s="61"/>
      <c r="Q261" s="61"/>
      <c r="R261" s="61"/>
      <c r="S261" s="61"/>
      <c r="T261" s="61"/>
      <c r="U261" s="61"/>
      <c r="V261" s="61"/>
      <c r="W261" s="61"/>
      <c r="X261" s="61"/>
      <c r="Y261" s="56"/>
      <c r="Z261" s="56"/>
      <c r="AA261" s="56"/>
      <c r="AB261" s="56"/>
      <c r="AC261" s="56"/>
      <c r="AD261" s="56"/>
    </row>
    <row r="262" hidden="1">
      <c r="A262" s="106"/>
      <c r="B262" s="15">
        <v>46206.0</v>
      </c>
      <c r="C262" s="41" t="s">
        <v>75</v>
      </c>
      <c r="D262" s="118" t="str">
        <f t="shared" si="12"/>
        <v>TKCTDTTH_18</v>
      </c>
      <c r="E262" s="175"/>
      <c r="F262" s="78"/>
      <c r="G262" s="78" t="s">
        <v>3665</v>
      </c>
      <c r="H262" s="78" t="s">
        <v>3342</v>
      </c>
      <c r="I262" s="78" t="s">
        <v>3666</v>
      </c>
      <c r="J262" s="78" t="s">
        <v>3667</v>
      </c>
      <c r="K262" s="78" t="s">
        <v>3668</v>
      </c>
      <c r="L262" s="78" t="s">
        <v>3668</v>
      </c>
      <c r="M262" s="33" t="s">
        <v>3669</v>
      </c>
      <c r="N262" s="41" t="s">
        <v>54</v>
      </c>
      <c r="O262" s="34"/>
      <c r="P262" s="34"/>
      <c r="Q262" s="34"/>
      <c r="R262" s="34"/>
      <c r="S262" s="34"/>
      <c r="T262" s="34"/>
      <c r="U262" s="34"/>
      <c r="V262" s="34"/>
      <c r="W262" s="34"/>
      <c r="X262" s="34"/>
      <c r="Y262" s="56"/>
      <c r="Z262" s="56"/>
      <c r="AA262" s="56"/>
      <c r="AB262" s="56"/>
      <c r="AC262" s="56"/>
      <c r="AD262" s="56"/>
    </row>
    <row r="263" hidden="1">
      <c r="A263" s="110"/>
      <c r="B263" s="49">
        <v>46206.0</v>
      </c>
      <c r="C263" s="60" t="s">
        <v>75</v>
      </c>
      <c r="D263" s="119" t="str">
        <f t="shared" si="12"/>
        <v>TKCTDTTH_19</v>
      </c>
      <c r="E263" s="174"/>
      <c r="F263" s="63"/>
      <c r="G263" s="63" t="s">
        <v>3670</v>
      </c>
      <c r="H263" s="63" t="s">
        <v>3671</v>
      </c>
      <c r="I263" s="63" t="s">
        <v>3342</v>
      </c>
      <c r="J263" s="63" t="s">
        <v>3672</v>
      </c>
      <c r="K263" s="63" t="s">
        <v>3673</v>
      </c>
      <c r="L263" s="63" t="s">
        <v>3673</v>
      </c>
      <c r="M263" s="145" t="s">
        <v>3674</v>
      </c>
      <c r="N263" s="60" t="s">
        <v>54</v>
      </c>
      <c r="O263" s="61"/>
      <c r="P263" s="61"/>
      <c r="Q263" s="61"/>
      <c r="R263" s="61"/>
      <c r="S263" s="61"/>
      <c r="T263" s="61"/>
      <c r="U263" s="61"/>
      <c r="V263" s="61"/>
      <c r="W263" s="61"/>
      <c r="X263" s="61"/>
      <c r="Y263" s="56"/>
      <c r="Z263" s="56"/>
      <c r="AA263" s="56"/>
      <c r="AB263" s="56"/>
      <c r="AC263" s="56"/>
      <c r="AD263" s="56"/>
    </row>
    <row r="264" hidden="1">
      <c r="A264" s="106"/>
      <c r="B264" s="15">
        <v>46206.0</v>
      </c>
      <c r="C264" s="41" t="s">
        <v>75</v>
      </c>
      <c r="D264" s="118" t="str">
        <f t="shared" si="12"/>
        <v>TKCTDTTH_20</v>
      </c>
      <c r="E264" s="175"/>
      <c r="F264" s="78"/>
      <c r="G264" s="78" t="s">
        <v>3675</v>
      </c>
      <c r="H264" s="78" t="s">
        <v>2326</v>
      </c>
      <c r="I264" s="78" t="s">
        <v>3405</v>
      </c>
      <c r="J264" s="78" t="s">
        <v>3676</v>
      </c>
      <c r="K264" s="78" t="s">
        <v>3677</v>
      </c>
      <c r="L264" s="78" t="s">
        <v>3677</v>
      </c>
      <c r="M264" s="33" t="s">
        <v>3678</v>
      </c>
      <c r="N264" s="41" t="s">
        <v>54</v>
      </c>
      <c r="O264" s="34"/>
      <c r="P264" s="34"/>
      <c r="Q264" s="34"/>
      <c r="R264" s="34"/>
      <c r="S264" s="34"/>
      <c r="T264" s="34"/>
      <c r="U264" s="34"/>
      <c r="V264" s="34"/>
      <c r="W264" s="34"/>
      <c r="X264" s="34"/>
      <c r="Y264" s="56"/>
      <c r="Z264" s="56"/>
      <c r="AA264" s="56"/>
      <c r="AB264" s="56"/>
      <c r="AC264" s="56"/>
      <c r="AD264" s="56"/>
    </row>
    <row r="265" hidden="1">
      <c r="A265" s="110"/>
      <c r="B265" s="49">
        <v>46206.0</v>
      </c>
      <c r="C265" s="60" t="s">
        <v>75</v>
      </c>
      <c r="D265" s="119" t="str">
        <f t="shared" si="12"/>
        <v>TKCTDTTH_21</v>
      </c>
      <c r="E265" s="174"/>
      <c r="F265" s="63"/>
      <c r="G265" s="63" t="s">
        <v>3679</v>
      </c>
      <c r="H265" s="63" t="s">
        <v>3680</v>
      </c>
      <c r="I265" s="63" t="s">
        <v>3342</v>
      </c>
      <c r="J265" s="63" t="s">
        <v>3681</v>
      </c>
      <c r="K265" s="63" t="s">
        <v>3682</v>
      </c>
      <c r="L265" s="63" t="s">
        <v>3682</v>
      </c>
      <c r="M265" s="145" t="s">
        <v>3683</v>
      </c>
      <c r="N265" s="60" t="s">
        <v>54</v>
      </c>
      <c r="O265" s="61"/>
      <c r="P265" s="61"/>
      <c r="Q265" s="61"/>
      <c r="R265" s="61"/>
      <c r="S265" s="61"/>
      <c r="T265" s="61"/>
      <c r="U265" s="61"/>
      <c r="V265" s="61"/>
      <c r="W265" s="61"/>
      <c r="X265" s="61"/>
      <c r="Y265" s="56"/>
      <c r="Z265" s="56"/>
      <c r="AA265" s="56"/>
      <c r="AB265" s="56"/>
      <c r="AC265" s="56"/>
      <c r="AD265" s="56"/>
    </row>
    <row r="266" hidden="1">
      <c r="A266" s="106"/>
      <c r="B266" s="41">
        <v>22.0</v>
      </c>
      <c r="C266" s="41" t="s">
        <v>75</v>
      </c>
      <c r="D266" s="118"/>
      <c r="E266" s="118" t="s">
        <v>3684</v>
      </c>
      <c r="F266" s="118" t="s">
        <v>78</v>
      </c>
      <c r="G266" s="118" t="s">
        <v>3685</v>
      </c>
      <c r="H266" s="41"/>
      <c r="I266" s="34"/>
      <c r="J266" s="34"/>
      <c r="K266" s="34"/>
      <c r="L266" s="34"/>
      <c r="M266" s="34"/>
      <c r="N266" s="41"/>
      <c r="O266" s="34"/>
      <c r="P266" s="34"/>
      <c r="Q266" s="34"/>
      <c r="R266" s="34"/>
      <c r="S266" s="34"/>
      <c r="T266" s="34"/>
      <c r="U266" s="34"/>
      <c r="V266" s="34"/>
      <c r="W266" s="34"/>
      <c r="X266" s="34"/>
      <c r="Y266" s="56"/>
      <c r="Z266" s="56"/>
      <c r="AA266" s="56"/>
      <c r="AB266" s="56"/>
      <c r="AC266" s="56"/>
      <c r="AD266" s="56"/>
    </row>
    <row r="267" hidden="1">
      <c r="A267" s="110"/>
      <c r="B267" s="49">
        <v>46206.0</v>
      </c>
      <c r="C267" s="60" t="s">
        <v>75</v>
      </c>
      <c r="D267" s="119" t="str">
        <f t="shared" ref="D267:D276" si="13">IF(G267&lt;&gt;"","QLDKDTTH_"&amp;TEXT(COUNTIF($G$267:G267,"&lt;&gt;"),"00"),"")</f>
        <v>QLDKDTTH_01</v>
      </c>
      <c r="E267" s="119"/>
      <c r="F267" s="119"/>
      <c r="G267" s="119" t="s">
        <v>3686</v>
      </c>
      <c r="H267" s="119" t="s">
        <v>3687</v>
      </c>
      <c r="I267" s="61"/>
      <c r="J267" s="61" t="s">
        <v>3688</v>
      </c>
      <c r="K267" s="61" t="s">
        <v>3689</v>
      </c>
      <c r="L267" s="61" t="s">
        <v>3689</v>
      </c>
      <c r="M267" s="145" t="s">
        <v>3690</v>
      </c>
      <c r="N267" s="60" t="s">
        <v>54</v>
      </c>
      <c r="O267" s="61"/>
      <c r="P267" s="61"/>
      <c r="Q267" s="61"/>
      <c r="R267" s="61"/>
      <c r="S267" s="61"/>
      <c r="T267" s="61"/>
      <c r="U267" s="61"/>
      <c r="V267" s="61"/>
      <c r="W267" s="61"/>
      <c r="X267" s="61"/>
      <c r="Y267" s="56"/>
      <c r="Z267" s="56"/>
      <c r="AA267" s="56"/>
      <c r="AB267" s="56"/>
      <c r="AC267" s="56"/>
      <c r="AD267" s="56"/>
    </row>
    <row r="268" hidden="1">
      <c r="A268" s="106"/>
      <c r="B268" s="15">
        <v>46206.0</v>
      </c>
      <c r="C268" s="41" t="s">
        <v>75</v>
      </c>
      <c r="D268" s="118" t="str">
        <f t="shared" si="13"/>
        <v>QLDKDTTH_02</v>
      </c>
      <c r="E268" s="118"/>
      <c r="F268" s="118"/>
      <c r="G268" s="118" t="s">
        <v>3691</v>
      </c>
      <c r="H268" s="118" t="s">
        <v>3687</v>
      </c>
      <c r="I268" s="34"/>
      <c r="J268" s="34" t="s">
        <v>3692</v>
      </c>
      <c r="K268" s="34" t="s">
        <v>3693</v>
      </c>
      <c r="L268" s="34" t="s">
        <v>3693</v>
      </c>
      <c r="M268" s="33" t="s">
        <v>3694</v>
      </c>
      <c r="N268" s="41" t="s">
        <v>54</v>
      </c>
      <c r="O268" s="34"/>
      <c r="P268" s="34"/>
      <c r="Q268" s="34"/>
      <c r="R268" s="34"/>
      <c r="S268" s="34"/>
      <c r="T268" s="34"/>
      <c r="U268" s="34"/>
      <c r="V268" s="34"/>
      <c r="W268" s="34"/>
      <c r="X268" s="34"/>
      <c r="Y268" s="56"/>
      <c r="Z268" s="56"/>
      <c r="AA268" s="56"/>
      <c r="AB268" s="56"/>
      <c r="AC268" s="56"/>
      <c r="AD268" s="56"/>
    </row>
    <row r="269" hidden="1">
      <c r="A269" s="110"/>
      <c r="B269" s="49">
        <v>46206.0</v>
      </c>
      <c r="C269" s="60" t="s">
        <v>75</v>
      </c>
      <c r="D269" s="119" t="str">
        <f t="shared" si="13"/>
        <v>QLDKDTTH_03</v>
      </c>
      <c r="E269" s="119"/>
      <c r="F269" s="119"/>
      <c r="G269" s="119" t="s">
        <v>3695</v>
      </c>
      <c r="H269" s="119" t="s">
        <v>3687</v>
      </c>
      <c r="I269" s="61"/>
      <c r="J269" s="61" t="s">
        <v>3696</v>
      </c>
      <c r="K269" s="61" t="s">
        <v>3697</v>
      </c>
      <c r="L269" s="61" t="s">
        <v>3697</v>
      </c>
      <c r="M269" s="145" t="s">
        <v>3698</v>
      </c>
      <c r="N269" s="60" t="s">
        <v>54</v>
      </c>
      <c r="O269" s="61"/>
      <c r="P269" s="61"/>
      <c r="Q269" s="61"/>
      <c r="R269" s="61"/>
      <c r="S269" s="61"/>
      <c r="T269" s="61"/>
      <c r="U269" s="61"/>
      <c r="V269" s="61"/>
      <c r="W269" s="61"/>
      <c r="X269" s="61"/>
      <c r="Y269" s="56"/>
      <c r="Z269" s="56"/>
      <c r="AA269" s="56"/>
      <c r="AB269" s="56"/>
      <c r="AC269" s="56"/>
      <c r="AD269" s="56"/>
    </row>
    <row r="270" hidden="1">
      <c r="A270" s="106"/>
      <c r="B270" s="15">
        <v>46206.0</v>
      </c>
      <c r="C270" s="41" t="s">
        <v>75</v>
      </c>
      <c r="D270" s="118" t="str">
        <f t="shared" si="13"/>
        <v>QLDKDTTH_04</v>
      </c>
      <c r="E270" s="118"/>
      <c r="F270" s="118"/>
      <c r="G270" s="118" t="s">
        <v>3699</v>
      </c>
      <c r="H270" s="118" t="s">
        <v>3687</v>
      </c>
      <c r="I270" s="34"/>
      <c r="J270" s="34" t="s">
        <v>3700</v>
      </c>
      <c r="K270" s="34" t="s">
        <v>3701</v>
      </c>
      <c r="L270" s="34" t="s">
        <v>3702</v>
      </c>
      <c r="M270" s="33" t="s">
        <v>3703</v>
      </c>
      <c r="N270" s="41" t="s">
        <v>52</v>
      </c>
      <c r="O270" s="34"/>
      <c r="P270" s="21" t="s">
        <v>53</v>
      </c>
      <c r="Q270" s="46" t="s">
        <v>54</v>
      </c>
      <c r="R270" s="34"/>
      <c r="S270" s="34"/>
      <c r="T270" s="34"/>
      <c r="U270" s="34"/>
      <c r="V270" s="34"/>
      <c r="W270" s="34"/>
      <c r="X270" s="34"/>
      <c r="Y270" s="56"/>
      <c r="Z270" s="56"/>
      <c r="AA270" s="56"/>
      <c r="AB270" s="56"/>
      <c r="AC270" s="56"/>
      <c r="AD270" s="56"/>
    </row>
    <row r="271" hidden="1">
      <c r="A271" s="110"/>
      <c r="B271" s="49">
        <v>46206.0</v>
      </c>
      <c r="C271" s="60" t="s">
        <v>75</v>
      </c>
      <c r="D271" s="119" t="str">
        <f t="shared" si="13"/>
        <v>QLDKDTTH_05</v>
      </c>
      <c r="E271" s="119"/>
      <c r="F271" s="119"/>
      <c r="G271" s="119" t="s">
        <v>3704</v>
      </c>
      <c r="H271" s="119" t="s">
        <v>3705</v>
      </c>
      <c r="I271" s="61"/>
      <c r="J271" s="61" t="s">
        <v>3706</v>
      </c>
      <c r="K271" s="61" t="s">
        <v>3707</v>
      </c>
      <c r="L271" s="61"/>
      <c r="M271" s="61"/>
      <c r="N271" s="60" t="s">
        <v>1405</v>
      </c>
      <c r="O271" s="61" t="s">
        <v>3708</v>
      </c>
      <c r="P271" s="61"/>
      <c r="Q271" s="61"/>
      <c r="R271" s="61"/>
      <c r="S271" s="61"/>
      <c r="T271" s="61"/>
      <c r="U271" s="61"/>
      <c r="V271" s="61"/>
      <c r="W271" s="61"/>
      <c r="X271" s="61"/>
      <c r="Y271" s="56"/>
      <c r="Z271" s="56"/>
      <c r="AA271" s="56"/>
      <c r="AB271" s="56"/>
      <c r="AC271" s="56"/>
      <c r="AD271" s="56"/>
    </row>
    <row r="272" hidden="1">
      <c r="A272" s="106"/>
      <c r="B272" s="15">
        <v>46206.0</v>
      </c>
      <c r="C272" s="41" t="s">
        <v>75</v>
      </c>
      <c r="D272" s="118" t="str">
        <f t="shared" si="13"/>
        <v>QLDKDTTH_06</v>
      </c>
      <c r="E272" s="118"/>
      <c r="F272" s="118"/>
      <c r="G272" s="118" t="s">
        <v>3709</v>
      </c>
      <c r="H272" s="118" t="s">
        <v>3710</v>
      </c>
      <c r="I272" s="34"/>
      <c r="J272" s="34" t="s">
        <v>3706</v>
      </c>
      <c r="K272" s="34" t="s">
        <v>3711</v>
      </c>
      <c r="L272" s="34"/>
      <c r="M272" s="34"/>
      <c r="N272" s="41" t="s">
        <v>1405</v>
      </c>
      <c r="O272" s="34" t="s">
        <v>3708</v>
      </c>
      <c r="P272" s="34"/>
      <c r="Q272" s="34"/>
      <c r="R272" s="34"/>
      <c r="S272" s="34"/>
      <c r="T272" s="34"/>
      <c r="U272" s="34"/>
      <c r="V272" s="34"/>
      <c r="W272" s="34"/>
      <c r="X272" s="34"/>
      <c r="Y272" s="56"/>
      <c r="Z272" s="56"/>
      <c r="AA272" s="56"/>
      <c r="AB272" s="56"/>
      <c r="AC272" s="56"/>
      <c r="AD272" s="56"/>
    </row>
    <row r="273" hidden="1">
      <c r="A273" s="110"/>
      <c r="B273" s="49">
        <v>46206.0</v>
      </c>
      <c r="C273" s="60" t="s">
        <v>75</v>
      </c>
      <c r="D273" s="119" t="str">
        <f t="shared" si="13"/>
        <v>QLDKDTTH_07</v>
      </c>
      <c r="E273" s="119"/>
      <c r="F273" s="119"/>
      <c r="G273" s="119" t="s">
        <v>3712</v>
      </c>
      <c r="H273" s="119" t="s">
        <v>3713</v>
      </c>
      <c r="I273" s="61"/>
      <c r="J273" s="61" t="s">
        <v>3714</v>
      </c>
      <c r="K273" s="61" t="s">
        <v>3715</v>
      </c>
      <c r="L273" s="61" t="s">
        <v>3716</v>
      </c>
      <c r="M273" s="71" t="s">
        <v>3717</v>
      </c>
      <c r="N273" s="60" t="s">
        <v>52</v>
      </c>
      <c r="O273" s="61"/>
      <c r="P273" s="90" t="s">
        <v>53</v>
      </c>
      <c r="Q273" s="92" t="s">
        <v>54</v>
      </c>
      <c r="R273" s="61"/>
      <c r="S273" s="61"/>
      <c r="T273" s="61"/>
      <c r="U273" s="61"/>
      <c r="V273" s="61"/>
      <c r="W273" s="61"/>
      <c r="X273" s="61"/>
      <c r="Y273" s="56"/>
      <c r="Z273" s="56"/>
      <c r="AA273" s="56"/>
      <c r="AB273" s="56"/>
      <c r="AC273" s="56"/>
      <c r="AD273" s="56"/>
    </row>
    <row r="274" hidden="1">
      <c r="A274" s="106"/>
      <c r="B274" s="15">
        <v>46206.0</v>
      </c>
      <c r="C274" s="41" t="s">
        <v>75</v>
      </c>
      <c r="D274" s="118" t="str">
        <f t="shared" si="13"/>
        <v>QLDKDTTH_08</v>
      </c>
      <c r="E274" s="118"/>
      <c r="F274" s="118"/>
      <c r="G274" s="118" t="s">
        <v>3718</v>
      </c>
      <c r="H274" s="118" t="s">
        <v>3713</v>
      </c>
      <c r="I274" s="34"/>
      <c r="J274" s="34" t="s">
        <v>3719</v>
      </c>
      <c r="K274" s="34" t="s">
        <v>3720</v>
      </c>
      <c r="L274" s="34"/>
      <c r="M274" s="34"/>
      <c r="N274" s="41" t="s">
        <v>1405</v>
      </c>
      <c r="O274" s="34" t="s">
        <v>3708</v>
      </c>
      <c r="P274" s="34"/>
      <c r="Q274" s="34"/>
      <c r="R274" s="34"/>
      <c r="S274" s="34"/>
      <c r="T274" s="34"/>
      <c r="U274" s="34"/>
      <c r="V274" s="34"/>
      <c r="W274" s="34"/>
      <c r="X274" s="34"/>
      <c r="Y274" s="56"/>
      <c r="Z274" s="56"/>
      <c r="AA274" s="56"/>
      <c r="AB274" s="56"/>
      <c r="AC274" s="56"/>
      <c r="AD274" s="56"/>
    </row>
    <row r="275" hidden="1">
      <c r="A275" s="110"/>
      <c r="B275" s="49">
        <v>46206.0</v>
      </c>
      <c r="C275" s="60" t="s">
        <v>75</v>
      </c>
      <c r="D275" s="119" t="str">
        <f t="shared" si="13"/>
        <v>QLDKDTTH_09</v>
      </c>
      <c r="E275" s="119"/>
      <c r="F275" s="119"/>
      <c r="G275" s="119" t="s">
        <v>3721</v>
      </c>
      <c r="H275" s="119" t="s">
        <v>3713</v>
      </c>
      <c r="I275" s="61"/>
      <c r="J275" s="61" t="s">
        <v>3714</v>
      </c>
      <c r="K275" s="61" t="s">
        <v>3722</v>
      </c>
      <c r="L275" s="61" t="s">
        <v>3722</v>
      </c>
      <c r="M275" s="71" t="s">
        <v>3723</v>
      </c>
      <c r="N275" s="60" t="s">
        <v>54</v>
      </c>
      <c r="O275" s="61"/>
      <c r="P275" s="61"/>
      <c r="Q275" s="61"/>
      <c r="R275" s="61"/>
      <c r="S275" s="61"/>
      <c r="T275" s="61"/>
      <c r="U275" s="61"/>
      <c r="V275" s="61"/>
      <c r="W275" s="61"/>
      <c r="X275" s="61"/>
      <c r="Y275" s="56"/>
      <c r="Z275" s="56"/>
      <c r="AA275" s="56"/>
      <c r="AB275" s="56"/>
      <c r="AC275" s="56"/>
      <c r="AD275" s="56"/>
    </row>
    <row r="276">
      <c r="A276" s="106"/>
      <c r="B276" s="41"/>
      <c r="C276" s="41"/>
      <c r="D276" s="118" t="str">
        <f t="shared" si="13"/>
        <v/>
      </c>
      <c r="E276" s="118"/>
      <c r="F276" s="118"/>
      <c r="G276" s="118"/>
      <c r="H276" s="177"/>
      <c r="I276" s="56"/>
      <c r="J276" s="56"/>
      <c r="K276" s="56"/>
      <c r="L276" s="56"/>
      <c r="M276" s="56"/>
      <c r="N276" s="177"/>
      <c r="O276" s="56"/>
      <c r="P276" s="56"/>
      <c r="Q276" s="177"/>
      <c r="R276" s="56"/>
      <c r="S276" s="56"/>
      <c r="T276" s="56"/>
      <c r="U276" s="56"/>
      <c r="V276" s="56"/>
      <c r="W276" s="56"/>
      <c r="X276" s="56"/>
      <c r="Y276" s="56"/>
      <c r="Z276" s="56"/>
      <c r="AA276" s="56"/>
      <c r="AB276" s="56"/>
      <c r="AC276" s="56"/>
      <c r="AD276" s="56"/>
    </row>
    <row r="277">
      <c r="A277" s="106"/>
      <c r="B277" s="41"/>
      <c r="C277" s="41"/>
      <c r="D277" s="34"/>
      <c r="E277" s="34"/>
      <c r="F277" s="34"/>
      <c r="G277" s="34"/>
      <c r="H277" s="56"/>
      <c r="I277" s="56"/>
      <c r="J277" s="56"/>
      <c r="K277" s="56"/>
      <c r="L277" s="56"/>
      <c r="M277" s="56"/>
      <c r="N277" s="177"/>
      <c r="O277" s="56"/>
      <c r="P277" s="56"/>
      <c r="Q277" s="177"/>
      <c r="R277" s="56"/>
      <c r="S277" s="56"/>
      <c r="T277" s="56"/>
      <c r="U277" s="56"/>
      <c r="V277" s="56"/>
      <c r="W277" s="56"/>
      <c r="X277" s="56"/>
      <c r="Y277" s="56"/>
      <c r="Z277" s="56"/>
      <c r="AA277" s="56"/>
      <c r="AB277" s="56"/>
      <c r="AC277" s="56"/>
      <c r="AD277" s="56"/>
    </row>
    <row r="278">
      <c r="A278" s="178"/>
      <c r="B278" s="177"/>
      <c r="C278" s="177"/>
      <c r="D278" s="56"/>
      <c r="E278" s="56"/>
      <c r="F278" s="56"/>
      <c r="G278" s="56"/>
      <c r="H278" s="56"/>
      <c r="I278" s="56"/>
      <c r="J278" s="56"/>
      <c r="K278" s="56"/>
      <c r="L278" s="56"/>
      <c r="M278" s="56"/>
      <c r="N278" s="177"/>
      <c r="O278" s="56"/>
      <c r="P278" s="56"/>
      <c r="Q278" s="177"/>
      <c r="R278" s="56"/>
      <c r="S278" s="56"/>
      <c r="T278" s="56"/>
      <c r="U278" s="56"/>
      <c r="V278" s="56"/>
      <c r="W278" s="56"/>
      <c r="X278" s="56"/>
      <c r="Y278" s="56"/>
      <c r="Z278" s="56"/>
      <c r="AA278" s="56"/>
      <c r="AB278" s="56"/>
      <c r="AC278" s="56"/>
      <c r="AD278" s="56"/>
    </row>
    <row r="279">
      <c r="A279" s="178"/>
      <c r="B279" s="177"/>
      <c r="C279" s="177"/>
      <c r="D279" s="56"/>
      <c r="E279" s="56"/>
      <c r="F279" s="56"/>
      <c r="G279" s="56"/>
      <c r="H279" s="56"/>
      <c r="I279" s="56"/>
      <c r="J279" s="56"/>
      <c r="K279" s="56"/>
      <c r="L279" s="56"/>
      <c r="M279" s="56"/>
      <c r="N279" s="177"/>
      <c r="O279" s="56"/>
      <c r="P279" s="56"/>
      <c r="Q279" s="177"/>
      <c r="R279" s="56"/>
      <c r="S279" s="56"/>
      <c r="T279" s="56"/>
      <c r="U279" s="56"/>
      <c r="V279" s="56"/>
      <c r="W279" s="56"/>
      <c r="X279" s="56"/>
      <c r="Y279" s="56"/>
      <c r="Z279" s="56"/>
      <c r="AA279" s="56"/>
      <c r="AB279" s="56"/>
      <c r="AC279" s="56"/>
      <c r="AD279" s="56"/>
    </row>
    <row r="280">
      <c r="A280" s="178"/>
      <c r="B280" s="177"/>
      <c r="C280" s="177"/>
      <c r="D280" s="56"/>
      <c r="E280" s="56"/>
      <c r="F280" s="56"/>
      <c r="G280" s="56"/>
      <c r="H280" s="56"/>
      <c r="I280" s="56"/>
      <c r="J280" s="56"/>
      <c r="K280" s="56"/>
      <c r="L280" s="56"/>
      <c r="M280" s="56"/>
      <c r="N280" s="177"/>
      <c r="O280" s="56"/>
      <c r="P280" s="56"/>
      <c r="Q280" s="177"/>
      <c r="R280" s="56"/>
      <c r="S280" s="56"/>
      <c r="T280" s="56"/>
      <c r="U280" s="56"/>
      <c r="V280" s="56"/>
      <c r="W280" s="56"/>
      <c r="X280" s="56"/>
      <c r="Y280" s="56"/>
      <c r="Z280" s="56"/>
      <c r="AA280" s="56"/>
      <c r="AB280" s="56"/>
      <c r="AC280" s="56"/>
      <c r="AD280" s="56"/>
    </row>
    <row r="281">
      <c r="A281" s="178"/>
      <c r="B281" s="177"/>
      <c r="C281" s="177"/>
      <c r="D281" s="56"/>
      <c r="E281" s="56"/>
      <c r="F281" s="56"/>
      <c r="G281" s="56"/>
      <c r="H281" s="56"/>
      <c r="I281" s="56"/>
      <c r="J281" s="56"/>
      <c r="K281" s="56"/>
      <c r="L281" s="56"/>
      <c r="M281" s="56"/>
      <c r="N281" s="177"/>
      <c r="O281" s="56"/>
      <c r="P281" s="56"/>
      <c r="Q281" s="177"/>
      <c r="R281" s="56"/>
      <c r="S281" s="56"/>
      <c r="T281" s="56"/>
      <c r="U281" s="56"/>
      <c r="V281" s="56"/>
      <c r="W281" s="56"/>
      <c r="X281" s="56"/>
      <c r="Y281" s="56"/>
      <c r="Z281" s="56"/>
      <c r="AA281" s="56"/>
      <c r="AB281" s="56"/>
      <c r="AC281" s="56"/>
      <c r="AD281" s="56"/>
    </row>
    <row r="282">
      <c r="A282" s="178"/>
      <c r="B282" s="177"/>
      <c r="C282" s="177"/>
      <c r="D282" s="56"/>
      <c r="E282" s="56"/>
      <c r="F282" s="56"/>
      <c r="G282" s="56"/>
      <c r="H282" s="56"/>
      <c r="I282" s="56"/>
      <c r="J282" s="56"/>
      <c r="K282" s="56"/>
      <c r="L282" s="56"/>
      <c r="M282" s="56"/>
      <c r="N282" s="177"/>
      <c r="O282" s="56"/>
      <c r="P282" s="56"/>
      <c r="Q282" s="177"/>
      <c r="R282" s="56"/>
      <c r="S282" s="56"/>
      <c r="T282" s="56"/>
      <c r="U282" s="56"/>
      <c r="V282" s="56"/>
      <c r="W282" s="56"/>
      <c r="X282" s="56"/>
      <c r="Y282" s="56"/>
      <c r="Z282" s="56"/>
      <c r="AA282" s="56"/>
      <c r="AB282" s="56"/>
      <c r="AC282" s="56"/>
      <c r="AD282" s="56"/>
    </row>
    <row r="283">
      <c r="A283" s="178"/>
      <c r="B283" s="177"/>
      <c r="C283" s="177"/>
      <c r="D283" s="56"/>
      <c r="E283" s="56"/>
      <c r="F283" s="56"/>
      <c r="G283" s="56"/>
      <c r="H283" s="56"/>
      <c r="I283" s="56"/>
      <c r="J283" s="56"/>
      <c r="K283" s="56"/>
      <c r="L283" s="56"/>
      <c r="M283" s="56"/>
      <c r="N283" s="177"/>
      <c r="O283" s="56"/>
      <c r="P283" s="56"/>
      <c r="Q283" s="177"/>
      <c r="R283" s="56"/>
      <c r="S283" s="56"/>
      <c r="T283" s="56"/>
      <c r="U283" s="56"/>
      <c r="V283" s="56"/>
      <c r="W283" s="56"/>
      <c r="X283" s="56"/>
      <c r="Y283" s="56"/>
      <c r="Z283" s="56"/>
      <c r="AA283" s="56"/>
      <c r="AB283" s="56"/>
      <c r="AC283" s="56"/>
      <c r="AD283" s="56"/>
    </row>
    <row r="284">
      <c r="A284" s="178"/>
      <c r="B284" s="177"/>
      <c r="C284" s="177"/>
      <c r="D284" s="56"/>
      <c r="E284" s="56"/>
      <c r="F284" s="56"/>
      <c r="G284" s="56"/>
      <c r="H284" s="56"/>
      <c r="I284" s="56"/>
      <c r="J284" s="56"/>
      <c r="K284" s="56"/>
      <c r="L284" s="56"/>
      <c r="M284" s="56"/>
      <c r="N284" s="177"/>
      <c r="O284" s="56"/>
      <c r="P284" s="56"/>
      <c r="Q284" s="177"/>
      <c r="R284" s="56"/>
      <c r="S284" s="56"/>
      <c r="T284" s="56"/>
      <c r="U284" s="56"/>
      <c r="V284" s="56"/>
      <c r="W284" s="56"/>
      <c r="X284" s="56"/>
      <c r="Y284" s="56"/>
      <c r="Z284" s="56"/>
      <c r="AA284" s="56"/>
      <c r="AB284" s="56"/>
      <c r="AC284" s="56"/>
      <c r="AD284" s="56"/>
    </row>
    <row r="285">
      <c r="A285" s="178"/>
      <c r="B285" s="177"/>
      <c r="C285" s="177"/>
      <c r="D285" s="56"/>
      <c r="E285" s="56"/>
      <c r="F285" s="56"/>
      <c r="G285" s="56"/>
      <c r="H285" s="56"/>
      <c r="I285" s="56"/>
      <c r="J285" s="56"/>
      <c r="K285" s="56"/>
      <c r="L285" s="56"/>
      <c r="M285" s="56"/>
      <c r="N285" s="177"/>
      <c r="O285" s="56"/>
      <c r="P285" s="56"/>
      <c r="Q285" s="177"/>
      <c r="R285" s="56"/>
      <c r="S285" s="56"/>
      <c r="T285" s="56"/>
      <c r="U285" s="56"/>
      <c r="V285" s="56"/>
      <c r="W285" s="56"/>
      <c r="X285" s="56"/>
      <c r="Y285" s="56"/>
      <c r="Z285" s="56"/>
      <c r="AA285" s="56"/>
      <c r="AB285" s="56"/>
      <c r="AC285" s="56"/>
      <c r="AD285" s="56"/>
    </row>
    <row r="286">
      <c r="A286" s="178"/>
      <c r="B286" s="177"/>
      <c r="C286" s="177"/>
      <c r="D286" s="56"/>
      <c r="E286" s="56"/>
      <c r="F286" s="56"/>
      <c r="G286" s="56"/>
      <c r="H286" s="56"/>
      <c r="I286" s="56"/>
      <c r="J286" s="56"/>
      <c r="K286" s="56"/>
      <c r="L286" s="56"/>
      <c r="M286" s="56"/>
      <c r="N286" s="177"/>
      <c r="O286" s="56"/>
      <c r="P286" s="56"/>
      <c r="Q286" s="177"/>
      <c r="R286" s="56"/>
      <c r="S286" s="56"/>
      <c r="T286" s="56"/>
      <c r="U286" s="56"/>
      <c r="V286" s="56"/>
      <c r="W286" s="56"/>
      <c r="X286" s="56"/>
      <c r="Y286" s="56"/>
      <c r="Z286" s="56"/>
      <c r="AA286" s="56"/>
      <c r="AB286" s="56"/>
      <c r="AC286" s="56"/>
      <c r="AD286" s="56"/>
    </row>
    <row r="287">
      <c r="A287" s="178"/>
      <c r="B287" s="177"/>
      <c r="C287" s="177"/>
      <c r="D287" s="56"/>
      <c r="E287" s="56"/>
      <c r="F287" s="56"/>
      <c r="G287" s="56"/>
      <c r="H287" s="56"/>
      <c r="I287" s="56"/>
      <c r="J287" s="56"/>
      <c r="K287" s="56"/>
      <c r="L287" s="56"/>
      <c r="M287" s="56"/>
      <c r="N287" s="177"/>
      <c r="O287" s="56"/>
      <c r="P287" s="56"/>
      <c r="Q287" s="177"/>
      <c r="R287" s="56"/>
      <c r="S287" s="56"/>
      <c r="T287" s="56"/>
      <c r="U287" s="56"/>
      <c r="V287" s="56"/>
      <c r="W287" s="56"/>
      <c r="X287" s="56"/>
      <c r="Y287" s="56"/>
      <c r="Z287" s="56"/>
      <c r="AA287" s="56"/>
      <c r="AB287" s="56"/>
      <c r="AC287" s="56"/>
      <c r="AD287" s="56"/>
    </row>
    <row r="288">
      <c r="A288" s="178"/>
      <c r="B288" s="177"/>
      <c r="C288" s="177"/>
      <c r="D288" s="56"/>
      <c r="E288" s="56"/>
      <c r="F288" s="56"/>
      <c r="G288" s="56"/>
      <c r="H288" s="56"/>
      <c r="I288" s="56"/>
      <c r="J288" s="56"/>
      <c r="K288" s="56"/>
      <c r="L288" s="56"/>
      <c r="M288" s="56"/>
      <c r="N288" s="177"/>
      <c r="O288" s="56"/>
      <c r="P288" s="56"/>
      <c r="Q288" s="177"/>
      <c r="R288" s="56"/>
      <c r="S288" s="56"/>
      <c r="T288" s="56"/>
      <c r="U288" s="56"/>
      <c r="V288" s="56"/>
      <c r="W288" s="56"/>
      <c r="X288" s="56"/>
      <c r="Y288" s="56"/>
      <c r="Z288" s="56"/>
      <c r="AA288" s="56"/>
      <c r="AB288" s="56"/>
      <c r="AC288" s="56"/>
      <c r="AD288" s="56"/>
    </row>
    <row r="289">
      <c r="A289" s="178"/>
      <c r="B289" s="177"/>
      <c r="C289" s="177"/>
      <c r="D289" s="56"/>
      <c r="E289" s="56"/>
      <c r="F289" s="56"/>
      <c r="G289" s="56"/>
      <c r="H289" s="56"/>
      <c r="I289" s="56"/>
      <c r="J289" s="56"/>
      <c r="K289" s="56"/>
      <c r="L289" s="56"/>
      <c r="M289" s="56"/>
      <c r="N289" s="177"/>
      <c r="O289" s="56"/>
      <c r="P289" s="56"/>
      <c r="Q289" s="177"/>
      <c r="R289" s="56"/>
      <c r="S289" s="56"/>
      <c r="T289" s="56"/>
      <c r="U289" s="56"/>
      <c r="V289" s="56"/>
      <c r="W289" s="56"/>
      <c r="X289" s="56"/>
      <c r="Y289" s="56"/>
      <c r="Z289" s="56"/>
      <c r="AA289" s="56"/>
      <c r="AB289" s="56"/>
      <c r="AC289" s="56"/>
      <c r="AD289" s="56"/>
    </row>
    <row r="290">
      <c r="A290" s="178"/>
      <c r="B290" s="177"/>
      <c r="C290" s="177"/>
      <c r="D290" s="56"/>
      <c r="E290" s="56"/>
      <c r="F290" s="56"/>
      <c r="G290" s="56"/>
      <c r="H290" s="56"/>
      <c r="I290" s="56"/>
      <c r="J290" s="56"/>
      <c r="K290" s="56"/>
      <c r="L290" s="56"/>
      <c r="M290" s="56"/>
      <c r="N290" s="177"/>
      <c r="O290" s="56"/>
      <c r="P290" s="56"/>
      <c r="Q290" s="177"/>
      <c r="R290" s="56"/>
      <c r="S290" s="56"/>
      <c r="T290" s="56"/>
      <c r="U290" s="56"/>
      <c r="V290" s="56"/>
      <c r="W290" s="56"/>
      <c r="X290" s="56"/>
      <c r="Y290" s="56"/>
      <c r="Z290" s="56"/>
      <c r="AA290" s="56"/>
      <c r="AB290" s="56"/>
      <c r="AC290" s="56"/>
      <c r="AD290" s="56"/>
    </row>
    <row r="291">
      <c r="A291" s="178"/>
      <c r="B291" s="177"/>
      <c r="C291" s="177"/>
      <c r="D291" s="56"/>
      <c r="E291" s="56"/>
      <c r="F291" s="56"/>
      <c r="G291" s="56"/>
      <c r="H291" s="56"/>
      <c r="I291" s="56"/>
      <c r="J291" s="56"/>
      <c r="K291" s="56"/>
      <c r="L291" s="56"/>
      <c r="M291" s="56"/>
      <c r="N291" s="177"/>
      <c r="O291" s="56"/>
      <c r="P291" s="56"/>
      <c r="Q291" s="177"/>
      <c r="R291" s="56"/>
      <c r="S291" s="56"/>
      <c r="T291" s="56"/>
      <c r="U291" s="56"/>
      <c r="V291" s="56"/>
      <c r="W291" s="56"/>
      <c r="X291" s="56"/>
      <c r="Y291" s="56"/>
      <c r="Z291" s="56"/>
      <c r="AA291" s="56"/>
      <c r="AB291" s="56"/>
      <c r="AC291" s="56"/>
      <c r="AD291" s="56"/>
    </row>
    <row r="292">
      <c r="A292" s="178"/>
      <c r="B292" s="177"/>
      <c r="C292" s="177"/>
      <c r="D292" s="56"/>
      <c r="E292" s="56"/>
      <c r="F292" s="56"/>
      <c r="G292" s="56"/>
      <c r="H292" s="56"/>
      <c r="I292" s="56"/>
      <c r="J292" s="56"/>
      <c r="K292" s="56"/>
      <c r="L292" s="56"/>
      <c r="M292" s="56"/>
      <c r="N292" s="177"/>
      <c r="O292" s="56"/>
      <c r="P292" s="56"/>
      <c r="Q292" s="177"/>
      <c r="R292" s="56"/>
      <c r="S292" s="56"/>
      <c r="T292" s="56"/>
      <c r="U292" s="56"/>
      <c r="V292" s="56"/>
      <c r="W292" s="56"/>
      <c r="X292" s="56"/>
      <c r="Y292" s="56"/>
      <c r="Z292" s="56"/>
      <c r="AA292" s="56"/>
      <c r="AB292" s="56"/>
      <c r="AC292" s="56"/>
      <c r="AD292" s="56"/>
    </row>
    <row r="293">
      <c r="A293" s="178"/>
      <c r="B293" s="177"/>
      <c r="C293" s="177"/>
      <c r="D293" s="56"/>
      <c r="E293" s="56"/>
      <c r="F293" s="56"/>
      <c r="G293" s="56"/>
      <c r="H293" s="56"/>
      <c r="I293" s="56"/>
      <c r="J293" s="56"/>
      <c r="K293" s="56"/>
      <c r="L293" s="56"/>
      <c r="M293" s="56"/>
      <c r="N293" s="177"/>
      <c r="O293" s="56"/>
      <c r="P293" s="56"/>
      <c r="Q293" s="177"/>
      <c r="R293" s="56"/>
      <c r="S293" s="56"/>
      <c r="T293" s="56"/>
      <c r="U293" s="56"/>
      <c r="V293" s="56"/>
      <c r="W293" s="56"/>
      <c r="X293" s="56"/>
      <c r="Y293" s="56"/>
      <c r="Z293" s="56"/>
      <c r="AA293" s="56"/>
      <c r="AB293" s="56"/>
      <c r="AC293" s="56"/>
      <c r="AD293" s="56"/>
    </row>
    <row r="294">
      <c r="A294" s="178"/>
      <c r="B294" s="177"/>
      <c r="C294" s="177"/>
      <c r="D294" s="56"/>
      <c r="E294" s="56"/>
      <c r="F294" s="56"/>
      <c r="G294" s="56"/>
      <c r="H294" s="56"/>
      <c r="I294" s="56"/>
      <c r="J294" s="56"/>
      <c r="K294" s="56"/>
      <c r="L294" s="56"/>
      <c r="M294" s="56"/>
      <c r="N294" s="177"/>
      <c r="O294" s="56"/>
      <c r="P294" s="56"/>
      <c r="Q294" s="177"/>
      <c r="R294" s="56"/>
      <c r="S294" s="56"/>
      <c r="T294" s="56"/>
      <c r="U294" s="56"/>
      <c r="V294" s="56"/>
      <c r="W294" s="56"/>
      <c r="X294" s="56"/>
      <c r="Y294" s="56"/>
      <c r="Z294" s="56"/>
      <c r="AA294" s="56"/>
      <c r="AB294" s="56"/>
      <c r="AC294" s="56"/>
      <c r="AD294" s="56"/>
    </row>
    <row r="295">
      <c r="A295" s="178"/>
      <c r="B295" s="177"/>
      <c r="C295" s="177"/>
      <c r="D295" s="56"/>
      <c r="E295" s="56"/>
      <c r="F295" s="56"/>
      <c r="G295" s="56"/>
      <c r="H295" s="56"/>
      <c r="I295" s="56"/>
      <c r="J295" s="56"/>
      <c r="K295" s="56"/>
      <c r="L295" s="56"/>
      <c r="M295" s="56"/>
      <c r="N295" s="177"/>
      <c r="O295" s="56"/>
      <c r="P295" s="56"/>
      <c r="Q295" s="177"/>
      <c r="R295" s="56"/>
      <c r="S295" s="56"/>
      <c r="T295" s="56"/>
      <c r="U295" s="56"/>
      <c r="V295" s="56"/>
      <c r="W295" s="56"/>
      <c r="X295" s="56"/>
      <c r="Y295" s="56"/>
      <c r="Z295" s="56"/>
      <c r="AA295" s="56"/>
      <c r="AB295" s="56"/>
      <c r="AC295" s="56"/>
      <c r="AD295" s="56"/>
    </row>
    <row r="296">
      <c r="A296" s="178"/>
      <c r="B296" s="177"/>
      <c r="C296" s="177"/>
      <c r="D296" s="56"/>
      <c r="E296" s="56"/>
      <c r="F296" s="56"/>
      <c r="G296" s="56"/>
      <c r="H296" s="56"/>
      <c r="I296" s="56"/>
      <c r="J296" s="56"/>
      <c r="K296" s="56"/>
      <c r="L296" s="56"/>
      <c r="M296" s="56"/>
      <c r="N296" s="177"/>
      <c r="O296" s="56"/>
      <c r="P296" s="56"/>
      <c r="Q296" s="177"/>
      <c r="R296" s="56"/>
      <c r="S296" s="56"/>
      <c r="T296" s="56"/>
      <c r="U296" s="56"/>
      <c r="V296" s="56"/>
      <c r="W296" s="56"/>
      <c r="X296" s="56"/>
      <c r="Y296" s="56"/>
      <c r="Z296" s="56"/>
      <c r="AA296" s="56"/>
      <c r="AB296" s="56"/>
      <c r="AC296" s="56"/>
      <c r="AD296" s="56"/>
    </row>
    <row r="297">
      <c r="A297" s="178"/>
      <c r="B297" s="177"/>
      <c r="C297" s="177"/>
      <c r="D297" s="56"/>
      <c r="E297" s="56"/>
      <c r="F297" s="56"/>
      <c r="G297" s="56"/>
      <c r="H297" s="56"/>
      <c r="I297" s="56"/>
      <c r="J297" s="56"/>
      <c r="K297" s="56"/>
      <c r="L297" s="56"/>
      <c r="M297" s="56"/>
      <c r="N297" s="177"/>
      <c r="O297" s="56"/>
      <c r="P297" s="56"/>
      <c r="Q297" s="177"/>
      <c r="R297" s="56"/>
      <c r="S297" s="56"/>
      <c r="T297" s="56"/>
      <c r="U297" s="56"/>
      <c r="V297" s="56"/>
      <c r="W297" s="56"/>
      <c r="X297" s="56"/>
      <c r="Y297" s="56"/>
      <c r="Z297" s="56"/>
      <c r="AA297" s="56"/>
      <c r="AB297" s="56"/>
      <c r="AC297" s="56"/>
      <c r="AD297" s="56"/>
    </row>
    <row r="298">
      <c r="A298" s="178"/>
      <c r="B298" s="177"/>
      <c r="C298" s="177"/>
      <c r="D298" s="56"/>
      <c r="E298" s="56"/>
      <c r="F298" s="56"/>
      <c r="G298" s="56"/>
      <c r="H298" s="56"/>
      <c r="I298" s="56"/>
      <c r="J298" s="56"/>
      <c r="K298" s="56"/>
      <c r="L298" s="56"/>
      <c r="M298" s="56"/>
      <c r="N298" s="177"/>
      <c r="O298" s="56"/>
      <c r="P298" s="56"/>
      <c r="Q298" s="177"/>
      <c r="R298" s="56"/>
      <c r="S298" s="56"/>
      <c r="T298" s="56"/>
      <c r="U298" s="56"/>
      <c r="V298" s="56"/>
      <c r="W298" s="56"/>
      <c r="X298" s="56"/>
      <c r="Y298" s="56"/>
      <c r="Z298" s="56"/>
      <c r="AA298" s="56"/>
      <c r="AB298" s="56"/>
      <c r="AC298" s="56"/>
      <c r="AD298" s="56"/>
    </row>
    <row r="299">
      <c r="A299" s="178"/>
      <c r="B299" s="177"/>
      <c r="C299" s="177"/>
      <c r="D299" s="56"/>
      <c r="E299" s="56"/>
      <c r="F299" s="56"/>
      <c r="G299" s="56"/>
      <c r="H299" s="56"/>
      <c r="I299" s="56"/>
      <c r="J299" s="56"/>
      <c r="K299" s="56"/>
      <c r="L299" s="56"/>
      <c r="M299" s="56"/>
      <c r="N299" s="177"/>
      <c r="O299" s="56"/>
      <c r="P299" s="56"/>
      <c r="Q299" s="177"/>
      <c r="R299" s="56"/>
      <c r="S299" s="56"/>
      <c r="T299" s="56"/>
      <c r="U299" s="56"/>
      <c r="V299" s="56"/>
      <c r="W299" s="56"/>
      <c r="X299" s="56"/>
      <c r="Y299" s="56"/>
      <c r="Z299" s="56"/>
      <c r="AA299" s="56"/>
      <c r="AB299" s="56"/>
      <c r="AC299" s="56"/>
      <c r="AD299" s="56"/>
    </row>
    <row r="300">
      <c r="A300" s="178"/>
      <c r="B300" s="177"/>
      <c r="C300" s="177"/>
      <c r="D300" s="56"/>
      <c r="E300" s="56"/>
      <c r="F300" s="56"/>
      <c r="G300" s="56"/>
      <c r="H300" s="56"/>
      <c r="I300" s="56"/>
      <c r="J300" s="56"/>
      <c r="K300" s="56"/>
      <c r="L300" s="56"/>
      <c r="M300" s="56"/>
      <c r="N300" s="177"/>
      <c r="O300" s="56"/>
      <c r="P300" s="56"/>
      <c r="Q300" s="177"/>
      <c r="R300" s="56"/>
      <c r="S300" s="56"/>
      <c r="T300" s="56"/>
      <c r="U300" s="56"/>
      <c r="V300" s="56"/>
      <c r="W300" s="56"/>
      <c r="X300" s="56"/>
      <c r="Y300" s="56"/>
      <c r="Z300" s="56"/>
      <c r="AA300" s="56"/>
      <c r="AB300" s="56"/>
      <c r="AC300" s="56"/>
      <c r="AD300" s="56"/>
    </row>
    <row r="301">
      <c r="A301" s="178"/>
      <c r="B301" s="177"/>
      <c r="C301" s="177"/>
      <c r="D301" s="56"/>
      <c r="E301" s="56"/>
      <c r="F301" s="56"/>
      <c r="G301" s="56"/>
      <c r="H301" s="56"/>
      <c r="I301" s="56"/>
      <c r="J301" s="56"/>
      <c r="K301" s="56"/>
      <c r="L301" s="56"/>
      <c r="M301" s="56"/>
      <c r="N301" s="177"/>
      <c r="O301" s="56"/>
      <c r="P301" s="56"/>
      <c r="Q301" s="177"/>
      <c r="R301" s="56"/>
      <c r="S301" s="56"/>
      <c r="T301" s="56"/>
      <c r="U301" s="56"/>
      <c r="V301" s="56"/>
      <c r="W301" s="56"/>
      <c r="X301" s="56"/>
      <c r="Y301" s="56"/>
      <c r="Z301" s="56"/>
      <c r="AA301" s="56"/>
      <c r="AB301" s="56"/>
      <c r="AC301" s="56"/>
      <c r="AD301" s="56"/>
    </row>
    <row r="302">
      <c r="A302" s="178"/>
      <c r="B302" s="177"/>
      <c r="C302" s="177"/>
      <c r="D302" s="56"/>
      <c r="E302" s="56"/>
      <c r="F302" s="56"/>
      <c r="G302" s="56"/>
      <c r="H302" s="56"/>
      <c r="I302" s="56"/>
      <c r="J302" s="56"/>
      <c r="K302" s="56"/>
      <c r="L302" s="56"/>
      <c r="M302" s="56"/>
      <c r="N302" s="177"/>
      <c r="O302" s="56"/>
      <c r="P302" s="56"/>
      <c r="Q302" s="177"/>
      <c r="R302" s="56"/>
      <c r="S302" s="56"/>
      <c r="T302" s="56"/>
      <c r="U302" s="56"/>
      <c r="V302" s="56"/>
      <c r="W302" s="56"/>
      <c r="X302" s="56"/>
      <c r="Y302" s="56"/>
      <c r="Z302" s="56"/>
      <c r="AA302" s="56"/>
      <c r="AB302" s="56"/>
      <c r="AC302" s="56"/>
      <c r="AD302" s="56"/>
    </row>
    <row r="303">
      <c r="A303" s="178"/>
      <c r="B303" s="177"/>
      <c r="C303" s="177"/>
      <c r="D303" s="56"/>
      <c r="E303" s="56"/>
      <c r="F303" s="56"/>
      <c r="G303" s="56"/>
      <c r="H303" s="56"/>
      <c r="I303" s="56"/>
      <c r="J303" s="56"/>
      <c r="K303" s="56"/>
      <c r="L303" s="56"/>
      <c r="M303" s="56"/>
      <c r="N303" s="177"/>
      <c r="O303" s="56"/>
      <c r="P303" s="56"/>
      <c r="Q303" s="177"/>
      <c r="R303" s="56"/>
      <c r="S303" s="56"/>
      <c r="T303" s="56"/>
      <c r="U303" s="56"/>
      <c r="V303" s="56"/>
      <c r="W303" s="56"/>
      <c r="X303" s="56"/>
      <c r="Y303" s="56"/>
      <c r="Z303" s="56"/>
      <c r="AA303" s="56"/>
      <c r="AB303" s="56"/>
      <c r="AC303" s="56"/>
      <c r="AD303" s="56"/>
    </row>
    <row r="304">
      <c r="A304" s="178"/>
      <c r="B304" s="177"/>
      <c r="C304" s="177"/>
      <c r="D304" s="56"/>
      <c r="E304" s="56"/>
      <c r="F304" s="56"/>
      <c r="G304" s="56"/>
      <c r="H304" s="56"/>
      <c r="I304" s="56"/>
      <c r="J304" s="56"/>
      <c r="K304" s="56"/>
      <c r="L304" s="56"/>
      <c r="M304" s="56"/>
      <c r="N304" s="177"/>
      <c r="O304" s="56"/>
      <c r="P304" s="56"/>
      <c r="Q304" s="177"/>
      <c r="R304" s="56"/>
      <c r="S304" s="56"/>
      <c r="T304" s="56"/>
      <c r="U304" s="56"/>
      <c r="V304" s="56"/>
      <c r="W304" s="56"/>
      <c r="X304" s="56"/>
      <c r="Y304" s="56"/>
      <c r="Z304" s="56"/>
      <c r="AA304" s="56"/>
      <c r="AB304" s="56"/>
      <c r="AC304" s="56"/>
      <c r="AD304" s="56"/>
    </row>
    <row r="305">
      <c r="A305" s="178"/>
      <c r="B305" s="177"/>
      <c r="C305" s="177"/>
      <c r="D305" s="56"/>
      <c r="E305" s="56"/>
      <c r="F305" s="56"/>
      <c r="G305" s="56"/>
      <c r="H305" s="56"/>
      <c r="I305" s="56"/>
      <c r="J305" s="56"/>
      <c r="K305" s="56"/>
      <c r="L305" s="56"/>
      <c r="M305" s="56"/>
      <c r="N305" s="177"/>
      <c r="O305" s="56"/>
      <c r="P305" s="56"/>
      <c r="Q305" s="177"/>
      <c r="R305" s="56"/>
      <c r="S305" s="56"/>
      <c r="T305" s="56"/>
      <c r="U305" s="56"/>
      <c r="V305" s="56"/>
      <c r="W305" s="56"/>
      <c r="X305" s="56"/>
      <c r="Y305" s="56"/>
      <c r="Z305" s="56"/>
      <c r="AA305" s="56"/>
      <c r="AB305" s="56"/>
      <c r="AC305" s="56"/>
      <c r="AD305" s="56"/>
    </row>
    <row r="306">
      <c r="A306" s="178"/>
      <c r="B306" s="177"/>
      <c r="C306" s="177"/>
      <c r="D306" s="56"/>
      <c r="E306" s="56"/>
      <c r="F306" s="56"/>
      <c r="G306" s="56"/>
      <c r="H306" s="56"/>
      <c r="I306" s="56"/>
      <c r="J306" s="56"/>
      <c r="K306" s="56"/>
      <c r="L306" s="56"/>
      <c r="M306" s="56"/>
      <c r="N306" s="177"/>
      <c r="O306" s="56"/>
      <c r="P306" s="56"/>
      <c r="Q306" s="177"/>
      <c r="R306" s="56"/>
      <c r="S306" s="56"/>
      <c r="T306" s="56"/>
      <c r="U306" s="56"/>
      <c r="V306" s="56"/>
      <c r="W306" s="56"/>
      <c r="X306" s="56"/>
      <c r="Y306" s="56"/>
      <c r="Z306" s="56"/>
      <c r="AA306" s="56"/>
      <c r="AB306" s="56"/>
      <c r="AC306" s="56"/>
      <c r="AD306" s="56"/>
    </row>
    <row r="307">
      <c r="A307" s="178"/>
      <c r="B307" s="177"/>
      <c r="C307" s="177"/>
      <c r="D307" s="56"/>
      <c r="E307" s="56"/>
      <c r="F307" s="56"/>
      <c r="G307" s="56"/>
      <c r="H307" s="56"/>
      <c r="I307" s="56"/>
      <c r="J307" s="56"/>
      <c r="K307" s="56"/>
      <c r="L307" s="56"/>
      <c r="M307" s="56"/>
      <c r="N307" s="177"/>
      <c r="O307" s="56"/>
      <c r="P307" s="56"/>
      <c r="Q307" s="177"/>
      <c r="R307" s="56"/>
      <c r="S307" s="56"/>
      <c r="T307" s="56"/>
      <c r="U307" s="56"/>
      <c r="V307" s="56"/>
      <c r="W307" s="56"/>
      <c r="X307" s="56"/>
      <c r="Y307" s="56"/>
      <c r="Z307" s="56"/>
      <c r="AA307" s="56"/>
      <c r="AB307" s="56"/>
      <c r="AC307" s="56"/>
      <c r="AD307" s="56"/>
    </row>
    <row r="308">
      <c r="A308" s="178"/>
      <c r="B308" s="177"/>
      <c r="C308" s="177"/>
      <c r="D308" s="56"/>
      <c r="E308" s="56"/>
      <c r="F308" s="56"/>
      <c r="G308" s="56"/>
      <c r="H308" s="56"/>
      <c r="I308" s="56"/>
      <c r="J308" s="56"/>
      <c r="K308" s="56"/>
      <c r="L308" s="56"/>
      <c r="M308" s="56"/>
      <c r="N308" s="177"/>
      <c r="O308" s="56"/>
      <c r="P308" s="56"/>
      <c r="Q308" s="177"/>
      <c r="R308" s="56"/>
      <c r="S308" s="56"/>
      <c r="T308" s="56"/>
      <c r="U308" s="56"/>
      <c r="V308" s="56"/>
      <c r="W308" s="56"/>
      <c r="X308" s="56"/>
      <c r="Y308" s="56"/>
      <c r="Z308" s="56"/>
      <c r="AA308" s="56"/>
      <c r="AB308" s="56"/>
      <c r="AC308" s="56"/>
      <c r="AD308" s="56"/>
    </row>
    <row r="309">
      <c r="A309" s="178"/>
      <c r="B309" s="177"/>
      <c r="C309" s="177"/>
      <c r="D309" s="56"/>
      <c r="E309" s="56"/>
      <c r="F309" s="56"/>
      <c r="G309" s="56"/>
      <c r="H309" s="56"/>
      <c r="I309" s="56"/>
      <c r="J309" s="56"/>
      <c r="K309" s="56"/>
      <c r="L309" s="56"/>
      <c r="M309" s="56"/>
      <c r="N309" s="177"/>
      <c r="O309" s="56"/>
      <c r="P309" s="56"/>
      <c r="Q309" s="177"/>
      <c r="R309" s="56"/>
      <c r="S309" s="56"/>
      <c r="T309" s="56"/>
      <c r="U309" s="56"/>
      <c r="V309" s="56"/>
      <c r="W309" s="56"/>
      <c r="X309" s="56"/>
      <c r="Y309" s="56"/>
      <c r="Z309" s="56"/>
      <c r="AA309" s="56"/>
      <c r="AB309" s="56"/>
      <c r="AC309" s="56"/>
      <c r="AD309" s="56"/>
    </row>
    <row r="310">
      <c r="A310" s="178"/>
      <c r="B310" s="177"/>
      <c r="C310" s="177"/>
      <c r="D310" s="56"/>
      <c r="E310" s="56"/>
      <c r="F310" s="56"/>
      <c r="G310" s="56"/>
      <c r="H310" s="56"/>
      <c r="I310" s="56"/>
      <c r="J310" s="56"/>
      <c r="K310" s="56"/>
      <c r="L310" s="56"/>
      <c r="M310" s="56"/>
      <c r="N310" s="177"/>
      <c r="O310" s="56"/>
      <c r="P310" s="56"/>
      <c r="Q310" s="177"/>
      <c r="R310" s="56"/>
      <c r="S310" s="56"/>
      <c r="T310" s="56"/>
      <c r="U310" s="56"/>
      <c r="V310" s="56"/>
      <c r="W310" s="56"/>
      <c r="X310" s="56"/>
      <c r="Y310" s="56"/>
      <c r="Z310" s="56"/>
      <c r="AA310" s="56"/>
      <c r="AB310" s="56"/>
      <c r="AC310" s="56"/>
      <c r="AD310" s="56"/>
    </row>
    <row r="311">
      <c r="A311" s="178"/>
      <c r="B311" s="177"/>
      <c r="C311" s="177"/>
      <c r="D311" s="56"/>
      <c r="E311" s="56"/>
      <c r="F311" s="56"/>
      <c r="G311" s="56"/>
      <c r="H311" s="56"/>
      <c r="I311" s="56"/>
      <c r="J311" s="56"/>
      <c r="K311" s="56"/>
      <c r="L311" s="56"/>
      <c r="M311" s="56"/>
      <c r="N311" s="177"/>
      <c r="O311" s="56"/>
      <c r="P311" s="56"/>
      <c r="Q311" s="177"/>
      <c r="R311" s="56"/>
      <c r="S311" s="56"/>
      <c r="T311" s="56"/>
      <c r="U311" s="56"/>
      <c r="V311" s="56"/>
      <c r="W311" s="56"/>
      <c r="X311" s="56"/>
      <c r="Y311" s="56"/>
      <c r="Z311" s="56"/>
      <c r="AA311" s="56"/>
      <c r="AB311" s="56"/>
      <c r="AC311" s="56"/>
      <c r="AD311" s="56"/>
    </row>
    <row r="312">
      <c r="A312" s="178"/>
      <c r="B312" s="177"/>
      <c r="C312" s="177"/>
      <c r="D312" s="56"/>
      <c r="E312" s="56"/>
      <c r="F312" s="56"/>
      <c r="G312" s="56"/>
      <c r="H312" s="56"/>
      <c r="I312" s="56"/>
      <c r="J312" s="56"/>
      <c r="K312" s="56"/>
      <c r="L312" s="56"/>
      <c r="M312" s="56"/>
      <c r="N312" s="177"/>
      <c r="O312" s="56"/>
      <c r="P312" s="56"/>
      <c r="Q312" s="177"/>
      <c r="R312" s="56"/>
      <c r="S312" s="56"/>
      <c r="T312" s="56"/>
      <c r="U312" s="56"/>
      <c r="V312" s="56"/>
      <c r="W312" s="56"/>
      <c r="X312" s="56"/>
      <c r="Y312" s="56"/>
      <c r="Z312" s="56"/>
      <c r="AA312" s="56"/>
      <c r="AB312" s="56"/>
      <c r="AC312" s="56"/>
      <c r="AD312" s="56"/>
    </row>
    <row r="313">
      <c r="A313" s="178"/>
      <c r="B313" s="177"/>
      <c r="C313" s="177"/>
      <c r="D313" s="56"/>
      <c r="E313" s="56"/>
      <c r="F313" s="56"/>
      <c r="G313" s="56"/>
      <c r="H313" s="56"/>
      <c r="I313" s="56"/>
      <c r="J313" s="56"/>
      <c r="K313" s="56"/>
      <c r="L313" s="56"/>
      <c r="M313" s="56"/>
      <c r="N313" s="177"/>
      <c r="O313" s="56"/>
      <c r="P313" s="56"/>
      <c r="Q313" s="177"/>
      <c r="R313" s="56"/>
      <c r="S313" s="56"/>
      <c r="T313" s="56"/>
      <c r="U313" s="56"/>
      <c r="V313" s="56"/>
      <c r="W313" s="56"/>
      <c r="X313" s="56"/>
      <c r="Y313" s="56"/>
      <c r="Z313" s="56"/>
      <c r="AA313" s="56"/>
      <c r="AB313" s="56"/>
      <c r="AC313" s="56"/>
      <c r="AD313" s="56"/>
    </row>
    <row r="314">
      <c r="A314" s="178"/>
      <c r="B314" s="177"/>
      <c r="C314" s="177"/>
      <c r="D314" s="56"/>
      <c r="E314" s="56"/>
      <c r="F314" s="56"/>
      <c r="G314" s="56"/>
      <c r="H314" s="56"/>
      <c r="I314" s="56"/>
      <c r="J314" s="56"/>
      <c r="K314" s="56"/>
      <c r="L314" s="56"/>
      <c r="M314" s="56"/>
      <c r="N314" s="177"/>
      <c r="O314" s="56"/>
      <c r="P314" s="56"/>
      <c r="Q314" s="177"/>
      <c r="R314" s="56"/>
      <c r="S314" s="56"/>
      <c r="T314" s="56"/>
      <c r="U314" s="56"/>
      <c r="V314" s="56"/>
      <c r="W314" s="56"/>
      <c r="X314" s="56"/>
      <c r="Y314" s="56"/>
      <c r="Z314" s="56"/>
      <c r="AA314" s="56"/>
      <c r="AB314" s="56"/>
      <c r="AC314" s="56"/>
      <c r="AD314" s="56"/>
    </row>
    <row r="315">
      <c r="A315" s="178"/>
      <c r="B315" s="177"/>
      <c r="C315" s="177"/>
      <c r="D315" s="56"/>
      <c r="E315" s="56"/>
      <c r="F315" s="56"/>
      <c r="G315" s="56"/>
      <c r="H315" s="56"/>
      <c r="I315" s="56"/>
      <c r="J315" s="56"/>
      <c r="K315" s="56"/>
      <c r="L315" s="56"/>
      <c r="M315" s="56"/>
      <c r="N315" s="177"/>
      <c r="O315" s="56"/>
      <c r="P315" s="56"/>
      <c r="Q315" s="177"/>
      <c r="R315" s="56"/>
      <c r="S315" s="56"/>
      <c r="T315" s="56"/>
      <c r="U315" s="56"/>
      <c r="V315" s="56"/>
      <c r="W315" s="56"/>
      <c r="X315" s="56"/>
      <c r="Y315" s="56"/>
      <c r="Z315" s="56"/>
      <c r="AA315" s="56"/>
      <c r="AB315" s="56"/>
      <c r="AC315" s="56"/>
      <c r="AD315" s="56"/>
    </row>
    <row r="316">
      <c r="A316" s="178"/>
      <c r="B316" s="177"/>
      <c r="C316" s="177"/>
      <c r="D316" s="56"/>
      <c r="E316" s="56"/>
      <c r="F316" s="56"/>
      <c r="G316" s="56"/>
      <c r="H316" s="56"/>
      <c r="I316" s="56"/>
      <c r="J316" s="56"/>
      <c r="K316" s="56"/>
      <c r="L316" s="56"/>
      <c r="M316" s="56"/>
      <c r="N316" s="177"/>
      <c r="O316" s="56"/>
      <c r="P316" s="56"/>
      <c r="Q316" s="177"/>
      <c r="R316" s="56"/>
      <c r="S316" s="56"/>
      <c r="T316" s="56"/>
      <c r="U316" s="56"/>
      <c r="V316" s="56"/>
      <c r="W316" s="56"/>
      <c r="X316" s="56"/>
      <c r="Y316" s="56"/>
      <c r="Z316" s="56"/>
      <c r="AA316" s="56"/>
      <c r="AB316" s="56"/>
      <c r="AC316" s="56"/>
      <c r="AD316" s="56"/>
    </row>
    <row r="317">
      <c r="A317" s="178"/>
      <c r="B317" s="177"/>
      <c r="C317" s="177"/>
      <c r="D317" s="56"/>
      <c r="E317" s="56"/>
      <c r="F317" s="56"/>
      <c r="G317" s="56"/>
      <c r="H317" s="56"/>
      <c r="I317" s="56"/>
      <c r="J317" s="56"/>
      <c r="K317" s="56"/>
      <c r="L317" s="56"/>
      <c r="M317" s="56"/>
      <c r="N317" s="177"/>
      <c r="O317" s="56"/>
      <c r="P317" s="56"/>
      <c r="Q317" s="177"/>
      <c r="R317" s="56"/>
      <c r="S317" s="56"/>
      <c r="T317" s="56"/>
      <c r="U317" s="56"/>
      <c r="V317" s="56"/>
      <c r="W317" s="56"/>
      <c r="X317" s="56"/>
      <c r="Y317" s="56"/>
      <c r="Z317" s="56"/>
      <c r="AA317" s="56"/>
      <c r="AB317" s="56"/>
      <c r="AC317" s="56"/>
      <c r="AD317" s="56"/>
    </row>
    <row r="318">
      <c r="A318" s="178"/>
      <c r="B318" s="177"/>
      <c r="C318" s="177"/>
      <c r="D318" s="56"/>
      <c r="E318" s="56"/>
      <c r="F318" s="56"/>
      <c r="G318" s="56"/>
      <c r="H318" s="56"/>
      <c r="I318" s="56"/>
      <c r="J318" s="56"/>
      <c r="K318" s="56"/>
      <c r="L318" s="56"/>
      <c r="M318" s="56"/>
      <c r="N318" s="177"/>
      <c r="O318" s="56"/>
      <c r="P318" s="56"/>
      <c r="Q318" s="177"/>
      <c r="R318" s="56"/>
      <c r="S318" s="56"/>
      <c r="T318" s="56"/>
      <c r="U318" s="56"/>
      <c r="V318" s="56"/>
      <c r="W318" s="56"/>
      <c r="X318" s="56"/>
      <c r="Y318" s="56"/>
      <c r="Z318" s="56"/>
      <c r="AA318" s="56"/>
      <c r="AB318" s="56"/>
      <c r="AC318" s="56"/>
      <c r="AD318" s="56"/>
    </row>
    <row r="319">
      <c r="A319" s="178"/>
      <c r="B319" s="177"/>
      <c r="C319" s="177"/>
      <c r="D319" s="56"/>
      <c r="E319" s="56"/>
      <c r="F319" s="56"/>
      <c r="G319" s="56"/>
      <c r="H319" s="56"/>
      <c r="I319" s="56"/>
      <c r="J319" s="56"/>
      <c r="K319" s="56"/>
      <c r="L319" s="56"/>
      <c r="M319" s="56"/>
      <c r="N319" s="177"/>
      <c r="O319" s="56"/>
      <c r="P319" s="56"/>
      <c r="Q319" s="177"/>
      <c r="R319" s="56"/>
      <c r="S319" s="56"/>
      <c r="T319" s="56"/>
      <c r="U319" s="56"/>
      <c r="V319" s="56"/>
      <c r="W319" s="56"/>
      <c r="X319" s="56"/>
      <c r="Y319" s="56"/>
      <c r="Z319" s="56"/>
      <c r="AA319" s="56"/>
      <c r="AB319" s="56"/>
      <c r="AC319" s="56"/>
      <c r="AD319" s="56"/>
    </row>
    <row r="320">
      <c r="A320" s="178"/>
      <c r="B320" s="177"/>
      <c r="C320" s="177"/>
      <c r="D320" s="56"/>
      <c r="E320" s="56"/>
      <c r="F320" s="56"/>
      <c r="G320" s="56"/>
      <c r="H320" s="56"/>
      <c r="I320" s="56"/>
      <c r="J320" s="56"/>
      <c r="K320" s="56"/>
      <c r="L320" s="56"/>
      <c r="M320" s="56"/>
      <c r="N320" s="177"/>
      <c r="O320" s="56"/>
      <c r="P320" s="56"/>
      <c r="Q320" s="177"/>
      <c r="R320" s="56"/>
      <c r="S320" s="56"/>
      <c r="T320" s="56"/>
      <c r="U320" s="56"/>
      <c r="V320" s="56"/>
      <c r="W320" s="56"/>
      <c r="X320" s="56"/>
      <c r="Y320" s="56"/>
      <c r="Z320" s="56"/>
      <c r="AA320" s="56"/>
      <c r="AB320" s="56"/>
      <c r="AC320" s="56"/>
      <c r="AD320" s="56"/>
    </row>
    <row r="321">
      <c r="A321" s="178"/>
      <c r="B321" s="177"/>
      <c r="C321" s="177"/>
      <c r="D321" s="56"/>
      <c r="E321" s="56"/>
      <c r="F321" s="56"/>
      <c r="G321" s="56"/>
      <c r="H321" s="56"/>
      <c r="I321" s="56"/>
      <c r="J321" s="56"/>
      <c r="K321" s="56"/>
      <c r="L321" s="56"/>
      <c r="M321" s="56"/>
      <c r="N321" s="177"/>
      <c r="O321" s="56"/>
      <c r="P321" s="56"/>
      <c r="Q321" s="177"/>
      <c r="R321" s="56"/>
      <c r="S321" s="56"/>
      <c r="T321" s="56"/>
      <c r="U321" s="56"/>
      <c r="V321" s="56"/>
      <c r="W321" s="56"/>
      <c r="X321" s="56"/>
      <c r="Y321" s="56"/>
      <c r="Z321" s="56"/>
      <c r="AA321" s="56"/>
      <c r="AB321" s="56"/>
      <c r="AC321" s="56"/>
      <c r="AD321" s="56"/>
    </row>
    <row r="322">
      <c r="A322" s="178"/>
      <c r="B322" s="177"/>
      <c r="C322" s="177"/>
      <c r="D322" s="56"/>
      <c r="E322" s="56"/>
      <c r="F322" s="56"/>
      <c r="G322" s="56"/>
      <c r="H322" s="56"/>
      <c r="I322" s="56"/>
      <c r="J322" s="56"/>
      <c r="K322" s="56"/>
      <c r="L322" s="56"/>
      <c r="M322" s="56"/>
      <c r="N322" s="177"/>
      <c r="O322" s="56"/>
      <c r="P322" s="56"/>
      <c r="Q322" s="177"/>
      <c r="R322" s="56"/>
      <c r="S322" s="56"/>
      <c r="T322" s="56"/>
      <c r="U322" s="56"/>
      <c r="V322" s="56"/>
      <c r="W322" s="56"/>
      <c r="X322" s="56"/>
      <c r="Y322" s="56"/>
      <c r="Z322" s="56"/>
      <c r="AA322" s="56"/>
      <c r="AB322" s="56"/>
      <c r="AC322" s="56"/>
      <c r="AD322" s="56"/>
    </row>
    <row r="323">
      <c r="A323" s="178"/>
      <c r="B323" s="177"/>
      <c r="C323" s="177"/>
      <c r="D323" s="56"/>
      <c r="E323" s="56"/>
      <c r="F323" s="56"/>
      <c r="G323" s="56"/>
      <c r="H323" s="56"/>
      <c r="I323" s="56"/>
      <c r="J323" s="56"/>
      <c r="K323" s="56"/>
      <c r="L323" s="56"/>
      <c r="M323" s="56"/>
      <c r="N323" s="177"/>
      <c r="O323" s="56"/>
      <c r="P323" s="56"/>
      <c r="Q323" s="177"/>
      <c r="R323" s="56"/>
      <c r="S323" s="56"/>
      <c r="T323" s="56"/>
      <c r="U323" s="56"/>
      <c r="V323" s="56"/>
      <c r="W323" s="56"/>
      <c r="X323" s="56"/>
      <c r="Y323" s="56"/>
      <c r="Z323" s="56"/>
      <c r="AA323" s="56"/>
      <c r="AB323" s="56"/>
      <c r="AC323" s="56"/>
      <c r="AD323" s="56"/>
    </row>
    <row r="324">
      <c r="A324" s="178"/>
      <c r="B324" s="177"/>
      <c r="C324" s="177"/>
      <c r="D324" s="56"/>
      <c r="E324" s="56"/>
      <c r="F324" s="56"/>
      <c r="G324" s="56"/>
      <c r="H324" s="56"/>
      <c r="I324" s="56"/>
      <c r="J324" s="56"/>
      <c r="K324" s="56"/>
      <c r="L324" s="56"/>
      <c r="M324" s="56"/>
      <c r="N324" s="177"/>
      <c r="O324" s="56"/>
      <c r="P324" s="56"/>
      <c r="Q324" s="177"/>
      <c r="R324" s="56"/>
      <c r="S324" s="56"/>
      <c r="T324" s="56"/>
      <c r="U324" s="56"/>
      <c r="V324" s="56"/>
      <c r="W324" s="56"/>
      <c r="X324" s="56"/>
      <c r="Y324" s="56"/>
      <c r="Z324" s="56"/>
      <c r="AA324" s="56"/>
      <c r="AB324" s="56"/>
      <c r="AC324" s="56"/>
      <c r="AD324" s="56"/>
    </row>
    <row r="325">
      <c r="A325" s="178"/>
      <c r="B325" s="177"/>
      <c r="C325" s="177"/>
      <c r="D325" s="56"/>
      <c r="E325" s="56"/>
      <c r="F325" s="56"/>
      <c r="G325" s="56"/>
      <c r="H325" s="56"/>
      <c r="I325" s="56"/>
      <c r="J325" s="56"/>
      <c r="K325" s="56"/>
      <c r="L325" s="56"/>
      <c r="M325" s="56"/>
      <c r="N325" s="177"/>
      <c r="O325" s="56"/>
      <c r="P325" s="56"/>
      <c r="Q325" s="177"/>
      <c r="R325" s="56"/>
      <c r="S325" s="56"/>
      <c r="T325" s="56"/>
      <c r="U325" s="56"/>
      <c r="V325" s="56"/>
      <c r="W325" s="56"/>
      <c r="X325" s="56"/>
      <c r="Y325" s="56"/>
      <c r="Z325" s="56"/>
      <c r="AA325" s="56"/>
      <c r="AB325" s="56"/>
      <c r="AC325" s="56"/>
      <c r="AD325" s="56"/>
    </row>
    <row r="326">
      <c r="A326" s="178"/>
      <c r="B326" s="177"/>
      <c r="C326" s="177"/>
      <c r="D326" s="56"/>
      <c r="E326" s="56"/>
      <c r="F326" s="56"/>
      <c r="G326" s="56"/>
      <c r="H326" s="56"/>
      <c r="I326" s="56"/>
      <c r="J326" s="56"/>
      <c r="K326" s="56"/>
      <c r="L326" s="56"/>
      <c r="M326" s="56"/>
      <c r="N326" s="177"/>
      <c r="O326" s="56"/>
      <c r="P326" s="56"/>
      <c r="Q326" s="177"/>
      <c r="R326" s="56"/>
      <c r="S326" s="56"/>
      <c r="T326" s="56"/>
      <c r="U326" s="56"/>
      <c r="V326" s="56"/>
      <c r="W326" s="56"/>
      <c r="X326" s="56"/>
      <c r="Y326" s="56"/>
      <c r="Z326" s="56"/>
      <c r="AA326" s="56"/>
      <c r="AB326" s="56"/>
      <c r="AC326" s="56"/>
      <c r="AD326" s="56"/>
    </row>
    <row r="327">
      <c r="A327" s="178"/>
      <c r="B327" s="177"/>
      <c r="C327" s="177"/>
      <c r="D327" s="56"/>
      <c r="E327" s="56"/>
      <c r="F327" s="56"/>
      <c r="G327" s="56"/>
      <c r="H327" s="56"/>
      <c r="I327" s="56"/>
      <c r="J327" s="56"/>
      <c r="K327" s="56"/>
      <c r="L327" s="56"/>
      <c r="M327" s="56"/>
      <c r="N327" s="177"/>
      <c r="O327" s="56"/>
      <c r="P327" s="56"/>
      <c r="Q327" s="177"/>
      <c r="R327" s="56"/>
      <c r="S327" s="56"/>
      <c r="T327" s="56"/>
      <c r="U327" s="56"/>
      <c r="V327" s="56"/>
      <c r="W327" s="56"/>
      <c r="X327" s="56"/>
      <c r="Y327" s="56"/>
      <c r="Z327" s="56"/>
      <c r="AA327" s="56"/>
      <c r="AB327" s="56"/>
      <c r="AC327" s="56"/>
      <c r="AD327" s="56"/>
    </row>
    <row r="328">
      <c r="A328" s="178"/>
      <c r="B328" s="177"/>
      <c r="C328" s="177"/>
      <c r="D328" s="56"/>
      <c r="E328" s="56"/>
      <c r="F328" s="56"/>
      <c r="G328" s="56"/>
      <c r="H328" s="56"/>
      <c r="I328" s="56"/>
      <c r="J328" s="56"/>
      <c r="K328" s="56"/>
      <c r="L328" s="56"/>
      <c r="M328" s="56"/>
      <c r="N328" s="177"/>
      <c r="O328" s="56"/>
      <c r="P328" s="56"/>
      <c r="Q328" s="177"/>
      <c r="R328" s="56"/>
      <c r="S328" s="56"/>
      <c r="T328" s="56"/>
      <c r="U328" s="56"/>
      <c r="V328" s="56"/>
      <c r="W328" s="56"/>
      <c r="X328" s="56"/>
      <c r="Y328" s="56"/>
      <c r="Z328" s="56"/>
      <c r="AA328" s="56"/>
      <c r="AB328" s="56"/>
      <c r="AC328" s="56"/>
      <c r="AD328" s="56"/>
    </row>
    <row r="329">
      <c r="A329" s="178"/>
      <c r="B329" s="177"/>
      <c r="C329" s="177"/>
      <c r="D329" s="56"/>
      <c r="E329" s="56"/>
      <c r="F329" s="56"/>
      <c r="G329" s="56"/>
      <c r="H329" s="56"/>
      <c r="I329" s="56"/>
      <c r="J329" s="56"/>
      <c r="K329" s="56"/>
      <c r="L329" s="56"/>
      <c r="M329" s="56"/>
      <c r="N329" s="177"/>
      <c r="O329" s="56"/>
      <c r="P329" s="56"/>
      <c r="Q329" s="177"/>
      <c r="R329" s="56"/>
      <c r="S329" s="56"/>
      <c r="T329" s="56"/>
      <c r="U329" s="56"/>
      <c r="V329" s="56"/>
      <c r="W329" s="56"/>
      <c r="X329" s="56"/>
      <c r="Y329" s="56"/>
      <c r="Z329" s="56"/>
      <c r="AA329" s="56"/>
      <c r="AB329" s="56"/>
      <c r="AC329" s="56"/>
      <c r="AD329" s="56"/>
    </row>
    <row r="330">
      <c r="A330" s="178"/>
      <c r="B330" s="177"/>
      <c r="C330" s="177"/>
      <c r="D330" s="56"/>
      <c r="E330" s="56"/>
      <c r="F330" s="56"/>
      <c r="G330" s="56"/>
      <c r="H330" s="56"/>
      <c r="I330" s="56"/>
      <c r="J330" s="56"/>
      <c r="K330" s="56"/>
      <c r="L330" s="56"/>
      <c r="M330" s="56"/>
      <c r="N330" s="177"/>
      <c r="O330" s="56"/>
      <c r="P330" s="56"/>
      <c r="Q330" s="177"/>
      <c r="R330" s="56"/>
      <c r="S330" s="56"/>
      <c r="T330" s="56"/>
      <c r="U330" s="56"/>
      <c r="V330" s="56"/>
      <c r="W330" s="56"/>
      <c r="X330" s="56"/>
      <c r="Y330" s="56"/>
      <c r="Z330" s="56"/>
      <c r="AA330" s="56"/>
      <c r="AB330" s="56"/>
      <c r="AC330" s="56"/>
      <c r="AD330" s="56"/>
    </row>
    <row r="331">
      <c r="A331" s="178"/>
      <c r="B331" s="177"/>
      <c r="C331" s="177"/>
      <c r="D331" s="56"/>
      <c r="E331" s="56"/>
      <c r="F331" s="56"/>
      <c r="G331" s="56"/>
      <c r="H331" s="56"/>
      <c r="I331" s="56"/>
      <c r="J331" s="56"/>
      <c r="K331" s="56"/>
      <c r="L331" s="56"/>
      <c r="M331" s="56"/>
      <c r="N331" s="177"/>
      <c r="O331" s="56"/>
      <c r="P331" s="56"/>
      <c r="Q331" s="177"/>
      <c r="R331" s="56"/>
      <c r="S331" s="56"/>
      <c r="T331" s="56"/>
      <c r="U331" s="56"/>
      <c r="V331" s="56"/>
      <c r="W331" s="56"/>
      <c r="X331" s="56"/>
      <c r="Y331" s="56"/>
      <c r="Z331" s="56"/>
      <c r="AA331" s="56"/>
      <c r="AB331" s="56"/>
      <c r="AC331" s="56"/>
      <c r="AD331" s="56"/>
    </row>
    <row r="332">
      <c r="A332" s="178"/>
      <c r="B332" s="177"/>
      <c r="C332" s="177"/>
      <c r="D332" s="56"/>
      <c r="E332" s="56"/>
      <c r="F332" s="56"/>
      <c r="G332" s="56"/>
      <c r="H332" s="56"/>
      <c r="I332" s="56"/>
      <c r="J332" s="56"/>
      <c r="K332" s="56"/>
      <c r="L332" s="56"/>
      <c r="M332" s="56"/>
      <c r="N332" s="177"/>
      <c r="O332" s="56"/>
      <c r="P332" s="56"/>
      <c r="Q332" s="177"/>
      <c r="R332" s="56"/>
      <c r="S332" s="56"/>
      <c r="T332" s="56"/>
      <c r="U332" s="56"/>
      <c r="V332" s="56"/>
      <c r="W332" s="56"/>
      <c r="X332" s="56"/>
      <c r="Y332" s="56"/>
      <c r="Z332" s="56"/>
      <c r="AA332" s="56"/>
      <c r="AB332" s="56"/>
      <c r="AC332" s="56"/>
      <c r="AD332" s="56"/>
    </row>
    <row r="333">
      <c r="A333" s="178"/>
      <c r="B333" s="177"/>
      <c r="C333" s="177"/>
      <c r="D333" s="56"/>
      <c r="E333" s="56"/>
      <c r="F333" s="56"/>
      <c r="G333" s="56"/>
      <c r="H333" s="56"/>
      <c r="I333" s="56"/>
      <c r="J333" s="56"/>
      <c r="K333" s="56"/>
      <c r="L333" s="56"/>
      <c r="M333" s="56"/>
      <c r="N333" s="177"/>
      <c r="O333" s="56"/>
      <c r="P333" s="56"/>
      <c r="Q333" s="177"/>
      <c r="R333" s="56"/>
      <c r="S333" s="56"/>
      <c r="T333" s="56"/>
      <c r="U333" s="56"/>
      <c r="V333" s="56"/>
      <c r="W333" s="56"/>
      <c r="X333" s="56"/>
      <c r="Y333" s="56"/>
      <c r="Z333" s="56"/>
      <c r="AA333" s="56"/>
      <c r="AB333" s="56"/>
      <c r="AC333" s="56"/>
      <c r="AD333" s="56"/>
    </row>
    <row r="334">
      <c r="A334" s="178"/>
      <c r="B334" s="177"/>
      <c r="C334" s="177"/>
      <c r="D334" s="56"/>
      <c r="E334" s="56"/>
      <c r="F334" s="56"/>
      <c r="G334" s="56"/>
      <c r="H334" s="56"/>
      <c r="I334" s="56"/>
      <c r="J334" s="56"/>
      <c r="K334" s="56"/>
      <c r="L334" s="56"/>
      <c r="M334" s="56"/>
      <c r="N334" s="177"/>
      <c r="O334" s="56"/>
      <c r="P334" s="56"/>
      <c r="Q334" s="177"/>
      <c r="R334" s="56"/>
      <c r="S334" s="56"/>
      <c r="T334" s="56"/>
      <c r="U334" s="56"/>
      <c r="V334" s="56"/>
      <c r="W334" s="56"/>
      <c r="X334" s="56"/>
      <c r="Y334" s="56"/>
      <c r="Z334" s="56"/>
      <c r="AA334" s="56"/>
      <c r="AB334" s="56"/>
      <c r="AC334" s="56"/>
      <c r="AD334" s="56"/>
    </row>
    <row r="335">
      <c r="A335" s="178"/>
      <c r="B335" s="177"/>
      <c r="C335" s="177"/>
      <c r="D335" s="56"/>
      <c r="E335" s="56"/>
      <c r="F335" s="56"/>
      <c r="G335" s="56"/>
      <c r="H335" s="56"/>
      <c r="I335" s="56"/>
      <c r="J335" s="56"/>
      <c r="K335" s="56"/>
      <c r="L335" s="56"/>
      <c r="M335" s="56"/>
      <c r="N335" s="177"/>
      <c r="O335" s="56"/>
      <c r="P335" s="56"/>
      <c r="Q335" s="177"/>
      <c r="R335" s="56"/>
      <c r="S335" s="56"/>
      <c r="T335" s="56"/>
      <c r="U335" s="56"/>
      <c r="V335" s="56"/>
      <c r="W335" s="56"/>
      <c r="X335" s="56"/>
      <c r="Y335" s="56"/>
      <c r="Z335" s="56"/>
      <c r="AA335" s="56"/>
      <c r="AB335" s="56"/>
      <c r="AC335" s="56"/>
      <c r="AD335" s="56"/>
    </row>
    <row r="336">
      <c r="A336" s="178"/>
      <c r="B336" s="177"/>
      <c r="C336" s="177"/>
      <c r="D336" s="56"/>
      <c r="E336" s="56"/>
      <c r="F336" s="56"/>
      <c r="G336" s="56"/>
      <c r="H336" s="56"/>
      <c r="I336" s="56"/>
      <c r="J336" s="56"/>
      <c r="K336" s="56"/>
      <c r="L336" s="56"/>
      <c r="M336" s="56"/>
      <c r="N336" s="177"/>
      <c r="O336" s="56"/>
      <c r="P336" s="56"/>
      <c r="Q336" s="177"/>
      <c r="R336" s="56"/>
      <c r="S336" s="56"/>
      <c r="T336" s="56"/>
      <c r="U336" s="56"/>
      <c r="V336" s="56"/>
      <c r="W336" s="56"/>
      <c r="X336" s="56"/>
      <c r="Y336" s="56"/>
      <c r="Z336" s="56"/>
      <c r="AA336" s="56"/>
      <c r="AB336" s="56"/>
      <c r="AC336" s="56"/>
      <c r="AD336" s="56"/>
    </row>
    <row r="337">
      <c r="A337" s="178"/>
      <c r="B337" s="177"/>
      <c r="C337" s="177"/>
      <c r="D337" s="56"/>
      <c r="E337" s="56"/>
      <c r="F337" s="56"/>
      <c r="G337" s="56"/>
      <c r="H337" s="56"/>
      <c r="I337" s="56"/>
      <c r="J337" s="56"/>
      <c r="K337" s="56"/>
      <c r="L337" s="56"/>
      <c r="M337" s="56"/>
      <c r="N337" s="177"/>
      <c r="O337" s="56"/>
      <c r="P337" s="56"/>
      <c r="Q337" s="177"/>
      <c r="R337" s="56"/>
      <c r="S337" s="56"/>
      <c r="T337" s="56"/>
      <c r="U337" s="56"/>
      <c r="V337" s="56"/>
      <c r="W337" s="56"/>
      <c r="X337" s="56"/>
      <c r="Y337" s="56"/>
      <c r="Z337" s="56"/>
      <c r="AA337" s="56"/>
      <c r="AB337" s="56"/>
      <c r="AC337" s="56"/>
      <c r="AD337" s="56"/>
    </row>
    <row r="338">
      <c r="A338" s="178"/>
      <c r="B338" s="177"/>
      <c r="C338" s="177"/>
      <c r="D338" s="56"/>
      <c r="E338" s="56"/>
      <c r="F338" s="56"/>
      <c r="G338" s="56"/>
      <c r="H338" s="56"/>
      <c r="I338" s="56"/>
      <c r="J338" s="56"/>
      <c r="K338" s="56"/>
      <c r="L338" s="56"/>
      <c r="M338" s="56"/>
      <c r="N338" s="177"/>
      <c r="O338" s="56"/>
      <c r="P338" s="56"/>
      <c r="Q338" s="177"/>
      <c r="R338" s="56"/>
      <c r="S338" s="56"/>
      <c r="T338" s="56"/>
      <c r="U338" s="56"/>
      <c r="V338" s="56"/>
      <c r="W338" s="56"/>
      <c r="X338" s="56"/>
      <c r="Y338" s="56"/>
      <c r="Z338" s="56"/>
      <c r="AA338" s="56"/>
      <c r="AB338" s="56"/>
      <c r="AC338" s="56"/>
      <c r="AD338" s="56"/>
    </row>
    <row r="339">
      <c r="A339" s="178"/>
      <c r="B339" s="177"/>
      <c r="C339" s="177"/>
      <c r="D339" s="56"/>
      <c r="E339" s="56"/>
      <c r="F339" s="56"/>
      <c r="G339" s="56"/>
      <c r="H339" s="56"/>
      <c r="I339" s="56"/>
      <c r="J339" s="56"/>
      <c r="K339" s="56"/>
      <c r="L339" s="56"/>
      <c r="M339" s="56"/>
      <c r="N339" s="177"/>
      <c r="O339" s="56"/>
      <c r="P339" s="56"/>
      <c r="Q339" s="177"/>
      <c r="R339" s="56"/>
      <c r="S339" s="56"/>
      <c r="T339" s="56"/>
      <c r="U339" s="56"/>
      <c r="V339" s="56"/>
      <c r="W339" s="56"/>
      <c r="X339" s="56"/>
      <c r="Y339" s="56"/>
      <c r="Z339" s="56"/>
      <c r="AA339" s="56"/>
      <c r="AB339" s="56"/>
      <c r="AC339" s="56"/>
      <c r="AD339" s="56"/>
    </row>
    <row r="340">
      <c r="A340" s="178"/>
      <c r="B340" s="177"/>
      <c r="C340" s="177"/>
      <c r="D340" s="56"/>
      <c r="E340" s="56"/>
      <c r="F340" s="56"/>
      <c r="G340" s="56"/>
      <c r="H340" s="56"/>
      <c r="I340" s="56"/>
      <c r="J340" s="56"/>
      <c r="K340" s="56"/>
      <c r="L340" s="56"/>
      <c r="M340" s="56"/>
      <c r="N340" s="177"/>
      <c r="O340" s="56"/>
      <c r="P340" s="56"/>
      <c r="Q340" s="177"/>
      <c r="R340" s="56"/>
      <c r="S340" s="56"/>
      <c r="T340" s="56"/>
      <c r="U340" s="56"/>
      <c r="V340" s="56"/>
      <c r="W340" s="56"/>
      <c r="X340" s="56"/>
      <c r="Y340" s="56"/>
      <c r="Z340" s="56"/>
      <c r="AA340" s="56"/>
      <c r="AB340" s="56"/>
      <c r="AC340" s="56"/>
      <c r="AD340" s="56"/>
    </row>
    <row r="341">
      <c r="A341" s="178"/>
      <c r="B341" s="177"/>
      <c r="C341" s="177"/>
      <c r="D341" s="56"/>
      <c r="E341" s="56"/>
      <c r="F341" s="56"/>
      <c r="G341" s="56"/>
      <c r="H341" s="56"/>
      <c r="I341" s="56"/>
      <c r="J341" s="56"/>
      <c r="K341" s="56"/>
      <c r="L341" s="56"/>
      <c r="M341" s="56"/>
      <c r="N341" s="177"/>
      <c r="O341" s="56"/>
      <c r="P341" s="56"/>
      <c r="Q341" s="177"/>
      <c r="R341" s="56"/>
      <c r="S341" s="56"/>
      <c r="T341" s="56"/>
      <c r="U341" s="56"/>
      <c r="V341" s="56"/>
      <c r="W341" s="56"/>
      <c r="X341" s="56"/>
      <c r="Y341" s="56"/>
      <c r="Z341" s="56"/>
      <c r="AA341" s="56"/>
      <c r="AB341" s="56"/>
      <c r="AC341" s="56"/>
      <c r="AD341" s="56"/>
    </row>
    <row r="342">
      <c r="A342" s="178"/>
      <c r="B342" s="177"/>
      <c r="C342" s="177"/>
      <c r="D342" s="56"/>
      <c r="E342" s="56"/>
      <c r="F342" s="56"/>
      <c r="G342" s="56"/>
      <c r="H342" s="56"/>
      <c r="I342" s="56"/>
      <c r="J342" s="56"/>
      <c r="K342" s="56"/>
      <c r="L342" s="56"/>
      <c r="M342" s="56"/>
      <c r="N342" s="177"/>
      <c r="O342" s="56"/>
      <c r="P342" s="56"/>
      <c r="Q342" s="177"/>
      <c r="R342" s="56"/>
      <c r="S342" s="56"/>
      <c r="T342" s="56"/>
      <c r="U342" s="56"/>
      <c r="V342" s="56"/>
      <c r="W342" s="56"/>
      <c r="X342" s="56"/>
      <c r="Y342" s="56"/>
      <c r="Z342" s="56"/>
      <c r="AA342" s="56"/>
      <c r="AB342" s="56"/>
      <c r="AC342" s="56"/>
      <c r="AD342" s="56"/>
    </row>
    <row r="343">
      <c r="A343" s="178"/>
      <c r="B343" s="177"/>
      <c r="C343" s="177"/>
      <c r="D343" s="56"/>
      <c r="E343" s="56"/>
      <c r="F343" s="56"/>
      <c r="G343" s="56"/>
      <c r="H343" s="56"/>
      <c r="I343" s="56"/>
      <c r="J343" s="56"/>
      <c r="K343" s="56"/>
      <c r="L343" s="56"/>
      <c r="M343" s="56"/>
      <c r="N343" s="177"/>
      <c r="O343" s="56"/>
      <c r="P343" s="56"/>
      <c r="Q343" s="177"/>
      <c r="R343" s="56"/>
      <c r="S343" s="56"/>
      <c r="T343" s="56"/>
      <c r="U343" s="56"/>
      <c r="V343" s="56"/>
      <c r="W343" s="56"/>
      <c r="X343" s="56"/>
      <c r="Y343" s="56"/>
      <c r="Z343" s="56"/>
      <c r="AA343" s="56"/>
      <c r="AB343" s="56"/>
      <c r="AC343" s="56"/>
      <c r="AD343" s="56"/>
    </row>
    <row r="344">
      <c r="A344" s="178"/>
      <c r="B344" s="177"/>
      <c r="C344" s="177"/>
      <c r="D344" s="56"/>
      <c r="E344" s="56"/>
      <c r="F344" s="56"/>
      <c r="G344" s="56"/>
      <c r="H344" s="56"/>
      <c r="I344" s="56"/>
      <c r="J344" s="56"/>
      <c r="K344" s="56"/>
      <c r="L344" s="56"/>
      <c r="M344" s="56"/>
      <c r="N344" s="177"/>
      <c r="O344" s="56"/>
      <c r="P344" s="56"/>
      <c r="Q344" s="177"/>
      <c r="R344" s="56"/>
      <c r="S344" s="56"/>
      <c r="T344" s="56"/>
      <c r="U344" s="56"/>
      <c r="V344" s="56"/>
      <c r="W344" s="56"/>
      <c r="X344" s="56"/>
      <c r="Y344" s="56"/>
      <c r="Z344" s="56"/>
      <c r="AA344" s="56"/>
      <c r="AB344" s="56"/>
      <c r="AC344" s="56"/>
      <c r="AD344" s="56"/>
    </row>
    <row r="345">
      <c r="A345" s="178"/>
      <c r="B345" s="177"/>
      <c r="C345" s="177"/>
      <c r="D345" s="56"/>
      <c r="E345" s="56"/>
      <c r="F345" s="56"/>
      <c r="G345" s="56"/>
      <c r="H345" s="56"/>
      <c r="I345" s="56"/>
      <c r="J345" s="56"/>
      <c r="K345" s="56"/>
      <c r="L345" s="56"/>
      <c r="M345" s="56"/>
      <c r="N345" s="177"/>
      <c r="O345" s="56"/>
      <c r="P345" s="56"/>
      <c r="Q345" s="177"/>
      <c r="R345" s="56"/>
      <c r="S345" s="56"/>
      <c r="T345" s="56"/>
      <c r="U345" s="56"/>
      <c r="V345" s="56"/>
      <c r="W345" s="56"/>
      <c r="X345" s="56"/>
      <c r="Y345" s="56"/>
      <c r="Z345" s="56"/>
      <c r="AA345" s="56"/>
      <c r="AB345" s="56"/>
      <c r="AC345" s="56"/>
      <c r="AD345" s="56"/>
    </row>
    <row r="346">
      <c r="A346" s="178"/>
      <c r="B346" s="177"/>
      <c r="C346" s="177"/>
      <c r="D346" s="56"/>
      <c r="E346" s="56"/>
      <c r="F346" s="56"/>
      <c r="G346" s="56"/>
      <c r="H346" s="56"/>
      <c r="I346" s="56"/>
      <c r="J346" s="56"/>
      <c r="K346" s="56"/>
      <c r="L346" s="56"/>
      <c r="M346" s="56"/>
      <c r="N346" s="177"/>
      <c r="O346" s="56"/>
      <c r="P346" s="56"/>
      <c r="Q346" s="177"/>
      <c r="R346" s="56"/>
      <c r="S346" s="56"/>
      <c r="T346" s="56"/>
      <c r="U346" s="56"/>
      <c r="V346" s="56"/>
      <c r="W346" s="56"/>
      <c r="X346" s="56"/>
      <c r="Y346" s="56"/>
      <c r="Z346" s="56"/>
      <c r="AA346" s="56"/>
      <c r="AB346" s="56"/>
      <c r="AC346" s="56"/>
      <c r="AD346" s="56"/>
    </row>
    <row r="347">
      <c r="A347" s="178"/>
      <c r="B347" s="177"/>
      <c r="C347" s="177"/>
      <c r="D347" s="56"/>
      <c r="E347" s="56"/>
      <c r="F347" s="56"/>
      <c r="G347" s="56"/>
      <c r="H347" s="56"/>
      <c r="I347" s="56"/>
      <c r="J347" s="56"/>
      <c r="K347" s="56"/>
      <c r="L347" s="56"/>
      <c r="M347" s="56"/>
      <c r="N347" s="177"/>
      <c r="O347" s="56"/>
      <c r="P347" s="56"/>
      <c r="Q347" s="177"/>
      <c r="R347" s="56"/>
      <c r="S347" s="56"/>
      <c r="T347" s="56"/>
      <c r="U347" s="56"/>
      <c r="V347" s="56"/>
      <c r="W347" s="56"/>
      <c r="X347" s="56"/>
      <c r="Y347" s="56"/>
      <c r="Z347" s="56"/>
      <c r="AA347" s="56"/>
      <c r="AB347" s="56"/>
      <c r="AC347" s="56"/>
      <c r="AD347" s="56"/>
    </row>
    <row r="348">
      <c r="A348" s="178"/>
      <c r="B348" s="177"/>
      <c r="C348" s="177"/>
      <c r="D348" s="56"/>
      <c r="E348" s="56"/>
      <c r="F348" s="56"/>
      <c r="G348" s="56"/>
      <c r="H348" s="56"/>
      <c r="I348" s="56"/>
      <c r="J348" s="56"/>
      <c r="K348" s="56"/>
      <c r="L348" s="56"/>
      <c r="M348" s="56"/>
      <c r="N348" s="177"/>
      <c r="O348" s="56"/>
      <c r="P348" s="56"/>
      <c r="Q348" s="177"/>
      <c r="R348" s="56"/>
      <c r="S348" s="56"/>
      <c r="T348" s="56"/>
      <c r="U348" s="56"/>
      <c r="V348" s="56"/>
      <c r="W348" s="56"/>
      <c r="X348" s="56"/>
      <c r="Y348" s="56"/>
      <c r="Z348" s="56"/>
      <c r="AA348" s="56"/>
      <c r="AB348" s="56"/>
      <c r="AC348" s="56"/>
      <c r="AD348" s="56"/>
    </row>
    <row r="349">
      <c r="A349" s="178"/>
      <c r="B349" s="177"/>
      <c r="C349" s="177"/>
      <c r="D349" s="56"/>
      <c r="E349" s="56"/>
      <c r="F349" s="56"/>
      <c r="G349" s="56"/>
      <c r="H349" s="56"/>
      <c r="I349" s="56"/>
      <c r="J349" s="56"/>
      <c r="K349" s="56"/>
      <c r="L349" s="56"/>
      <c r="M349" s="56"/>
      <c r="N349" s="177"/>
      <c r="O349" s="56"/>
      <c r="P349" s="56"/>
      <c r="Q349" s="177"/>
      <c r="R349" s="56"/>
      <c r="S349" s="56"/>
      <c r="T349" s="56"/>
      <c r="U349" s="56"/>
      <c r="V349" s="56"/>
      <c r="W349" s="56"/>
      <c r="X349" s="56"/>
      <c r="Y349" s="56"/>
      <c r="Z349" s="56"/>
      <c r="AA349" s="56"/>
      <c r="AB349" s="56"/>
      <c r="AC349" s="56"/>
      <c r="AD349" s="56"/>
    </row>
    <row r="350">
      <c r="A350" s="178"/>
      <c r="B350" s="177"/>
      <c r="C350" s="177"/>
      <c r="D350" s="56"/>
      <c r="E350" s="56"/>
      <c r="F350" s="56"/>
      <c r="G350" s="56"/>
      <c r="H350" s="56"/>
      <c r="I350" s="56"/>
      <c r="J350" s="56"/>
      <c r="K350" s="56"/>
      <c r="L350" s="56"/>
      <c r="M350" s="56"/>
      <c r="N350" s="177"/>
      <c r="O350" s="56"/>
      <c r="P350" s="56"/>
      <c r="Q350" s="177"/>
      <c r="R350" s="56"/>
      <c r="S350" s="56"/>
      <c r="T350" s="56"/>
      <c r="U350" s="56"/>
      <c r="V350" s="56"/>
      <c r="W350" s="56"/>
      <c r="X350" s="56"/>
      <c r="Y350" s="56"/>
      <c r="Z350" s="56"/>
      <c r="AA350" s="56"/>
      <c r="AB350" s="56"/>
      <c r="AC350" s="56"/>
      <c r="AD350" s="56"/>
    </row>
    <row r="351">
      <c r="A351" s="178"/>
      <c r="B351" s="177"/>
      <c r="C351" s="177"/>
      <c r="D351" s="56"/>
      <c r="E351" s="56"/>
      <c r="F351" s="56"/>
      <c r="G351" s="56"/>
      <c r="H351" s="56"/>
      <c r="I351" s="56"/>
      <c r="J351" s="56"/>
      <c r="K351" s="56"/>
      <c r="L351" s="56"/>
      <c r="M351" s="56"/>
      <c r="N351" s="177"/>
      <c r="O351" s="56"/>
      <c r="P351" s="56"/>
      <c r="Q351" s="177"/>
      <c r="R351" s="56"/>
      <c r="S351" s="56"/>
      <c r="T351" s="56"/>
      <c r="U351" s="56"/>
      <c r="V351" s="56"/>
      <c r="W351" s="56"/>
      <c r="X351" s="56"/>
      <c r="Y351" s="56"/>
      <c r="Z351" s="56"/>
      <c r="AA351" s="56"/>
      <c r="AB351" s="56"/>
      <c r="AC351" s="56"/>
      <c r="AD351" s="56"/>
    </row>
    <row r="352">
      <c r="A352" s="178"/>
      <c r="B352" s="177"/>
      <c r="C352" s="177"/>
      <c r="D352" s="56"/>
      <c r="E352" s="56"/>
      <c r="F352" s="56"/>
      <c r="G352" s="56"/>
      <c r="H352" s="56"/>
      <c r="I352" s="56"/>
      <c r="J352" s="56"/>
      <c r="K352" s="56"/>
      <c r="L352" s="56"/>
      <c r="M352" s="56"/>
      <c r="N352" s="177"/>
      <c r="O352" s="56"/>
      <c r="P352" s="56"/>
      <c r="Q352" s="177"/>
      <c r="R352" s="56"/>
      <c r="S352" s="56"/>
      <c r="T352" s="56"/>
      <c r="U352" s="56"/>
      <c r="V352" s="56"/>
      <c r="W352" s="56"/>
      <c r="X352" s="56"/>
      <c r="Y352" s="56"/>
      <c r="Z352" s="56"/>
      <c r="AA352" s="56"/>
      <c r="AB352" s="56"/>
      <c r="AC352" s="56"/>
      <c r="AD352" s="56"/>
    </row>
    <row r="353">
      <c r="A353" s="178"/>
      <c r="B353" s="177"/>
      <c r="C353" s="177"/>
      <c r="D353" s="56"/>
      <c r="E353" s="56"/>
      <c r="F353" s="56"/>
      <c r="G353" s="56"/>
      <c r="H353" s="56"/>
      <c r="I353" s="56"/>
      <c r="J353" s="56"/>
      <c r="K353" s="56"/>
      <c r="L353" s="56"/>
      <c r="M353" s="56"/>
      <c r="N353" s="177"/>
      <c r="O353" s="56"/>
      <c r="P353" s="56"/>
      <c r="Q353" s="177"/>
      <c r="R353" s="56"/>
      <c r="S353" s="56"/>
      <c r="T353" s="56"/>
      <c r="U353" s="56"/>
      <c r="V353" s="56"/>
      <c r="W353" s="56"/>
      <c r="X353" s="56"/>
      <c r="Y353" s="56"/>
      <c r="Z353" s="56"/>
      <c r="AA353" s="56"/>
      <c r="AB353" s="56"/>
      <c r="AC353" s="56"/>
      <c r="AD353" s="56"/>
    </row>
    <row r="354">
      <c r="A354" s="178"/>
      <c r="B354" s="177"/>
      <c r="C354" s="177"/>
      <c r="D354" s="56"/>
      <c r="E354" s="56"/>
      <c r="F354" s="56"/>
      <c r="G354" s="56"/>
      <c r="H354" s="56"/>
      <c r="I354" s="56"/>
      <c r="J354" s="56"/>
      <c r="K354" s="56"/>
      <c r="L354" s="56"/>
      <c r="M354" s="56"/>
      <c r="N354" s="177"/>
      <c r="O354" s="56"/>
      <c r="P354" s="56"/>
      <c r="Q354" s="177"/>
      <c r="R354" s="56"/>
      <c r="S354" s="56"/>
      <c r="T354" s="56"/>
      <c r="U354" s="56"/>
      <c r="V354" s="56"/>
      <c r="W354" s="56"/>
      <c r="X354" s="56"/>
      <c r="Y354" s="56"/>
      <c r="Z354" s="56"/>
      <c r="AA354" s="56"/>
      <c r="AB354" s="56"/>
      <c r="AC354" s="56"/>
      <c r="AD354" s="56"/>
    </row>
    <row r="355">
      <c r="A355" s="178"/>
      <c r="B355" s="177"/>
      <c r="C355" s="177"/>
      <c r="D355" s="56"/>
      <c r="E355" s="56"/>
      <c r="F355" s="56"/>
      <c r="G355" s="56"/>
      <c r="H355" s="56"/>
      <c r="I355" s="56"/>
      <c r="J355" s="56"/>
      <c r="K355" s="56"/>
      <c r="L355" s="56"/>
      <c r="M355" s="56"/>
      <c r="N355" s="177"/>
      <c r="O355" s="56"/>
      <c r="P355" s="56"/>
      <c r="Q355" s="177"/>
      <c r="R355" s="56"/>
      <c r="S355" s="56"/>
      <c r="T355" s="56"/>
      <c r="U355" s="56"/>
      <c r="V355" s="56"/>
      <c r="W355" s="56"/>
      <c r="X355" s="56"/>
      <c r="Y355" s="56"/>
      <c r="Z355" s="56"/>
      <c r="AA355" s="56"/>
      <c r="AB355" s="56"/>
      <c r="AC355" s="56"/>
      <c r="AD355" s="56"/>
    </row>
    <row r="356" ht="15.75" customHeight="1">
      <c r="A356" s="178"/>
      <c r="B356" s="177"/>
      <c r="C356" s="177"/>
      <c r="D356" s="56"/>
      <c r="E356" s="56"/>
      <c r="F356" s="56"/>
      <c r="G356" s="56"/>
      <c r="H356" s="56"/>
      <c r="I356" s="56"/>
      <c r="J356" s="56"/>
      <c r="K356" s="56"/>
      <c r="L356" s="56"/>
      <c r="M356" s="56"/>
      <c r="N356" s="177"/>
      <c r="O356" s="56"/>
      <c r="P356" s="56"/>
      <c r="Q356" s="177"/>
      <c r="R356" s="56"/>
      <c r="S356" s="56"/>
      <c r="T356" s="56"/>
      <c r="U356" s="56"/>
      <c r="V356" s="56"/>
      <c r="W356" s="56"/>
      <c r="X356" s="56"/>
      <c r="Y356" s="56"/>
      <c r="Z356" s="56"/>
      <c r="AA356" s="56"/>
      <c r="AB356" s="56"/>
      <c r="AC356" s="56"/>
      <c r="AD356" s="56"/>
    </row>
    <row r="357" ht="15.75" customHeight="1">
      <c r="A357" s="178"/>
      <c r="B357" s="177"/>
      <c r="C357" s="177"/>
      <c r="D357" s="56"/>
      <c r="E357" s="56"/>
      <c r="F357" s="56"/>
      <c r="G357" s="56"/>
      <c r="H357" s="56"/>
      <c r="I357" s="56"/>
      <c r="J357" s="56"/>
      <c r="K357" s="56"/>
      <c r="L357" s="56"/>
      <c r="M357" s="56"/>
      <c r="N357" s="177"/>
      <c r="O357" s="56"/>
      <c r="P357" s="56"/>
      <c r="Q357" s="177"/>
      <c r="R357" s="56"/>
      <c r="S357" s="56"/>
      <c r="T357" s="56"/>
      <c r="U357" s="56"/>
      <c r="V357" s="56"/>
      <c r="W357" s="56"/>
      <c r="X357" s="56"/>
      <c r="Y357" s="56"/>
      <c r="Z357" s="56"/>
      <c r="AA357" s="56"/>
      <c r="AB357" s="56"/>
      <c r="AC357" s="56"/>
      <c r="AD357" s="56"/>
    </row>
    <row r="358" ht="15.75" customHeight="1">
      <c r="A358" s="178"/>
      <c r="B358" s="177"/>
      <c r="C358" s="177"/>
      <c r="D358" s="56"/>
      <c r="E358" s="56"/>
      <c r="F358" s="56"/>
      <c r="G358" s="56"/>
      <c r="H358" s="56"/>
      <c r="I358" s="56"/>
      <c r="J358" s="56"/>
      <c r="K358" s="56"/>
      <c r="L358" s="56"/>
      <c r="M358" s="56"/>
      <c r="N358" s="177"/>
      <c r="O358" s="56"/>
      <c r="P358" s="56"/>
      <c r="Q358" s="177"/>
      <c r="R358" s="56"/>
      <c r="S358" s="56"/>
      <c r="T358" s="56"/>
      <c r="U358" s="56"/>
      <c r="V358" s="56"/>
      <c r="W358" s="56"/>
      <c r="X358" s="56"/>
      <c r="Y358" s="56"/>
      <c r="Z358" s="56"/>
      <c r="AA358" s="56"/>
      <c r="AB358" s="56"/>
      <c r="AC358" s="56"/>
      <c r="AD358" s="56"/>
    </row>
    <row r="359" ht="15.75" customHeight="1">
      <c r="A359" s="178"/>
      <c r="B359" s="177"/>
      <c r="C359" s="177"/>
      <c r="D359" s="56"/>
      <c r="E359" s="56"/>
      <c r="F359" s="56"/>
      <c r="G359" s="56"/>
      <c r="H359" s="56"/>
      <c r="I359" s="56"/>
      <c r="J359" s="56"/>
      <c r="K359" s="56"/>
      <c r="L359" s="56"/>
      <c r="M359" s="56"/>
      <c r="N359" s="177"/>
      <c r="O359" s="56"/>
      <c r="P359" s="56"/>
      <c r="Q359" s="177"/>
      <c r="R359" s="56"/>
      <c r="S359" s="56"/>
      <c r="T359" s="56"/>
      <c r="U359" s="56"/>
      <c r="V359" s="56"/>
      <c r="W359" s="56"/>
      <c r="X359" s="56"/>
      <c r="Y359" s="56"/>
      <c r="Z359" s="56"/>
      <c r="AA359" s="56"/>
      <c r="AB359" s="56"/>
      <c r="AC359" s="56"/>
      <c r="AD359" s="56"/>
    </row>
    <row r="360" ht="15.75" customHeight="1">
      <c r="A360" s="178"/>
      <c r="B360" s="177"/>
      <c r="C360" s="177"/>
      <c r="D360" s="56"/>
      <c r="E360" s="56"/>
      <c r="F360" s="56"/>
      <c r="G360" s="56"/>
      <c r="H360" s="56"/>
      <c r="I360" s="56"/>
      <c r="J360" s="56"/>
      <c r="K360" s="56"/>
      <c r="L360" s="56"/>
      <c r="M360" s="56"/>
      <c r="N360" s="177"/>
      <c r="O360" s="56"/>
      <c r="P360" s="56"/>
      <c r="Q360" s="177"/>
      <c r="R360" s="56"/>
      <c r="S360" s="56"/>
      <c r="T360" s="56"/>
      <c r="U360" s="56"/>
      <c r="V360" s="56"/>
      <c r="W360" s="56"/>
      <c r="X360" s="56"/>
      <c r="Y360" s="56"/>
      <c r="Z360" s="56"/>
      <c r="AA360" s="56"/>
      <c r="AB360" s="56"/>
      <c r="AC360" s="56"/>
      <c r="AD360" s="56"/>
    </row>
    <row r="361" ht="15.75" customHeight="1">
      <c r="A361" s="178"/>
      <c r="B361" s="177"/>
      <c r="C361" s="177"/>
      <c r="D361" s="56"/>
      <c r="E361" s="56"/>
      <c r="F361" s="56"/>
      <c r="G361" s="56"/>
      <c r="H361" s="56"/>
      <c r="I361" s="56"/>
      <c r="J361" s="56"/>
      <c r="K361" s="56"/>
      <c r="L361" s="56"/>
      <c r="M361" s="56"/>
      <c r="N361" s="177"/>
      <c r="O361" s="56"/>
      <c r="P361" s="56"/>
      <c r="Q361" s="177"/>
      <c r="R361" s="56"/>
      <c r="S361" s="56"/>
      <c r="T361" s="56"/>
      <c r="U361" s="56"/>
      <c r="V361" s="56"/>
      <c r="W361" s="56"/>
      <c r="X361" s="56"/>
      <c r="Y361" s="56"/>
      <c r="Z361" s="56"/>
      <c r="AA361" s="56"/>
      <c r="AB361" s="56"/>
      <c r="AC361" s="56"/>
      <c r="AD361" s="56"/>
    </row>
    <row r="362" ht="15.75" customHeight="1">
      <c r="A362" s="178"/>
      <c r="B362" s="177"/>
      <c r="C362" s="177"/>
      <c r="D362" s="56"/>
      <c r="E362" s="56"/>
      <c r="F362" s="56"/>
      <c r="G362" s="56"/>
      <c r="H362" s="56"/>
      <c r="I362" s="56"/>
      <c r="J362" s="56"/>
      <c r="K362" s="56"/>
      <c r="L362" s="56"/>
      <c r="M362" s="56"/>
      <c r="N362" s="177"/>
      <c r="O362" s="56"/>
      <c r="P362" s="56"/>
      <c r="Q362" s="177"/>
      <c r="R362" s="56"/>
      <c r="S362" s="56"/>
      <c r="T362" s="56"/>
      <c r="U362" s="56"/>
      <c r="V362" s="56"/>
      <c r="W362" s="56"/>
      <c r="X362" s="56"/>
      <c r="Y362" s="56"/>
      <c r="Z362" s="56"/>
      <c r="AA362" s="56"/>
      <c r="AB362" s="56"/>
      <c r="AC362" s="56"/>
      <c r="AD362" s="56"/>
    </row>
    <row r="363" ht="15.75" customHeight="1">
      <c r="A363" s="178"/>
      <c r="B363" s="177"/>
      <c r="C363" s="177"/>
      <c r="D363" s="56"/>
      <c r="E363" s="56"/>
      <c r="F363" s="56"/>
      <c r="G363" s="56"/>
      <c r="H363" s="56"/>
      <c r="I363" s="56"/>
      <c r="J363" s="56"/>
      <c r="K363" s="56"/>
      <c r="L363" s="56"/>
      <c r="M363" s="56"/>
      <c r="N363" s="177"/>
      <c r="O363" s="56"/>
      <c r="P363" s="56"/>
      <c r="Q363" s="177"/>
      <c r="R363" s="56"/>
      <c r="S363" s="56"/>
      <c r="T363" s="56"/>
      <c r="U363" s="56"/>
      <c r="V363" s="56"/>
      <c r="W363" s="56"/>
      <c r="X363" s="56"/>
      <c r="Y363" s="56"/>
      <c r="Z363" s="56"/>
      <c r="AA363" s="56"/>
      <c r="AB363" s="56"/>
      <c r="AC363" s="56"/>
      <c r="AD363" s="56"/>
    </row>
    <row r="364" ht="15.75" customHeight="1">
      <c r="A364" s="178"/>
      <c r="B364" s="177"/>
      <c r="C364" s="177"/>
      <c r="D364" s="56"/>
      <c r="E364" s="56"/>
      <c r="F364" s="56"/>
      <c r="G364" s="56"/>
      <c r="H364" s="56"/>
      <c r="I364" s="56"/>
      <c r="J364" s="56"/>
      <c r="K364" s="56"/>
      <c r="L364" s="56"/>
      <c r="M364" s="56"/>
      <c r="N364" s="177"/>
      <c r="O364" s="56"/>
      <c r="P364" s="56"/>
      <c r="Q364" s="177"/>
      <c r="R364" s="56"/>
      <c r="S364" s="56"/>
      <c r="T364" s="56"/>
      <c r="U364" s="56"/>
      <c r="V364" s="56"/>
      <c r="W364" s="56"/>
      <c r="X364" s="56"/>
      <c r="Y364" s="56"/>
      <c r="Z364" s="56"/>
      <c r="AA364" s="56"/>
      <c r="AB364" s="56"/>
      <c r="AC364" s="56"/>
      <c r="AD364" s="56"/>
    </row>
    <row r="365" ht="15.75" customHeight="1">
      <c r="A365" s="178"/>
      <c r="B365" s="177"/>
      <c r="C365" s="177"/>
      <c r="D365" s="56"/>
      <c r="E365" s="56"/>
      <c r="F365" s="56"/>
      <c r="G365" s="56"/>
      <c r="H365" s="56"/>
      <c r="I365" s="56"/>
      <c r="J365" s="56"/>
      <c r="K365" s="56"/>
      <c r="L365" s="56"/>
      <c r="M365" s="56"/>
      <c r="N365" s="177"/>
      <c r="O365" s="56"/>
      <c r="P365" s="56"/>
      <c r="Q365" s="177"/>
      <c r="R365" s="56"/>
      <c r="S365" s="56"/>
      <c r="T365" s="56"/>
      <c r="U365" s="56"/>
      <c r="V365" s="56"/>
      <c r="W365" s="56"/>
      <c r="X365" s="56"/>
      <c r="Y365" s="56"/>
      <c r="Z365" s="56"/>
      <c r="AA365" s="56"/>
      <c r="AB365" s="56"/>
      <c r="AC365" s="56"/>
      <c r="AD365" s="56"/>
    </row>
    <row r="366" ht="15.75" customHeight="1">
      <c r="A366" s="178"/>
      <c r="B366" s="177"/>
      <c r="C366" s="177"/>
      <c r="D366" s="56"/>
      <c r="E366" s="56"/>
      <c r="F366" s="56"/>
      <c r="G366" s="56"/>
      <c r="H366" s="56"/>
      <c r="I366" s="56"/>
      <c r="J366" s="56"/>
      <c r="K366" s="56"/>
      <c r="L366" s="56"/>
      <c r="M366" s="56"/>
      <c r="N366" s="177"/>
      <c r="O366" s="56"/>
      <c r="P366" s="56"/>
      <c r="Q366" s="177"/>
      <c r="R366" s="56"/>
      <c r="S366" s="56"/>
      <c r="T366" s="56"/>
      <c r="U366" s="56"/>
      <c r="V366" s="56"/>
      <c r="W366" s="56"/>
      <c r="X366" s="56"/>
      <c r="Y366" s="56"/>
      <c r="Z366" s="56"/>
      <c r="AA366" s="56"/>
      <c r="AB366" s="56"/>
      <c r="AC366" s="56"/>
      <c r="AD366" s="56"/>
    </row>
    <row r="367" ht="15.75" customHeight="1">
      <c r="A367" s="178"/>
      <c r="B367" s="177"/>
      <c r="C367" s="177"/>
      <c r="D367" s="56"/>
      <c r="E367" s="56"/>
      <c r="F367" s="56"/>
      <c r="G367" s="56"/>
      <c r="H367" s="56"/>
      <c r="I367" s="56"/>
      <c r="J367" s="56"/>
      <c r="K367" s="56"/>
      <c r="L367" s="56"/>
      <c r="M367" s="56"/>
      <c r="N367" s="177"/>
      <c r="O367" s="56"/>
      <c r="P367" s="56"/>
      <c r="Q367" s="177"/>
      <c r="R367" s="56"/>
      <c r="S367" s="56"/>
      <c r="T367" s="56"/>
      <c r="U367" s="56"/>
      <c r="V367" s="56"/>
      <c r="W367" s="56"/>
      <c r="X367" s="56"/>
      <c r="Y367" s="56"/>
      <c r="Z367" s="56"/>
      <c r="AA367" s="56"/>
      <c r="AB367" s="56"/>
      <c r="AC367" s="56"/>
      <c r="AD367" s="56"/>
    </row>
    <row r="368" ht="15.75" customHeight="1">
      <c r="A368" s="178"/>
      <c r="B368" s="177"/>
      <c r="C368" s="177"/>
      <c r="D368" s="56"/>
      <c r="E368" s="56"/>
      <c r="F368" s="56"/>
      <c r="G368" s="56"/>
      <c r="H368" s="56"/>
      <c r="I368" s="56"/>
      <c r="J368" s="56"/>
      <c r="K368" s="56"/>
      <c r="L368" s="56"/>
      <c r="M368" s="56"/>
      <c r="N368" s="177"/>
      <c r="O368" s="56"/>
      <c r="P368" s="56"/>
      <c r="Q368" s="177"/>
      <c r="R368" s="56"/>
      <c r="S368" s="56"/>
      <c r="T368" s="56"/>
      <c r="U368" s="56"/>
      <c r="V368" s="56"/>
      <c r="W368" s="56"/>
      <c r="X368" s="56"/>
      <c r="Y368" s="56"/>
      <c r="Z368" s="56"/>
      <c r="AA368" s="56"/>
      <c r="AB368" s="56"/>
      <c r="AC368" s="56"/>
      <c r="AD368" s="56"/>
    </row>
    <row r="369" ht="15.75" customHeight="1">
      <c r="A369" s="178"/>
      <c r="B369" s="177"/>
      <c r="C369" s="177"/>
      <c r="D369" s="56"/>
      <c r="E369" s="56"/>
      <c r="F369" s="56"/>
      <c r="G369" s="56"/>
      <c r="H369" s="56"/>
      <c r="I369" s="56"/>
      <c r="J369" s="56"/>
      <c r="K369" s="56"/>
      <c r="L369" s="56"/>
      <c r="M369" s="56"/>
      <c r="N369" s="177"/>
      <c r="O369" s="56"/>
      <c r="P369" s="56"/>
      <c r="Q369" s="177"/>
      <c r="R369" s="56"/>
      <c r="S369" s="56"/>
      <c r="T369" s="56"/>
      <c r="U369" s="56"/>
      <c r="V369" s="56"/>
      <c r="W369" s="56"/>
      <c r="X369" s="56"/>
      <c r="Y369" s="56"/>
      <c r="Z369" s="56"/>
      <c r="AA369" s="56"/>
      <c r="AB369" s="56"/>
      <c r="AC369" s="56"/>
      <c r="AD369" s="56"/>
    </row>
    <row r="370" ht="15.75" customHeight="1">
      <c r="A370" s="178"/>
      <c r="B370" s="177"/>
      <c r="C370" s="177"/>
      <c r="D370" s="56"/>
      <c r="E370" s="56"/>
      <c r="F370" s="56"/>
      <c r="G370" s="56"/>
      <c r="H370" s="56"/>
      <c r="I370" s="56"/>
      <c r="J370" s="56"/>
      <c r="K370" s="56"/>
      <c r="L370" s="56"/>
      <c r="M370" s="56"/>
      <c r="N370" s="177"/>
      <c r="O370" s="56"/>
      <c r="P370" s="56"/>
      <c r="Q370" s="177"/>
      <c r="R370" s="56"/>
      <c r="S370" s="56"/>
      <c r="T370" s="56"/>
      <c r="U370" s="56"/>
      <c r="V370" s="56"/>
      <c r="W370" s="56"/>
      <c r="X370" s="56"/>
      <c r="Y370" s="56"/>
      <c r="Z370" s="56"/>
      <c r="AA370" s="56"/>
      <c r="AB370" s="56"/>
      <c r="AC370" s="56"/>
      <c r="AD370" s="56"/>
    </row>
    <row r="371" ht="15.75" customHeight="1">
      <c r="A371" s="178"/>
      <c r="B371" s="177"/>
      <c r="C371" s="177"/>
      <c r="D371" s="56"/>
      <c r="E371" s="56"/>
      <c r="F371" s="56"/>
      <c r="G371" s="56"/>
      <c r="H371" s="56"/>
      <c r="I371" s="56"/>
      <c r="J371" s="56"/>
      <c r="K371" s="56"/>
      <c r="L371" s="56"/>
      <c r="M371" s="56"/>
      <c r="N371" s="177"/>
      <c r="O371" s="56"/>
      <c r="P371" s="56"/>
      <c r="Q371" s="177"/>
      <c r="R371" s="56"/>
      <c r="S371" s="56"/>
      <c r="T371" s="56"/>
      <c r="U371" s="56"/>
      <c r="V371" s="56"/>
      <c r="W371" s="56"/>
      <c r="X371" s="56"/>
      <c r="Y371" s="56"/>
      <c r="Z371" s="56"/>
      <c r="AA371" s="56"/>
      <c r="AB371" s="56"/>
      <c r="AC371" s="56"/>
      <c r="AD371" s="56"/>
    </row>
    <row r="372" ht="15.75" customHeight="1">
      <c r="A372" s="178"/>
      <c r="B372" s="177"/>
      <c r="C372" s="177"/>
      <c r="D372" s="56"/>
      <c r="E372" s="56"/>
      <c r="F372" s="56"/>
      <c r="G372" s="56"/>
      <c r="H372" s="56"/>
      <c r="I372" s="56"/>
      <c r="J372" s="56"/>
      <c r="K372" s="56"/>
      <c r="L372" s="56"/>
      <c r="M372" s="56"/>
      <c r="N372" s="177"/>
      <c r="O372" s="56"/>
      <c r="P372" s="56"/>
      <c r="Q372" s="177"/>
      <c r="R372" s="56"/>
      <c r="S372" s="56"/>
      <c r="T372" s="56"/>
      <c r="U372" s="56"/>
      <c r="V372" s="56"/>
      <c r="W372" s="56"/>
      <c r="X372" s="56"/>
      <c r="Y372" s="56"/>
      <c r="Z372" s="56"/>
      <c r="AA372" s="56"/>
      <c r="AB372" s="56"/>
      <c r="AC372" s="56"/>
      <c r="AD372" s="56"/>
    </row>
    <row r="373" ht="15.75" customHeight="1">
      <c r="A373" s="178"/>
      <c r="B373" s="177"/>
      <c r="C373" s="177"/>
      <c r="D373" s="56"/>
      <c r="E373" s="56"/>
      <c r="F373" s="56"/>
      <c r="G373" s="56"/>
      <c r="H373" s="56"/>
      <c r="I373" s="56"/>
      <c r="J373" s="56"/>
      <c r="K373" s="56"/>
      <c r="L373" s="56"/>
      <c r="M373" s="56"/>
      <c r="N373" s="177"/>
      <c r="O373" s="56"/>
      <c r="P373" s="56"/>
      <c r="Q373" s="177"/>
      <c r="R373" s="56"/>
      <c r="S373" s="56"/>
      <c r="T373" s="56"/>
      <c r="U373" s="56"/>
      <c r="V373" s="56"/>
      <c r="W373" s="56"/>
      <c r="X373" s="56"/>
      <c r="Y373" s="56"/>
      <c r="Z373" s="56"/>
      <c r="AA373" s="56"/>
      <c r="AB373" s="56"/>
      <c r="AC373" s="56"/>
      <c r="AD373" s="56"/>
    </row>
    <row r="374" ht="15.75" customHeight="1">
      <c r="A374" s="178"/>
      <c r="B374" s="177"/>
      <c r="C374" s="177"/>
      <c r="D374" s="56"/>
      <c r="E374" s="56"/>
      <c r="F374" s="56"/>
      <c r="G374" s="56"/>
      <c r="H374" s="56"/>
      <c r="I374" s="56"/>
      <c r="J374" s="56"/>
      <c r="K374" s="56"/>
      <c r="L374" s="56"/>
      <c r="M374" s="56"/>
      <c r="N374" s="177"/>
      <c r="O374" s="56"/>
      <c r="P374" s="56"/>
      <c r="Q374" s="177"/>
      <c r="R374" s="56"/>
      <c r="S374" s="56"/>
      <c r="T374" s="56"/>
      <c r="U374" s="56"/>
      <c r="V374" s="56"/>
      <c r="W374" s="56"/>
      <c r="X374" s="56"/>
      <c r="Y374" s="56"/>
      <c r="Z374" s="56"/>
      <c r="AA374" s="56"/>
      <c r="AB374" s="56"/>
      <c r="AC374" s="56"/>
      <c r="AD374" s="56"/>
    </row>
    <row r="375" ht="15.75" customHeight="1">
      <c r="A375" s="178"/>
      <c r="B375" s="177"/>
      <c r="C375" s="177"/>
      <c r="D375" s="56"/>
      <c r="E375" s="56"/>
      <c r="F375" s="56"/>
      <c r="G375" s="56"/>
      <c r="H375" s="56"/>
      <c r="I375" s="56"/>
      <c r="J375" s="56"/>
      <c r="K375" s="56"/>
      <c r="L375" s="56"/>
      <c r="M375" s="56"/>
      <c r="N375" s="177"/>
      <c r="O375" s="56"/>
      <c r="P375" s="56"/>
      <c r="Q375" s="177"/>
      <c r="R375" s="56"/>
      <c r="S375" s="56"/>
      <c r="T375" s="56"/>
      <c r="U375" s="56"/>
      <c r="V375" s="56"/>
      <c r="W375" s="56"/>
      <c r="X375" s="56"/>
      <c r="Y375" s="56"/>
      <c r="Z375" s="56"/>
      <c r="AA375" s="56"/>
      <c r="AB375" s="56"/>
      <c r="AC375" s="56"/>
      <c r="AD375" s="56"/>
    </row>
    <row r="376" ht="15.75" customHeight="1">
      <c r="A376" s="178"/>
      <c r="B376" s="177"/>
      <c r="C376" s="177"/>
      <c r="D376" s="56"/>
      <c r="E376" s="56"/>
      <c r="F376" s="56"/>
      <c r="G376" s="56"/>
      <c r="H376" s="56"/>
      <c r="I376" s="56"/>
      <c r="J376" s="56"/>
      <c r="K376" s="56"/>
      <c r="L376" s="56"/>
      <c r="M376" s="56"/>
      <c r="N376" s="177"/>
      <c r="O376" s="56"/>
      <c r="P376" s="56"/>
      <c r="Q376" s="177"/>
      <c r="R376" s="56"/>
      <c r="S376" s="56"/>
      <c r="T376" s="56"/>
      <c r="U376" s="56"/>
      <c r="V376" s="56"/>
      <c r="W376" s="56"/>
      <c r="X376" s="56"/>
      <c r="Y376" s="56"/>
      <c r="Z376" s="56"/>
      <c r="AA376" s="56"/>
      <c r="AB376" s="56"/>
      <c r="AC376" s="56"/>
      <c r="AD376" s="56"/>
    </row>
    <row r="377" ht="15.75" customHeight="1">
      <c r="A377" s="178"/>
      <c r="B377" s="177"/>
      <c r="C377" s="177"/>
      <c r="D377" s="56"/>
      <c r="E377" s="56"/>
      <c r="F377" s="56"/>
      <c r="G377" s="56"/>
      <c r="H377" s="56"/>
      <c r="I377" s="56"/>
      <c r="J377" s="56"/>
      <c r="K377" s="56"/>
      <c r="L377" s="56"/>
      <c r="M377" s="56"/>
      <c r="N377" s="177"/>
      <c r="O377" s="56"/>
      <c r="P377" s="56"/>
      <c r="Q377" s="177"/>
      <c r="R377" s="56"/>
      <c r="S377" s="56"/>
      <c r="T377" s="56"/>
      <c r="U377" s="56"/>
      <c r="V377" s="56"/>
      <c r="W377" s="56"/>
      <c r="X377" s="56"/>
      <c r="Y377" s="56"/>
      <c r="Z377" s="56"/>
      <c r="AA377" s="56"/>
      <c r="AB377" s="56"/>
      <c r="AC377" s="56"/>
      <c r="AD377" s="56"/>
    </row>
    <row r="378" ht="15.75" customHeight="1">
      <c r="A378" s="178"/>
      <c r="B378" s="177"/>
      <c r="C378" s="177"/>
      <c r="D378" s="56"/>
      <c r="E378" s="56"/>
      <c r="F378" s="56"/>
      <c r="G378" s="56"/>
      <c r="H378" s="56"/>
      <c r="I378" s="56"/>
      <c r="J378" s="56"/>
      <c r="K378" s="56"/>
      <c r="L378" s="56"/>
      <c r="M378" s="56"/>
      <c r="N378" s="177"/>
      <c r="O378" s="56"/>
      <c r="P378" s="56"/>
      <c r="Q378" s="177"/>
      <c r="R378" s="56"/>
      <c r="S378" s="56"/>
      <c r="T378" s="56"/>
      <c r="U378" s="56"/>
      <c r="V378" s="56"/>
      <c r="W378" s="56"/>
      <c r="X378" s="56"/>
      <c r="Y378" s="56"/>
      <c r="Z378" s="56"/>
      <c r="AA378" s="56"/>
      <c r="AB378" s="56"/>
      <c r="AC378" s="56"/>
      <c r="AD378" s="56"/>
    </row>
    <row r="379" ht="15.75" customHeight="1">
      <c r="A379" s="178"/>
      <c r="B379" s="177"/>
      <c r="C379" s="177"/>
      <c r="D379" s="56"/>
      <c r="E379" s="56"/>
      <c r="F379" s="56"/>
      <c r="G379" s="56"/>
      <c r="H379" s="56"/>
      <c r="I379" s="56"/>
      <c r="J379" s="56"/>
      <c r="K379" s="56"/>
      <c r="L379" s="56"/>
      <c r="M379" s="56"/>
      <c r="N379" s="177"/>
      <c r="O379" s="56"/>
      <c r="P379" s="56"/>
      <c r="Q379" s="177"/>
      <c r="R379" s="56"/>
      <c r="S379" s="56"/>
      <c r="T379" s="56"/>
      <c r="U379" s="56"/>
      <c r="V379" s="56"/>
      <c r="W379" s="56"/>
      <c r="X379" s="56"/>
      <c r="Y379" s="56"/>
      <c r="Z379" s="56"/>
      <c r="AA379" s="56"/>
      <c r="AB379" s="56"/>
      <c r="AC379" s="56"/>
      <c r="AD379" s="56"/>
    </row>
    <row r="380" ht="15.75" customHeight="1">
      <c r="A380" s="178"/>
      <c r="B380" s="177"/>
      <c r="C380" s="177"/>
      <c r="D380" s="56"/>
      <c r="E380" s="56"/>
      <c r="F380" s="56"/>
      <c r="G380" s="56"/>
      <c r="H380" s="56"/>
      <c r="I380" s="56"/>
      <c r="J380" s="56"/>
      <c r="K380" s="56"/>
      <c r="L380" s="56"/>
      <c r="M380" s="56"/>
      <c r="N380" s="177"/>
      <c r="O380" s="56"/>
      <c r="P380" s="56"/>
      <c r="Q380" s="177"/>
      <c r="R380" s="56"/>
      <c r="S380" s="56"/>
      <c r="T380" s="56"/>
      <c r="U380" s="56"/>
      <c r="V380" s="56"/>
      <c r="W380" s="56"/>
      <c r="X380" s="56"/>
      <c r="Y380" s="56"/>
      <c r="Z380" s="56"/>
      <c r="AA380" s="56"/>
      <c r="AB380" s="56"/>
      <c r="AC380" s="56"/>
      <c r="AD380" s="56"/>
    </row>
    <row r="381" ht="15.75" customHeight="1">
      <c r="A381" s="178"/>
      <c r="B381" s="177"/>
      <c r="C381" s="177"/>
      <c r="D381" s="56"/>
      <c r="E381" s="56"/>
      <c r="F381" s="56"/>
      <c r="G381" s="56"/>
      <c r="H381" s="56"/>
      <c r="I381" s="56"/>
      <c r="J381" s="56"/>
      <c r="K381" s="56"/>
      <c r="L381" s="56"/>
      <c r="M381" s="56"/>
      <c r="N381" s="177"/>
      <c r="O381" s="56"/>
      <c r="P381" s="56"/>
      <c r="Q381" s="177"/>
      <c r="R381" s="56"/>
      <c r="S381" s="56"/>
      <c r="T381" s="56"/>
      <c r="U381" s="56"/>
      <c r="V381" s="56"/>
      <c r="W381" s="56"/>
      <c r="X381" s="56"/>
      <c r="Y381" s="56"/>
      <c r="Z381" s="56"/>
      <c r="AA381" s="56"/>
      <c r="AB381" s="56"/>
      <c r="AC381" s="56"/>
      <c r="AD381" s="56"/>
    </row>
    <row r="382" ht="15.75" customHeight="1">
      <c r="A382" s="178"/>
      <c r="B382" s="177"/>
      <c r="C382" s="177"/>
      <c r="D382" s="56"/>
      <c r="E382" s="56"/>
      <c r="F382" s="56"/>
      <c r="G382" s="56"/>
      <c r="H382" s="56"/>
      <c r="I382" s="56"/>
      <c r="J382" s="56"/>
      <c r="K382" s="56"/>
      <c r="L382" s="56"/>
      <c r="M382" s="56"/>
      <c r="N382" s="177"/>
      <c r="O382" s="56"/>
      <c r="P382" s="56"/>
      <c r="Q382" s="177"/>
      <c r="R382" s="56"/>
      <c r="S382" s="56"/>
      <c r="T382" s="56"/>
      <c r="U382" s="56"/>
      <c r="V382" s="56"/>
      <c r="W382" s="56"/>
      <c r="X382" s="56"/>
      <c r="Y382" s="56"/>
      <c r="Z382" s="56"/>
      <c r="AA382" s="56"/>
      <c r="AB382" s="56"/>
      <c r="AC382" s="56"/>
      <c r="AD382" s="56"/>
    </row>
    <row r="383" ht="15.75" customHeight="1">
      <c r="A383" s="178"/>
      <c r="B383" s="177"/>
      <c r="C383" s="177"/>
      <c r="D383" s="56"/>
      <c r="E383" s="56"/>
      <c r="F383" s="56"/>
      <c r="G383" s="56"/>
      <c r="H383" s="56"/>
      <c r="I383" s="56"/>
      <c r="J383" s="56"/>
      <c r="K383" s="56"/>
      <c r="L383" s="56"/>
      <c r="M383" s="56"/>
      <c r="N383" s="177"/>
      <c r="O383" s="56"/>
      <c r="P383" s="56"/>
      <c r="Q383" s="177"/>
      <c r="R383" s="56"/>
      <c r="S383" s="56"/>
      <c r="T383" s="56"/>
      <c r="U383" s="56"/>
      <c r="V383" s="56"/>
      <c r="W383" s="56"/>
      <c r="X383" s="56"/>
      <c r="Y383" s="56"/>
      <c r="Z383" s="56"/>
      <c r="AA383" s="56"/>
      <c r="AB383" s="56"/>
      <c r="AC383" s="56"/>
      <c r="AD383" s="56"/>
    </row>
    <row r="384" ht="15.75" customHeight="1">
      <c r="A384" s="178"/>
      <c r="B384" s="177"/>
      <c r="C384" s="177"/>
      <c r="D384" s="56"/>
      <c r="E384" s="56"/>
      <c r="F384" s="56"/>
      <c r="G384" s="56"/>
      <c r="H384" s="56"/>
      <c r="I384" s="56"/>
      <c r="J384" s="56"/>
      <c r="K384" s="56"/>
      <c r="L384" s="56"/>
      <c r="M384" s="56"/>
      <c r="N384" s="177"/>
      <c r="O384" s="56"/>
      <c r="P384" s="56"/>
      <c r="Q384" s="177"/>
      <c r="R384" s="56"/>
      <c r="S384" s="56"/>
      <c r="T384" s="56"/>
      <c r="U384" s="56"/>
      <c r="V384" s="56"/>
      <c r="W384" s="56"/>
      <c r="X384" s="56"/>
      <c r="Y384" s="56"/>
      <c r="Z384" s="56"/>
      <c r="AA384" s="56"/>
      <c r="AB384" s="56"/>
      <c r="AC384" s="56"/>
      <c r="AD384" s="56"/>
    </row>
    <row r="385" ht="15.75" customHeight="1">
      <c r="A385" s="178"/>
      <c r="B385" s="177"/>
      <c r="C385" s="177"/>
      <c r="D385" s="56"/>
      <c r="E385" s="56"/>
      <c r="F385" s="56"/>
      <c r="G385" s="56"/>
      <c r="H385" s="56"/>
      <c r="I385" s="56"/>
      <c r="J385" s="56"/>
      <c r="K385" s="56"/>
      <c r="L385" s="56"/>
      <c r="M385" s="56"/>
      <c r="N385" s="177"/>
      <c r="O385" s="56"/>
      <c r="P385" s="56"/>
      <c r="Q385" s="177"/>
      <c r="R385" s="56"/>
      <c r="S385" s="56"/>
      <c r="T385" s="56"/>
      <c r="U385" s="56"/>
      <c r="V385" s="56"/>
      <c r="W385" s="56"/>
      <c r="X385" s="56"/>
      <c r="Y385" s="56"/>
      <c r="Z385" s="56"/>
      <c r="AA385" s="56"/>
      <c r="AB385" s="56"/>
      <c r="AC385" s="56"/>
      <c r="AD385" s="56"/>
    </row>
    <row r="386" ht="15.75" customHeight="1">
      <c r="A386" s="178"/>
      <c r="B386" s="177"/>
      <c r="C386" s="177"/>
      <c r="D386" s="56"/>
      <c r="E386" s="56"/>
      <c r="F386" s="56"/>
      <c r="G386" s="56"/>
      <c r="H386" s="56"/>
      <c r="I386" s="56"/>
      <c r="J386" s="56"/>
      <c r="K386" s="56"/>
      <c r="L386" s="56"/>
      <c r="M386" s="56"/>
      <c r="N386" s="177"/>
      <c r="O386" s="56"/>
      <c r="P386" s="56"/>
      <c r="Q386" s="177"/>
      <c r="R386" s="56"/>
      <c r="S386" s="56"/>
      <c r="T386" s="56"/>
      <c r="U386" s="56"/>
      <c r="V386" s="56"/>
      <c r="W386" s="56"/>
      <c r="X386" s="56"/>
      <c r="Y386" s="56"/>
      <c r="Z386" s="56"/>
      <c r="AA386" s="56"/>
      <c r="AB386" s="56"/>
      <c r="AC386" s="56"/>
      <c r="AD386" s="56"/>
    </row>
    <row r="387" ht="15.75" customHeight="1">
      <c r="A387" s="178"/>
      <c r="B387" s="177"/>
      <c r="C387" s="177"/>
      <c r="D387" s="56"/>
      <c r="E387" s="56"/>
      <c r="F387" s="56"/>
      <c r="G387" s="56"/>
      <c r="H387" s="56"/>
      <c r="I387" s="56"/>
      <c r="J387" s="56"/>
      <c r="K387" s="56"/>
      <c r="L387" s="56"/>
      <c r="M387" s="56"/>
      <c r="N387" s="177"/>
      <c r="O387" s="56"/>
      <c r="P387" s="56"/>
      <c r="Q387" s="177"/>
      <c r="R387" s="56"/>
      <c r="S387" s="56"/>
      <c r="T387" s="56"/>
      <c r="U387" s="56"/>
      <c r="V387" s="56"/>
      <c r="W387" s="56"/>
      <c r="X387" s="56"/>
      <c r="Y387" s="56"/>
      <c r="Z387" s="56"/>
      <c r="AA387" s="56"/>
      <c r="AB387" s="56"/>
      <c r="AC387" s="56"/>
      <c r="AD387" s="56"/>
    </row>
    <row r="388" ht="15.75" customHeight="1">
      <c r="A388" s="178"/>
      <c r="B388" s="177"/>
      <c r="C388" s="177"/>
      <c r="D388" s="56"/>
      <c r="E388" s="56"/>
      <c r="F388" s="56"/>
      <c r="G388" s="56"/>
      <c r="H388" s="56"/>
      <c r="I388" s="56"/>
      <c r="J388" s="56"/>
      <c r="K388" s="56"/>
      <c r="L388" s="56"/>
      <c r="M388" s="56"/>
      <c r="N388" s="177"/>
      <c r="O388" s="56"/>
      <c r="P388" s="56"/>
      <c r="Q388" s="177"/>
      <c r="R388" s="56"/>
      <c r="S388" s="56"/>
      <c r="T388" s="56"/>
      <c r="U388" s="56"/>
      <c r="V388" s="56"/>
      <c r="W388" s="56"/>
      <c r="X388" s="56"/>
      <c r="Y388" s="56"/>
      <c r="Z388" s="56"/>
      <c r="AA388" s="56"/>
      <c r="AB388" s="56"/>
      <c r="AC388" s="56"/>
      <c r="AD388" s="56"/>
    </row>
    <row r="389" ht="15.75" customHeight="1">
      <c r="A389" s="178"/>
      <c r="B389" s="177"/>
      <c r="C389" s="177"/>
      <c r="D389" s="56"/>
      <c r="E389" s="56"/>
      <c r="F389" s="56"/>
      <c r="G389" s="56"/>
      <c r="H389" s="56"/>
      <c r="I389" s="56"/>
      <c r="J389" s="56"/>
      <c r="K389" s="56"/>
      <c r="L389" s="56"/>
      <c r="M389" s="56"/>
      <c r="N389" s="177"/>
      <c r="O389" s="56"/>
      <c r="P389" s="56"/>
      <c r="Q389" s="177"/>
      <c r="R389" s="56"/>
      <c r="S389" s="56"/>
      <c r="T389" s="56"/>
      <c r="U389" s="56"/>
      <c r="V389" s="56"/>
      <c r="W389" s="56"/>
      <c r="X389" s="56"/>
      <c r="Y389" s="56"/>
      <c r="Z389" s="56"/>
      <c r="AA389" s="56"/>
      <c r="AB389" s="56"/>
      <c r="AC389" s="56"/>
      <c r="AD389" s="56"/>
    </row>
    <row r="390" ht="15.75" customHeight="1">
      <c r="A390" s="178"/>
      <c r="B390" s="177"/>
      <c r="C390" s="177"/>
      <c r="D390" s="56"/>
      <c r="E390" s="56"/>
      <c r="F390" s="56"/>
      <c r="G390" s="56"/>
      <c r="H390" s="56"/>
      <c r="I390" s="56"/>
      <c r="J390" s="56"/>
      <c r="K390" s="56"/>
      <c r="L390" s="56"/>
      <c r="M390" s="56"/>
      <c r="N390" s="177"/>
      <c r="O390" s="56"/>
      <c r="P390" s="56"/>
      <c r="Q390" s="177"/>
      <c r="R390" s="56"/>
      <c r="S390" s="56"/>
      <c r="T390" s="56"/>
      <c r="U390" s="56"/>
      <c r="V390" s="56"/>
      <c r="W390" s="56"/>
      <c r="X390" s="56"/>
      <c r="Y390" s="56"/>
      <c r="Z390" s="56"/>
      <c r="AA390" s="56"/>
      <c r="AB390" s="56"/>
      <c r="AC390" s="56"/>
      <c r="AD390" s="56"/>
    </row>
    <row r="391" ht="15.75" customHeight="1">
      <c r="A391" s="178"/>
      <c r="B391" s="177"/>
      <c r="C391" s="177"/>
      <c r="D391" s="56"/>
      <c r="E391" s="56"/>
      <c r="F391" s="56"/>
      <c r="G391" s="56"/>
      <c r="H391" s="56"/>
      <c r="I391" s="56"/>
      <c r="J391" s="56"/>
      <c r="K391" s="56"/>
      <c r="L391" s="56"/>
      <c r="M391" s="56"/>
      <c r="N391" s="177"/>
      <c r="O391" s="56"/>
      <c r="P391" s="56"/>
      <c r="Q391" s="177"/>
      <c r="R391" s="56"/>
      <c r="S391" s="56"/>
      <c r="T391" s="56"/>
      <c r="U391" s="56"/>
      <c r="V391" s="56"/>
      <c r="W391" s="56"/>
      <c r="X391" s="56"/>
      <c r="Y391" s="56"/>
      <c r="Z391" s="56"/>
      <c r="AA391" s="56"/>
      <c r="AB391" s="56"/>
      <c r="AC391" s="56"/>
      <c r="AD391" s="56"/>
    </row>
    <row r="392" ht="15.75" customHeight="1">
      <c r="A392" s="178"/>
      <c r="B392" s="177"/>
      <c r="C392" s="177"/>
      <c r="D392" s="56"/>
      <c r="E392" s="56"/>
      <c r="F392" s="56"/>
      <c r="G392" s="56"/>
      <c r="H392" s="56"/>
      <c r="I392" s="56"/>
      <c r="J392" s="56"/>
      <c r="K392" s="56"/>
      <c r="L392" s="56"/>
      <c r="M392" s="56"/>
      <c r="N392" s="177"/>
      <c r="O392" s="56"/>
      <c r="P392" s="56"/>
      <c r="Q392" s="177"/>
      <c r="R392" s="56"/>
      <c r="S392" s="56"/>
      <c r="T392" s="56"/>
      <c r="U392" s="56"/>
      <c r="V392" s="56"/>
      <c r="W392" s="56"/>
      <c r="X392" s="56"/>
      <c r="Y392" s="56"/>
      <c r="Z392" s="56"/>
      <c r="AA392" s="56"/>
      <c r="AB392" s="56"/>
      <c r="AC392" s="56"/>
      <c r="AD392" s="56"/>
    </row>
    <row r="393" ht="15.75" customHeight="1">
      <c r="A393" s="178"/>
      <c r="B393" s="177"/>
      <c r="C393" s="177"/>
      <c r="D393" s="56"/>
      <c r="E393" s="56"/>
      <c r="F393" s="56"/>
      <c r="G393" s="56"/>
      <c r="H393" s="56"/>
      <c r="I393" s="56"/>
      <c r="J393" s="56"/>
      <c r="K393" s="56"/>
      <c r="L393" s="56"/>
      <c r="M393" s="56"/>
      <c r="N393" s="177"/>
      <c r="O393" s="56"/>
      <c r="P393" s="56"/>
      <c r="Q393" s="177"/>
      <c r="R393" s="56"/>
      <c r="S393" s="56"/>
      <c r="T393" s="56"/>
      <c r="U393" s="56"/>
      <c r="V393" s="56"/>
      <c r="W393" s="56"/>
      <c r="X393" s="56"/>
      <c r="Y393" s="56"/>
      <c r="Z393" s="56"/>
      <c r="AA393" s="56"/>
      <c r="AB393" s="56"/>
      <c r="AC393" s="56"/>
      <c r="AD393" s="56"/>
    </row>
    <row r="394" ht="15.75" customHeight="1">
      <c r="A394" s="178"/>
      <c r="B394" s="177"/>
      <c r="C394" s="177"/>
      <c r="D394" s="56"/>
      <c r="E394" s="56"/>
      <c r="F394" s="56"/>
      <c r="G394" s="56"/>
      <c r="H394" s="56"/>
      <c r="I394" s="56"/>
      <c r="J394" s="56"/>
      <c r="K394" s="56"/>
      <c r="L394" s="56"/>
      <c r="M394" s="56"/>
      <c r="N394" s="177"/>
      <c r="O394" s="56"/>
      <c r="P394" s="56"/>
      <c r="Q394" s="177"/>
      <c r="R394" s="56"/>
      <c r="S394" s="56"/>
      <c r="T394" s="56"/>
      <c r="U394" s="56"/>
      <c r="V394" s="56"/>
      <c r="W394" s="56"/>
      <c r="X394" s="56"/>
      <c r="Y394" s="56"/>
      <c r="Z394" s="56"/>
      <c r="AA394" s="56"/>
      <c r="AB394" s="56"/>
      <c r="AC394" s="56"/>
      <c r="AD394" s="56"/>
    </row>
    <row r="395" ht="15.75" customHeight="1">
      <c r="A395" s="178"/>
      <c r="B395" s="177"/>
      <c r="C395" s="177"/>
      <c r="D395" s="56"/>
      <c r="E395" s="56"/>
      <c r="F395" s="56"/>
      <c r="G395" s="56"/>
      <c r="H395" s="56"/>
      <c r="I395" s="56"/>
      <c r="J395" s="56"/>
      <c r="K395" s="56"/>
      <c r="L395" s="56"/>
      <c r="M395" s="56"/>
      <c r="N395" s="177"/>
      <c r="O395" s="56"/>
      <c r="P395" s="56"/>
      <c r="Q395" s="177"/>
      <c r="R395" s="56"/>
      <c r="S395" s="56"/>
      <c r="T395" s="56"/>
      <c r="U395" s="56"/>
      <c r="V395" s="56"/>
      <c r="W395" s="56"/>
      <c r="X395" s="56"/>
      <c r="Y395" s="56"/>
      <c r="Z395" s="56"/>
      <c r="AA395" s="56"/>
      <c r="AB395" s="56"/>
      <c r="AC395" s="56"/>
      <c r="AD395" s="56"/>
    </row>
    <row r="396" ht="15.75" customHeight="1">
      <c r="A396" s="178"/>
      <c r="B396" s="177"/>
      <c r="C396" s="177"/>
      <c r="D396" s="56"/>
      <c r="E396" s="56"/>
      <c r="F396" s="56"/>
      <c r="G396" s="56"/>
      <c r="H396" s="56"/>
      <c r="I396" s="56"/>
      <c r="J396" s="56"/>
      <c r="K396" s="56"/>
      <c r="L396" s="56"/>
      <c r="M396" s="56"/>
      <c r="N396" s="177"/>
      <c r="O396" s="56"/>
      <c r="P396" s="56"/>
      <c r="Q396" s="177"/>
      <c r="R396" s="56"/>
      <c r="S396" s="56"/>
      <c r="T396" s="56"/>
      <c r="U396" s="56"/>
      <c r="V396" s="56"/>
      <c r="W396" s="56"/>
      <c r="X396" s="56"/>
      <c r="Y396" s="56"/>
      <c r="Z396" s="56"/>
      <c r="AA396" s="56"/>
      <c r="AB396" s="56"/>
      <c r="AC396" s="56"/>
      <c r="AD396" s="56"/>
    </row>
    <row r="397" ht="15.75" customHeight="1">
      <c r="A397" s="178"/>
      <c r="B397" s="177"/>
      <c r="C397" s="177"/>
      <c r="D397" s="56"/>
      <c r="E397" s="56"/>
      <c r="F397" s="56"/>
      <c r="G397" s="56"/>
      <c r="H397" s="56"/>
      <c r="I397" s="56"/>
      <c r="J397" s="56"/>
      <c r="K397" s="56"/>
      <c r="L397" s="56"/>
      <c r="M397" s="56"/>
      <c r="N397" s="177"/>
      <c r="O397" s="56"/>
      <c r="P397" s="56"/>
      <c r="Q397" s="177"/>
      <c r="R397" s="56"/>
      <c r="S397" s="56"/>
      <c r="T397" s="56"/>
      <c r="U397" s="56"/>
      <c r="V397" s="56"/>
      <c r="W397" s="56"/>
      <c r="X397" s="56"/>
      <c r="Y397" s="56"/>
      <c r="Z397" s="56"/>
      <c r="AA397" s="56"/>
      <c r="AB397" s="56"/>
      <c r="AC397" s="56"/>
      <c r="AD397" s="56"/>
    </row>
    <row r="398" ht="15.75" customHeight="1">
      <c r="A398" s="178"/>
      <c r="B398" s="177"/>
      <c r="C398" s="177"/>
      <c r="D398" s="56"/>
      <c r="E398" s="56"/>
      <c r="F398" s="56"/>
      <c r="G398" s="56"/>
      <c r="H398" s="56"/>
      <c r="I398" s="56"/>
      <c r="J398" s="56"/>
      <c r="K398" s="56"/>
      <c r="L398" s="56"/>
      <c r="M398" s="56"/>
      <c r="N398" s="177"/>
      <c r="O398" s="56"/>
      <c r="P398" s="56"/>
      <c r="Q398" s="177"/>
      <c r="R398" s="56"/>
      <c r="S398" s="56"/>
      <c r="T398" s="56"/>
      <c r="U398" s="56"/>
      <c r="V398" s="56"/>
      <c r="W398" s="56"/>
      <c r="X398" s="56"/>
      <c r="Y398" s="56"/>
      <c r="Z398" s="56"/>
      <c r="AA398" s="56"/>
      <c r="AB398" s="56"/>
      <c r="AC398" s="56"/>
      <c r="AD398" s="56"/>
    </row>
    <row r="399" ht="15.75" customHeight="1">
      <c r="A399" s="178"/>
      <c r="B399" s="177"/>
      <c r="C399" s="177"/>
      <c r="D399" s="56"/>
      <c r="E399" s="56"/>
      <c r="F399" s="56"/>
      <c r="G399" s="56"/>
      <c r="H399" s="56"/>
      <c r="I399" s="56"/>
      <c r="J399" s="56"/>
      <c r="K399" s="56"/>
      <c r="L399" s="56"/>
      <c r="M399" s="56"/>
      <c r="N399" s="177"/>
      <c r="O399" s="56"/>
      <c r="P399" s="56"/>
      <c r="Q399" s="177"/>
      <c r="R399" s="56"/>
      <c r="S399" s="56"/>
      <c r="T399" s="56"/>
      <c r="U399" s="56"/>
      <c r="V399" s="56"/>
      <c r="W399" s="56"/>
      <c r="X399" s="56"/>
      <c r="Y399" s="56"/>
      <c r="Z399" s="56"/>
      <c r="AA399" s="56"/>
      <c r="AB399" s="56"/>
      <c r="AC399" s="56"/>
      <c r="AD399" s="56"/>
    </row>
    <row r="400" ht="15.75" customHeight="1">
      <c r="A400" s="178"/>
      <c r="B400" s="177"/>
      <c r="C400" s="177"/>
      <c r="D400" s="56"/>
      <c r="E400" s="56"/>
      <c r="F400" s="56"/>
      <c r="G400" s="56"/>
      <c r="H400" s="56"/>
      <c r="I400" s="56"/>
      <c r="J400" s="56"/>
      <c r="K400" s="56"/>
      <c r="L400" s="56"/>
      <c r="M400" s="56"/>
      <c r="N400" s="177"/>
      <c r="O400" s="56"/>
      <c r="P400" s="56"/>
      <c r="Q400" s="177"/>
      <c r="R400" s="56"/>
      <c r="S400" s="56"/>
      <c r="T400" s="56"/>
      <c r="U400" s="56"/>
      <c r="V400" s="56"/>
      <c r="W400" s="56"/>
      <c r="X400" s="56"/>
      <c r="Y400" s="56"/>
      <c r="Z400" s="56"/>
      <c r="AA400" s="56"/>
      <c r="AB400" s="56"/>
      <c r="AC400" s="56"/>
      <c r="AD400" s="56"/>
    </row>
    <row r="401" ht="15.75" customHeight="1">
      <c r="A401" s="178"/>
      <c r="B401" s="177"/>
      <c r="C401" s="177"/>
      <c r="D401" s="56"/>
      <c r="E401" s="56"/>
      <c r="F401" s="56"/>
      <c r="G401" s="56"/>
      <c r="H401" s="56"/>
      <c r="I401" s="56"/>
      <c r="J401" s="56"/>
      <c r="K401" s="56"/>
      <c r="L401" s="56"/>
      <c r="M401" s="56"/>
      <c r="N401" s="177"/>
      <c r="O401" s="56"/>
      <c r="P401" s="56"/>
      <c r="Q401" s="177"/>
      <c r="R401" s="56"/>
      <c r="S401" s="56"/>
      <c r="T401" s="56"/>
      <c r="U401" s="56"/>
      <c r="V401" s="56"/>
      <c r="W401" s="56"/>
      <c r="X401" s="56"/>
      <c r="Y401" s="56"/>
      <c r="Z401" s="56"/>
      <c r="AA401" s="56"/>
      <c r="AB401" s="56"/>
      <c r="AC401" s="56"/>
      <c r="AD401" s="56"/>
    </row>
    <row r="402" ht="15.75" customHeight="1">
      <c r="A402" s="178"/>
      <c r="B402" s="177"/>
      <c r="C402" s="177"/>
      <c r="D402" s="56"/>
      <c r="E402" s="56"/>
      <c r="F402" s="56"/>
      <c r="G402" s="56"/>
      <c r="H402" s="56"/>
      <c r="I402" s="56"/>
      <c r="J402" s="56"/>
      <c r="K402" s="56"/>
      <c r="L402" s="56"/>
      <c r="M402" s="56"/>
      <c r="N402" s="177"/>
      <c r="O402" s="56"/>
      <c r="P402" s="56"/>
      <c r="Q402" s="177"/>
      <c r="R402" s="56"/>
      <c r="S402" s="56"/>
      <c r="T402" s="56"/>
      <c r="U402" s="56"/>
      <c r="V402" s="56"/>
      <c r="W402" s="56"/>
      <c r="X402" s="56"/>
      <c r="Y402" s="56"/>
      <c r="Z402" s="56"/>
      <c r="AA402" s="56"/>
      <c r="AB402" s="56"/>
      <c r="AC402" s="56"/>
      <c r="AD402" s="56"/>
    </row>
    <row r="403" ht="15.75" customHeight="1">
      <c r="A403" s="178"/>
      <c r="B403" s="177"/>
      <c r="C403" s="177"/>
      <c r="D403" s="56"/>
      <c r="E403" s="56"/>
      <c r="F403" s="56"/>
      <c r="G403" s="56"/>
      <c r="H403" s="56"/>
      <c r="I403" s="56"/>
      <c r="J403" s="56"/>
      <c r="K403" s="56"/>
      <c r="L403" s="56"/>
      <c r="M403" s="56"/>
      <c r="N403" s="177"/>
      <c r="O403" s="56"/>
      <c r="P403" s="56"/>
      <c r="Q403" s="177"/>
      <c r="R403" s="56"/>
      <c r="S403" s="56"/>
      <c r="T403" s="56"/>
      <c r="U403" s="56"/>
      <c r="V403" s="56"/>
      <c r="W403" s="56"/>
      <c r="X403" s="56"/>
      <c r="Y403" s="56"/>
      <c r="Z403" s="56"/>
      <c r="AA403" s="56"/>
      <c r="AB403" s="56"/>
      <c r="AC403" s="56"/>
      <c r="AD403" s="56"/>
    </row>
    <row r="404" ht="15.75" customHeight="1">
      <c r="A404" s="178"/>
      <c r="B404" s="177"/>
      <c r="C404" s="177"/>
      <c r="D404" s="56"/>
      <c r="E404" s="56"/>
      <c r="F404" s="56"/>
      <c r="G404" s="56"/>
      <c r="H404" s="56"/>
      <c r="I404" s="56"/>
      <c r="J404" s="56"/>
      <c r="K404" s="56"/>
      <c r="L404" s="56"/>
      <c r="M404" s="56"/>
      <c r="N404" s="177"/>
      <c r="O404" s="56"/>
      <c r="P404" s="56"/>
      <c r="Q404" s="177"/>
      <c r="R404" s="56"/>
      <c r="S404" s="56"/>
      <c r="T404" s="56"/>
      <c r="U404" s="56"/>
      <c r="V404" s="56"/>
      <c r="W404" s="56"/>
      <c r="X404" s="56"/>
      <c r="Y404" s="56"/>
      <c r="Z404" s="56"/>
      <c r="AA404" s="56"/>
      <c r="AB404" s="56"/>
      <c r="AC404" s="56"/>
      <c r="AD404" s="56"/>
    </row>
    <row r="405" ht="15.75" customHeight="1">
      <c r="A405" s="178"/>
      <c r="B405" s="177"/>
      <c r="C405" s="177"/>
      <c r="D405" s="56"/>
      <c r="E405" s="56"/>
      <c r="F405" s="56"/>
      <c r="G405" s="56"/>
      <c r="H405" s="56"/>
      <c r="I405" s="56"/>
      <c r="J405" s="56"/>
      <c r="K405" s="56"/>
      <c r="L405" s="56"/>
      <c r="M405" s="56"/>
      <c r="N405" s="177"/>
      <c r="O405" s="56"/>
      <c r="P405" s="56"/>
      <c r="Q405" s="177"/>
      <c r="R405" s="56"/>
      <c r="S405" s="56"/>
      <c r="T405" s="56"/>
      <c r="U405" s="56"/>
      <c r="V405" s="56"/>
      <c r="W405" s="56"/>
      <c r="X405" s="56"/>
      <c r="Y405" s="56"/>
      <c r="Z405" s="56"/>
      <c r="AA405" s="56"/>
      <c r="AB405" s="56"/>
      <c r="AC405" s="56"/>
      <c r="AD405" s="56"/>
    </row>
    <row r="406" ht="15.75" customHeight="1">
      <c r="A406" s="178"/>
      <c r="B406" s="177"/>
      <c r="C406" s="177"/>
      <c r="D406" s="56"/>
      <c r="E406" s="56"/>
      <c r="F406" s="56"/>
      <c r="G406" s="56"/>
      <c r="H406" s="56"/>
      <c r="I406" s="56"/>
      <c r="J406" s="56"/>
      <c r="K406" s="56"/>
      <c r="L406" s="56"/>
      <c r="M406" s="56"/>
      <c r="N406" s="177"/>
      <c r="O406" s="56"/>
      <c r="P406" s="56"/>
      <c r="Q406" s="177"/>
      <c r="R406" s="56"/>
      <c r="S406" s="56"/>
      <c r="T406" s="56"/>
      <c r="U406" s="56"/>
      <c r="V406" s="56"/>
      <c r="W406" s="56"/>
      <c r="X406" s="56"/>
      <c r="Y406" s="56"/>
      <c r="Z406" s="56"/>
      <c r="AA406" s="56"/>
      <c r="AB406" s="56"/>
      <c r="AC406" s="56"/>
      <c r="AD406" s="56"/>
    </row>
    <row r="407" ht="15.75" customHeight="1">
      <c r="A407" s="178"/>
      <c r="B407" s="177"/>
      <c r="C407" s="177"/>
      <c r="D407" s="56"/>
      <c r="E407" s="56"/>
      <c r="F407" s="56"/>
      <c r="G407" s="56"/>
      <c r="H407" s="56"/>
      <c r="I407" s="56"/>
      <c r="J407" s="56"/>
      <c r="K407" s="56"/>
      <c r="L407" s="56"/>
      <c r="M407" s="56"/>
      <c r="N407" s="177"/>
      <c r="O407" s="56"/>
      <c r="P407" s="56"/>
      <c r="Q407" s="177"/>
      <c r="R407" s="56"/>
      <c r="S407" s="56"/>
      <c r="T407" s="56"/>
      <c r="U407" s="56"/>
      <c r="V407" s="56"/>
      <c r="W407" s="56"/>
      <c r="X407" s="56"/>
      <c r="Y407" s="56"/>
      <c r="Z407" s="56"/>
      <c r="AA407" s="56"/>
      <c r="AB407" s="56"/>
      <c r="AC407" s="56"/>
      <c r="AD407" s="56"/>
    </row>
    <row r="408" ht="15.75" customHeight="1">
      <c r="A408" s="178"/>
      <c r="B408" s="177"/>
      <c r="C408" s="177"/>
      <c r="D408" s="56"/>
      <c r="E408" s="56"/>
      <c r="F408" s="56"/>
      <c r="G408" s="56"/>
      <c r="H408" s="56"/>
      <c r="I408" s="56"/>
      <c r="J408" s="56"/>
      <c r="K408" s="56"/>
      <c r="L408" s="56"/>
      <c r="M408" s="56"/>
      <c r="N408" s="177"/>
      <c r="O408" s="56"/>
      <c r="P408" s="56"/>
      <c r="Q408" s="177"/>
      <c r="R408" s="56"/>
      <c r="S408" s="56"/>
      <c r="T408" s="56"/>
      <c r="U408" s="56"/>
      <c r="V408" s="56"/>
      <c r="W408" s="56"/>
      <c r="X408" s="56"/>
      <c r="Y408" s="56"/>
      <c r="Z408" s="56"/>
      <c r="AA408" s="56"/>
      <c r="AB408" s="56"/>
      <c r="AC408" s="56"/>
      <c r="AD408" s="56"/>
    </row>
    <row r="409" ht="15.75" customHeight="1">
      <c r="A409" s="178"/>
      <c r="B409" s="177"/>
      <c r="C409" s="177"/>
      <c r="D409" s="56"/>
      <c r="E409" s="56"/>
      <c r="F409" s="56"/>
      <c r="G409" s="56"/>
      <c r="H409" s="56"/>
      <c r="I409" s="56"/>
      <c r="J409" s="56"/>
      <c r="K409" s="56"/>
      <c r="L409" s="56"/>
      <c r="M409" s="56"/>
      <c r="N409" s="177"/>
      <c r="O409" s="56"/>
      <c r="P409" s="56"/>
      <c r="Q409" s="177"/>
      <c r="R409" s="56"/>
      <c r="S409" s="56"/>
      <c r="T409" s="56"/>
      <c r="U409" s="56"/>
      <c r="V409" s="56"/>
      <c r="W409" s="56"/>
      <c r="X409" s="56"/>
      <c r="Y409" s="56"/>
      <c r="Z409" s="56"/>
      <c r="AA409" s="56"/>
      <c r="AB409" s="56"/>
      <c r="AC409" s="56"/>
      <c r="AD409" s="56"/>
    </row>
    <row r="410" ht="15.75" customHeight="1">
      <c r="A410" s="178"/>
      <c r="B410" s="177"/>
      <c r="C410" s="177"/>
      <c r="D410" s="56"/>
      <c r="E410" s="56"/>
      <c r="F410" s="56"/>
      <c r="G410" s="56"/>
      <c r="H410" s="56"/>
      <c r="I410" s="56"/>
      <c r="J410" s="56"/>
      <c r="K410" s="56"/>
      <c r="L410" s="56"/>
      <c r="M410" s="56"/>
      <c r="N410" s="177"/>
      <c r="O410" s="56"/>
      <c r="P410" s="56"/>
      <c r="Q410" s="177"/>
      <c r="R410" s="56"/>
      <c r="S410" s="56"/>
      <c r="T410" s="56"/>
      <c r="U410" s="56"/>
      <c r="V410" s="56"/>
      <c r="W410" s="56"/>
      <c r="X410" s="56"/>
      <c r="Y410" s="56"/>
      <c r="Z410" s="56"/>
      <c r="AA410" s="56"/>
      <c r="AB410" s="56"/>
      <c r="AC410" s="56"/>
      <c r="AD410" s="56"/>
    </row>
    <row r="411" ht="15.75" customHeight="1">
      <c r="A411" s="178"/>
      <c r="B411" s="177"/>
      <c r="C411" s="177"/>
      <c r="D411" s="56"/>
      <c r="E411" s="56"/>
      <c r="F411" s="56"/>
      <c r="G411" s="56"/>
      <c r="H411" s="56"/>
      <c r="I411" s="56"/>
      <c r="J411" s="56"/>
      <c r="K411" s="56"/>
      <c r="L411" s="56"/>
      <c r="M411" s="56"/>
      <c r="N411" s="177"/>
      <c r="O411" s="56"/>
      <c r="P411" s="56"/>
      <c r="Q411" s="177"/>
      <c r="R411" s="56"/>
      <c r="S411" s="56"/>
      <c r="T411" s="56"/>
      <c r="U411" s="56"/>
      <c r="V411" s="56"/>
      <c r="W411" s="56"/>
      <c r="X411" s="56"/>
      <c r="Y411" s="56"/>
      <c r="Z411" s="56"/>
      <c r="AA411" s="56"/>
      <c r="AB411" s="56"/>
      <c r="AC411" s="56"/>
      <c r="AD411" s="56"/>
    </row>
    <row r="412" ht="15.75" customHeight="1">
      <c r="A412" s="178"/>
      <c r="B412" s="177"/>
      <c r="C412" s="177"/>
      <c r="D412" s="56"/>
      <c r="E412" s="56"/>
      <c r="F412" s="56"/>
      <c r="G412" s="56"/>
      <c r="H412" s="56"/>
      <c r="I412" s="56"/>
      <c r="J412" s="56"/>
      <c r="K412" s="56"/>
      <c r="L412" s="56"/>
      <c r="M412" s="56"/>
      <c r="N412" s="177"/>
      <c r="O412" s="56"/>
      <c r="P412" s="56"/>
      <c r="Q412" s="177"/>
      <c r="R412" s="56"/>
      <c r="S412" s="56"/>
      <c r="T412" s="56"/>
      <c r="U412" s="56"/>
      <c r="V412" s="56"/>
      <c r="W412" s="56"/>
      <c r="X412" s="56"/>
      <c r="Y412" s="56"/>
      <c r="Z412" s="56"/>
      <c r="AA412" s="56"/>
      <c r="AB412" s="56"/>
      <c r="AC412" s="56"/>
      <c r="AD412" s="56"/>
    </row>
    <row r="413" ht="15.75" customHeight="1">
      <c r="A413" s="178"/>
      <c r="B413" s="177"/>
      <c r="C413" s="177"/>
      <c r="D413" s="56"/>
      <c r="E413" s="56"/>
      <c r="F413" s="56"/>
      <c r="G413" s="56"/>
      <c r="H413" s="56"/>
      <c r="I413" s="56"/>
      <c r="J413" s="56"/>
      <c r="K413" s="56"/>
      <c r="L413" s="56"/>
      <c r="M413" s="56"/>
      <c r="N413" s="177"/>
      <c r="O413" s="56"/>
      <c r="P413" s="56"/>
      <c r="Q413" s="177"/>
      <c r="R413" s="56"/>
      <c r="S413" s="56"/>
      <c r="T413" s="56"/>
      <c r="U413" s="56"/>
      <c r="V413" s="56"/>
      <c r="W413" s="56"/>
      <c r="X413" s="56"/>
      <c r="Y413" s="56"/>
      <c r="Z413" s="56"/>
      <c r="AA413" s="56"/>
      <c r="AB413" s="56"/>
      <c r="AC413" s="56"/>
      <c r="AD413" s="56"/>
    </row>
    <row r="414" ht="15.75" customHeight="1">
      <c r="A414" s="178"/>
      <c r="B414" s="177"/>
      <c r="C414" s="177"/>
      <c r="D414" s="56"/>
      <c r="E414" s="56"/>
      <c r="F414" s="56"/>
      <c r="G414" s="56"/>
      <c r="H414" s="56"/>
      <c r="I414" s="56"/>
      <c r="J414" s="56"/>
      <c r="K414" s="56"/>
      <c r="L414" s="56"/>
      <c r="M414" s="56"/>
      <c r="N414" s="177"/>
      <c r="O414" s="56"/>
      <c r="P414" s="56"/>
      <c r="Q414" s="177"/>
      <c r="R414" s="56"/>
      <c r="S414" s="56"/>
      <c r="T414" s="56"/>
      <c r="U414" s="56"/>
      <c r="V414" s="56"/>
      <c r="W414" s="56"/>
      <c r="X414" s="56"/>
      <c r="Y414" s="56"/>
      <c r="Z414" s="56"/>
      <c r="AA414" s="56"/>
      <c r="AB414" s="56"/>
      <c r="AC414" s="56"/>
      <c r="AD414" s="56"/>
    </row>
    <row r="415" ht="15.75" customHeight="1">
      <c r="A415" s="178"/>
      <c r="B415" s="177"/>
      <c r="C415" s="177"/>
      <c r="D415" s="56"/>
      <c r="E415" s="56"/>
      <c r="F415" s="56"/>
      <c r="G415" s="56"/>
      <c r="H415" s="56"/>
      <c r="I415" s="56"/>
      <c r="J415" s="56"/>
      <c r="K415" s="56"/>
      <c r="L415" s="56"/>
      <c r="M415" s="56"/>
      <c r="N415" s="177"/>
      <c r="O415" s="56"/>
      <c r="P415" s="56"/>
      <c r="Q415" s="177"/>
      <c r="R415" s="56"/>
      <c r="S415" s="56"/>
      <c r="T415" s="56"/>
      <c r="U415" s="56"/>
      <c r="V415" s="56"/>
      <c r="W415" s="56"/>
      <c r="X415" s="56"/>
      <c r="Y415" s="56"/>
      <c r="Z415" s="56"/>
      <c r="AA415" s="56"/>
      <c r="AB415" s="56"/>
      <c r="AC415" s="56"/>
      <c r="AD415" s="56"/>
    </row>
    <row r="416" ht="15.75" customHeight="1">
      <c r="A416" s="178"/>
      <c r="B416" s="177"/>
      <c r="C416" s="177"/>
      <c r="D416" s="56"/>
      <c r="E416" s="56"/>
      <c r="F416" s="56"/>
      <c r="G416" s="56"/>
      <c r="H416" s="56"/>
      <c r="I416" s="56"/>
      <c r="J416" s="56"/>
      <c r="K416" s="56"/>
      <c r="L416" s="56"/>
      <c r="M416" s="56"/>
      <c r="N416" s="177"/>
      <c r="O416" s="56"/>
      <c r="P416" s="56"/>
      <c r="Q416" s="177"/>
      <c r="R416" s="56"/>
      <c r="S416" s="56"/>
      <c r="T416" s="56"/>
      <c r="U416" s="56"/>
      <c r="V416" s="56"/>
      <c r="W416" s="56"/>
      <c r="X416" s="56"/>
      <c r="Y416" s="56"/>
      <c r="Z416" s="56"/>
      <c r="AA416" s="56"/>
      <c r="AB416" s="56"/>
      <c r="AC416" s="56"/>
      <c r="AD416" s="56"/>
    </row>
    <row r="417" ht="15.75" customHeight="1">
      <c r="A417" s="178"/>
      <c r="B417" s="177"/>
      <c r="C417" s="177"/>
      <c r="D417" s="56"/>
      <c r="E417" s="56"/>
      <c r="F417" s="56"/>
      <c r="G417" s="56"/>
      <c r="H417" s="56"/>
      <c r="I417" s="56"/>
      <c r="J417" s="56"/>
      <c r="K417" s="56"/>
      <c r="L417" s="56"/>
      <c r="M417" s="56"/>
      <c r="N417" s="177"/>
      <c r="O417" s="56"/>
      <c r="P417" s="56"/>
      <c r="Q417" s="177"/>
      <c r="R417" s="56"/>
      <c r="S417" s="56"/>
      <c r="T417" s="56"/>
      <c r="U417" s="56"/>
      <c r="V417" s="56"/>
      <c r="W417" s="56"/>
      <c r="X417" s="56"/>
      <c r="Y417" s="56"/>
      <c r="Z417" s="56"/>
      <c r="AA417" s="56"/>
      <c r="AB417" s="56"/>
      <c r="AC417" s="56"/>
      <c r="AD417" s="56"/>
    </row>
    <row r="418" ht="15.75" customHeight="1">
      <c r="A418" s="178"/>
      <c r="B418" s="177"/>
      <c r="C418" s="177"/>
      <c r="D418" s="56"/>
      <c r="E418" s="56"/>
      <c r="F418" s="56"/>
      <c r="G418" s="56"/>
      <c r="H418" s="56"/>
      <c r="I418" s="56"/>
      <c r="J418" s="56"/>
      <c r="K418" s="56"/>
      <c r="L418" s="56"/>
      <c r="M418" s="56"/>
      <c r="N418" s="177"/>
      <c r="O418" s="56"/>
      <c r="P418" s="56"/>
      <c r="Q418" s="177"/>
      <c r="R418" s="56"/>
      <c r="S418" s="56"/>
      <c r="T418" s="56"/>
      <c r="U418" s="56"/>
      <c r="V418" s="56"/>
      <c r="W418" s="56"/>
      <c r="X418" s="56"/>
      <c r="Y418" s="56"/>
      <c r="Z418" s="56"/>
      <c r="AA418" s="56"/>
      <c r="AB418" s="56"/>
      <c r="AC418" s="56"/>
      <c r="AD418" s="56"/>
    </row>
    <row r="419" ht="15.75" customHeight="1">
      <c r="A419" s="178"/>
      <c r="B419" s="177"/>
      <c r="C419" s="177"/>
      <c r="D419" s="56"/>
      <c r="E419" s="56"/>
      <c r="F419" s="56"/>
      <c r="G419" s="56"/>
      <c r="H419" s="56"/>
      <c r="I419" s="56"/>
      <c r="J419" s="56"/>
      <c r="K419" s="56"/>
      <c r="L419" s="56"/>
      <c r="M419" s="56"/>
      <c r="N419" s="177"/>
      <c r="O419" s="56"/>
      <c r="P419" s="56"/>
      <c r="Q419" s="177"/>
      <c r="R419" s="56"/>
      <c r="S419" s="56"/>
      <c r="T419" s="56"/>
      <c r="U419" s="56"/>
      <c r="V419" s="56"/>
      <c r="W419" s="56"/>
      <c r="X419" s="56"/>
      <c r="Y419" s="56"/>
      <c r="Z419" s="56"/>
      <c r="AA419" s="56"/>
      <c r="AB419" s="56"/>
      <c r="AC419" s="56"/>
      <c r="AD419" s="56"/>
    </row>
    <row r="420" ht="15.75" customHeight="1">
      <c r="A420" s="178"/>
      <c r="B420" s="177"/>
      <c r="C420" s="177"/>
      <c r="D420" s="56"/>
      <c r="E420" s="56"/>
      <c r="F420" s="56"/>
      <c r="G420" s="56"/>
      <c r="H420" s="56"/>
      <c r="I420" s="56"/>
      <c r="J420" s="56"/>
      <c r="K420" s="56"/>
      <c r="L420" s="56"/>
      <c r="M420" s="56"/>
      <c r="N420" s="177"/>
      <c r="O420" s="56"/>
      <c r="P420" s="56"/>
      <c r="Q420" s="177"/>
      <c r="R420" s="56"/>
      <c r="S420" s="56"/>
      <c r="T420" s="56"/>
      <c r="U420" s="56"/>
      <c r="V420" s="56"/>
      <c r="W420" s="56"/>
      <c r="X420" s="56"/>
      <c r="Y420" s="56"/>
      <c r="Z420" s="56"/>
      <c r="AA420" s="56"/>
      <c r="AB420" s="56"/>
      <c r="AC420" s="56"/>
      <c r="AD420" s="56"/>
    </row>
    <row r="421" ht="15.75" customHeight="1">
      <c r="A421" s="178"/>
      <c r="B421" s="177"/>
      <c r="C421" s="177"/>
      <c r="D421" s="56"/>
      <c r="E421" s="56"/>
      <c r="F421" s="56"/>
      <c r="G421" s="56"/>
      <c r="H421" s="56"/>
      <c r="I421" s="56"/>
      <c r="J421" s="56"/>
      <c r="K421" s="56"/>
      <c r="L421" s="56"/>
      <c r="M421" s="56"/>
      <c r="N421" s="177"/>
      <c r="O421" s="56"/>
      <c r="P421" s="56"/>
      <c r="Q421" s="177"/>
      <c r="R421" s="56"/>
      <c r="S421" s="56"/>
      <c r="T421" s="56"/>
      <c r="U421" s="56"/>
      <c r="V421" s="56"/>
      <c r="W421" s="56"/>
      <c r="X421" s="56"/>
      <c r="Y421" s="56"/>
      <c r="Z421" s="56"/>
      <c r="AA421" s="56"/>
      <c r="AB421" s="56"/>
      <c r="AC421" s="56"/>
      <c r="AD421" s="56"/>
    </row>
    <row r="422" ht="15.75" customHeight="1">
      <c r="A422" s="178"/>
      <c r="B422" s="177"/>
      <c r="C422" s="177"/>
      <c r="D422" s="56"/>
      <c r="E422" s="56"/>
      <c r="F422" s="56"/>
      <c r="G422" s="56"/>
      <c r="H422" s="56"/>
      <c r="I422" s="56"/>
      <c r="J422" s="56"/>
      <c r="K422" s="56"/>
      <c r="L422" s="56"/>
      <c r="M422" s="56"/>
      <c r="N422" s="177"/>
      <c r="O422" s="56"/>
      <c r="P422" s="56"/>
      <c r="Q422" s="177"/>
      <c r="R422" s="56"/>
      <c r="S422" s="56"/>
      <c r="T422" s="56"/>
      <c r="U422" s="56"/>
      <c r="V422" s="56"/>
      <c r="W422" s="56"/>
      <c r="X422" s="56"/>
      <c r="Y422" s="56"/>
      <c r="Z422" s="56"/>
      <c r="AA422" s="56"/>
      <c r="AB422" s="56"/>
      <c r="AC422" s="56"/>
      <c r="AD422" s="56"/>
    </row>
    <row r="423" ht="15.75" customHeight="1">
      <c r="A423" s="178"/>
      <c r="B423" s="177"/>
      <c r="C423" s="177"/>
      <c r="D423" s="56"/>
      <c r="E423" s="56"/>
      <c r="F423" s="56"/>
      <c r="G423" s="56"/>
      <c r="H423" s="56"/>
      <c r="I423" s="56"/>
      <c r="J423" s="56"/>
      <c r="K423" s="56"/>
      <c r="L423" s="56"/>
      <c r="M423" s="56"/>
      <c r="N423" s="177"/>
      <c r="O423" s="56"/>
      <c r="P423" s="56"/>
      <c r="Q423" s="177"/>
      <c r="R423" s="56"/>
      <c r="S423" s="56"/>
      <c r="T423" s="56"/>
      <c r="U423" s="56"/>
      <c r="V423" s="56"/>
      <c r="W423" s="56"/>
      <c r="X423" s="56"/>
      <c r="Y423" s="56"/>
      <c r="Z423" s="56"/>
      <c r="AA423" s="56"/>
      <c r="AB423" s="56"/>
      <c r="AC423" s="56"/>
      <c r="AD423" s="56"/>
    </row>
    <row r="424" ht="15.75" customHeight="1">
      <c r="A424" s="178"/>
      <c r="B424" s="177"/>
      <c r="C424" s="177"/>
      <c r="D424" s="56"/>
      <c r="E424" s="56"/>
      <c r="F424" s="56"/>
      <c r="G424" s="56"/>
      <c r="H424" s="56"/>
      <c r="I424" s="56"/>
      <c r="J424" s="56"/>
      <c r="K424" s="56"/>
      <c r="L424" s="56"/>
      <c r="M424" s="56"/>
      <c r="N424" s="177"/>
      <c r="O424" s="56"/>
      <c r="P424" s="56"/>
      <c r="Q424" s="177"/>
      <c r="R424" s="56"/>
      <c r="S424" s="56"/>
      <c r="T424" s="56"/>
      <c r="U424" s="56"/>
      <c r="V424" s="56"/>
      <c r="W424" s="56"/>
      <c r="X424" s="56"/>
      <c r="Y424" s="56"/>
      <c r="Z424" s="56"/>
      <c r="AA424" s="56"/>
      <c r="AB424" s="56"/>
      <c r="AC424" s="56"/>
      <c r="AD424" s="56"/>
    </row>
    <row r="425" ht="15.75" customHeight="1">
      <c r="A425" s="178"/>
      <c r="B425" s="177"/>
      <c r="C425" s="177"/>
      <c r="D425" s="56"/>
      <c r="E425" s="56"/>
      <c r="F425" s="56"/>
      <c r="G425" s="56"/>
      <c r="H425" s="56"/>
      <c r="I425" s="56"/>
      <c r="J425" s="56"/>
      <c r="K425" s="56"/>
      <c r="L425" s="56"/>
      <c r="M425" s="56"/>
      <c r="N425" s="177"/>
      <c r="O425" s="56"/>
      <c r="P425" s="56"/>
      <c r="Q425" s="177"/>
      <c r="R425" s="56"/>
      <c r="S425" s="56"/>
      <c r="T425" s="56"/>
      <c r="U425" s="56"/>
      <c r="V425" s="56"/>
      <c r="W425" s="56"/>
      <c r="X425" s="56"/>
      <c r="Y425" s="56"/>
      <c r="Z425" s="56"/>
      <c r="AA425" s="56"/>
      <c r="AB425" s="56"/>
      <c r="AC425" s="56"/>
      <c r="AD425" s="56"/>
    </row>
    <row r="426" ht="15.75" customHeight="1">
      <c r="A426" s="178"/>
      <c r="B426" s="177"/>
      <c r="C426" s="177"/>
      <c r="D426" s="56"/>
      <c r="E426" s="56"/>
      <c r="F426" s="56"/>
      <c r="G426" s="56"/>
      <c r="H426" s="56"/>
      <c r="I426" s="56"/>
      <c r="J426" s="56"/>
      <c r="K426" s="56"/>
      <c r="L426" s="56"/>
      <c r="M426" s="56"/>
      <c r="N426" s="177"/>
      <c r="O426" s="56"/>
      <c r="P426" s="56"/>
      <c r="Q426" s="177"/>
      <c r="R426" s="56"/>
      <c r="S426" s="56"/>
      <c r="T426" s="56"/>
      <c r="U426" s="56"/>
      <c r="V426" s="56"/>
      <c r="W426" s="56"/>
      <c r="X426" s="56"/>
      <c r="Y426" s="56"/>
      <c r="Z426" s="56"/>
      <c r="AA426" s="56"/>
      <c r="AB426" s="56"/>
      <c r="AC426" s="56"/>
      <c r="AD426" s="56"/>
    </row>
    <row r="427" ht="15.75" customHeight="1">
      <c r="A427" s="178"/>
      <c r="B427" s="177"/>
      <c r="C427" s="177"/>
      <c r="D427" s="56"/>
      <c r="E427" s="56"/>
      <c r="F427" s="56"/>
      <c r="G427" s="56"/>
      <c r="H427" s="56"/>
      <c r="I427" s="56"/>
      <c r="J427" s="56"/>
      <c r="K427" s="56"/>
      <c r="L427" s="56"/>
      <c r="M427" s="56"/>
      <c r="N427" s="177"/>
      <c r="O427" s="56"/>
      <c r="P427" s="56"/>
      <c r="Q427" s="177"/>
      <c r="R427" s="56"/>
      <c r="S427" s="56"/>
      <c r="T427" s="56"/>
      <c r="U427" s="56"/>
      <c r="V427" s="56"/>
      <c r="W427" s="56"/>
      <c r="X427" s="56"/>
      <c r="Y427" s="56"/>
      <c r="Z427" s="56"/>
      <c r="AA427" s="56"/>
      <c r="AB427" s="56"/>
      <c r="AC427" s="56"/>
      <c r="AD427" s="56"/>
    </row>
    <row r="428" ht="15.75" customHeight="1">
      <c r="A428" s="178"/>
      <c r="B428" s="177"/>
      <c r="C428" s="177"/>
      <c r="D428" s="56"/>
      <c r="E428" s="56"/>
      <c r="F428" s="56"/>
      <c r="G428" s="56"/>
      <c r="H428" s="56"/>
      <c r="I428" s="56"/>
      <c r="J428" s="56"/>
      <c r="K428" s="56"/>
      <c r="L428" s="56"/>
      <c r="M428" s="56"/>
      <c r="N428" s="177"/>
      <c r="O428" s="56"/>
      <c r="P428" s="56"/>
      <c r="Q428" s="177"/>
      <c r="R428" s="56"/>
      <c r="S428" s="56"/>
      <c r="T428" s="56"/>
      <c r="U428" s="56"/>
      <c r="V428" s="56"/>
      <c r="W428" s="56"/>
      <c r="X428" s="56"/>
      <c r="Y428" s="56"/>
      <c r="Z428" s="56"/>
      <c r="AA428" s="56"/>
      <c r="AB428" s="56"/>
      <c r="AC428" s="56"/>
      <c r="AD428" s="56"/>
    </row>
    <row r="429" ht="15.75" customHeight="1">
      <c r="A429" s="178"/>
      <c r="B429" s="177"/>
      <c r="C429" s="177"/>
      <c r="D429" s="56"/>
      <c r="E429" s="56"/>
      <c r="F429" s="56"/>
      <c r="G429" s="56"/>
      <c r="H429" s="56"/>
      <c r="I429" s="56"/>
      <c r="J429" s="56"/>
      <c r="K429" s="56"/>
      <c r="L429" s="56"/>
      <c r="M429" s="56"/>
      <c r="N429" s="177"/>
      <c r="O429" s="56"/>
      <c r="P429" s="56"/>
      <c r="Q429" s="177"/>
      <c r="R429" s="56"/>
      <c r="S429" s="56"/>
      <c r="T429" s="56"/>
      <c r="U429" s="56"/>
      <c r="V429" s="56"/>
      <c r="W429" s="56"/>
      <c r="X429" s="56"/>
      <c r="Y429" s="56"/>
      <c r="Z429" s="56"/>
      <c r="AA429" s="56"/>
      <c r="AB429" s="56"/>
      <c r="AC429" s="56"/>
      <c r="AD429" s="56"/>
    </row>
    <row r="430" ht="15.75" customHeight="1">
      <c r="A430" s="178"/>
      <c r="B430" s="177"/>
      <c r="C430" s="177"/>
      <c r="D430" s="56"/>
      <c r="E430" s="56"/>
      <c r="F430" s="56"/>
      <c r="G430" s="56"/>
      <c r="H430" s="56"/>
      <c r="I430" s="56"/>
      <c r="J430" s="56"/>
      <c r="K430" s="56"/>
      <c r="L430" s="56"/>
      <c r="M430" s="56"/>
      <c r="N430" s="177"/>
      <c r="O430" s="56"/>
      <c r="P430" s="56"/>
      <c r="Q430" s="177"/>
      <c r="R430" s="56"/>
      <c r="S430" s="56"/>
      <c r="T430" s="56"/>
      <c r="U430" s="56"/>
      <c r="V430" s="56"/>
      <c r="W430" s="56"/>
      <c r="X430" s="56"/>
      <c r="Y430" s="56"/>
      <c r="Z430" s="56"/>
      <c r="AA430" s="56"/>
      <c r="AB430" s="56"/>
      <c r="AC430" s="56"/>
      <c r="AD430" s="56"/>
    </row>
    <row r="431" ht="15.75" customHeight="1">
      <c r="A431" s="178"/>
      <c r="B431" s="177"/>
      <c r="C431" s="177"/>
      <c r="D431" s="56"/>
      <c r="E431" s="56"/>
      <c r="F431" s="56"/>
      <c r="G431" s="56"/>
      <c r="H431" s="56"/>
      <c r="I431" s="56"/>
      <c r="J431" s="56"/>
      <c r="K431" s="56"/>
      <c r="L431" s="56"/>
      <c r="M431" s="56"/>
      <c r="N431" s="177"/>
      <c r="O431" s="56"/>
      <c r="P431" s="56"/>
      <c r="Q431" s="177"/>
      <c r="R431" s="56"/>
      <c r="S431" s="56"/>
      <c r="T431" s="56"/>
      <c r="U431" s="56"/>
      <c r="V431" s="56"/>
      <c r="W431" s="56"/>
      <c r="X431" s="56"/>
      <c r="Y431" s="56"/>
      <c r="Z431" s="56"/>
      <c r="AA431" s="56"/>
      <c r="AB431" s="56"/>
      <c r="AC431" s="56"/>
      <c r="AD431" s="56"/>
    </row>
    <row r="432" ht="15.75" customHeight="1">
      <c r="A432" s="178"/>
      <c r="B432" s="177"/>
      <c r="C432" s="177"/>
      <c r="D432" s="56"/>
      <c r="E432" s="56"/>
      <c r="F432" s="56"/>
      <c r="G432" s="56"/>
      <c r="H432" s="56"/>
      <c r="I432" s="56"/>
      <c r="J432" s="56"/>
      <c r="K432" s="56"/>
      <c r="L432" s="56"/>
      <c r="M432" s="56"/>
      <c r="N432" s="177"/>
      <c r="O432" s="56"/>
      <c r="P432" s="56"/>
      <c r="Q432" s="177"/>
      <c r="R432" s="56"/>
      <c r="S432" s="56"/>
      <c r="T432" s="56"/>
      <c r="U432" s="56"/>
      <c r="V432" s="56"/>
      <c r="W432" s="56"/>
      <c r="X432" s="56"/>
      <c r="Y432" s="56"/>
      <c r="Z432" s="56"/>
      <c r="AA432" s="56"/>
      <c r="AB432" s="56"/>
      <c r="AC432" s="56"/>
      <c r="AD432" s="56"/>
    </row>
    <row r="433" ht="15.75" customHeight="1">
      <c r="A433" s="178"/>
      <c r="B433" s="177"/>
      <c r="C433" s="177"/>
      <c r="D433" s="56"/>
      <c r="E433" s="56"/>
      <c r="F433" s="56"/>
      <c r="G433" s="56"/>
      <c r="H433" s="56"/>
      <c r="I433" s="56"/>
      <c r="J433" s="56"/>
      <c r="K433" s="56"/>
      <c r="L433" s="56"/>
      <c r="M433" s="56"/>
      <c r="N433" s="177"/>
      <c r="O433" s="56"/>
      <c r="P433" s="56"/>
      <c r="Q433" s="177"/>
      <c r="R433" s="56"/>
      <c r="S433" s="56"/>
      <c r="T433" s="56"/>
      <c r="U433" s="56"/>
      <c r="V433" s="56"/>
      <c r="W433" s="56"/>
      <c r="X433" s="56"/>
      <c r="Y433" s="56"/>
      <c r="Z433" s="56"/>
      <c r="AA433" s="56"/>
      <c r="AB433" s="56"/>
      <c r="AC433" s="56"/>
      <c r="AD433" s="56"/>
    </row>
    <row r="434" ht="15.75" customHeight="1">
      <c r="A434" s="178"/>
      <c r="B434" s="177"/>
      <c r="C434" s="177"/>
      <c r="D434" s="56"/>
      <c r="E434" s="56"/>
      <c r="F434" s="56"/>
      <c r="G434" s="56"/>
      <c r="H434" s="56"/>
      <c r="I434" s="56"/>
      <c r="J434" s="56"/>
      <c r="K434" s="56"/>
      <c r="L434" s="56"/>
      <c r="M434" s="56"/>
      <c r="N434" s="177"/>
      <c r="O434" s="56"/>
      <c r="P434" s="56"/>
      <c r="Q434" s="177"/>
      <c r="R434" s="56"/>
      <c r="S434" s="56"/>
      <c r="T434" s="56"/>
      <c r="U434" s="56"/>
      <c r="V434" s="56"/>
      <c r="W434" s="56"/>
      <c r="X434" s="56"/>
      <c r="Y434" s="56"/>
      <c r="Z434" s="56"/>
      <c r="AA434" s="56"/>
      <c r="AB434" s="56"/>
      <c r="AC434" s="56"/>
      <c r="AD434" s="56"/>
    </row>
    <row r="435" ht="15.75" customHeight="1">
      <c r="A435" s="178"/>
      <c r="B435" s="177"/>
      <c r="C435" s="177"/>
      <c r="D435" s="56"/>
      <c r="E435" s="56"/>
      <c r="F435" s="56"/>
      <c r="G435" s="56"/>
      <c r="H435" s="56"/>
      <c r="I435" s="56"/>
      <c r="J435" s="56"/>
      <c r="K435" s="56"/>
      <c r="L435" s="56"/>
      <c r="M435" s="56"/>
      <c r="N435" s="177"/>
      <c r="O435" s="56"/>
      <c r="P435" s="56"/>
      <c r="Q435" s="177"/>
      <c r="R435" s="56"/>
      <c r="S435" s="56"/>
      <c r="T435" s="56"/>
      <c r="U435" s="56"/>
      <c r="V435" s="56"/>
      <c r="W435" s="56"/>
      <c r="X435" s="56"/>
      <c r="Y435" s="56"/>
      <c r="Z435" s="56"/>
      <c r="AA435" s="56"/>
      <c r="AB435" s="56"/>
      <c r="AC435" s="56"/>
      <c r="AD435" s="56"/>
    </row>
    <row r="436" ht="15.75" customHeight="1">
      <c r="A436" s="178"/>
      <c r="B436" s="177"/>
      <c r="C436" s="177"/>
      <c r="D436" s="56"/>
      <c r="E436" s="56"/>
      <c r="F436" s="56"/>
      <c r="G436" s="56"/>
      <c r="H436" s="56"/>
      <c r="I436" s="56"/>
      <c r="J436" s="56"/>
      <c r="K436" s="56"/>
      <c r="L436" s="56"/>
      <c r="M436" s="56"/>
      <c r="N436" s="177"/>
      <c r="O436" s="56"/>
      <c r="P436" s="56"/>
      <c r="Q436" s="177"/>
      <c r="R436" s="56"/>
      <c r="S436" s="56"/>
      <c r="T436" s="56"/>
      <c r="U436" s="56"/>
      <c r="V436" s="56"/>
      <c r="W436" s="56"/>
      <c r="X436" s="56"/>
      <c r="Y436" s="56"/>
      <c r="Z436" s="56"/>
      <c r="AA436" s="56"/>
      <c r="AB436" s="56"/>
      <c r="AC436" s="56"/>
      <c r="AD436" s="56"/>
    </row>
    <row r="437" ht="15.75" customHeight="1">
      <c r="A437" s="178"/>
      <c r="B437" s="177"/>
      <c r="C437" s="177"/>
      <c r="D437" s="56"/>
      <c r="E437" s="56"/>
      <c r="F437" s="56"/>
      <c r="G437" s="56"/>
      <c r="H437" s="56"/>
      <c r="I437" s="56"/>
      <c r="J437" s="56"/>
      <c r="K437" s="56"/>
      <c r="L437" s="56"/>
      <c r="M437" s="56"/>
      <c r="N437" s="177"/>
      <c r="O437" s="56"/>
      <c r="P437" s="56"/>
      <c r="Q437" s="177"/>
      <c r="R437" s="56"/>
      <c r="S437" s="56"/>
      <c r="T437" s="56"/>
      <c r="U437" s="56"/>
      <c r="V437" s="56"/>
      <c r="W437" s="56"/>
      <c r="X437" s="56"/>
      <c r="Y437" s="56"/>
      <c r="Z437" s="56"/>
      <c r="AA437" s="56"/>
      <c r="AB437" s="56"/>
      <c r="AC437" s="56"/>
      <c r="AD437" s="56"/>
    </row>
    <row r="438" ht="15.75" customHeight="1">
      <c r="A438" s="178"/>
      <c r="B438" s="177"/>
      <c r="C438" s="177"/>
      <c r="D438" s="56"/>
      <c r="E438" s="56"/>
      <c r="F438" s="56"/>
      <c r="G438" s="56"/>
      <c r="H438" s="56"/>
      <c r="I438" s="56"/>
      <c r="J438" s="56"/>
      <c r="K438" s="56"/>
      <c r="L438" s="56"/>
      <c r="M438" s="56"/>
      <c r="N438" s="177"/>
      <c r="O438" s="56"/>
      <c r="P438" s="56"/>
      <c r="Q438" s="177"/>
      <c r="R438" s="56"/>
      <c r="S438" s="56"/>
      <c r="T438" s="56"/>
      <c r="U438" s="56"/>
      <c r="V438" s="56"/>
      <c r="W438" s="56"/>
      <c r="X438" s="56"/>
      <c r="Y438" s="56"/>
      <c r="Z438" s="56"/>
      <c r="AA438" s="56"/>
      <c r="AB438" s="56"/>
      <c r="AC438" s="56"/>
      <c r="AD438" s="56"/>
    </row>
    <row r="439" ht="15.75" customHeight="1">
      <c r="A439" s="178"/>
      <c r="B439" s="177"/>
      <c r="C439" s="177"/>
      <c r="D439" s="56"/>
      <c r="E439" s="56"/>
      <c r="F439" s="56"/>
      <c r="G439" s="56"/>
      <c r="H439" s="56"/>
      <c r="I439" s="56"/>
      <c r="J439" s="56"/>
      <c r="K439" s="56"/>
      <c r="L439" s="56"/>
      <c r="M439" s="56"/>
      <c r="N439" s="177"/>
      <c r="O439" s="56"/>
      <c r="P439" s="56"/>
      <c r="Q439" s="177"/>
      <c r="R439" s="56"/>
      <c r="S439" s="56"/>
      <c r="T439" s="56"/>
      <c r="U439" s="56"/>
      <c r="V439" s="56"/>
      <c r="W439" s="56"/>
      <c r="X439" s="56"/>
      <c r="Y439" s="56"/>
      <c r="Z439" s="56"/>
      <c r="AA439" s="56"/>
      <c r="AB439" s="56"/>
      <c r="AC439" s="56"/>
      <c r="AD439" s="56"/>
    </row>
    <row r="440" ht="15.75" customHeight="1">
      <c r="A440" s="178"/>
      <c r="B440" s="177"/>
      <c r="C440" s="177"/>
      <c r="D440" s="56"/>
      <c r="E440" s="56"/>
      <c r="F440" s="56"/>
      <c r="G440" s="56"/>
      <c r="H440" s="56"/>
      <c r="I440" s="56"/>
      <c r="J440" s="56"/>
      <c r="K440" s="56"/>
      <c r="L440" s="56"/>
      <c r="M440" s="56"/>
      <c r="N440" s="177"/>
      <c r="O440" s="56"/>
      <c r="P440" s="56"/>
      <c r="Q440" s="177"/>
      <c r="R440" s="56"/>
      <c r="S440" s="56"/>
      <c r="T440" s="56"/>
      <c r="U440" s="56"/>
      <c r="V440" s="56"/>
      <c r="W440" s="56"/>
      <c r="X440" s="56"/>
      <c r="Y440" s="56"/>
      <c r="Z440" s="56"/>
      <c r="AA440" s="56"/>
      <c r="AB440" s="56"/>
      <c r="AC440" s="56"/>
      <c r="AD440" s="56"/>
    </row>
    <row r="441" ht="15.75" customHeight="1">
      <c r="A441" s="178"/>
      <c r="B441" s="177"/>
      <c r="C441" s="177"/>
      <c r="D441" s="56"/>
      <c r="E441" s="56"/>
      <c r="F441" s="56"/>
      <c r="G441" s="56"/>
      <c r="H441" s="56"/>
      <c r="I441" s="56"/>
      <c r="J441" s="56"/>
      <c r="K441" s="56"/>
      <c r="L441" s="56"/>
      <c r="M441" s="56"/>
      <c r="N441" s="177"/>
      <c r="O441" s="56"/>
      <c r="P441" s="56"/>
      <c r="Q441" s="177"/>
      <c r="R441" s="56"/>
      <c r="S441" s="56"/>
      <c r="T441" s="56"/>
      <c r="U441" s="56"/>
      <c r="V441" s="56"/>
      <c r="W441" s="56"/>
      <c r="X441" s="56"/>
      <c r="Y441" s="56"/>
      <c r="Z441" s="56"/>
      <c r="AA441" s="56"/>
      <c r="AB441" s="56"/>
      <c r="AC441" s="56"/>
      <c r="AD441" s="56"/>
    </row>
    <row r="442" ht="15.75" customHeight="1">
      <c r="A442" s="178"/>
      <c r="B442" s="177"/>
      <c r="C442" s="177"/>
      <c r="D442" s="56"/>
      <c r="E442" s="56"/>
      <c r="F442" s="56"/>
      <c r="G442" s="56"/>
      <c r="H442" s="56"/>
      <c r="I442" s="56"/>
      <c r="J442" s="56"/>
      <c r="K442" s="56"/>
      <c r="L442" s="56"/>
      <c r="M442" s="56"/>
      <c r="N442" s="177"/>
      <c r="O442" s="56"/>
      <c r="P442" s="56"/>
      <c r="Q442" s="177"/>
      <c r="R442" s="56"/>
      <c r="S442" s="56"/>
      <c r="T442" s="56"/>
      <c r="U442" s="56"/>
      <c r="V442" s="56"/>
      <c r="W442" s="56"/>
      <c r="X442" s="56"/>
      <c r="Y442" s="56"/>
      <c r="Z442" s="56"/>
      <c r="AA442" s="56"/>
      <c r="AB442" s="56"/>
      <c r="AC442" s="56"/>
      <c r="AD442" s="56"/>
    </row>
    <row r="443" ht="15.75" customHeight="1">
      <c r="A443" s="178"/>
      <c r="B443" s="177"/>
      <c r="C443" s="177"/>
      <c r="D443" s="56"/>
      <c r="E443" s="56"/>
      <c r="F443" s="56"/>
      <c r="G443" s="56"/>
      <c r="H443" s="56"/>
      <c r="I443" s="56"/>
      <c r="J443" s="56"/>
      <c r="K443" s="56"/>
      <c r="L443" s="56"/>
      <c r="M443" s="56"/>
      <c r="N443" s="177"/>
      <c r="O443" s="56"/>
      <c r="P443" s="56"/>
      <c r="Q443" s="177"/>
      <c r="R443" s="56"/>
      <c r="S443" s="56"/>
      <c r="T443" s="56"/>
      <c r="U443" s="56"/>
      <c r="V443" s="56"/>
      <c r="W443" s="56"/>
      <c r="X443" s="56"/>
      <c r="Y443" s="56"/>
      <c r="Z443" s="56"/>
      <c r="AA443" s="56"/>
      <c r="AB443" s="56"/>
      <c r="AC443" s="56"/>
      <c r="AD443" s="56"/>
    </row>
    <row r="444" ht="15.75" customHeight="1">
      <c r="A444" s="178"/>
      <c r="B444" s="177"/>
      <c r="C444" s="177"/>
      <c r="D444" s="56"/>
      <c r="E444" s="56"/>
      <c r="F444" s="56"/>
      <c r="G444" s="56"/>
      <c r="H444" s="56"/>
      <c r="I444" s="56"/>
      <c r="J444" s="56"/>
      <c r="K444" s="56"/>
      <c r="L444" s="56"/>
      <c r="M444" s="56"/>
      <c r="N444" s="177"/>
      <c r="O444" s="56"/>
      <c r="P444" s="56"/>
      <c r="Q444" s="177"/>
      <c r="R444" s="56"/>
      <c r="S444" s="56"/>
      <c r="T444" s="56"/>
      <c r="U444" s="56"/>
      <c r="V444" s="56"/>
      <c r="W444" s="56"/>
      <c r="X444" s="56"/>
      <c r="Y444" s="56"/>
      <c r="Z444" s="56"/>
      <c r="AA444" s="56"/>
      <c r="AB444" s="56"/>
      <c r="AC444" s="56"/>
      <c r="AD444" s="56"/>
    </row>
    <row r="445" ht="15.75" customHeight="1">
      <c r="A445" s="178"/>
      <c r="B445" s="177"/>
      <c r="C445" s="177"/>
      <c r="D445" s="56"/>
      <c r="E445" s="56"/>
      <c r="F445" s="56"/>
      <c r="G445" s="56"/>
      <c r="H445" s="56"/>
      <c r="I445" s="56"/>
      <c r="J445" s="56"/>
      <c r="K445" s="56"/>
      <c r="L445" s="56"/>
      <c r="M445" s="56"/>
      <c r="N445" s="177"/>
      <c r="O445" s="56"/>
      <c r="P445" s="56"/>
      <c r="Q445" s="177"/>
      <c r="R445" s="56"/>
      <c r="S445" s="56"/>
      <c r="T445" s="56"/>
      <c r="U445" s="56"/>
      <c r="V445" s="56"/>
      <c r="W445" s="56"/>
      <c r="X445" s="56"/>
      <c r="Y445" s="56"/>
      <c r="Z445" s="56"/>
      <c r="AA445" s="56"/>
      <c r="AB445" s="56"/>
      <c r="AC445" s="56"/>
      <c r="AD445" s="56"/>
    </row>
    <row r="446" ht="15.75" customHeight="1">
      <c r="A446" s="178"/>
      <c r="B446" s="177"/>
      <c r="C446" s="177"/>
      <c r="D446" s="56"/>
      <c r="E446" s="56"/>
      <c r="F446" s="56"/>
      <c r="G446" s="56"/>
      <c r="H446" s="56"/>
      <c r="I446" s="56"/>
      <c r="J446" s="56"/>
      <c r="K446" s="56"/>
      <c r="L446" s="56"/>
      <c r="M446" s="56"/>
      <c r="N446" s="177"/>
      <c r="O446" s="56"/>
      <c r="P446" s="56"/>
      <c r="Q446" s="177"/>
      <c r="R446" s="56"/>
      <c r="S446" s="56"/>
      <c r="T446" s="56"/>
      <c r="U446" s="56"/>
      <c r="V446" s="56"/>
      <c r="W446" s="56"/>
      <c r="X446" s="56"/>
      <c r="Y446" s="56"/>
      <c r="Z446" s="56"/>
      <c r="AA446" s="56"/>
      <c r="AB446" s="56"/>
      <c r="AC446" s="56"/>
      <c r="AD446" s="56"/>
    </row>
    <row r="447" ht="15.75" customHeight="1">
      <c r="A447" s="178"/>
      <c r="B447" s="177"/>
      <c r="C447" s="177"/>
      <c r="D447" s="56"/>
      <c r="E447" s="56"/>
      <c r="F447" s="56"/>
      <c r="G447" s="56"/>
      <c r="H447" s="56"/>
      <c r="I447" s="56"/>
      <c r="J447" s="56"/>
      <c r="K447" s="56"/>
      <c r="L447" s="56"/>
      <c r="M447" s="56"/>
      <c r="N447" s="177"/>
      <c r="O447" s="56"/>
      <c r="P447" s="56"/>
      <c r="Q447" s="177"/>
      <c r="R447" s="56"/>
      <c r="S447" s="56"/>
      <c r="T447" s="56"/>
      <c r="U447" s="56"/>
      <c r="V447" s="56"/>
      <c r="W447" s="56"/>
      <c r="X447" s="56"/>
      <c r="Y447" s="56"/>
      <c r="Z447" s="56"/>
      <c r="AA447" s="56"/>
      <c r="AB447" s="56"/>
      <c r="AC447" s="56"/>
      <c r="AD447" s="56"/>
    </row>
  </sheetData>
  <autoFilter ref="$A$1:$X$275">
    <filterColumn colId="13">
      <filters>
        <filter val="Fail"/>
      </filters>
    </filterColumn>
    <filterColumn colId="20">
      <filters>
        <filter val="Fail"/>
      </filters>
    </filterColumn>
  </autoFilter>
  <customSheetViews>
    <customSheetView guid="{7563665D-901B-4B88-85D3-05E7BCD7A9B8}" filter="1" showAutoFilter="1">
      <autoFilter ref="$A$1:$X$275">
        <filterColumn colId="13">
          <filters>
            <filter val="Fail"/>
          </filters>
        </filterColumn>
      </autoFilter>
    </customSheetView>
    <customSheetView guid="{5F9F2D68-78F4-4BA8-A55B-8298C3D27DAD}" filter="1" showAutoFilter="1">
      <autoFilter ref="$A$1:$X$275"/>
    </customSheetView>
  </customSheetViews>
  <dataValidations>
    <dataValidation type="list" allowBlank="1" showErrorMessage="1" sqref="P2:Q276 W2:W276">
      <formula1>"BA confirm,Reopen,InProcess,Pass,Reject,dev done"</formula1>
    </dataValidation>
    <dataValidation type="list" allowBlank="1" sqref="C2:C275">
      <formula1>"Tuần 1,Tuần 2,Tuần 3,Tuần 4"</formula1>
    </dataValidation>
    <dataValidation type="list" allowBlank="1" showErrorMessage="1" sqref="N2:N276 U2:U276">
      <formula1>"Pass,Fail,N/R"</formula1>
    </dataValidation>
  </dataValidations>
  <hyperlinks>
    <hyperlink r:id="rId1" ref="G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46"/>
    <hyperlink r:id="rId38" ref="M47"/>
    <hyperlink r:id="rId39" ref="T47"/>
    <hyperlink r:id="rId40" ref="M98"/>
    <hyperlink r:id="rId41" ref="M99"/>
    <hyperlink r:id="rId42" ref="M100"/>
    <hyperlink r:id="rId43" ref="M101"/>
    <hyperlink r:id="rId44" ref="M102"/>
    <hyperlink r:id="rId45" ref="M103"/>
    <hyperlink r:id="rId46" ref="M104"/>
    <hyperlink r:id="rId47" ref="M105"/>
    <hyperlink r:id="rId48" ref="M106"/>
    <hyperlink r:id="rId49" ref="M107"/>
    <hyperlink r:id="rId50" ref="M108"/>
    <hyperlink r:id="rId51" ref="M109"/>
    <hyperlink r:id="rId52" ref="M110"/>
    <hyperlink r:id="rId53" ref="M111"/>
    <hyperlink r:id="rId54" ref="M112"/>
    <hyperlink r:id="rId55" ref="M113"/>
    <hyperlink r:id="rId56" ref="M114"/>
    <hyperlink r:id="rId57" ref="M115"/>
    <hyperlink r:id="rId58" ref="M116"/>
    <hyperlink r:id="rId59" ref="M117"/>
    <hyperlink r:id="rId60" ref="M118"/>
    <hyperlink r:id="rId61" ref="M119"/>
    <hyperlink r:id="rId62" ref="M120"/>
    <hyperlink r:id="rId63" ref="M121"/>
    <hyperlink r:id="rId64" ref="M122"/>
    <hyperlink r:id="rId65" ref="M123"/>
    <hyperlink r:id="rId66" ref="T123"/>
    <hyperlink r:id="rId67" ref="M124"/>
    <hyperlink r:id="rId68" ref="M125"/>
    <hyperlink r:id="rId69" ref="M126"/>
    <hyperlink r:id="rId70" ref="M127"/>
    <hyperlink r:id="rId71" ref="M128"/>
    <hyperlink r:id="rId72" ref="M129"/>
    <hyperlink r:id="rId73" ref="M131"/>
    <hyperlink r:id="rId74" ref="M132"/>
    <hyperlink r:id="rId75" ref="M133"/>
    <hyperlink r:id="rId76" ref="M134"/>
    <hyperlink r:id="rId77" ref="M135"/>
    <hyperlink r:id="rId78" ref="M136"/>
    <hyperlink r:id="rId79" ref="M138"/>
    <hyperlink r:id="rId80" ref="M139"/>
    <hyperlink r:id="rId81" ref="M140"/>
    <hyperlink r:id="rId82" ref="M141"/>
    <hyperlink r:id="rId83" ref="M142"/>
    <hyperlink r:id="rId84" ref="M143"/>
    <hyperlink r:id="rId85" ref="M144"/>
    <hyperlink r:id="rId86" ref="M145"/>
    <hyperlink r:id="rId87" ref="M146"/>
    <hyperlink r:id="rId88" ref="M148"/>
    <hyperlink r:id="rId89" ref="M149"/>
    <hyperlink r:id="rId90" ref="M150"/>
    <hyperlink r:id="rId91" ref="M151"/>
    <hyperlink r:id="rId92" ref="M152"/>
    <hyperlink r:id="rId93" ref="M153"/>
    <hyperlink r:id="rId94" ref="M154"/>
    <hyperlink r:id="rId95" ref="M155"/>
    <hyperlink r:id="rId96" ref="M156"/>
    <hyperlink r:id="rId97" ref="M157"/>
    <hyperlink r:id="rId98" ref="M158"/>
    <hyperlink r:id="rId99" ref="M159"/>
    <hyperlink r:id="rId100" ref="M161"/>
    <hyperlink r:id="rId101" ref="M162"/>
    <hyperlink r:id="rId102" ref="M163"/>
    <hyperlink r:id="rId103" ref="M164"/>
    <hyperlink r:id="rId104" ref="M165"/>
    <hyperlink r:id="rId105" ref="M166"/>
    <hyperlink r:id="rId106" ref="M167"/>
    <hyperlink r:id="rId107" ref="M168"/>
    <hyperlink r:id="rId108" ref="M170"/>
    <hyperlink r:id="rId109" ref="M171"/>
    <hyperlink r:id="rId110" ref="M172"/>
    <hyperlink r:id="rId111" ref="M173"/>
    <hyperlink r:id="rId112" ref="M174"/>
    <hyperlink r:id="rId113" ref="M175"/>
    <hyperlink r:id="rId114" ref="M176"/>
    <hyperlink r:id="rId115" ref="M177"/>
    <hyperlink r:id="rId116" ref="M178"/>
    <hyperlink r:id="rId117" ref="M179"/>
    <hyperlink r:id="rId118" ref="M180"/>
    <hyperlink r:id="rId119" ref="M181"/>
    <hyperlink r:id="rId120" ref="M183"/>
    <hyperlink r:id="rId121" ref="M184"/>
    <hyperlink r:id="rId122" ref="M185"/>
    <hyperlink r:id="rId123" ref="M186"/>
    <hyperlink r:id="rId124" ref="M187"/>
    <hyperlink r:id="rId125" ref="M188"/>
    <hyperlink r:id="rId126" ref="M189"/>
    <hyperlink r:id="rId127" ref="M190"/>
    <hyperlink r:id="rId128" ref="M191"/>
    <hyperlink r:id="rId129" ref="M192"/>
    <hyperlink r:id="rId130" ref="M193"/>
    <hyperlink r:id="rId131" ref="M196"/>
    <hyperlink r:id="rId132" ref="M197"/>
    <hyperlink r:id="rId133" ref="M198"/>
    <hyperlink r:id="rId134" ref="M199"/>
    <hyperlink r:id="rId135" ref="M200"/>
    <hyperlink r:id="rId136" ref="M201"/>
    <hyperlink r:id="rId137" ref="M202"/>
    <hyperlink r:id="rId138" ref="M203"/>
    <hyperlink r:id="rId139" ref="M204"/>
    <hyperlink r:id="rId140" ref="M205"/>
    <hyperlink r:id="rId141" ref="M207"/>
    <hyperlink r:id="rId142" ref="M208"/>
    <hyperlink r:id="rId143" ref="M209"/>
    <hyperlink r:id="rId144" ref="M210"/>
    <hyperlink r:id="rId145" ref="M211"/>
    <hyperlink r:id="rId146" ref="M212"/>
    <hyperlink r:id="rId147" ref="M213"/>
    <hyperlink r:id="rId148" ref="M214"/>
    <hyperlink r:id="rId149" ref="M215"/>
    <hyperlink r:id="rId150" ref="M216"/>
    <hyperlink r:id="rId151" ref="M217"/>
    <hyperlink r:id="rId152" ref="M218"/>
    <hyperlink r:id="rId153" ref="M221"/>
    <hyperlink r:id="rId154" ref="M222"/>
    <hyperlink r:id="rId155" ref="M223"/>
    <hyperlink r:id="rId156" ref="M224"/>
    <hyperlink r:id="rId157" ref="M225"/>
    <hyperlink r:id="rId158" ref="M226"/>
    <hyperlink r:id="rId159" ref="M227"/>
    <hyperlink r:id="rId160" ref="M228"/>
    <hyperlink r:id="rId161" ref="M229"/>
    <hyperlink r:id="rId162" ref="M230"/>
    <hyperlink r:id="rId163" ref="M231"/>
    <hyperlink r:id="rId164" ref="M232"/>
    <hyperlink r:id="rId165" ref="M233"/>
    <hyperlink r:id="rId166" ref="M234"/>
    <hyperlink r:id="rId167" ref="M235"/>
    <hyperlink r:id="rId168" ref="M238"/>
    <hyperlink r:id="rId169" ref="M239"/>
    <hyperlink r:id="rId170" ref="M240"/>
    <hyperlink r:id="rId171" ref="M241"/>
    <hyperlink r:id="rId172" ref="M242"/>
    <hyperlink r:id="rId173" ref="M243"/>
    <hyperlink r:id="rId174" ref="M245"/>
    <hyperlink r:id="rId175" ref="M246"/>
    <hyperlink r:id="rId176" ref="M247"/>
    <hyperlink r:id="rId177" ref="M248"/>
    <hyperlink r:id="rId178" ref="M249"/>
    <hyperlink r:id="rId179" ref="M250"/>
    <hyperlink r:id="rId180" ref="M251"/>
    <hyperlink r:id="rId181" ref="M252"/>
    <hyperlink r:id="rId182" ref="M253"/>
    <hyperlink r:id="rId183" ref="M254"/>
    <hyperlink r:id="rId184" ref="M255"/>
    <hyperlink r:id="rId185" ref="M256"/>
    <hyperlink r:id="rId186" ref="M257"/>
    <hyperlink r:id="rId187" ref="M258"/>
    <hyperlink r:id="rId188" ref="M259"/>
    <hyperlink r:id="rId189" ref="M260"/>
    <hyperlink r:id="rId190" ref="M261"/>
    <hyperlink r:id="rId191" ref="M262"/>
    <hyperlink r:id="rId192" ref="M263"/>
    <hyperlink r:id="rId193" ref="M264"/>
    <hyperlink r:id="rId194" ref="M265"/>
    <hyperlink r:id="rId195" ref="M267"/>
    <hyperlink r:id="rId196" ref="M268"/>
    <hyperlink r:id="rId197" ref="M269"/>
    <hyperlink r:id="rId198" ref="M270"/>
    <hyperlink r:id="rId199" ref="M273"/>
    <hyperlink r:id="rId200" ref="M275"/>
  </hyperlinks>
  <drawing r:id="rId2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7.25"/>
    <col customWidth="1" min="2" max="2" width="12.0"/>
    <col customWidth="1" min="4" max="4" width="17.75"/>
    <col customWidth="1" min="6" max="6" width="28.25"/>
    <col customWidth="1" min="7" max="7" width="23.25"/>
    <col customWidth="1" min="8" max="8" width="33.88"/>
    <col customWidth="1" min="9" max="9" width="21.13"/>
    <col customWidth="1" min="10" max="10" width="33.88"/>
    <col customWidth="1" min="11" max="12" width="34.5"/>
    <col customWidth="1" min="13" max="13" width="26.63"/>
    <col customWidth="1" min="15" max="15" width="17.0"/>
    <col customWidth="1" min="16" max="16" width="17.63"/>
    <col customWidth="1" min="17" max="17" width="14.38"/>
    <col customWidth="1" min="18" max="18" width="33.63"/>
    <col customWidth="1" min="19" max="19" width="18.88"/>
    <col customWidth="1" min="20" max="21" width="14.38"/>
    <col customWidth="1" min="24" max="24" width="21.13"/>
  </cols>
  <sheetData>
    <row r="1">
      <c r="A1" s="1"/>
      <c r="B1" s="2" t="s">
        <v>1</v>
      </c>
      <c r="C1" s="2" t="s">
        <v>2</v>
      </c>
      <c r="D1" s="2" t="s">
        <v>3</v>
      </c>
      <c r="E1" s="2" t="s">
        <v>4</v>
      </c>
      <c r="F1" s="4" t="s">
        <v>5</v>
      </c>
      <c r="G1" s="2" t="s">
        <v>6</v>
      </c>
      <c r="H1" s="2" t="s">
        <v>7</v>
      </c>
      <c r="I1" s="2" t="s">
        <v>8</v>
      </c>
      <c r="J1" s="2" t="s">
        <v>9</v>
      </c>
      <c r="K1" s="2" t="s">
        <v>10</v>
      </c>
      <c r="L1" s="2" t="s">
        <v>11</v>
      </c>
      <c r="M1" s="2" t="s">
        <v>12</v>
      </c>
      <c r="N1" s="2" t="s">
        <v>13</v>
      </c>
      <c r="O1" s="2" t="s">
        <v>14</v>
      </c>
      <c r="P1" s="4" t="s">
        <v>15</v>
      </c>
      <c r="Q1" s="4" t="s">
        <v>16</v>
      </c>
      <c r="R1" s="4" t="s">
        <v>17</v>
      </c>
      <c r="S1" s="2" t="s">
        <v>18</v>
      </c>
      <c r="T1" s="2" t="s">
        <v>19</v>
      </c>
      <c r="U1" s="2" t="s">
        <v>20</v>
      </c>
      <c r="V1" s="2" t="s">
        <v>21</v>
      </c>
      <c r="W1" s="2" t="s">
        <v>22</v>
      </c>
      <c r="X1" s="2" t="s">
        <v>23</v>
      </c>
      <c r="Y1" s="9"/>
      <c r="Z1" s="9"/>
      <c r="AA1" s="9"/>
      <c r="AB1" s="10"/>
      <c r="AC1" s="9"/>
      <c r="AD1" s="10"/>
    </row>
    <row r="2" hidden="1">
      <c r="A2" s="13"/>
      <c r="B2" s="17">
        <v>46209.0</v>
      </c>
      <c r="C2" s="22" t="s">
        <v>28</v>
      </c>
      <c r="D2" s="25" t="s">
        <v>31</v>
      </c>
      <c r="E2" s="26"/>
      <c r="F2" s="26"/>
      <c r="G2" s="29" t="s">
        <v>36</v>
      </c>
      <c r="H2" s="22" t="s">
        <v>39</v>
      </c>
      <c r="I2" s="31"/>
      <c r="J2" s="22" t="s">
        <v>43</v>
      </c>
      <c r="K2" s="22" t="s">
        <v>45</v>
      </c>
      <c r="L2" s="22" t="s">
        <v>47</v>
      </c>
      <c r="M2" s="39" t="s">
        <v>49</v>
      </c>
      <c r="N2" s="18" t="s">
        <v>52</v>
      </c>
      <c r="O2" s="44"/>
      <c r="P2" s="46" t="s">
        <v>55</v>
      </c>
      <c r="Q2" s="46" t="s">
        <v>55</v>
      </c>
      <c r="R2" s="47" t="s">
        <v>57</v>
      </c>
      <c r="S2" s="50"/>
      <c r="T2" s="50"/>
      <c r="U2" s="53"/>
      <c r="V2" s="48"/>
      <c r="W2" s="43"/>
      <c r="X2" s="48"/>
    </row>
    <row r="3">
      <c r="A3" s="13"/>
      <c r="B3" s="17">
        <v>46209.0</v>
      </c>
      <c r="C3" s="22" t="s">
        <v>28</v>
      </c>
      <c r="D3" s="25" t="s">
        <v>61</v>
      </c>
      <c r="E3" s="26"/>
      <c r="F3" s="26"/>
      <c r="G3" s="29" t="s">
        <v>65</v>
      </c>
      <c r="H3" s="22" t="s">
        <v>39</v>
      </c>
      <c r="I3" s="31"/>
      <c r="J3" s="22" t="s">
        <v>68</v>
      </c>
      <c r="K3" s="22" t="s">
        <v>70</v>
      </c>
      <c r="L3" s="22" t="s">
        <v>72</v>
      </c>
      <c r="M3" s="64" t="s">
        <v>74</v>
      </c>
      <c r="N3" s="18" t="s">
        <v>52</v>
      </c>
      <c r="O3" s="44"/>
      <c r="P3" s="43" t="s">
        <v>53</v>
      </c>
      <c r="Q3" s="43" t="s">
        <v>54</v>
      </c>
      <c r="R3" s="47" t="s">
        <v>86</v>
      </c>
      <c r="S3" s="69" t="s">
        <v>87</v>
      </c>
      <c r="T3" s="70" t="s">
        <v>89</v>
      </c>
      <c r="U3" s="53" t="s">
        <v>52</v>
      </c>
      <c r="V3" s="48"/>
      <c r="W3" s="43" t="s">
        <v>96</v>
      </c>
      <c r="X3" s="48"/>
    </row>
    <row r="4" hidden="1">
      <c r="A4" s="51"/>
      <c r="B4" s="73">
        <v>24.0</v>
      </c>
      <c r="C4" s="22" t="s">
        <v>28</v>
      </c>
      <c r="D4" s="74" t="s">
        <v>103</v>
      </c>
      <c r="E4" s="73" t="s">
        <v>104</v>
      </c>
      <c r="F4" s="73" t="s">
        <v>78</v>
      </c>
      <c r="G4" s="75" t="s">
        <v>105</v>
      </c>
      <c r="H4" s="22" t="s">
        <v>106</v>
      </c>
      <c r="I4" s="31"/>
      <c r="J4" s="22" t="s">
        <v>108</v>
      </c>
      <c r="K4" s="22" t="s">
        <v>110</v>
      </c>
      <c r="L4" s="22" t="s">
        <v>112</v>
      </c>
      <c r="M4" s="39" t="s">
        <v>114</v>
      </c>
      <c r="N4" s="18" t="s">
        <v>52</v>
      </c>
      <c r="O4" s="44"/>
      <c r="P4" s="43" t="s">
        <v>53</v>
      </c>
      <c r="Q4" s="43" t="s">
        <v>54</v>
      </c>
      <c r="R4" s="47" t="s">
        <v>125</v>
      </c>
      <c r="S4" s="50"/>
      <c r="T4" s="50"/>
      <c r="U4" s="50"/>
      <c r="V4" s="48"/>
      <c r="W4" s="48"/>
      <c r="X4" s="48"/>
    </row>
    <row r="5" hidden="1">
      <c r="A5" s="13"/>
      <c r="B5" s="17">
        <v>46209.0</v>
      </c>
      <c r="C5" s="22" t="s">
        <v>28</v>
      </c>
      <c r="D5" s="25" t="s">
        <v>128</v>
      </c>
      <c r="E5" s="26"/>
      <c r="F5" s="26"/>
      <c r="G5" s="29" t="s">
        <v>130</v>
      </c>
      <c r="H5" s="29" t="s">
        <v>130</v>
      </c>
      <c r="I5" s="31"/>
      <c r="J5" s="22" t="s">
        <v>132</v>
      </c>
      <c r="K5" s="22" t="s">
        <v>133</v>
      </c>
      <c r="L5" s="22" t="s">
        <v>135</v>
      </c>
      <c r="M5" s="39" t="s">
        <v>136</v>
      </c>
      <c r="N5" s="18" t="s">
        <v>52</v>
      </c>
      <c r="O5" s="44"/>
      <c r="P5" s="43" t="s">
        <v>53</v>
      </c>
      <c r="Q5" s="43" t="s">
        <v>54</v>
      </c>
      <c r="R5" s="47" t="s">
        <v>145</v>
      </c>
      <c r="S5" s="50"/>
      <c r="T5" s="50"/>
      <c r="U5" s="50"/>
      <c r="V5" s="48"/>
      <c r="W5" s="48"/>
      <c r="X5" s="48"/>
    </row>
    <row r="6" hidden="1">
      <c r="A6" s="13"/>
      <c r="B6" s="17">
        <v>46209.0</v>
      </c>
      <c r="C6" s="22" t="s">
        <v>28</v>
      </c>
      <c r="D6" s="25" t="s">
        <v>153</v>
      </c>
      <c r="E6" s="26"/>
      <c r="F6" s="26"/>
      <c r="G6" s="29" t="s">
        <v>154</v>
      </c>
      <c r="H6" s="22" t="s">
        <v>155</v>
      </c>
      <c r="I6" s="31"/>
      <c r="J6" s="22" t="s">
        <v>156</v>
      </c>
      <c r="K6" s="22" t="s">
        <v>157</v>
      </c>
      <c r="L6" s="22" t="s">
        <v>158</v>
      </c>
      <c r="M6" s="39" t="s">
        <v>159</v>
      </c>
      <c r="N6" s="18" t="s">
        <v>52</v>
      </c>
      <c r="O6" s="44"/>
      <c r="P6" s="43" t="s">
        <v>53</v>
      </c>
      <c r="Q6" s="43" t="s">
        <v>54</v>
      </c>
      <c r="R6" s="47" t="s">
        <v>167</v>
      </c>
      <c r="S6" s="50"/>
      <c r="T6" s="50"/>
      <c r="U6" s="50"/>
      <c r="V6" s="48"/>
      <c r="W6" s="48"/>
      <c r="X6" s="48"/>
    </row>
    <row r="7" hidden="1">
      <c r="A7" s="51"/>
      <c r="B7" s="73">
        <v>25.0</v>
      </c>
      <c r="C7" s="22" t="s">
        <v>28</v>
      </c>
      <c r="D7" s="74" t="s">
        <v>181</v>
      </c>
      <c r="E7" s="73" t="s">
        <v>182</v>
      </c>
      <c r="F7" s="73" t="s">
        <v>78</v>
      </c>
      <c r="G7" s="75" t="s">
        <v>183</v>
      </c>
      <c r="H7" s="22" t="s">
        <v>184</v>
      </c>
      <c r="I7" s="31"/>
      <c r="J7" s="22" t="s">
        <v>185</v>
      </c>
      <c r="K7" s="22" t="s">
        <v>183</v>
      </c>
      <c r="L7" s="22" t="s">
        <v>186</v>
      </c>
      <c r="M7" s="39" t="s">
        <v>187</v>
      </c>
      <c r="N7" s="18" t="s">
        <v>52</v>
      </c>
      <c r="O7" s="44"/>
      <c r="P7" s="43" t="s">
        <v>53</v>
      </c>
      <c r="Q7" s="43" t="s">
        <v>54</v>
      </c>
      <c r="R7" s="47" t="s">
        <v>192</v>
      </c>
      <c r="S7" s="50"/>
      <c r="T7" s="50"/>
      <c r="U7" s="50"/>
      <c r="V7" s="48"/>
      <c r="W7" s="48"/>
      <c r="X7" s="48"/>
    </row>
    <row r="8">
      <c r="A8" s="13"/>
      <c r="B8" s="17">
        <v>46209.0</v>
      </c>
      <c r="C8" s="22" t="s">
        <v>28</v>
      </c>
      <c r="D8" s="25" t="s">
        <v>200</v>
      </c>
      <c r="E8" s="26"/>
      <c r="F8" s="26"/>
      <c r="G8" s="29" t="s">
        <v>205</v>
      </c>
      <c r="H8" s="22" t="s">
        <v>184</v>
      </c>
      <c r="I8" s="31"/>
      <c r="J8" s="22" t="s">
        <v>207</v>
      </c>
      <c r="K8" s="22" t="s">
        <v>209</v>
      </c>
      <c r="L8" s="22" t="s">
        <v>210</v>
      </c>
      <c r="M8" s="88" t="s">
        <v>212</v>
      </c>
      <c r="N8" s="18" t="s">
        <v>52</v>
      </c>
      <c r="O8" s="44"/>
      <c r="P8" s="43" t="s">
        <v>53</v>
      </c>
      <c r="Q8" s="43" t="s">
        <v>54</v>
      </c>
      <c r="R8" s="47" t="s">
        <v>217</v>
      </c>
      <c r="S8" s="69" t="s">
        <v>218</v>
      </c>
      <c r="T8" s="70" t="s">
        <v>219</v>
      </c>
      <c r="U8" s="53" t="s">
        <v>52</v>
      </c>
      <c r="V8" s="48"/>
      <c r="W8" s="43" t="s">
        <v>96</v>
      </c>
      <c r="X8" s="86" t="s">
        <v>162</v>
      </c>
    </row>
    <row r="9" hidden="1">
      <c r="A9" s="13"/>
      <c r="B9" s="17">
        <v>46209.0</v>
      </c>
      <c r="C9" s="22" t="s">
        <v>28</v>
      </c>
      <c r="D9" s="25" t="s">
        <v>231</v>
      </c>
      <c r="E9" s="26"/>
      <c r="F9" s="26"/>
      <c r="G9" s="29" t="s">
        <v>234</v>
      </c>
      <c r="H9" s="22" t="s">
        <v>184</v>
      </c>
      <c r="I9" s="31"/>
      <c r="J9" s="22" t="s">
        <v>237</v>
      </c>
      <c r="K9" s="22" t="s">
        <v>238</v>
      </c>
      <c r="L9" s="22" t="s">
        <v>239</v>
      </c>
      <c r="M9" s="88" t="s">
        <v>241</v>
      </c>
      <c r="N9" s="18" t="s">
        <v>52</v>
      </c>
      <c r="O9" s="44"/>
      <c r="P9" s="43" t="s">
        <v>55</v>
      </c>
      <c r="Q9" s="43" t="s">
        <v>55</v>
      </c>
      <c r="R9" s="47" t="s">
        <v>251</v>
      </c>
      <c r="S9" s="50"/>
      <c r="T9" s="50"/>
      <c r="U9" s="50"/>
      <c r="V9" s="48"/>
      <c r="W9" s="48"/>
      <c r="X9" s="48"/>
    </row>
    <row r="10" hidden="1">
      <c r="A10" s="13"/>
      <c r="B10" s="17">
        <v>46209.0</v>
      </c>
      <c r="C10" s="22" t="s">
        <v>28</v>
      </c>
      <c r="D10" s="25" t="s">
        <v>254</v>
      </c>
      <c r="E10" s="26"/>
      <c r="F10" s="26"/>
      <c r="G10" s="29" t="s">
        <v>257</v>
      </c>
      <c r="H10" s="22" t="s">
        <v>184</v>
      </c>
      <c r="I10" s="31"/>
      <c r="J10" s="22" t="s">
        <v>260</v>
      </c>
      <c r="K10" s="22" t="s">
        <v>262</v>
      </c>
      <c r="L10" s="22" t="s">
        <v>265</v>
      </c>
      <c r="M10" s="88" t="s">
        <v>268</v>
      </c>
      <c r="N10" s="18" t="s">
        <v>52</v>
      </c>
      <c r="O10" s="44"/>
      <c r="P10" s="43" t="s">
        <v>53</v>
      </c>
      <c r="Q10" s="43" t="s">
        <v>54</v>
      </c>
      <c r="R10" s="47" t="s">
        <v>275</v>
      </c>
      <c r="S10" s="50"/>
      <c r="T10" s="50"/>
      <c r="U10" s="50"/>
      <c r="V10" s="48"/>
      <c r="W10" s="86" t="s">
        <v>162</v>
      </c>
      <c r="X10" s="86" t="s">
        <v>162</v>
      </c>
    </row>
    <row r="11" hidden="1">
      <c r="A11" s="51"/>
      <c r="B11" s="73">
        <v>27.0</v>
      </c>
      <c r="C11" s="22" t="s">
        <v>28</v>
      </c>
      <c r="D11" s="74" t="s">
        <v>278</v>
      </c>
      <c r="E11" s="73" t="s">
        <v>279</v>
      </c>
      <c r="F11" s="73" t="s">
        <v>78</v>
      </c>
      <c r="G11" s="75" t="s">
        <v>281</v>
      </c>
      <c r="H11" s="22" t="s">
        <v>284</v>
      </c>
      <c r="I11" s="31"/>
      <c r="J11" s="22" t="s">
        <v>287</v>
      </c>
      <c r="K11" s="22" t="s">
        <v>289</v>
      </c>
      <c r="L11" s="22" t="s">
        <v>210</v>
      </c>
      <c r="M11" s="39" t="s">
        <v>292</v>
      </c>
      <c r="N11" s="18" t="s">
        <v>52</v>
      </c>
      <c r="O11" s="44"/>
      <c r="P11" s="43" t="s">
        <v>53</v>
      </c>
      <c r="Q11" s="43" t="s">
        <v>54</v>
      </c>
      <c r="R11" s="47" t="s">
        <v>300</v>
      </c>
      <c r="S11" s="50"/>
      <c r="T11" s="50"/>
      <c r="U11" s="50"/>
      <c r="V11" s="48"/>
      <c r="W11" s="86" t="s">
        <v>162</v>
      </c>
      <c r="X11" s="86" t="s">
        <v>162</v>
      </c>
    </row>
    <row r="12" hidden="1">
      <c r="A12" s="13"/>
      <c r="B12" s="17">
        <v>46209.0</v>
      </c>
      <c r="C12" s="22" t="s">
        <v>28</v>
      </c>
      <c r="D12" s="25" t="s">
        <v>309</v>
      </c>
      <c r="E12" s="26"/>
      <c r="F12" s="26"/>
      <c r="G12" s="29" t="s">
        <v>310</v>
      </c>
      <c r="H12" s="22" t="s">
        <v>184</v>
      </c>
      <c r="I12" s="31"/>
      <c r="J12" s="22" t="s">
        <v>313</v>
      </c>
      <c r="K12" s="22" t="s">
        <v>314</v>
      </c>
      <c r="L12" s="22" t="s">
        <v>315</v>
      </c>
      <c r="M12" s="39" t="s">
        <v>316</v>
      </c>
      <c r="N12" s="18" t="s">
        <v>52</v>
      </c>
      <c r="O12" s="44"/>
      <c r="P12" s="43" t="s">
        <v>53</v>
      </c>
      <c r="Q12" s="43" t="s">
        <v>54</v>
      </c>
      <c r="R12" s="47" t="s">
        <v>320</v>
      </c>
      <c r="S12" s="50"/>
      <c r="T12" s="50"/>
      <c r="U12" s="50"/>
      <c r="V12" s="48"/>
      <c r="W12" s="48"/>
      <c r="X12" s="48"/>
    </row>
    <row r="13" hidden="1">
      <c r="A13" s="13"/>
      <c r="B13" s="17">
        <v>46209.0</v>
      </c>
      <c r="C13" s="22" t="s">
        <v>28</v>
      </c>
      <c r="D13" s="25" t="s">
        <v>324</v>
      </c>
      <c r="E13" s="26"/>
      <c r="F13" s="26"/>
      <c r="G13" s="29" t="s">
        <v>329</v>
      </c>
      <c r="H13" s="22" t="s">
        <v>184</v>
      </c>
      <c r="I13" s="31"/>
      <c r="J13" s="22" t="s">
        <v>332</v>
      </c>
      <c r="K13" s="22" t="s">
        <v>334</v>
      </c>
      <c r="L13" s="22" t="s">
        <v>337</v>
      </c>
      <c r="M13" s="88" t="s">
        <v>339</v>
      </c>
      <c r="N13" s="18" t="s">
        <v>52</v>
      </c>
      <c r="O13" s="44"/>
      <c r="P13" s="43" t="s">
        <v>53</v>
      </c>
      <c r="Q13" s="43" t="s">
        <v>54</v>
      </c>
      <c r="R13" s="47" t="s">
        <v>353</v>
      </c>
      <c r="S13" s="50"/>
      <c r="T13" s="50"/>
      <c r="U13" s="50"/>
      <c r="V13" s="48"/>
      <c r="W13" s="48"/>
      <c r="X13" s="48"/>
    </row>
    <row r="14" hidden="1">
      <c r="A14" s="13"/>
      <c r="B14" s="17">
        <v>46209.0</v>
      </c>
      <c r="C14" s="22" t="s">
        <v>28</v>
      </c>
      <c r="D14" s="25" t="s">
        <v>354</v>
      </c>
      <c r="E14" s="26"/>
      <c r="F14" s="26"/>
      <c r="G14" s="29" t="s">
        <v>234</v>
      </c>
      <c r="H14" s="22" t="s">
        <v>184</v>
      </c>
      <c r="I14" s="31"/>
      <c r="J14" s="22" t="s">
        <v>355</v>
      </c>
      <c r="K14" s="22" t="s">
        <v>356</v>
      </c>
      <c r="L14" s="22" t="s">
        <v>357</v>
      </c>
      <c r="M14" s="88" t="s">
        <v>359</v>
      </c>
      <c r="N14" s="18" t="s">
        <v>52</v>
      </c>
      <c r="O14" s="44"/>
      <c r="P14" s="43" t="s">
        <v>53</v>
      </c>
      <c r="Q14" s="43" t="s">
        <v>54</v>
      </c>
      <c r="R14" s="47" t="s">
        <v>366</v>
      </c>
      <c r="S14" s="50"/>
      <c r="T14" s="50"/>
      <c r="U14" s="50"/>
      <c r="V14" s="48"/>
      <c r="W14" s="48"/>
      <c r="X14" s="48"/>
    </row>
    <row r="15" hidden="1">
      <c r="A15" s="13"/>
      <c r="B15" s="17">
        <v>46209.0</v>
      </c>
      <c r="C15" s="22" t="s">
        <v>28</v>
      </c>
      <c r="D15" s="25" t="s">
        <v>373</v>
      </c>
      <c r="E15" s="26"/>
      <c r="F15" s="26"/>
      <c r="G15" s="29" t="s">
        <v>377</v>
      </c>
      <c r="H15" s="22" t="s">
        <v>184</v>
      </c>
      <c r="I15" s="31"/>
      <c r="J15" s="22" t="s">
        <v>380</v>
      </c>
      <c r="K15" s="22" t="s">
        <v>381</v>
      </c>
      <c r="L15" s="22" t="s">
        <v>382</v>
      </c>
      <c r="M15" s="88" t="s">
        <v>383</v>
      </c>
      <c r="N15" s="18" t="s">
        <v>52</v>
      </c>
      <c r="O15" s="44"/>
      <c r="P15" s="43" t="s">
        <v>53</v>
      </c>
      <c r="Q15" s="43" t="s">
        <v>54</v>
      </c>
      <c r="R15" s="47" t="s">
        <v>384</v>
      </c>
      <c r="S15" s="50"/>
      <c r="T15" s="50"/>
      <c r="U15" s="50"/>
      <c r="V15" s="48"/>
      <c r="W15" s="48"/>
      <c r="X15" s="48"/>
    </row>
    <row r="16" hidden="1">
      <c r="A16" s="13"/>
      <c r="B16" s="17">
        <v>46209.0</v>
      </c>
      <c r="C16" s="22" t="s">
        <v>28</v>
      </c>
      <c r="D16" s="25" t="s">
        <v>386</v>
      </c>
      <c r="E16" s="26"/>
      <c r="F16" s="26"/>
      <c r="G16" s="29" t="s">
        <v>388</v>
      </c>
      <c r="H16" s="22" t="s">
        <v>184</v>
      </c>
      <c r="I16" s="31"/>
      <c r="J16" s="22" t="s">
        <v>390</v>
      </c>
      <c r="K16" s="22" t="s">
        <v>391</v>
      </c>
      <c r="L16" s="22" t="s">
        <v>393</v>
      </c>
      <c r="M16" s="88" t="s">
        <v>394</v>
      </c>
      <c r="N16" s="18" t="s">
        <v>52</v>
      </c>
      <c r="O16" s="44"/>
      <c r="P16" s="43" t="s">
        <v>55</v>
      </c>
      <c r="Q16" s="43" t="s">
        <v>55</v>
      </c>
      <c r="R16" s="47" t="s">
        <v>399</v>
      </c>
      <c r="S16" s="50"/>
      <c r="T16" s="50"/>
      <c r="U16" s="50"/>
      <c r="V16" s="48"/>
      <c r="W16" s="48"/>
      <c r="X16" s="48"/>
    </row>
    <row r="17" hidden="1">
      <c r="A17" s="13"/>
      <c r="B17" s="17">
        <v>46209.0</v>
      </c>
      <c r="C17" s="22" t="s">
        <v>28</v>
      </c>
      <c r="D17" s="25" t="s">
        <v>404</v>
      </c>
      <c r="E17" s="26"/>
      <c r="F17" s="26"/>
      <c r="G17" s="29" t="s">
        <v>407</v>
      </c>
      <c r="H17" s="22" t="s">
        <v>408</v>
      </c>
      <c r="I17" s="31"/>
      <c r="J17" s="22" t="s">
        <v>409</v>
      </c>
      <c r="K17" s="22" t="s">
        <v>410</v>
      </c>
      <c r="L17" s="22" t="s">
        <v>412</v>
      </c>
      <c r="M17" s="88" t="s">
        <v>414</v>
      </c>
      <c r="N17" s="18" t="s">
        <v>52</v>
      </c>
      <c r="O17" s="44"/>
      <c r="P17" s="43" t="s">
        <v>53</v>
      </c>
      <c r="Q17" s="43" t="s">
        <v>54</v>
      </c>
      <c r="R17" s="47" t="s">
        <v>422</v>
      </c>
      <c r="S17" s="50"/>
      <c r="T17" s="50"/>
      <c r="U17" s="50"/>
      <c r="V17" s="48"/>
      <c r="W17" s="48"/>
      <c r="X17" s="48"/>
    </row>
    <row r="18" hidden="1">
      <c r="A18" s="13"/>
      <c r="B18" s="17">
        <v>46209.0</v>
      </c>
      <c r="C18" s="22" t="s">
        <v>28</v>
      </c>
      <c r="D18" s="25" t="s">
        <v>425</v>
      </c>
      <c r="E18" s="26"/>
      <c r="F18" s="26"/>
      <c r="G18" s="29" t="s">
        <v>205</v>
      </c>
      <c r="H18" s="22" t="s">
        <v>184</v>
      </c>
      <c r="I18" s="31"/>
      <c r="J18" s="22" t="s">
        <v>427</v>
      </c>
      <c r="K18" s="22" t="s">
        <v>428</v>
      </c>
      <c r="L18" s="22" t="s">
        <v>430</v>
      </c>
      <c r="M18" s="103" t="s">
        <v>431</v>
      </c>
      <c r="N18" s="18" t="s">
        <v>52</v>
      </c>
      <c r="O18" s="44"/>
      <c r="P18" s="43" t="s">
        <v>53</v>
      </c>
      <c r="Q18" s="43" t="s">
        <v>54</v>
      </c>
      <c r="R18" s="47" t="s">
        <v>439</v>
      </c>
      <c r="S18" s="50"/>
      <c r="T18" s="50"/>
      <c r="U18" s="50"/>
      <c r="V18" s="48"/>
      <c r="W18" s="48"/>
      <c r="X18" s="48"/>
    </row>
    <row r="19" hidden="1">
      <c r="A19" s="13"/>
      <c r="B19" s="17">
        <v>46209.0</v>
      </c>
      <c r="C19" s="22" t="s">
        <v>28</v>
      </c>
      <c r="D19" s="25" t="s">
        <v>441</v>
      </c>
      <c r="E19" s="26"/>
      <c r="F19" s="26"/>
      <c r="G19" s="29" t="s">
        <v>234</v>
      </c>
      <c r="H19" s="22" t="s">
        <v>184</v>
      </c>
      <c r="I19" s="31"/>
      <c r="J19" s="22" t="s">
        <v>446</v>
      </c>
      <c r="K19" s="22" t="s">
        <v>356</v>
      </c>
      <c r="L19" s="22" t="s">
        <v>449</v>
      </c>
      <c r="M19" s="103" t="s">
        <v>450</v>
      </c>
      <c r="N19" s="18" t="s">
        <v>52</v>
      </c>
      <c r="O19" s="44"/>
      <c r="P19" s="43" t="s">
        <v>53</v>
      </c>
      <c r="Q19" s="43" t="s">
        <v>54</v>
      </c>
      <c r="R19" s="47" t="s">
        <v>452</v>
      </c>
      <c r="S19" s="50"/>
      <c r="T19" s="50"/>
      <c r="U19" s="50"/>
      <c r="V19" s="48"/>
      <c r="W19" s="48"/>
      <c r="X19" s="48"/>
    </row>
    <row r="20" hidden="1">
      <c r="A20" s="13"/>
      <c r="B20" s="17">
        <v>46209.0</v>
      </c>
      <c r="C20" s="22" t="s">
        <v>28</v>
      </c>
      <c r="D20" s="25" t="s">
        <v>453</v>
      </c>
      <c r="E20" s="26"/>
      <c r="F20" s="26"/>
      <c r="G20" s="29" t="s">
        <v>454</v>
      </c>
      <c r="H20" s="22" t="s">
        <v>184</v>
      </c>
      <c r="I20" s="31"/>
      <c r="J20" s="22" t="s">
        <v>456</v>
      </c>
      <c r="K20" s="22" t="s">
        <v>457</v>
      </c>
      <c r="L20" s="22" t="s">
        <v>458</v>
      </c>
      <c r="M20" s="103" t="s">
        <v>459</v>
      </c>
      <c r="N20" s="18" t="s">
        <v>52</v>
      </c>
      <c r="O20" s="44"/>
      <c r="P20" s="43" t="s">
        <v>53</v>
      </c>
      <c r="Q20" s="43" t="s">
        <v>54</v>
      </c>
      <c r="R20" s="47" t="s">
        <v>464</v>
      </c>
      <c r="S20" s="50"/>
      <c r="T20" s="50"/>
      <c r="U20" s="50"/>
      <c r="V20" s="48"/>
      <c r="W20" s="48"/>
      <c r="X20" s="48"/>
    </row>
    <row r="21" hidden="1">
      <c r="A21" s="13"/>
      <c r="B21" s="17">
        <v>46209.0</v>
      </c>
      <c r="C21" s="22" t="s">
        <v>28</v>
      </c>
      <c r="D21" s="25" t="s">
        <v>471</v>
      </c>
      <c r="E21" s="26"/>
      <c r="F21" s="26"/>
      <c r="G21" s="29" t="s">
        <v>257</v>
      </c>
      <c r="H21" s="22" t="s">
        <v>184</v>
      </c>
      <c r="I21" s="31"/>
      <c r="J21" s="22" t="s">
        <v>474</v>
      </c>
      <c r="K21" s="22" t="s">
        <v>475</v>
      </c>
      <c r="L21" s="22" t="s">
        <v>477</v>
      </c>
      <c r="M21" s="103" t="s">
        <v>478</v>
      </c>
      <c r="N21" s="18" t="s">
        <v>52</v>
      </c>
      <c r="O21" s="44"/>
      <c r="P21" s="43" t="s">
        <v>53</v>
      </c>
      <c r="Q21" s="43" t="s">
        <v>54</v>
      </c>
      <c r="R21" s="47" t="s">
        <v>480</v>
      </c>
      <c r="S21" s="50"/>
      <c r="T21" s="50"/>
      <c r="U21" s="50"/>
      <c r="V21" s="48"/>
      <c r="W21" s="48"/>
      <c r="X21" s="48"/>
    </row>
    <row r="22">
      <c r="A22" s="13"/>
      <c r="B22" s="17">
        <v>46209.0</v>
      </c>
      <c r="C22" s="22" t="s">
        <v>28</v>
      </c>
      <c r="D22" s="25" t="s">
        <v>483</v>
      </c>
      <c r="E22" s="26"/>
      <c r="F22" s="26"/>
      <c r="G22" s="29" t="s">
        <v>377</v>
      </c>
      <c r="H22" s="22" t="s">
        <v>184</v>
      </c>
      <c r="I22" s="31"/>
      <c r="J22" s="22" t="s">
        <v>488</v>
      </c>
      <c r="K22" s="22" t="s">
        <v>490</v>
      </c>
      <c r="L22" s="22" t="s">
        <v>493</v>
      </c>
      <c r="M22" s="103" t="s">
        <v>494</v>
      </c>
      <c r="N22" s="18" t="s">
        <v>52</v>
      </c>
      <c r="O22" s="44"/>
      <c r="P22" s="43" t="s">
        <v>53</v>
      </c>
      <c r="Q22" s="43" t="s">
        <v>54</v>
      </c>
      <c r="R22" s="47" t="s">
        <v>500</v>
      </c>
      <c r="S22" s="69" t="s">
        <v>501</v>
      </c>
      <c r="T22" s="70" t="s">
        <v>502</v>
      </c>
      <c r="U22" s="53" t="s">
        <v>52</v>
      </c>
      <c r="V22" s="48"/>
      <c r="W22" s="43" t="s">
        <v>96</v>
      </c>
      <c r="X22" s="48"/>
    </row>
    <row r="23" hidden="1">
      <c r="A23" s="13"/>
      <c r="B23" s="17">
        <v>46209.0</v>
      </c>
      <c r="C23" s="22" t="s">
        <v>28</v>
      </c>
      <c r="D23" s="25" t="s">
        <v>507</v>
      </c>
      <c r="E23" s="26"/>
      <c r="F23" s="26"/>
      <c r="G23" s="29" t="s">
        <v>509</v>
      </c>
      <c r="H23" s="22" t="s">
        <v>184</v>
      </c>
      <c r="I23" s="31"/>
      <c r="J23" s="22" t="s">
        <v>513</v>
      </c>
      <c r="K23" s="22" t="s">
        <v>515</v>
      </c>
      <c r="L23" s="22" t="s">
        <v>518</v>
      </c>
      <c r="M23" s="103" t="s">
        <v>519</v>
      </c>
      <c r="N23" s="18" t="s">
        <v>52</v>
      </c>
      <c r="O23" s="44"/>
      <c r="P23" s="43" t="s">
        <v>53</v>
      </c>
      <c r="Q23" s="43" t="s">
        <v>54</v>
      </c>
      <c r="R23" s="47" t="s">
        <v>530</v>
      </c>
      <c r="S23" s="50"/>
      <c r="T23" s="50"/>
      <c r="U23" s="50"/>
      <c r="V23" s="48"/>
      <c r="W23" s="48"/>
      <c r="X23" s="48"/>
    </row>
    <row r="24" hidden="1">
      <c r="A24" s="13"/>
      <c r="B24" s="17">
        <v>46209.0</v>
      </c>
      <c r="C24" s="22" t="s">
        <v>28</v>
      </c>
      <c r="D24" s="25" t="s">
        <v>532</v>
      </c>
      <c r="E24" s="26"/>
      <c r="F24" s="26"/>
      <c r="G24" s="29" t="s">
        <v>533</v>
      </c>
      <c r="H24" s="22" t="s">
        <v>184</v>
      </c>
      <c r="I24" s="31"/>
      <c r="J24" s="22" t="s">
        <v>534</v>
      </c>
      <c r="K24" s="22" t="s">
        <v>457</v>
      </c>
      <c r="L24" s="22" t="s">
        <v>536</v>
      </c>
      <c r="M24" s="103" t="s">
        <v>537</v>
      </c>
      <c r="N24" s="18" t="s">
        <v>52</v>
      </c>
      <c r="O24" s="44"/>
      <c r="P24" s="43" t="s">
        <v>53</v>
      </c>
      <c r="Q24" s="43" t="s">
        <v>54</v>
      </c>
      <c r="R24" s="47" t="s">
        <v>545</v>
      </c>
      <c r="S24" s="50"/>
      <c r="T24" s="50"/>
      <c r="U24" s="50"/>
      <c r="V24" s="48"/>
      <c r="W24" s="48"/>
      <c r="X24" s="48"/>
    </row>
    <row r="25" hidden="1">
      <c r="A25" s="13"/>
      <c r="B25" s="17">
        <v>46209.0</v>
      </c>
      <c r="C25" s="22" t="s">
        <v>28</v>
      </c>
      <c r="D25" s="25" t="s">
        <v>548</v>
      </c>
      <c r="E25" s="26"/>
      <c r="F25" s="26"/>
      <c r="G25" s="29" t="s">
        <v>552</v>
      </c>
      <c r="H25" s="22" t="s">
        <v>554</v>
      </c>
      <c r="I25" s="31"/>
      <c r="J25" s="22" t="s">
        <v>555</v>
      </c>
      <c r="K25" s="22" t="s">
        <v>557</v>
      </c>
      <c r="L25" s="22" t="s">
        <v>558</v>
      </c>
      <c r="M25" s="103" t="s">
        <v>559</v>
      </c>
      <c r="N25" s="18" t="s">
        <v>52</v>
      </c>
      <c r="O25" s="44"/>
      <c r="P25" s="43" t="s">
        <v>53</v>
      </c>
      <c r="Q25" s="43" t="s">
        <v>54</v>
      </c>
      <c r="R25" s="47" t="s">
        <v>564</v>
      </c>
      <c r="S25" s="50"/>
      <c r="T25" s="50"/>
      <c r="U25" s="50"/>
      <c r="V25" s="48"/>
      <c r="W25" s="48"/>
      <c r="X25" s="48"/>
    </row>
    <row r="26" hidden="1">
      <c r="A26" s="13"/>
      <c r="B26" s="17">
        <v>46209.0</v>
      </c>
      <c r="C26" s="22" t="s">
        <v>28</v>
      </c>
      <c r="D26" s="25" t="s">
        <v>569</v>
      </c>
      <c r="E26" s="26"/>
      <c r="F26" s="26"/>
      <c r="G26" s="29" t="s">
        <v>310</v>
      </c>
      <c r="H26" s="22" t="s">
        <v>184</v>
      </c>
      <c r="I26" s="31"/>
      <c r="J26" s="22" t="s">
        <v>572</v>
      </c>
      <c r="K26" s="22" t="s">
        <v>314</v>
      </c>
      <c r="L26" s="22" t="s">
        <v>575</v>
      </c>
      <c r="M26" s="115" t="s">
        <v>576</v>
      </c>
      <c r="N26" s="18" t="s">
        <v>52</v>
      </c>
      <c r="O26" s="44"/>
      <c r="P26" s="43" t="s">
        <v>53</v>
      </c>
      <c r="Q26" s="43" t="s">
        <v>54</v>
      </c>
      <c r="R26" s="47" t="s">
        <v>584</v>
      </c>
      <c r="S26" s="50"/>
      <c r="T26" s="50"/>
      <c r="U26" s="50"/>
      <c r="V26" s="48"/>
      <c r="W26" s="48"/>
      <c r="X26" s="48"/>
    </row>
    <row r="27" hidden="1">
      <c r="A27" s="13"/>
      <c r="B27" s="17">
        <v>46209.0</v>
      </c>
      <c r="C27" s="22" t="s">
        <v>28</v>
      </c>
      <c r="D27" s="25" t="s">
        <v>589</v>
      </c>
      <c r="E27" s="26"/>
      <c r="F27" s="26"/>
      <c r="G27" s="29" t="s">
        <v>592</v>
      </c>
      <c r="H27" s="22" t="s">
        <v>184</v>
      </c>
      <c r="I27" s="31"/>
      <c r="J27" s="22" t="s">
        <v>594</v>
      </c>
      <c r="K27" s="22" t="s">
        <v>595</v>
      </c>
      <c r="L27" s="22" t="s">
        <v>597</v>
      </c>
      <c r="M27" s="115" t="s">
        <v>598</v>
      </c>
      <c r="N27" s="18" t="s">
        <v>52</v>
      </c>
      <c r="O27" s="44"/>
      <c r="P27" s="43" t="s">
        <v>53</v>
      </c>
      <c r="Q27" s="43" t="s">
        <v>54</v>
      </c>
      <c r="R27" s="47" t="s">
        <v>603</v>
      </c>
      <c r="S27" s="50"/>
      <c r="T27" s="50"/>
      <c r="U27" s="50"/>
      <c r="V27" s="48"/>
      <c r="W27" s="48"/>
      <c r="X27" s="48"/>
    </row>
    <row r="28" hidden="1">
      <c r="A28" s="13"/>
      <c r="B28" s="17">
        <v>46209.0</v>
      </c>
      <c r="C28" s="22" t="s">
        <v>28</v>
      </c>
      <c r="D28" s="25" t="s">
        <v>605</v>
      </c>
      <c r="E28" s="26"/>
      <c r="F28" s="26"/>
      <c r="G28" s="29" t="s">
        <v>608</v>
      </c>
      <c r="H28" s="22" t="s">
        <v>184</v>
      </c>
      <c r="I28" s="31"/>
      <c r="J28" s="22" t="s">
        <v>613</v>
      </c>
      <c r="K28" s="22" t="s">
        <v>617</v>
      </c>
      <c r="L28" s="22" t="s">
        <v>620</v>
      </c>
      <c r="M28" s="115" t="s">
        <v>621</v>
      </c>
      <c r="N28" s="18" t="s">
        <v>52</v>
      </c>
      <c r="O28" s="44"/>
      <c r="P28" s="43" t="s">
        <v>53</v>
      </c>
      <c r="Q28" s="43" t="s">
        <v>54</v>
      </c>
      <c r="R28" s="47" t="s">
        <v>634</v>
      </c>
      <c r="S28" s="50"/>
      <c r="T28" s="50"/>
      <c r="U28" s="50"/>
      <c r="V28" s="48"/>
      <c r="W28" s="48"/>
      <c r="X28" s="48"/>
    </row>
    <row r="29" hidden="1">
      <c r="A29" s="13"/>
      <c r="B29" s="17">
        <v>46209.0</v>
      </c>
      <c r="C29" s="22" t="s">
        <v>28</v>
      </c>
      <c r="D29" s="25" t="s">
        <v>638</v>
      </c>
      <c r="E29" s="26"/>
      <c r="F29" s="26"/>
      <c r="G29" s="29" t="s">
        <v>639</v>
      </c>
      <c r="H29" s="22" t="s">
        <v>641</v>
      </c>
      <c r="I29" s="31"/>
      <c r="J29" s="22" t="s">
        <v>643</v>
      </c>
      <c r="K29" s="22" t="s">
        <v>645</v>
      </c>
      <c r="L29" s="22" t="s">
        <v>646</v>
      </c>
      <c r="M29" s="115" t="s">
        <v>647</v>
      </c>
      <c r="N29" s="18" t="s">
        <v>52</v>
      </c>
      <c r="O29" s="44"/>
      <c r="P29" s="43" t="s">
        <v>53</v>
      </c>
      <c r="Q29" s="43" t="s">
        <v>54</v>
      </c>
      <c r="R29" s="47" t="s">
        <v>654</v>
      </c>
      <c r="S29" s="50"/>
      <c r="T29" s="50"/>
      <c r="U29" s="50"/>
      <c r="V29" s="48"/>
      <c r="W29" s="48"/>
      <c r="X29" s="48"/>
    </row>
    <row r="30" hidden="1">
      <c r="A30" s="13"/>
      <c r="B30" s="17">
        <v>46209.0</v>
      </c>
      <c r="C30" s="22" t="s">
        <v>28</v>
      </c>
      <c r="D30" s="25" t="s">
        <v>657</v>
      </c>
      <c r="E30" s="26"/>
      <c r="F30" s="26"/>
      <c r="G30" s="29" t="s">
        <v>661</v>
      </c>
      <c r="H30" s="22" t="s">
        <v>664</v>
      </c>
      <c r="I30" s="31"/>
      <c r="J30" s="22" t="s">
        <v>666</v>
      </c>
      <c r="K30" s="22" t="s">
        <v>667</v>
      </c>
      <c r="L30" s="22" t="s">
        <v>669</v>
      </c>
      <c r="M30" s="115" t="s">
        <v>670</v>
      </c>
      <c r="N30" s="18" t="s">
        <v>52</v>
      </c>
      <c r="O30" s="44"/>
      <c r="P30" s="43" t="s">
        <v>53</v>
      </c>
      <c r="Q30" s="43" t="s">
        <v>54</v>
      </c>
      <c r="R30" s="47" t="s">
        <v>677</v>
      </c>
      <c r="S30" s="50"/>
      <c r="T30" s="50"/>
      <c r="U30" s="50"/>
      <c r="V30" s="48"/>
      <c r="W30" s="48"/>
      <c r="X30" s="48"/>
    </row>
    <row r="31" hidden="1">
      <c r="A31" s="13"/>
      <c r="B31" s="17">
        <v>46209.0</v>
      </c>
      <c r="C31" s="22" t="s">
        <v>28</v>
      </c>
      <c r="D31" s="25" t="s">
        <v>684</v>
      </c>
      <c r="E31" s="26"/>
      <c r="F31" s="26"/>
      <c r="G31" s="29" t="s">
        <v>205</v>
      </c>
      <c r="H31" s="22" t="s">
        <v>184</v>
      </c>
      <c r="I31" s="31"/>
      <c r="J31" s="22" t="s">
        <v>689</v>
      </c>
      <c r="K31" s="22" t="s">
        <v>428</v>
      </c>
      <c r="L31" s="22" t="s">
        <v>210</v>
      </c>
      <c r="M31" s="115" t="s">
        <v>691</v>
      </c>
      <c r="N31" s="18" t="s">
        <v>52</v>
      </c>
      <c r="O31" s="44"/>
      <c r="P31" s="43" t="s">
        <v>53</v>
      </c>
      <c r="Q31" s="43" t="s">
        <v>54</v>
      </c>
      <c r="R31" s="47" t="s">
        <v>217</v>
      </c>
      <c r="S31" s="50"/>
      <c r="T31" s="50"/>
      <c r="U31" s="50"/>
      <c r="V31" s="48"/>
      <c r="W31" s="86" t="s">
        <v>162</v>
      </c>
      <c r="X31" s="86" t="s">
        <v>162</v>
      </c>
    </row>
    <row r="32" hidden="1">
      <c r="A32" s="13"/>
      <c r="B32" s="17">
        <v>46209.0</v>
      </c>
      <c r="C32" s="22" t="s">
        <v>28</v>
      </c>
      <c r="D32" s="25" t="s">
        <v>704</v>
      </c>
      <c r="E32" s="26"/>
      <c r="F32" s="26"/>
      <c r="G32" s="29" t="s">
        <v>257</v>
      </c>
      <c r="H32" s="22" t="s">
        <v>184</v>
      </c>
      <c r="I32" s="31"/>
      <c r="J32" s="22" t="s">
        <v>705</v>
      </c>
      <c r="K32" s="22" t="s">
        <v>707</v>
      </c>
      <c r="L32" s="22" t="s">
        <v>708</v>
      </c>
      <c r="M32" s="115" t="s">
        <v>709</v>
      </c>
      <c r="N32" s="18" t="s">
        <v>52</v>
      </c>
      <c r="O32" s="44"/>
      <c r="P32" s="43" t="s">
        <v>53</v>
      </c>
      <c r="Q32" s="43" t="s">
        <v>54</v>
      </c>
      <c r="R32" s="47" t="s">
        <v>715</v>
      </c>
      <c r="S32" s="50"/>
      <c r="T32" s="50"/>
      <c r="U32" s="50"/>
      <c r="V32" s="48"/>
      <c r="W32" s="48"/>
      <c r="X32" s="48"/>
    </row>
    <row r="33" hidden="1">
      <c r="A33" s="51"/>
      <c r="B33" s="73">
        <v>37.0</v>
      </c>
      <c r="C33" s="22" t="s">
        <v>28</v>
      </c>
      <c r="D33" s="74" t="s">
        <v>718</v>
      </c>
      <c r="E33" s="73" t="s">
        <v>721</v>
      </c>
      <c r="F33" s="73" t="s">
        <v>722</v>
      </c>
      <c r="G33" s="75" t="s">
        <v>724</v>
      </c>
      <c r="H33" s="22" t="s">
        <v>725</v>
      </c>
      <c r="I33" s="31"/>
      <c r="J33" s="22" t="s">
        <v>726</v>
      </c>
      <c r="K33" s="22" t="s">
        <v>727</v>
      </c>
      <c r="L33" s="22" t="s">
        <v>728</v>
      </c>
      <c r="M33" s="39" t="s">
        <v>729</v>
      </c>
      <c r="N33" s="18" t="s">
        <v>52</v>
      </c>
      <c r="O33" s="44"/>
      <c r="P33" s="43" t="s">
        <v>53</v>
      </c>
      <c r="Q33" s="43" t="s">
        <v>54</v>
      </c>
      <c r="R33" s="47" t="s">
        <v>734</v>
      </c>
      <c r="S33" s="50"/>
      <c r="T33" s="50"/>
      <c r="U33" s="50"/>
      <c r="V33" s="48"/>
      <c r="W33" s="48"/>
      <c r="X33" s="48"/>
    </row>
    <row r="34" hidden="1">
      <c r="A34" s="120"/>
      <c r="B34" s="17">
        <v>46209.0</v>
      </c>
      <c r="C34" s="22" t="s">
        <v>28</v>
      </c>
      <c r="D34" s="25" t="s">
        <v>737</v>
      </c>
      <c r="E34" s="121"/>
      <c r="F34" s="121"/>
      <c r="G34" s="22" t="s">
        <v>738</v>
      </c>
      <c r="H34" s="22" t="s">
        <v>740</v>
      </c>
      <c r="I34" s="31"/>
      <c r="J34" s="22" t="s">
        <v>741</v>
      </c>
      <c r="K34" s="22" t="s">
        <v>743</v>
      </c>
      <c r="L34" s="22" t="s">
        <v>728</v>
      </c>
      <c r="M34" s="39" t="s">
        <v>747</v>
      </c>
      <c r="N34" s="18" t="s">
        <v>52</v>
      </c>
      <c r="O34" s="44"/>
      <c r="P34" s="43" t="s">
        <v>53</v>
      </c>
      <c r="Q34" s="43" t="s">
        <v>54</v>
      </c>
      <c r="R34" s="47" t="s">
        <v>751</v>
      </c>
      <c r="S34" s="50"/>
      <c r="T34" s="50"/>
      <c r="U34" s="50"/>
      <c r="V34" s="48"/>
      <c r="W34" s="48"/>
      <c r="X34" s="48"/>
    </row>
    <row r="35" hidden="1">
      <c r="A35" s="51"/>
      <c r="B35" s="73">
        <v>38.0</v>
      </c>
      <c r="C35" s="22" t="s">
        <v>28</v>
      </c>
      <c r="D35" s="74" t="s">
        <v>753</v>
      </c>
      <c r="E35" s="73" t="s">
        <v>754</v>
      </c>
      <c r="F35" s="73" t="s">
        <v>722</v>
      </c>
      <c r="G35" s="75" t="s">
        <v>756</v>
      </c>
      <c r="H35" s="22" t="s">
        <v>758</v>
      </c>
      <c r="I35" s="31"/>
      <c r="J35" s="22" t="s">
        <v>759</v>
      </c>
      <c r="K35" s="22" t="s">
        <v>760</v>
      </c>
      <c r="L35" s="22" t="s">
        <v>761</v>
      </c>
      <c r="M35" s="39" t="s">
        <v>762</v>
      </c>
      <c r="N35" s="18" t="s">
        <v>52</v>
      </c>
      <c r="O35" s="44"/>
      <c r="P35" s="43" t="s">
        <v>53</v>
      </c>
      <c r="Q35" s="43" t="s">
        <v>54</v>
      </c>
      <c r="R35" s="47" t="s">
        <v>772</v>
      </c>
      <c r="S35" s="50"/>
      <c r="T35" s="50"/>
      <c r="U35" s="50"/>
      <c r="V35" s="48"/>
      <c r="W35" s="48"/>
      <c r="X35" s="48"/>
    </row>
    <row r="36">
      <c r="A36" s="13"/>
      <c r="B36" s="17">
        <v>46210.0</v>
      </c>
      <c r="C36" s="22" t="s">
        <v>28</v>
      </c>
      <c r="D36" s="25" t="s">
        <v>775</v>
      </c>
      <c r="E36" s="26"/>
      <c r="F36" s="26"/>
      <c r="G36" s="29" t="s">
        <v>205</v>
      </c>
      <c r="H36" s="22" t="s">
        <v>184</v>
      </c>
      <c r="I36" s="31"/>
      <c r="J36" s="22" t="s">
        <v>778</v>
      </c>
      <c r="K36" s="22" t="s">
        <v>779</v>
      </c>
      <c r="L36" s="22" t="s">
        <v>780</v>
      </c>
      <c r="M36" s="87" t="s">
        <v>781</v>
      </c>
      <c r="N36" s="18" t="s">
        <v>52</v>
      </c>
      <c r="O36" s="44"/>
      <c r="P36" s="43" t="s">
        <v>53</v>
      </c>
      <c r="Q36" s="43" t="s">
        <v>54</v>
      </c>
      <c r="R36" s="47" t="s">
        <v>791</v>
      </c>
      <c r="S36" s="69" t="s">
        <v>792</v>
      </c>
      <c r="T36" s="70" t="s">
        <v>793</v>
      </c>
      <c r="U36" s="53" t="s">
        <v>52</v>
      </c>
      <c r="V36" s="48"/>
      <c r="W36" s="43" t="s">
        <v>96</v>
      </c>
      <c r="X36" s="48"/>
    </row>
    <row r="37" hidden="1">
      <c r="A37" s="13"/>
      <c r="B37" s="17">
        <v>46210.0</v>
      </c>
      <c r="C37" s="22" t="s">
        <v>28</v>
      </c>
      <c r="D37" s="25" t="s">
        <v>795</v>
      </c>
      <c r="E37" s="26"/>
      <c r="F37" s="26"/>
      <c r="G37" s="29" t="s">
        <v>377</v>
      </c>
      <c r="H37" s="22" t="s">
        <v>184</v>
      </c>
      <c r="I37" s="31"/>
      <c r="J37" s="22" t="s">
        <v>796</v>
      </c>
      <c r="K37" s="22" t="s">
        <v>797</v>
      </c>
      <c r="L37" s="22" t="s">
        <v>798</v>
      </c>
      <c r="M37" s="115" t="s">
        <v>799</v>
      </c>
      <c r="N37" s="18" t="s">
        <v>52</v>
      </c>
      <c r="O37" s="44"/>
      <c r="P37" s="43" t="s">
        <v>53</v>
      </c>
      <c r="Q37" s="43" t="s">
        <v>54</v>
      </c>
      <c r="R37" s="47" t="s">
        <v>806</v>
      </c>
      <c r="S37" s="50"/>
      <c r="T37" s="50"/>
      <c r="U37" s="50"/>
      <c r="V37" s="48"/>
      <c r="W37" s="48"/>
      <c r="X37" s="48"/>
    </row>
    <row r="38" hidden="1">
      <c r="A38" s="13"/>
      <c r="B38" s="17">
        <v>46210.0</v>
      </c>
      <c r="C38" s="22" t="s">
        <v>28</v>
      </c>
      <c r="D38" s="25" t="s">
        <v>808</v>
      </c>
      <c r="E38" s="26"/>
      <c r="F38" s="26"/>
      <c r="G38" s="29" t="s">
        <v>546</v>
      </c>
      <c r="H38" s="22" t="s">
        <v>184</v>
      </c>
      <c r="I38" s="31"/>
      <c r="J38" s="22" t="s">
        <v>812</v>
      </c>
      <c r="K38" s="22" t="s">
        <v>813</v>
      </c>
      <c r="L38" s="22" t="s">
        <v>815</v>
      </c>
      <c r="M38" s="115" t="s">
        <v>817</v>
      </c>
      <c r="N38" s="18" t="s">
        <v>52</v>
      </c>
      <c r="O38" s="44"/>
      <c r="P38" s="43" t="s">
        <v>53</v>
      </c>
      <c r="Q38" s="43" t="s">
        <v>54</v>
      </c>
      <c r="R38" s="47" t="s">
        <v>824</v>
      </c>
      <c r="S38" s="50"/>
      <c r="T38" s="50"/>
      <c r="U38" s="50"/>
      <c r="V38" s="48"/>
      <c r="W38" s="48"/>
      <c r="X38" s="48"/>
    </row>
    <row r="39" hidden="1">
      <c r="A39" s="13"/>
      <c r="B39" s="17">
        <v>46210.0</v>
      </c>
      <c r="C39" s="22" t="s">
        <v>28</v>
      </c>
      <c r="D39" s="25" t="s">
        <v>827</v>
      </c>
      <c r="E39" s="26"/>
      <c r="F39" s="26"/>
      <c r="G39" s="29" t="s">
        <v>829</v>
      </c>
      <c r="H39" s="22" t="s">
        <v>831</v>
      </c>
      <c r="I39" s="31"/>
      <c r="J39" s="22" t="s">
        <v>832</v>
      </c>
      <c r="K39" s="22" t="s">
        <v>833</v>
      </c>
      <c r="L39" s="22" t="s">
        <v>834</v>
      </c>
      <c r="M39" s="115" t="s">
        <v>835</v>
      </c>
      <c r="N39" s="18" t="s">
        <v>52</v>
      </c>
      <c r="O39" s="44"/>
      <c r="P39" s="43" t="s">
        <v>53</v>
      </c>
      <c r="Q39" s="43" t="s">
        <v>54</v>
      </c>
      <c r="R39" s="47" t="s">
        <v>836</v>
      </c>
      <c r="S39" s="50"/>
      <c r="T39" s="50"/>
      <c r="U39" s="50"/>
      <c r="V39" s="48"/>
      <c r="W39" s="48"/>
      <c r="X39" s="48"/>
    </row>
    <row r="40" hidden="1">
      <c r="A40" s="13"/>
      <c r="B40" s="17">
        <v>46210.0</v>
      </c>
      <c r="C40" s="22" t="s">
        <v>28</v>
      </c>
      <c r="D40" s="25" t="s">
        <v>838</v>
      </c>
      <c r="E40" s="26"/>
      <c r="F40" s="26"/>
      <c r="G40" s="29" t="s">
        <v>839</v>
      </c>
      <c r="H40" s="22" t="s">
        <v>831</v>
      </c>
      <c r="I40" s="31"/>
      <c r="J40" s="22" t="s">
        <v>842</v>
      </c>
      <c r="K40" s="22" t="s">
        <v>843</v>
      </c>
      <c r="L40" s="22" t="s">
        <v>834</v>
      </c>
      <c r="M40" s="115" t="s">
        <v>845</v>
      </c>
      <c r="N40" s="18" t="s">
        <v>52</v>
      </c>
      <c r="O40" s="44"/>
      <c r="P40" s="43" t="s">
        <v>53</v>
      </c>
      <c r="Q40" s="43" t="s">
        <v>54</v>
      </c>
      <c r="R40" s="47" t="s">
        <v>855</v>
      </c>
      <c r="S40" s="50"/>
      <c r="T40" s="50"/>
      <c r="U40" s="50"/>
      <c r="V40" s="48"/>
      <c r="W40" s="48"/>
      <c r="X40" s="48"/>
    </row>
    <row r="41" hidden="1">
      <c r="A41" s="13"/>
      <c r="B41" s="17">
        <v>46210.0</v>
      </c>
      <c r="C41" s="22" t="s">
        <v>28</v>
      </c>
      <c r="D41" s="25" t="s">
        <v>857</v>
      </c>
      <c r="E41" s="26"/>
      <c r="F41" s="26"/>
      <c r="G41" s="29" t="s">
        <v>858</v>
      </c>
      <c r="H41" s="22" t="s">
        <v>184</v>
      </c>
      <c r="I41" s="31"/>
      <c r="J41" s="22" t="s">
        <v>859</v>
      </c>
      <c r="K41" s="22" t="s">
        <v>860</v>
      </c>
      <c r="L41" s="22" t="s">
        <v>862</v>
      </c>
      <c r="M41" s="121"/>
      <c r="N41" s="18" t="s">
        <v>52</v>
      </c>
      <c r="O41" s="44"/>
      <c r="P41" s="43" t="s">
        <v>53</v>
      </c>
      <c r="Q41" s="43" t="s">
        <v>54</v>
      </c>
      <c r="R41" s="47" t="s">
        <v>864</v>
      </c>
      <c r="S41" s="50"/>
      <c r="T41" s="50"/>
      <c r="U41" s="50"/>
      <c r="V41" s="48"/>
      <c r="W41" s="48"/>
      <c r="X41" s="48"/>
    </row>
    <row r="42" hidden="1">
      <c r="A42" s="13"/>
      <c r="B42" s="17">
        <v>46210.0</v>
      </c>
      <c r="C42" s="22" t="s">
        <v>28</v>
      </c>
      <c r="D42" s="25" t="s">
        <v>867</v>
      </c>
      <c r="E42" s="26"/>
      <c r="F42" s="26"/>
      <c r="G42" s="29" t="s">
        <v>869</v>
      </c>
      <c r="H42" s="22" t="s">
        <v>184</v>
      </c>
      <c r="I42" s="31"/>
      <c r="J42" s="22" t="s">
        <v>871</v>
      </c>
      <c r="K42" s="22" t="s">
        <v>873</v>
      </c>
      <c r="L42" s="22" t="s">
        <v>874</v>
      </c>
      <c r="M42" s="115" t="s">
        <v>875</v>
      </c>
      <c r="N42" s="18" t="s">
        <v>52</v>
      </c>
      <c r="O42" s="122"/>
      <c r="P42" s="43" t="s">
        <v>53</v>
      </c>
      <c r="Q42" s="43" t="s">
        <v>54</v>
      </c>
      <c r="R42" s="47" t="s">
        <v>881</v>
      </c>
      <c r="S42" s="50"/>
      <c r="T42" s="50"/>
      <c r="U42" s="50"/>
      <c r="V42" s="48"/>
      <c r="W42" s="48"/>
      <c r="X42" s="48"/>
    </row>
    <row r="43" hidden="1">
      <c r="A43" s="13"/>
      <c r="B43" s="17">
        <v>46210.0</v>
      </c>
      <c r="C43" s="22" t="s">
        <v>28</v>
      </c>
      <c r="D43" s="25" t="s">
        <v>887</v>
      </c>
      <c r="E43" s="26"/>
      <c r="F43" s="26"/>
      <c r="G43" s="29" t="s">
        <v>891</v>
      </c>
      <c r="H43" s="22" t="s">
        <v>184</v>
      </c>
      <c r="I43" s="31"/>
      <c r="J43" s="22" t="s">
        <v>894</v>
      </c>
      <c r="K43" s="22" t="s">
        <v>895</v>
      </c>
      <c r="L43" s="22" t="s">
        <v>896</v>
      </c>
      <c r="M43" s="115" t="s">
        <v>897</v>
      </c>
      <c r="N43" s="18" t="s">
        <v>52</v>
      </c>
      <c r="O43" s="44"/>
      <c r="P43" s="43" t="s">
        <v>53</v>
      </c>
      <c r="Q43" s="43" t="s">
        <v>54</v>
      </c>
      <c r="R43" s="47" t="s">
        <v>904</v>
      </c>
      <c r="S43" s="50"/>
      <c r="T43" s="50"/>
      <c r="U43" s="50"/>
      <c r="V43" s="48"/>
      <c r="W43" s="48"/>
      <c r="X43" s="48"/>
    </row>
    <row r="44" hidden="1">
      <c r="A44" s="13"/>
      <c r="B44" s="17">
        <v>46210.0</v>
      </c>
      <c r="C44" s="22" t="s">
        <v>28</v>
      </c>
      <c r="D44" s="25" t="s">
        <v>907</v>
      </c>
      <c r="E44" s="26"/>
      <c r="F44" s="26"/>
      <c r="G44" s="29" t="s">
        <v>910</v>
      </c>
      <c r="H44" s="22" t="s">
        <v>184</v>
      </c>
      <c r="I44" s="31"/>
      <c r="J44" s="22" t="s">
        <v>911</v>
      </c>
      <c r="K44" s="22" t="s">
        <v>912</v>
      </c>
      <c r="L44" s="22" t="s">
        <v>913</v>
      </c>
      <c r="M44" s="115" t="s">
        <v>914</v>
      </c>
      <c r="N44" s="18" t="s">
        <v>52</v>
      </c>
      <c r="O44" s="44"/>
      <c r="P44" s="43" t="s">
        <v>53</v>
      </c>
      <c r="Q44" s="43" t="s">
        <v>54</v>
      </c>
      <c r="R44" s="47" t="s">
        <v>920</v>
      </c>
      <c r="S44" s="50"/>
      <c r="T44" s="50"/>
      <c r="U44" s="50"/>
      <c r="V44" s="48"/>
      <c r="W44" s="48"/>
      <c r="X44" s="48"/>
    </row>
    <row r="45" hidden="1">
      <c r="A45" s="13"/>
      <c r="B45" s="17">
        <v>46210.0</v>
      </c>
      <c r="C45" s="22" t="s">
        <v>28</v>
      </c>
      <c r="D45" s="25" t="s">
        <v>922</v>
      </c>
      <c r="E45" s="26"/>
      <c r="F45" s="26"/>
      <c r="G45" s="29" t="s">
        <v>927</v>
      </c>
      <c r="H45" s="22" t="s">
        <v>184</v>
      </c>
      <c r="I45" s="31"/>
      <c r="J45" s="22" t="s">
        <v>930</v>
      </c>
      <c r="K45" s="22" t="s">
        <v>931</v>
      </c>
      <c r="L45" s="22" t="s">
        <v>934</v>
      </c>
      <c r="M45" s="115" t="s">
        <v>935</v>
      </c>
      <c r="N45" s="18" t="s">
        <v>52</v>
      </c>
      <c r="O45" s="44"/>
      <c r="P45" s="43" t="s">
        <v>53</v>
      </c>
      <c r="Q45" s="43" t="s">
        <v>54</v>
      </c>
      <c r="R45" s="47" t="s">
        <v>941</v>
      </c>
      <c r="S45" s="50"/>
      <c r="T45" s="50"/>
      <c r="U45" s="50"/>
      <c r="V45" s="48"/>
      <c r="W45" s="48"/>
      <c r="X45" s="48"/>
    </row>
    <row r="46" hidden="1">
      <c r="A46" s="13"/>
      <c r="B46" s="17">
        <v>46210.0</v>
      </c>
      <c r="C46" s="22" t="s">
        <v>28</v>
      </c>
      <c r="D46" s="25" t="s">
        <v>947</v>
      </c>
      <c r="E46" s="26"/>
      <c r="F46" s="26"/>
      <c r="G46" s="29" t="s">
        <v>948</v>
      </c>
      <c r="H46" s="22" t="s">
        <v>950</v>
      </c>
      <c r="I46" s="31"/>
      <c r="J46" s="22" t="s">
        <v>953</v>
      </c>
      <c r="K46" s="22" t="s">
        <v>955</v>
      </c>
      <c r="L46" s="22" t="s">
        <v>957</v>
      </c>
      <c r="M46" s="115" t="s">
        <v>958</v>
      </c>
      <c r="N46" s="18" t="s">
        <v>52</v>
      </c>
      <c r="O46" s="44"/>
      <c r="P46" s="43" t="s">
        <v>53</v>
      </c>
      <c r="Q46" s="43" t="s">
        <v>54</v>
      </c>
      <c r="R46" s="47" t="s">
        <v>960</v>
      </c>
      <c r="S46" s="50"/>
      <c r="T46" s="50"/>
      <c r="U46" s="50"/>
      <c r="V46" s="48"/>
      <c r="W46" s="48"/>
      <c r="X46" s="48"/>
    </row>
    <row r="47" hidden="1">
      <c r="A47" s="13"/>
      <c r="B47" s="17">
        <v>46210.0</v>
      </c>
      <c r="C47" s="22" t="s">
        <v>28</v>
      </c>
      <c r="D47" s="25" t="s">
        <v>964</v>
      </c>
      <c r="E47" s="26"/>
      <c r="F47" s="26"/>
      <c r="G47" s="29" t="s">
        <v>969</v>
      </c>
      <c r="H47" s="22" t="s">
        <v>950</v>
      </c>
      <c r="I47" s="31"/>
      <c r="J47" s="22" t="s">
        <v>972</v>
      </c>
      <c r="K47" s="22" t="s">
        <v>973</v>
      </c>
      <c r="L47" s="22" t="s">
        <v>974</v>
      </c>
      <c r="M47" s="115" t="s">
        <v>975</v>
      </c>
      <c r="N47" s="18" t="s">
        <v>52</v>
      </c>
      <c r="O47" s="44"/>
      <c r="P47" s="43" t="s">
        <v>53</v>
      </c>
      <c r="Q47" s="43" t="s">
        <v>54</v>
      </c>
      <c r="R47" s="47" t="s">
        <v>981</v>
      </c>
      <c r="S47" s="50"/>
      <c r="T47" s="50"/>
      <c r="U47" s="50"/>
      <c r="V47" s="48"/>
      <c r="W47" s="48"/>
      <c r="X47" s="48"/>
    </row>
    <row r="48" hidden="1">
      <c r="A48" s="13"/>
      <c r="B48" s="17">
        <v>46210.0</v>
      </c>
      <c r="C48" s="22" t="s">
        <v>28</v>
      </c>
      <c r="D48" s="25" t="s">
        <v>983</v>
      </c>
      <c r="E48" s="26"/>
      <c r="F48" s="26"/>
      <c r="G48" s="29" t="s">
        <v>984</v>
      </c>
      <c r="H48" s="22" t="s">
        <v>985</v>
      </c>
      <c r="I48" s="31"/>
      <c r="J48" s="22" t="s">
        <v>986</v>
      </c>
      <c r="K48" s="22" t="s">
        <v>988</v>
      </c>
      <c r="L48" s="22" t="s">
        <v>989</v>
      </c>
      <c r="M48" s="115" t="s">
        <v>990</v>
      </c>
      <c r="N48" s="18" t="s">
        <v>52</v>
      </c>
      <c r="O48" s="44"/>
      <c r="P48" s="43" t="s">
        <v>55</v>
      </c>
      <c r="Q48" s="43" t="s">
        <v>55</v>
      </c>
      <c r="R48" s="47" t="s">
        <v>1000</v>
      </c>
      <c r="S48" s="50"/>
      <c r="T48" s="50"/>
      <c r="U48" s="50"/>
      <c r="V48" s="48"/>
      <c r="W48" s="48"/>
      <c r="X48" s="48"/>
    </row>
    <row r="49" hidden="1">
      <c r="A49" s="13"/>
      <c r="B49" s="17">
        <v>46210.0</v>
      </c>
      <c r="C49" s="22" t="s">
        <v>28</v>
      </c>
      <c r="D49" s="25" t="s">
        <v>1001</v>
      </c>
      <c r="E49" s="26"/>
      <c r="F49" s="26"/>
      <c r="G49" s="29" t="s">
        <v>1003</v>
      </c>
      <c r="H49" s="22" t="s">
        <v>184</v>
      </c>
      <c r="I49" s="31"/>
      <c r="J49" s="22" t="s">
        <v>1004</v>
      </c>
      <c r="K49" s="22" t="s">
        <v>1006</v>
      </c>
      <c r="L49" s="22" t="s">
        <v>1007</v>
      </c>
      <c r="M49" s="115" t="s">
        <v>1008</v>
      </c>
      <c r="N49" s="18" t="s">
        <v>52</v>
      </c>
      <c r="O49" s="44"/>
      <c r="P49" s="43" t="s">
        <v>53</v>
      </c>
      <c r="Q49" s="43" t="s">
        <v>54</v>
      </c>
      <c r="R49" s="47" t="s">
        <v>1011</v>
      </c>
      <c r="S49" s="50"/>
      <c r="T49" s="50"/>
      <c r="U49" s="50"/>
      <c r="V49" s="48"/>
      <c r="W49" s="48"/>
      <c r="X49" s="48"/>
    </row>
    <row r="50" hidden="1">
      <c r="A50" s="13"/>
      <c r="B50" s="17">
        <v>46210.0</v>
      </c>
      <c r="C50" s="22" t="s">
        <v>28</v>
      </c>
      <c r="D50" s="25" t="s">
        <v>1015</v>
      </c>
      <c r="E50" s="26"/>
      <c r="F50" s="26"/>
      <c r="G50" s="29" t="s">
        <v>1016</v>
      </c>
      <c r="H50" s="22" t="s">
        <v>284</v>
      </c>
      <c r="I50" s="31"/>
      <c r="J50" s="22" t="s">
        <v>1017</v>
      </c>
      <c r="K50" s="22" t="s">
        <v>1018</v>
      </c>
      <c r="L50" s="22" t="s">
        <v>1020</v>
      </c>
      <c r="M50" s="87" t="s">
        <v>1021</v>
      </c>
      <c r="N50" s="18" t="s">
        <v>52</v>
      </c>
      <c r="O50" s="44"/>
      <c r="P50" s="43" t="s">
        <v>53</v>
      </c>
      <c r="Q50" s="43" t="s">
        <v>54</v>
      </c>
      <c r="R50" s="47" t="s">
        <v>1033</v>
      </c>
      <c r="S50" s="50"/>
      <c r="T50" s="50"/>
      <c r="U50" s="50"/>
      <c r="V50" s="48"/>
      <c r="W50" s="48"/>
      <c r="X50" s="48"/>
    </row>
    <row r="51" hidden="1">
      <c r="A51" s="13"/>
      <c r="B51" s="17">
        <v>46210.0</v>
      </c>
      <c r="C51" s="22" t="s">
        <v>28</v>
      </c>
      <c r="D51" s="25" t="s">
        <v>1034</v>
      </c>
      <c r="E51" s="26"/>
      <c r="F51" s="26"/>
      <c r="G51" s="29" t="s">
        <v>592</v>
      </c>
      <c r="H51" s="22" t="s">
        <v>284</v>
      </c>
      <c r="I51" s="31"/>
      <c r="J51" s="22" t="s">
        <v>1037</v>
      </c>
      <c r="K51" s="22" t="s">
        <v>595</v>
      </c>
      <c r="L51" s="22" t="s">
        <v>551</v>
      </c>
      <c r="M51" s="115" t="s">
        <v>1038</v>
      </c>
      <c r="N51" s="18" t="s">
        <v>52</v>
      </c>
      <c r="O51" s="44"/>
      <c r="P51" s="43" t="s">
        <v>53</v>
      </c>
      <c r="Q51" s="43" t="s">
        <v>54</v>
      </c>
      <c r="R51" s="47" t="s">
        <v>1045</v>
      </c>
      <c r="S51" s="50"/>
      <c r="T51" s="50"/>
      <c r="U51" s="50"/>
      <c r="V51" s="48"/>
      <c r="W51" s="48"/>
      <c r="X51" s="48"/>
    </row>
    <row r="52">
      <c r="A52" s="13"/>
      <c r="B52" s="17">
        <v>46211.0</v>
      </c>
      <c r="C52" s="22" t="s">
        <v>28</v>
      </c>
      <c r="D52" s="25" t="s">
        <v>1046</v>
      </c>
      <c r="E52" s="26"/>
      <c r="F52" s="26"/>
      <c r="G52" s="29" t="s">
        <v>1048</v>
      </c>
      <c r="H52" s="22" t="s">
        <v>106</v>
      </c>
      <c r="I52" s="31"/>
      <c r="J52" s="22" t="s">
        <v>1049</v>
      </c>
      <c r="K52" s="22" t="s">
        <v>64</v>
      </c>
      <c r="L52" s="22" t="s">
        <v>1050</v>
      </c>
      <c r="M52" s="115" t="s">
        <v>1051</v>
      </c>
      <c r="N52" s="18" t="s">
        <v>52</v>
      </c>
      <c r="O52" s="44"/>
      <c r="P52" s="43" t="s">
        <v>53</v>
      </c>
      <c r="Q52" s="43" t="s">
        <v>54</v>
      </c>
      <c r="R52" s="47" t="s">
        <v>1053</v>
      </c>
      <c r="S52" s="69" t="s">
        <v>1054</v>
      </c>
      <c r="T52" s="70" t="s">
        <v>1055</v>
      </c>
      <c r="U52" s="53" t="s">
        <v>52</v>
      </c>
      <c r="V52" s="48"/>
      <c r="W52" s="43" t="s">
        <v>96</v>
      </c>
      <c r="X52" s="48"/>
    </row>
    <row r="53">
      <c r="A53" s="13"/>
      <c r="B53" s="17">
        <v>46211.0</v>
      </c>
      <c r="C53" s="22" t="s">
        <v>28</v>
      </c>
      <c r="D53" s="25" t="s">
        <v>1063</v>
      </c>
      <c r="E53" s="26"/>
      <c r="F53" s="26"/>
      <c r="G53" s="29" t="s">
        <v>1065</v>
      </c>
      <c r="H53" s="22" t="s">
        <v>106</v>
      </c>
      <c r="I53" s="31"/>
      <c r="J53" s="22" t="s">
        <v>1049</v>
      </c>
      <c r="K53" s="22" t="s">
        <v>64</v>
      </c>
      <c r="L53" s="22" t="s">
        <v>1067</v>
      </c>
      <c r="M53" s="115" t="s">
        <v>1068</v>
      </c>
      <c r="N53" s="18" t="s">
        <v>52</v>
      </c>
      <c r="O53" s="44"/>
      <c r="P53" s="43" t="s">
        <v>53</v>
      </c>
      <c r="Q53" s="43" t="s">
        <v>54</v>
      </c>
      <c r="R53" s="47" t="s">
        <v>1071</v>
      </c>
      <c r="S53" s="69" t="s">
        <v>1072</v>
      </c>
      <c r="T53" s="70" t="s">
        <v>1073</v>
      </c>
      <c r="U53" s="53" t="s">
        <v>52</v>
      </c>
      <c r="V53" s="48"/>
      <c r="W53" s="43" t="s">
        <v>96</v>
      </c>
      <c r="X53" s="48"/>
    </row>
    <row r="54" hidden="1">
      <c r="A54" s="13"/>
      <c r="B54" s="17">
        <v>46211.0</v>
      </c>
      <c r="C54" s="22" t="s">
        <v>28</v>
      </c>
      <c r="D54" s="25" t="s">
        <v>1078</v>
      </c>
      <c r="E54" s="26"/>
      <c r="F54" s="26"/>
      <c r="G54" s="29" t="s">
        <v>1079</v>
      </c>
      <c r="H54" s="22" t="s">
        <v>184</v>
      </c>
      <c r="I54" s="31"/>
      <c r="J54" s="22" t="s">
        <v>1082</v>
      </c>
      <c r="K54" s="22" t="s">
        <v>873</v>
      </c>
      <c r="L54" s="22" t="s">
        <v>1083</v>
      </c>
      <c r="M54" s="115" t="s">
        <v>1084</v>
      </c>
      <c r="N54" s="18" t="s">
        <v>52</v>
      </c>
      <c r="O54" s="44"/>
      <c r="P54" s="43" t="s">
        <v>53</v>
      </c>
      <c r="Q54" s="43" t="s">
        <v>54</v>
      </c>
      <c r="R54" s="47" t="s">
        <v>1093</v>
      </c>
      <c r="S54" s="50"/>
      <c r="T54" s="50"/>
      <c r="U54" s="50"/>
      <c r="V54" s="48"/>
      <c r="W54" s="48"/>
      <c r="X54" s="48"/>
    </row>
    <row r="55" hidden="1">
      <c r="A55" s="13"/>
      <c r="B55" s="17">
        <v>46211.0</v>
      </c>
      <c r="C55" s="22" t="s">
        <v>28</v>
      </c>
      <c r="D55" s="25" t="s">
        <v>1095</v>
      </c>
      <c r="E55" s="26"/>
      <c r="F55" s="26"/>
      <c r="G55" s="29" t="s">
        <v>1096</v>
      </c>
      <c r="H55" s="22" t="s">
        <v>184</v>
      </c>
      <c r="I55" s="31"/>
      <c r="J55" s="22" t="s">
        <v>1098</v>
      </c>
      <c r="K55" s="22" t="s">
        <v>1099</v>
      </c>
      <c r="L55" s="22" t="s">
        <v>1100</v>
      </c>
      <c r="M55" s="115" t="s">
        <v>1101</v>
      </c>
      <c r="N55" s="18" t="s">
        <v>52</v>
      </c>
      <c r="O55" s="44"/>
      <c r="P55" s="43" t="s">
        <v>53</v>
      </c>
      <c r="Q55" s="43" t="s">
        <v>54</v>
      </c>
      <c r="R55" s="47" t="s">
        <v>1108</v>
      </c>
      <c r="S55" s="50"/>
      <c r="T55" s="50"/>
      <c r="U55" s="50"/>
      <c r="V55" s="48"/>
      <c r="W55" s="48"/>
      <c r="X55" s="48"/>
    </row>
    <row r="56">
      <c r="A56" s="13"/>
      <c r="B56" s="17">
        <v>46211.0</v>
      </c>
      <c r="C56" s="22" t="s">
        <v>28</v>
      </c>
      <c r="D56" s="25" t="s">
        <v>1109</v>
      </c>
      <c r="E56" s="26"/>
      <c r="F56" s="26"/>
      <c r="G56" s="29" t="s">
        <v>1111</v>
      </c>
      <c r="H56" s="22" t="s">
        <v>184</v>
      </c>
      <c r="I56" s="31"/>
      <c r="J56" s="22" t="s">
        <v>1113</v>
      </c>
      <c r="K56" s="22" t="s">
        <v>1114</v>
      </c>
      <c r="L56" s="22" t="s">
        <v>1115</v>
      </c>
      <c r="M56" s="115" t="s">
        <v>1116</v>
      </c>
      <c r="N56" s="18" t="s">
        <v>52</v>
      </c>
      <c r="O56" s="44"/>
      <c r="P56" s="43" t="s">
        <v>53</v>
      </c>
      <c r="Q56" s="43" t="s">
        <v>54</v>
      </c>
      <c r="R56" s="47" t="s">
        <v>1125</v>
      </c>
      <c r="S56" s="69" t="s">
        <v>1127</v>
      </c>
      <c r="T56" s="70" t="s">
        <v>1128</v>
      </c>
      <c r="U56" s="53" t="s">
        <v>52</v>
      </c>
      <c r="V56" s="48"/>
      <c r="W56" s="43" t="s">
        <v>96</v>
      </c>
      <c r="X56" s="48"/>
    </row>
    <row r="57" hidden="1">
      <c r="A57" s="13"/>
      <c r="B57" s="17">
        <v>46210.0</v>
      </c>
      <c r="C57" s="22" t="s">
        <v>28</v>
      </c>
      <c r="D57" s="25" t="s">
        <v>1130</v>
      </c>
      <c r="E57" s="26"/>
      <c r="F57" s="26"/>
      <c r="G57" s="29" t="s">
        <v>1132</v>
      </c>
      <c r="H57" s="22" t="s">
        <v>284</v>
      </c>
      <c r="I57" s="31"/>
      <c r="J57" s="22" t="s">
        <v>1135</v>
      </c>
      <c r="K57" s="22" t="s">
        <v>1137</v>
      </c>
      <c r="L57" s="22" t="s">
        <v>1139</v>
      </c>
      <c r="M57" s="115" t="s">
        <v>1140</v>
      </c>
      <c r="N57" s="18" t="s">
        <v>52</v>
      </c>
      <c r="O57" s="44"/>
      <c r="P57" s="43" t="s">
        <v>53</v>
      </c>
      <c r="Q57" s="43" t="s">
        <v>54</v>
      </c>
      <c r="R57" s="47" t="s">
        <v>1144</v>
      </c>
      <c r="S57" s="50"/>
      <c r="T57" s="50"/>
      <c r="U57" s="50"/>
      <c r="V57" s="48"/>
      <c r="W57" s="48"/>
      <c r="X57" s="48"/>
    </row>
    <row r="58">
      <c r="A58" s="13"/>
      <c r="B58" s="17">
        <v>46210.0</v>
      </c>
      <c r="C58" s="22" t="s">
        <v>28</v>
      </c>
      <c r="D58" s="25" t="s">
        <v>1146</v>
      </c>
      <c r="E58" s="26"/>
      <c r="F58" s="26"/>
      <c r="G58" s="29" t="s">
        <v>1147</v>
      </c>
      <c r="H58" s="22" t="s">
        <v>284</v>
      </c>
      <c r="I58" s="31"/>
      <c r="J58" s="22" t="s">
        <v>1135</v>
      </c>
      <c r="K58" s="22" t="s">
        <v>1153</v>
      </c>
      <c r="L58" s="22" t="s">
        <v>1155</v>
      </c>
      <c r="M58" s="115" t="s">
        <v>1156</v>
      </c>
      <c r="N58" s="18" t="s">
        <v>52</v>
      </c>
      <c r="O58" s="44"/>
      <c r="P58" s="43" t="s">
        <v>53</v>
      </c>
      <c r="Q58" s="43" t="s">
        <v>54</v>
      </c>
      <c r="R58" s="47" t="s">
        <v>1159</v>
      </c>
      <c r="S58" s="69" t="s">
        <v>1160</v>
      </c>
      <c r="T58" s="70" t="s">
        <v>1161</v>
      </c>
      <c r="U58" s="53" t="s">
        <v>52</v>
      </c>
      <c r="V58" s="48"/>
      <c r="W58" s="43" t="s">
        <v>96</v>
      </c>
      <c r="X58" s="48"/>
    </row>
    <row r="59" hidden="1">
      <c r="A59" s="13"/>
      <c r="B59" s="17">
        <v>46210.0</v>
      </c>
      <c r="C59" s="22" t="s">
        <v>28</v>
      </c>
      <c r="D59" s="25" t="s">
        <v>1165</v>
      </c>
      <c r="E59" s="26"/>
      <c r="F59" s="26"/>
      <c r="G59" s="29" t="s">
        <v>1169</v>
      </c>
      <c r="H59" s="22" t="s">
        <v>284</v>
      </c>
      <c r="I59" s="31"/>
      <c r="J59" s="22" t="s">
        <v>1170</v>
      </c>
      <c r="K59" s="22" t="s">
        <v>1171</v>
      </c>
      <c r="L59" s="22" t="s">
        <v>1172</v>
      </c>
      <c r="M59" s="115" t="s">
        <v>1173</v>
      </c>
      <c r="N59" s="18" t="s">
        <v>52</v>
      </c>
      <c r="O59" s="44"/>
      <c r="P59" s="43" t="s">
        <v>53</v>
      </c>
      <c r="Q59" s="43" t="s">
        <v>54</v>
      </c>
      <c r="R59" s="47" t="s">
        <v>1175</v>
      </c>
      <c r="S59" s="50"/>
      <c r="T59" s="50"/>
      <c r="U59" s="50"/>
      <c r="V59" s="48"/>
      <c r="W59" s="48"/>
      <c r="X59" s="48"/>
    </row>
    <row r="60" hidden="1">
      <c r="A60" s="13"/>
      <c r="B60" s="17">
        <v>46211.0</v>
      </c>
      <c r="C60" s="22" t="s">
        <v>28</v>
      </c>
      <c r="D60" s="25" t="s">
        <v>1178</v>
      </c>
      <c r="E60" s="26"/>
      <c r="F60" s="26"/>
      <c r="G60" s="29" t="s">
        <v>1181</v>
      </c>
      <c r="H60" s="22" t="s">
        <v>1182</v>
      </c>
      <c r="I60" s="31"/>
      <c r="J60" s="22" t="s">
        <v>1185</v>
      </c>
      <c r="K60" s="22" t="s">
        <v>1186</v>
      </c>
      <c r="L60" s="22" t="s">
        <v>1187</v>
      </c>
      <c r="M60" s="39" t="s">
        <v>1189</v>
      </c>
      <c r="N60" s="18" t="s">
        <v>52</v>
      </c>
      <c r="O60" s="44"/>
      <c r="P60" s="43" t="s">
        <v>53</v>
      </c>
      <c r="Q60" s="43" t="s">
        <v>54</v>
      </c>
      <c r="R60" s="47" t="s">
        <v>1191</v>
      </c>
      <c r="S60" s="50"/>
      <c r="T60" s="50"/>
      <c r="U60" s="50"/>
      <c r="V60" s="48"/>
      <c r="W60" s="48"/>
      <c r="X60" s="48"/>
    </row>
    <row r="61" hidden="1">
      <c r="A61" s="13"/>
      <c r="B61" s="17">
        <v>46210.0</v>
      </c>
      <c r="C61" s="22" t="s">
        <v>28</v>
      </c>
      <c r="D61" s="25" t="s">
        <v>1192</v>
      </c>
      <c r="E61" s="26"/>
      <c r="F61" s="26"/>
      <c r="G61" s="29" t="s">
        <v>1193</v>
      </c>
      <c r="H61" s="22" t="s">
        <v>284</v>
      </c>
      <c r="I61" s="31"/>
      <c r="J61" s="22" t="s">
        <v>1194</v>
      </c>
      <c r="K61" s="22" t="s">
        <v>1195</v>
      </c>
      <c r="L61" s="22" t="s">
        <v>1197</v>
      </c>
      <c r="M61" s="115" t="s">
        <v>1198</v>
      </c>
      <c r="N61" s="18" t="s">
        <v>52</v>
      </c>
      <c r="O61" s="44"/>
      <c r="P61" s="43" t="s">
        <v>53</v>
      </c>
      <c r="Q61" s="43" t="s">
        <v>54</v>
      </c>
      <c r="R61" s="47" t="s">
        <v>1203</v>
      </c>
      <c r="S61" s="50"/>
      <c r="T61" s="50"/>
      <c r="U61" s="50"/>
      <c r="V61" s="48"/>
      <c r="W61" s="48"/>
      <c r="X61" s="48"/>
    </row>
    <row r="62" hidden="1">
      <c r="A62" s="13"/>
      <c r="B62" s="17">
        <v>46210.0</v>
      </c>
      <c r="C62" s="22" t="s">
        <v>28</v>
      </c>
      <c r="D62" s="25" t="s">
        <v>1204</v>
      </c>
      <c r="E62" s="26"/>
      <c r="F62" s="26"/>
      <c r="G62" s="29" t="s">
        <v>1205</v>
      </c>
      <c r="H62" s="22" t="s">
        <v>106</v>
      </c>
      <c r="I62" s="31"/>
      <c r="J62" s="22" t="s">
        <v>1206</v>
      </c>
      <c r="K62" s="22" t="s">
        <v>64</v>
      </c>
      <c r="L62" s="22" t="s">
        <v>1208</v>
      </c>
      <c r="M62" s="115" t="s">
        <v>1209</v>
      </c>
      <c r="N62" s="18" t="s">
        <v>52</v>
      </c>
      <c r="O62" s="44"/>
      <c r="P62" s="43" t="s">
        <v>53</v>
      </c>
      <c r="Q62" s="43" t="s">
        <v>54</v>
      </c>
      <c r="R62" s="47" t="s">
        <v>1211</v>
      </c>
      <c r="S62" s="50"/>
      <c r="T62" s="50"/>
      <c r="U62" s="50"/>
      <c r="V62" s="48"/>
      <c r="W62" s="48"/>
      <c r="X62" s="48"/>
    </row>
    <row r="63" hidden="1">
      <c r="A63" s="13"/>
      <c r="B63" s="17">
        <v>46210.0</v>
      </c>
      <c r="C63" s="22" t="s">
        <v>28</v>
      </c>
      <c r="D63" s="25" t="s">
        <v>1214</v>
      </c>
      <c r="E63" s="26"/>
      <c r="F63" s="26"/>
      <c r="G63" s="29" t="s">
        <v>1217</v>
      </c>
      <c r="H63" s="22" t="s">
        <v>106</v>
      </c>
      <c r="I63" s="31"/>
      <c r="J63" s="22" t="s">
        <v>1206</v>
      </c>
      <c r="K63" s="22" t="s">
        <v>64</v>
      </c>
      <c r="L63" s="22" t="s">
        <v>1219</v>
      </c>
      <c r="M63" s="115" t="s">
        <v>1220</v>
      </c>
      <c r="N63" s="18" t="s">
        <v>52</v>
      </c>
      <c r="O63" s="44"/>
      <c r="P63" s="43" t="s">
        <v>53</v>
      </c>
      <c r="Q63" s="43" t="s">
        <v>54</v>
      </c>
      <c r="R63" s="47" t="s">
        <v>1221</v>
      </c>
      <c r="S63" s="50"/>
      <c r="T63" s="50"/>
      <c r="U63" s="50"/>
      <c r="V63" s="48"/>
      <c r="W63" s="48"/>
      <c r="X63" s="48"/>
    </row>
    <row r="64">
      <c r="A64" s="13"/>
      <c r="B64" s="17">
        <v>46210.0</v>
      </c>
      <c r="C64" s="22" t="s">
        <v>28</v>
      </c>
      <c r="D64" s="25" t="s">
        <v>1223</v>
      </c>
      <c r="E64" s="26"/>
      <c r="F64" s="26"/>
      <c r="G64" s="29" t="s">
        <v>462</v>
      </c>
      <c r="H64" s="22" t="s">
        <v>1224</v>
      </c>
      <c r="I64" s="31"/>
      <c r="J64" s="22" t="s">
        <v>1225</v>
      </c>
      <c r="K64" s="22" t="s">
        <v>1226</v>
      </c>
      <c r="L64" s="22" t="s">
        <v>1228</v>
      </c>
      <c r="M64" s="115" t="s">
        <v>1229</v>
      </c>
      <c r="N64" s="18" t="s">
        <v>52</v>
      </c>
      <c r="O64" s="44"/>
      <c r="P64" s="43" t="s">
        <v>53</v>
      </c>
      <c r="Q64" s="43" t="s">
        <v>54</v>
      </c>
      <c r="R64" s="47" t="s">
        <v>1236</v>
      </c>
      <c r="S64" s="69" t="s">
        <v>1237</v>
      </c>
      <c r="T64" s="70" t="s">
        <v>1238</v>
      </c>
      <c r="U64" s="53" t="s">
        <v>52</v>
      </c>
      <c r="V64" s="48"/>
      <c r="W64" s="43" t="s">
        <v>96</v>
      </c>
      <c r="X64" s="48"/>
    </row>
    <row r="65" hidden="1">
      <c r="A65" s="13"/>
      <c r="B65" s="17">
        <v>46210.0</v>
      </c>
      <c r="C65" s="22" t="s">
        <v>28</v>
      </c>
      <c r="D65" s="25" t="s">
        <v>1239</v>
      </c>
      <c r="E65" s="26"/>
      <c r="F65" s="26"/>
      <c r="G65" s="29" t="s">
        <v>1241</v>
      </c>
      <c r="H65" s="22" t="s">
        <v>1242</v>
      </c>
      <c r="I65" s="31"/>
      <c r="J65" s="22" t="s">
        <v>1225</v>
      </c>
      <c r="K65" s="22" t="s">
        <v>1243</v>
      </c>
      <c r="L65" s="22" t="s">
        <v>874</v>
      </c>
      <c r="M65" s="115" t="s">
        <v>1245</v>
      </c>
      <c r="N65" s="18" t="s">
        <v>52</v>
      </c>
      <c r="O65" s="44"/>
      <c r="P65" s="43" t="s">
        <v>53</v>
      </c>
      <c r="Q65" s="43" t="s">
        <v>54</v>
      </c>
      <c r="R65" s="47" t="s">
        <v>1250</v>
      </c>
      <c r="S65" s="50"/>
      <c r="T65" s="50"/>
      <c r="U65" s="50"/>
      <c r="V65" s="48"/>
      <c r="W65" s="48"/>
      <c r="X65" s="48"/>
    </row>
    <row r="66" hidden="1">
      <c r="A66" s="13"/>
      <c r="B66" s="17">
        <v>46210.0</v>
      </c>
      <c r="C66" s="22" t="s">
        <v>28</v>
      </c>
      <c r="D66" s="25" t="s">
        <v>1251</v>
      </c>
      <c r="E66" s="26"/>
      <c r="F66" s="26"/>
      <c r="G66" s="29" t="s">
        <v>1252</v>
      </c>
      <c r="H66" s="22" t="s">
        <v>1253</v>
      </c>
      <c r="I66" s="31"/>
      <c r="J66" s="22" t="s">
        <v>1254</v>
      </c>
      <c r="K66" s="22" t="s">
        <v>1256</v>
      </c>
      <c r="L66" s="22" t="s">
        <v>1257</v>
      </c>
      <c r="M66" s="115" t="s">
        <v>1258</v>
      </c>
      <c r="N66" s="18" t="s">
        <v>52</v>
      </c>
      <c r="O66" s="44"/>
      <c r="P66" s="43" t="s">
        <v>53</v>
      </c>
      <c r="Q66" s="43" t="s">
        <v>54</v>
      </c>
      <c r="R66" s="47" t="s">
        <v>1264</v>
      </c>
      <c r="S66" s="50"/>
      <c r="T66" s="50"/>
      <c r="U66" s="50"/>
      <c r="V66" s="48"/>
      <c r="W66" s="48"/>
      <c r="X66" s="48"/>
    </row>
    <row r="67" hidden="1">
      <c r="A67" s="13"/>
      <c r="B67" s="17">
        <v>46210.0</v>
      </c>
      <c r="C67" s="22" t="s">
        <v>28</v>
      </c>
      <c r="D67" s="25" t="s">
        <v>1265</v>
      </c>
      <c r="E67" s="26"/>
      <c r="F67" s="26"/>
      <c r="G67" s="29" t="s">
        <v>1266</v>
      </c>
      <c r="H67" s="22" t="s">
        <v>1253</v>
      </c>
      <c r="I67" s="31"/>
      <c r="J67" s="22" t="s">
        <v>1267</v>
      </c>
      <c r="K67" s="22" t="s">
        <v>1269</v>
      </c>
      <c r="L67" s="22" t="s">
        <v>1270</v>
      </c>
      <c r="M67" s="115" t="s">
        <v>1271</v>
      </c>
      <c r="N67" s="18" t="s">
        <v>52</v>
      </c>
      <c r="O67" s="44"/>
      <c r="P67" s="43" t="s">
        <v>53</v>
      </c>
      <c r="Q67" s="43" t="s">
        <v>54</v>
      </c>
      <c r="R67" s="47" t="s">
        <v>1278</v>
      </c>
      <c r="S67" s="50"/>
      <c r="T67" s="50"/>
      <c r="U67" s="50"/>
      <c r="V67" s="48"/>
      <c r="W67" s="48"/>
      <c r="X67" s="48"/>
    </row>
    <row r="68" hidden="1">
      <c r="A68" s="13"/>
      <c r="B68" s="17">
        <v>46211.0</v>
      </c>
      <c r="C68" s="22" t="s">
        <v>28</v>
      </c>
      <c r="D68" s="25" t="s">
        <v>1283</v>
      </c>
      <c r="E68" s="26"/>
      <c r="F68" s="26"/>
      <c r="G68" s="29" t="s">
        <v>1284</v>
      </c>
      <c r="H68" s="22" t="s">
        <v>1253</v>
      </c>
      <c r="I68" s="31"/>
      <c r="J68" s="22" t="s">
        <v>1286</v>
      </c>
      <c r="K68" s="22" t="s">
        <v>1287</v>
      </c>
      <c r="L68" s="22" t="s">
        <v>1288</v>
      </c>
      <c r="M68" s="115" t="s">
        <v>1289</v>
      </c>
      <c r="N68" s="18" t="s">
        <v>52</v>
      </c>
      <c r="O68" s="44"/>
      <c r="P68" s="43" t="s">
        <v>53</v>
      </c>
      <c r="Q68" s="43" t="s">
        <v>54</v>
      </c>
      <c r="R68" s="47" t="s">
        <v>1295</v>
      </c>
      <c r="S68" s="50"/>
      <c r="T68" s="50"/>
      <c r="U68" s="50"/>
      <c r="V68" s="48"/>
      <c r="W68" s="48"/>
      <c r="X68" s="48"/>
    </row>
    <row r="69" hidden="1">
      <c r="A69" s="13"/>
      <c r="B69" s="17">
        <v>46211.0</v>
      </c>
      <c r="C69" s="22" t="s">
        <v>28</v>
      </c>
      <c r="D69" s="25" t="s">
        <v>1296</v>
      </c>
      <c r="E69" s="26"/>
      <c r="F69" s="26"/>
      <c r="G69" s="29" t="s">
        <v>1297</v>
      </c>
      <c r="H69" s="22" t="s">
        <v>1298</v>
      </c>
      <c r="I69" s="31"/>
      <c r="J69" s="22" t="s">
        <v>1299</v>
      </c>
      <c r="K69" s="22" t="s">
        <v>1300</v>
      </c>
      <c r="L69" s="22" t="s">
        <v>1301</v>
      </c>
      <c r="M69" s="115" t="s">
        <v>1302</v>
      </c>
      <c r="N69" s="18" t="s">
        <v>52</v>
      </c>
      <c r="O69" s="44"/>
      <c r="P69" s="43" t="s">
        <v>53</v>
      </c>
      <c r="Q69" s="43" t="s">
        <v>54</v>
      </c>
      <c r="R69" s="47" t="s">
        <v>1304</v>
      </c>
      <c r="S69" s="50"/>
      <c r="T69" s="50"/>
      <c r="U69" s="50"/>
      <c r="V69" s="48"/>
      <c r="W69" s="48"/>
      <c r="X69" s="48"/>
    </row>
    <row r="70" hidden="1">
      <c r="A70" s="13"/>
      <c r="B70" s="17">
        <v>46211.0</v>
      </c>
      <c r="C70" s="22" t="s">
        <v>28</v>
      </c>
      <c r="D70" s="25" t="s">
        <v>1308</v>
      </c>
      <c r="E70" s="26"/>
      <c r="F70" s="26"/>
      <c r="G70" s="29" t="s">
        <v>1310</v>
      </c>
      <c r="H70" s="22" t="s">
        <v>1298</v>
      </c>
      <c r="I70" s="31"/>
      <c r="J70" s="22" t="s">
        <v>1299</v>
      </c>
      <c r="K70" s="22" t="s">
        <v>1315</v>
      </c>
      <c r="L70" s="22" t="s">
        <v>1316</v>
      </c>
      <c r="M70" s="115" t="s">
        <v>1317</v>
      </c>
      <c r="N70" s="18" t="s">
        <v>52</v>
      </c>
      <c r="O70" s="44"/>
      <c r="P70" s="43" t="s">
        <v>53</v>
      </c>
      <c r="Q70" s="43" t="s">
        <v>54</v>
      </c>
      <c r="R70" s="47" t="s">
        <v>1319</v>
      </c>
      <c r="S70" s="50"/>
      <c r="T70" s="50"/>
      <c r="U70" s="50"/>
      <c r="V70" s="48"/>
      <c r="W70" s="48"/>
      <c r="X70" s="48"/>
    </row>
    <row r="71" hidden="1">
      <c r="A71" s="13"/>
      <c r="B71" s="17">
        <v>46211.0</v>
      </c>
      <c r="C71" s="22" t="s">
        <v>28</v>
      </c>
      <c r="D71" s="25" t="s">
        <v>1321</v>
      </c>
      <c r="E71" s="26"/>
      <c r="F71" s="26"/>
      <c r="G71" s="29" t="s">
        <v>1111</v>
      </c>
      <c r="H71" s="22" t="s">
        <v>1323</v>
      </c>
      <c r="I71" s="31"/>
      <c r="J71" s="22" t="s">
        <v>1185</v>
      </c>
      <c r="K71" s="22" t="s">
        <v>64</v>
      </c>
      <c r="L71" s="22" t="s">
        <v>1328</v>
      </c>
      <c r="M71" s="115" t="s">
        <v>1329</v>
      </c>
      <c r="N71" s="18" t="s">
        <v>52</v>
      </c>
      <c r="O71" s="44"/>
      <c r="P71" s="43" t="s">
        <v>53</v>
      </c>
      <c r="Q71" s="43" t="s">
        <v>54</v>
      </c>
      <c r="R71" s="47" t="s">
        <v>1332</v>
      </c>
      <c r="S71" s="50"/>
      <c r="T71" s="50"/>
      <c r="U71" s="50"/>
      <c r="V71" s="48"/>
      <c r="W71" s="48"/>
      <c r="X71" s="48"/>
    </row>
    <row r="72" hidden="1">
      <c r="A72" s="13"/>
      <c r="B72" s="17">
        <v>46211.0</v>
      </c>
      <c r="C72" s="22" t="s">
        <v>28</v>
      </c>
      <c r="D72" s="25" t="s">
        <v>1336</v>
      </c>
      <c r="E72" s="26"/>
      <c r="F72" s="26"/>
      <c r="G72" s="29" t="s">
        <v>1338</v>
      </c>
      <c r="H72" s="22" t="s">
        <v>1323</v>
      </c>
      <c r="I72" s="31"/>
      <c r="J72" s="22" t="s">
        <v>1341</v>
      </c>
      <c r="K72" s="22" t="s">
        <v>1342</v>
      </c>
      <c r="L72" s="22" t="s">
        <v>1344</v>
      </c>
      <c r="M72" s="115" t="s">
        <v>1345</v>
      </c>
      <c r="N72" s="18" t="s">
        <v>52</v>
      </c>
      <c r="O72" s="44"/>
      <c r="P72" s="43" t="s">
        <v>53</v>
      </c>
      <c r="Q72" s="43" t="s">
        <v>54</v>
      </c>
      <c r="R72" s="47" t="s">
        <v>1349</v>
      </c>
      <c r="S72" s="50"/>
      <c r="T72" s="50"/>
      <c r="U72" s="50"/>
      <c r="V72" s="48"/>
      <c r="W72" s="48"/>
      <c r="X72" s="48"/>
    </row>
    <row r="73" hidden="1">
      <c r="A73" s="13"/>
      <c r="B73" s="17">
        <v>46211.0</v>
      </c>
      <c r="C73" s="22" t="s">
        <v>28</v>
      </c>
      <c r="D73" s="25" t="s">
        <v>1351</v>
      </c>
      <c r="E73" s="26"/>
      <c r="F73" s="26"/>
      <c r="G73" s="29" t="s">
        <v>1353</v>
      </c>
      <c r="H73" s="22" t="s">
        <v>1323</v>
      </c>
      <c r="I73" s="31"/>
      <c r="J73" s="22" t="s">
        <v>1354</v>
      </c>
      <c r="K73" s="22" t="s">
        <v>1356</v>
      </c>
      <c r="L73" s="22" t="s">
        <v>1358</v>
      </c>
      <c r="M73" s="115" t="s">
        <v>1359</v>
      </c>
      <c r="N73" s="18" t="s">
        <v>52</v>
      </c>
      <c r="O73" s="44"/>
      <c r="P73" s="43" t="s">
        <v>53</v>
      </c>
      <c r="Q73" s="43" t="s">
        <v>54</v>
      </c>
      <c r="R73" s="47" t="s">
        <v>1364</v>
      </c>
      <c r="S73" s="50"/>
      <c r="T73" s="50"/>
      <c r="U73" s="50"/>
      <c r="V73" s="48"/>
      <c r="W73" s="48"/>
      <c r="X73" s="48"/>
    </row>
    <row r="74" hidden="1">
      <c r="A74" s="13"/>
      <c r="B74" s="17">
        <v>46211.0</v>
      </c>
      <c r="C74" s="22" t="s">
        <v>28</v>
      </c>
      <c r="D74" s="25" t="s">
        <v>1366</v>
      </c>
      <c r="E74" s="26"/>
      <c r="F74" s="26"/>
      <c r="G74" s="29" t="s">
        <v>169</v>
      </c>
      <c r="H74" s="22" t="s">
        <v>1323</v>
      </c>
      <c r="I74" s="31"/>
      <c r="J74" s="22" t="s">
        <v>1369</v>
      </c>
      <c r="K74" s="22" t="s">
        <v>1372</v>
      </c>
      <c r="L74" s="22" t="s">
        <v>1374</v>
      </c>
      <c r="M74" s="115" t="s">
        <v>1375</v>
      </c>
      <c r="N74" s="18" t="s">
        <v>52</v>
      </c>
      <c r="O74" s="44"/>
      <c r="P74" s="43" t="s">
        <v>53</v>
      </c>
      <c r="Q74" s="43" t="s">
        <v>54</v>
      </c>
      <c r="R74" s="47" t="s">
        <v>1382</v>
      </c>
      <c r="S74" s="50"/>
      <c r="T74" s="50"/>
      <c r="U74" s="50"/>
      <c r="V74" s="48"/>
      <c r="W74" s="48"/>
      <c r="X74" s="48"/>
    </row>
    <row r="75" hidden="1">
      <c r="A75" s="120"/>
      <c r="B75" s="17">
        <v>46211.0</v>
      </c>
      <c r="C75" s="22" t="s">
        <v>28</v>
      </c>
      <c r="D75" s="25" t="s">
        <v>1384</v>
      </c>
      <c r="E75" s="121"/>
      <c r="F75" s="121"/>
      <c r="G75" s="22" t="s">
        <v>1386</v>
      </c>
      <c r="H75" s="22" t="s">
        <v>1323</v>
      </c>
      <c r="I75" s="31"/>
      <c r="J75" s="22" t="s">
        <v>1387</v>
      </c>
      <c r="K75" s="22" t="s">
        <v>1388</v>
      </c>
      <c r="L75" s="22" t="s">
        <v>1389</v>
      </c>
      <c r="M75" s="115" t="s">
        <v>1390</v>
      </c>
      <c r="N75" s="18" t="s">
        <v>52</v>
      </c>
      <c r="O75" s="44"/>
      <c r="P75" s="43" t="s">
        <v>53</v>
      </c>
      <c r="Q75" s="43" t="s">
        <v>54</v>
      </c>
      <c r="R75" s="47" t="s">
        <v>1400</v>
      </c>
      <c r="S75" s="50"/>
      <c r="T75" s="50"/>
      <c r="U75" s="50"/>
      <c r="V75" s="48"/>
      <c r="W75" s="48"/>
      <c r="X75" s="48"/>
    </row>
    <row r="76" hidden="1">
      <c r="A76" s="120"/>
      <c r="B76" s="17">
        <v>46211.0</v>
      </c>
      <c r="C76" s="22" t="s">
        <v>28</v>
      </c>
      <c r="D76" s="25" t="s">
        <v>1402</v>
      </c>
      <c r="E76" s="121"/>
      <c r="F76" s="121"/>
      <c r="G76" s="22" t="s">
        <v>1403</v>
      </c>
      <c r="H76" s="22" t="s">
        <v>1404</v>
      </c>
      <c r="I76" s="31"/>
      <c r="J76" s="22" t="s">
        <v>1406</v>
      </c>
      <c r="K76" s="22" t="s">
        <v>1356</v>
      </c>
      <c r="L76" s="22" t="s">
        <v>1188</v>
      </c>
      <c r="M76" s="115" t="s">
        <v>1408</v>
      </c>
      <c r="N76" s="18" t="s">
        <v>52</v>
      </c>
      <c r="O76" s="44"/>
      <c r="P76" s="43" t="s">
        <v>53</v>
      </c>
      <c r="Q76" s="43" t="s">
        <v>54</v>
      </c>
      <c r="R76" s="47" t="s">
        <v>1413</v>
      </c>
      <c r="S76" s="50"/>
      <c r="T76" s="50"/>
      <c r="U76" s="50"/>
      <c r="V76" s="48"/>
      <c r="W76" s="48"/>
      <c r="X76" s="48"/>
    </row>
    <row r="77" hidden="1">
      <c r="A77" s="120"/>
      <c r="B77" s="17">
        <v>46211.0</v>
      </c>
      <c r="C77" s="22" t="s">
        <v>28</v>
      </c>
      <c r="D77" s="25" t="s">
        <v>1417</v>
      </c>
      <c r="E77" s="121"/>
      <c r="F77" s="121"/>
      <c r="G77" s="22" t="s">
        <v>1418</v>
      </c>
      <c r="H77" s="22" t="s">
        <v>1420</v>
      </c>
      <c r="I77" s="31"/>
      <c r="J77" s="22" t="s">
        <v>1421</v>
      </c>
      <c r="K77" s="22" t="s">
        <v>1422</v>
      </c>
      <c r="L77" s="22" t="s">
        <v>1424</v>
      </c>
      <c r="M77" s="115" t="s">
        <v>1426</v>
      </c>
      <c r="N77" s="18" t="s">
        <v>52</v>
      </c>
      <c r="O77" s="44"/>
      <c r="P77" s="43" t="s">
        <v>53</v>
      </c>
      <c r="Q77" s="43" t="s">
        <v>54</v>
      </c>
      <c r="R77" s="47" t="s">
        <v>1427</v>
      </c>
      <c r="S77" s="50"/>
      <c r="T77" s="50"/>
      <c r="U77" s="50"/>
      <c r="V77" s="48"/>
      <c r="W77" s="48"/>
      <c r="X77" s="48"/>
    </row>
    <row r="78" hidden="1">
      <c r="A78" s="120"/>
      <c r="B78" s="17">
        <v>46211.0</v>
      </c>
      <c r="C78" s="22" t="s">
        <v>28</v>
      </c>
      <c r="D78" s="25" t="s">
        <v>1428</v>
      </c>
      <c r="E78" s="121"/>
      <c r="F78" s="121"/>
      <c r="G78" s="22" t="s">
        <v>1429</v>
      </c>
      <c r="H78" s="22" t="s">
        <v>1430</v>
      </c>
      <c r="I78" s="31"/>
      <c r="J78" s="22" t="s">
        <v>1431</v>
      </c>
      <c r="K78" s="22" t="s">
        <v>64</v>
      </c>
      <c r="L78" s="22" t="s">
        <v>1432</v>
      </c>
      <c r="M78" s="115" t="s">
        <v>1433</v>
      </c>
      <c r="N78" s="18" t="s">
        <v>52</v>
      </c>
      <c r="O78" s="44"/>
      <c r="P78" s="43" t="s">
        <v>55</v>
      </c>
      <c r="Q78" s="43" t="s">
        <v>55</v>
      </c>
      <c r="R78" s="47" t="s">
        <v>1435</v>
      </c>
      <c r="S78" s="50"/>
      <c r="T78" s="50"/>
      <c r="U78" s="50"/>
      <c r="V78" s="48"/>
      <c r="W78" s="48"/>
      <c r="X78" s="48"/>
    </row>
    <row r="79" hidden="1">
      <c r="A79" s="120"/>
      <c r="B79" s="17">
        <v>46211.0</v>
      </c>
      <c r="C79" s="22" t="s">
        <v>28</v>
      </c>
      <c r="D79" s="25" t="s">
        <v>1437</v>
      </c>
      <c r="E79" s="121"/>
      <c r="F79" s="121"/>
      <c r="G79" s="22" t="s">
        <v>1438</v>
      </c>
      <c r="H79" s="22" t="s">
        <v>1430</v>
      </c>
      <c r="I79" s="31"/>
      <c r="J79" s="22" t="s">
        <v>1439</v>
      </c>
      <c r="K79" s="22" t="s">
        <v>64</v>
      </c>
      <c r="L79" s="22" t="s">
        <v>1440</v>
      </c>
      <c r="M79" s="115" t="s">
        <v>1441</v>
      </c>
      <c r="N79" s="18" t="s">
        <v>52</v>
      </c>
      <c r="O79" s="44"/>
      <c r="P79" s="43" t="s">
        <v>53</v>
      </c>
      <c r="Q79" s="43" t="s">
        <v>54</v>
      </c>
      <c r="R79" s="47" t="s">
        <v>1444</v>
      </c>
      <c r="S79" s="50"/>
      <c r="T79" s="50"/>
      <c r="U79" s="50"/>
      <c r="V79" s="48"/>
      <c r="W79" s="48"/>
      <c r="X79" s="48"/>
    </row>
    <row r="80" hidden="1">
      <c r="A80" s="120"/>
      <c r="B80" s="17">
        <v>46211.0</v>
      </c>
      <c r="C80" s="22" t="s">
        <v>28</v>
      </c>
      <c r="D80" s="25" t="s">
        <v>1446</v>
      </c>
      <c r="E80" s="121"/>
      <c r="F80" s="121"/>
      <c r="G80" s="22" t="s">
        <v>1448</v>
      </c>
      <c r="H80" s="22" t="s">
        <v>1430</v>
      </c>
      <c r="I80" s="31"/>
      <c r="J80" s="22" t="s">
        <v>1451</v>
      </c>
      <c r="K80" s="22" t="s">
        <v>1356</v>
      </c>
      <c r="L80" s="22" t="s">
        <v>1452</v>
      </c>
      <c r="M80" s="115" t="s">
        <v>1453</v>
      </c>
      <c r="N80" s="18" t="s">
        <v>52</v>
      </c>
      <c r="O80" s="44"/>
      <c r="P80" s="43" t="s">
        <v>53</v>
      </c>
      <c r="Q80" s="43" t="s">
        <v>54</v>
      </c>
      <c r="R80" s="47" t="s">
        <v>1456</v>
      </c>
      <c r="S80" s="50"/>
      <c r="T80" s="50"/>
      <c r="U80" s="50"/>
      <c r="V80" s="48"/>
      <c r="W80" s="48"/>
      <c r="X80" s="48"/>
    </row>
    <row r="81" hidden="1">
      <c r="A81" s="51"/>
      <c r="B81" s="73">
        <v>48.0</v>
      </c>
      <c r="C81" s="22" t="s">
        <v>28</v>
      </c>
      <c r="D81" s="74" t="s">
        <v>1457</v>
      </c>
      <c r="E81" s="73" t="s">
        <v>1458</v>
      </c>
      <c r="F81" s="73" t="s">
        <v>611</v>
      </c>
      <c r="G81" s="75" t="s">
        <v>1459</v>
      </c>
      <c r="H81" s="22" t="s">
        <v>1430</v>
      </c>
      <c r="I81" s="31"/>
      <c r="J81" s="22" t="s">
        <v>1461</v>
      </c>
      <c r="K81" s="22" t="s">
        <v>1459</v>
      </c>
      <c r="L81" s="22" t="s">
        <v>1462</v>
      </c>
      <c r="M81" s="39" t="s">
        <v>1463</v>
      </c>
      <c r="N81" s="18" t="s">
        <v>52</v>
      </c>
      <c r="O81" s="44"/>
      <c r="P81" s="43" t="s">
        <v>53</v>
      </c>
      <c r="Q81" s="43" t="s">
        <v>54</v>
      </c>
      <c r="R81" s="47" t="s">
        <v>1467</v>
      </c>
      <c r="S81" s="50"/>
      <c r="T81" s="50"/>
      <c r="U81" s="50"/>
      <c r="V81" s="48"/>
      <c r="W81" s="48"/>
      <c r="X81" s="48"/>
    </row>
    <row r="82" hidden="1">
      <c r="A82" s="13"/>
      <c r="B82" s="17">
        <v>46211.0</v>
      </c>
      <c r="C82" s="22" t="s">
        <v>28</v>
      </c>
      <c r="D82" s="25" t="s">
        <v>1469</v>
      </c>
      <c r="E82" s="26"/>
      <c r="F82" s="26"/>
      <c r="G82" s="29" t="s">
        <v>1471</v>
      </c>
      <c r="H82" s="22" t="s">
        <v>1472</v>
      </c>
      <c r="I82" s="31"/>
      <c r="J82" s="22" t="s">
        <v>1473</v>
      </c>
      <c r="K82" s="22" t="s">
        <v>1474</v>
      </c>
      <c r="L82" s="22" t="s">
        <v>1475</v>
      </c>
      <c r="M82" s="115" t="s">
        <v>1476</v>
      </c>
      <c r="N82" s="18" t="s">
        <v>52</v>
      </c>
      <c r="O82" s="44"/>
      <c r="P82" s="43" t="s">
        <v>53</v>
      </c>
      <c r="Q82" s="43" t="s">
        <v>54</v>
      </c>
      <c r="R82" s="47" t="s">
        <v>1479</v>
      </c>
      <c r="S82" s="50"/>
      <c r="T82" s="50"/>
      <c r="U82" s="50"/>
      <c r="V82" s="48"/>
      <c r="W82" s="48"/>
      <c r="X82" s="48"/>
    </row>
    <row r="83" hidden="1">
      <c r="A83" s="13"/>
      <c r="B83" s="17">
        <v>46211.0</v>
      </c>
      <c r="C83" s="22" t="s">
        <v>28</v>
      </c>
      <c r="D83" s="25" t="s">
        <v>1480</v>
      </c>
      <c r="E83" s="26"/>
      <c r="F83" s="26"/>
      <c r="G83" s="29" t="s">
        <v>1481</v>
      </c>
      <c r="H83" s="22" t="s">
        <v>1472</v>
      </c>
      <c r="I83" s="31"/>
      <c r="J83" s="22" t="s">
        <v>1482</v>
      </c>
      <c r="K83" s="22" t="s">
        <v>1483</v>
      </c>
      <c r="L83" s="22" t="s">
        <v>1484</v>
      </c>
      <c r="M83" s="115" t="s">
        <v>1485</v>
      </c>
      <c r="N83" s="18" t="s">
        <v>52</v>
      </c>
      <c r="O83" s="44"/>
      <c r="P83" s="43" t="s">
        <v>53</v>
      </c>
      <c r="Q83" s="43" t="s">
        <v>54</v>
      </c>
      <c r="R83" s="47" t="s">
        <v>1489</v>
      </c>
      <c r="S83" s="50"/>
      <c r="T83" s="50"/>
      <c r="U83" s="50"/>
      <c r="V83" s="48"/>
      <c r="W83" s="48"/>
      <c r="X83" s="48"/>
    </row>
    <row r="84" hidden="1">
      <c r="A84" s="13"/>
      <c r="B84" s="17">
        <v>46211.0</v>
      </c>
      <c r="C84" s="22" t="s">
        <v>28</v>
      </c>
      <c r="D84" s="25" t="s">
        <v>1492</v>
      </c>
      <c r="E84" s="26"/>
      <c r="F84" s="26"/>
      <c r="G84" s="29" t="s">
        <v>1494</v>
      </c>
      <c r="H84" s="22" t="s">
        <v>1495</v>
      </c>
      <c r="I84" s="31"/>
      <c r="J84" s="22" t="s">
        <v>1497</v>
      </c>
      <c r="K84" s="22" t="s">
        <v>1498</v>
      </c>
      <c r="L84" s="22" t="s">
        <v>1499</v>
      </c>
      <c r="M84" s="115" t="s">
        <v>1501</v>
      </c>
      <c r="N84" s="18" t="s">
        <v>52</v>
      </c>
      <c r="O84" s="44"/>
      <c r="P84" s="43" t="s">
        <v>53</v>
      </c>
      <c r="Q84" s="43" t="s">
        <v>54</v>
      </c>
      <c r="R84" s="47" t="s">
        <v>1506</v>
      </c>
      <c r="S84" s="50"/>
      <c r="T84" s="50"/>
      <c r="U84" s="50"/>
      <c r="V84" s="48"/>
      <c r="W84" s="48"/>
      <c r="X84" s="48"/>
    </row>
    <row r="85" hidden="1">
      <c r="A85" s="13"/>
      <c r="B85" s="17">
        <v>46212.0</v>
      </c>
      <c r="C85" s="22" t="s">
        <v>28</v>
      </c>
      <c r="D85" s="25" t="s">
        <v>1508</v>
      </c>
      <c r="E85" s="26"/>
      <c r="F85" s="26"/>
      <c r="G85" s="29" t="s">
        <v>205</v>
      </c>
      <c r="H85" s="22" t="s">
        <v>369</v>
      </c>
      <c r="I85" s="31"/>
      <c r="J85" s="22" t="s">
        <v>1509</v>
      </c>
      <c r="K85" s="22" t="s">
        <v>374</v>
      </c>
      <c r="L85" s="22" t="s">
        <v>1510</v>
      </c>
      <c r="M85" s="151" t="s">
        <v>1511</v>
      </c>
      <c r="N85" s="18" t="s">
        <v>52</v>
      </c>
      <c r="O85" s="18" t="s">
        <v>1513</v>
      </c>
      <c r="P85" s="43" t="s">
        <v>53</v>
      </c>
      <c r="Q85" s="43" t="s">
        <v>54</v>
      </c>
      <c r="R85" s="47" t="s">
        <v>1514</v>
      </c>
      <c r="S85" s="50"/>
      <c r="T85" s="50"/>
      <c r="U85" s="50"/>
      <c r="V85" s="48"/>
      <c r="W85" s="48"/>
      <c r="X85" s="48"/>
    </row>
    <row r="86" hidden="1">
      <c r="A86" s="13"/>
      <c r="B86" s="17">
        <v>46212.0</v>
      </c>
      <c r="C86" s="22" t="s">
        <v>28</v>
      </c>
      <c r="D86" s="25" t="s">
        <v>1516</v>
      </c>
      <c r="E86" s="26"/>
      <c r="F86" s="26"/>
      <c r="G86" s="29" t="s">
        <v>1519</v>
      </c>
      <c r="H86" s="22" t="s">
        <v>1521</v>
      </c>
      <c r="I86" s="31"/>
      <c r="J86" s="22" t="s">
        <v>1522</v>
      </c>
      <c r="K86" s="22" t="s">
        <v>1524</v>
      </c>
      <c r="L86" s="22" t="s">
        <v>1526</v>
      </c>
      <c r="M86" s="151" t="s">
        <v>1528</v>
      </c>
      <c r="N86" s="18" t="s">
        <v>52</v>
      </c>
      <c r="O86" s="44"/>
      <c r="P86" s="43" t="s">
        <v>53</v>
      </c>
      <c r="Q86" s="43" t="s">
        <v>54</v>
      </c>
      <c r="R86" s="47" t="s">
        <v>1530</v>
      </c>
      <c r="S86" s="50"/>
      <c r="T86" s="50"/>
      <c r="U86" s="50"/>
      <c r="V86" s="48"/>
      <c r="W86" s="48"/>
      <c r="X86" s="48"/>
    </row>
    <row r="87" hidden="1">
      <c r="A87" s="13"/>
      <c r="B87" s="17">
        <v>46212.0</v>
      </c>
      <c r="C87" s="22" t="s">
        <v>28</v>
      </c>
      <c r="D87" s="25" t="s">
        <v>1532</v>
      </c>
      <c r="E87" s="26"/>
      <c r="F87" s="26"/>
      <c r="G87" s="29" t="s">
        <v>546</v>
      </c>
      <c r="H87" s="22" t="s">
        <v>1521</v>
      </c>
      <c r="I87" s="31"/>
      <c r="J87" s="22" t="s">
        <v>1535</v>
      </c>
      <c r="K87" s="22" t="s">
        <v>1536</v>
      </c>
      <c r="L87" s="22" t="s">
        <v>1537</v>
      </c>
      <c r="M87" s="151" t="s">
        <v>1538</v>
      </c>
      <c r="N87" s="18" t="s">
        <v>52</v>
      </c>
      <c r="O87" s="44"/>
      <c r="P87" s="43" t="s">
        <v>53</v>
      </c>
      <c r="Q87" s="43" t="s">
        <v>54</v>
      </c>
      <c r="R87" s="47" t="s">
        <v>1541</v>
      </c>
      <c r="S87" s="50"/>
      <c r="T87" s="50"/>
      <c r="U87" s="50"/>
      <c r="V87" s="48"/>
      <c r="W87" s="48"/>
      <c r="X87" s="48"/>
    </row>
    <row r="88" hidden="1">
      <c r="A88" s="13"/>
      <c r="B88" s="17">
        <v>46212.0</v>
      </c>
      <c r="C88" s="22" t="s">
        <v>28</v>
      </c>
      <c r="D88" s="25" t="s">
        <v>1544</v>
      </c>
      <c r="E88" s="26"/>
      <c r="F88" s="26"/>
      <c r="G88" s="29" t="s">
        <v>1546</v>
      </c>
      <c r="H88" s="22" t="s">
        <v>369</v>
      </c>
      <c r="I88" s="31"/>
      <c r="J88" s="22" t="s">
        <v>1548</v>
      </c>
      <c r="K88" s="22" t="s">
        <v>1549</v>
      </c>
      <c r="L88" s="22" t="s">
        <v>1550</v>
      </c>
      <c r="M88" s="115" t="s">
        <v>1551</v>
      </c>
      <c r="N88" s="18" t="s">
        <v>52</v>
      </c>
      <c r="O88" s="44"/>
      <c r="P88" s="43" t="s">
        <v>53</v>
      </c>
      <c r="Q88" s="43" t="s">
        <v>54</v>
      </c>
      <c r="R88" s="47" t="s">
        <v>1552</v>
      </c>
      <c r="S88" s="50"/>
      <c r="T88" s="50"/>
      <c r="U88" s="50"/>
      <c r="V88" s="48"/>
      <c r="W88" s="48"/>
      <c r="X88" s="48"/>
    </row>
    <row r="89" hidden="1">
      <c r="A89" s="120"/>
      <c r="B89" s="17">
        <v>46212.0</v>
      </c>
      <c r="C89" s="22" t="s">
        <v>28</v>
      </c>
      <c r="D89" s="25" t="s">
        <v>1555</v>
      </c>
      <c r="E89" s="121"/>
      <c r="F89" s="121"/>
      <c r="G89" s="22" t="s">
        <v>1556</v>
      </c>
      <c r="H89" s="22" t="s">
        <v>369</v>
      </c>
      <c r="I89" s="31"/>
      <c r="J89" s="22" t="s">
        <v>1558</v>
      </c>
      <c r="K89" s="22" t="s">
        <v>1559</v>
      </c>
      <c r="L89" s="22" t="s">
        <v>1560</v>
      </c>
      <c r="M89" s="115" t="s">
        <v>1561</v>
      </c>
      <c r="N89" s="18" t="s">
        <v>52</v>
      </c>
      <c r="O89" s="44"/>
      <c r="P89" s="43" t="s">
        <v>53</v>
      </c>
      <c r="Q89" s="43" t="s">
        <v>54</v>
      </c>
      <c r="R89" s="47" t="s">
        <v>1562</v>
      </c>
      <c r="S89" s="50"/>
      <c r="T89" s="50"/>
      <c r="U89" s="50"/>
      <c r="V89" s="48"/>
      <c r="W89" s="48"/>
      <c r="X89" s="48"/>
    </row>
    <row r="90" hidden="1">
      <c r="A90" s="120"/>
      <c r="B90" s="17">
        <v>46212.0</v>
      </c>
      <c r="C90" s="22" t="s">
        <v>28</v>
      </c>
      <c r="D90" s="25" t="s">
        <v>1563</v>
      </c>
      <c r="E90" s="121"/>
      <c r="F90" s="121"/>
      <c r="G90" s="22" t="s">
        <v>1566</v>
      </c>
      <c r="H90" s="22" t="s">
        <v>369</v>
      </c>
      <c r="I90" s="31"/>
      <c r="J90" s="22" t="s">
        <v>1567</v>
      </c>
      <c r="K90" s="22" t="s">
        <v>1568</v>
      </c>
      <c r="L90" s="22" t="s">
        <v>1569</v>
      </c>
      <c r="M90" s="115" t="s">
        <v>1571</v>
      </c>
      <c r="N90" s="18" t="s">
        <v>52</v>
      </c>
      <c r="O90" s="18" t="s">
        <v>1574</v>
      </c>
      <c r="P90" s="43" t="s">
        <v>53</v>
      </c>
      <c r="Q90" s="43" t="s">
        <v>54</v>
      </c>
      <c r="R90" s="47" t="s">
        <v>1577</v>
      </c>
      <c r="S90" s="50"/>
      <c r="T90" s="50"/>
      <c r="U90" s="50"/>
      <c r="V90" s="48"/>
      <c r="W90" s="48"/>
      <c r="X90" s="48"/>
    </row>
    <row r="91" hidden="1">
      <c r="A91" s="13"/>
      <c r="B91" s="17">
        <v>46212.0</v>
      </c>
      <c r="C91" s="22" t="s">
        <v>28</v>
      </c>
      <c r="D91" s="25" t="s">
        <v>1578</v>
      </c>
      <c r="E91" s="26"/>
      <c r="F91" s="26"/>
      <c r="G91" s="29" t="s">
        <v>1579</v>
      </c>
      <c r="H91" s="22" t="s">
        <v>369</v>
      </c>
      <c r="I91" s="31"/>
      <c r="J91" s="22" t="s">
        <v>1581</v>
      </c>
      <c r="K91" s="22" t="s">
        <v>1582</v>
      </c>
      <c r="L91" s="22" t="s">
        <v>1583</v>
      </c>
      <c r="M91" s="115" t="s">
        <v>1584</v>
      </c>
      <c r="N91" s="18" t="s">
        <v>52</v>
      </c>
      <c r="O91" s="44"/>
      <c r="P91" s="43" t="s">
        <v>53</v>
      </c>
      <c r="Q91" s="43" t="s">
        <v>54</v>
      </c>
      <c r="R91" s="47" t="s">
        <v>1586</v>
      </c>
      <c r="S91" s="50"/>
      <c r="T91" s="50"/>
      <c r="U91" s="50"/>
      <c r="V91" s="48"/>
      <c r="W91" s="48"/>
      <c r="X91" s="48"/>
    </row>
    <row r="92" hidden="1">
      <c r="A92" s="13"/>
      <c r="B92" s="17">
        <v>46212.0</v>
      </c>
      <c r="C92" s="22" t="s">
        <v>28</v>
      </c>
      <c r="D92" s="25" t="s">
        <v>1587</v>
      </c>
      <c r="E92" s="26"/>
      <c r="F92" s="26"/>
      <c r="G92" s="29" t="s">
        <v>1589</v>
      </c>
      <c r="H92" s="22" t="s">
        <v>369</v>
      </c>
      <c r="I92" s="31"/>
      <c r="J92" s="22" t="s">
        <v>1590</v>
      </c>
      <c r="K92" s="22" t="s">
        <v>1591</v>
      </c>
      <c r="L92" s="22" t="s">
        <v>1592</v>
      </c>
      <c r="M92" s="115" t="s">
        <v>1593</v>
      </c>
      <c r="N92" s="18" t="s">
        <v>52</v>
      </c>
      <c r="O92" s="44"/>
      <c r="P92" s="43" t="s">
        <v>53</v>
      </c>
      <c r="Q92" s="43" t="s">
        <v>54</v>
      </c>
      <c r="R92" s="47" t="s">
        <v>1596</v>
      </c>
      <c r="S92" s="50"/>
      <c r="T92" s="50"/>
      <c r="U92" s="50"/>
      <c r="V92" s="48"/>
      <c r="W92" s="48"/>
      <c r="X92" s="48"/>
    </row>
    <row r="93" hidden="1">
      <c r="A93" s="13"/>
      <c r="B93" s="17">
        <v>46212.0</v>
      </c>
      <c r="C93" s="22" t="s">
        <v>28</v>
      </c>
      <c r="D93" s="25" t="s">
        <v>1597</v>
      </c>
      <c r="E93" s="26"/>
      <c r="F93" s="26"/>
      <c r="G93" s="29" t="s">
        <v>1598</v>
      </c>
      <c r="H93" s="22" t="s">
        <v>1600</v>
      </c>
      <c r="I93" s="31"/>
      <c r="J93" s="22" t="s">
        <v>1603</v>
      </c>
      <c r="K93" s="22" t="s">
        <v>1604</v>
      </c>
      <c r="L93" s="22" t="s">
        <v>1605</v>
      </c>
      <c r="M93" s="115" t="s">
        <v>1606</v>
      </c>
      <c r="N93" s="18" t="s">
        <v>52</v>
      </c>
      <c r="O93" s="19" t="s">
        <v>1607</v>
      </c>
      <c r="P93" s="43" t="s">
        <v>53</v>
      </c>
      <c r="Q93" s="43" t="s">
        <v>54</v>
      </c>
      <c r="R93" s="47" t="s">
        <v>1610</v>
      </c>
      <c r="S93" s="50"/>
      <c r="T93" s="50"/>
      <c r="U93" s="50"/>
      <c r="V93" s="48"/>
      <c r="W93" s="48"/>
      <c r="X93" s="48"/>
    </row>
    <row r="94" hidden="1">
      <c r="A94" s="13"/>
      <c r="B94" s="17">
        <v>46212.0</v>
      </c>
      <c r="C94" s="22" t="s">
        <v>28</v>
      </c>
      <c r="D94" s="25" t="s">
        <v>1613</v>
      </c>
      <c r="E94" s="26"/>
      <c r="F94" s="26"/>
      <c r="G94" s="29" t="s">
        <v>1614</v>
      </c>
      <c r="H94" s="22" t="s">
        <v>1600</v>
      </c>
      <c r="I94" s="31"/>
      <c r="J94" s="22" t="s">
        <v>1603</v>
      </c>
      <c r="K94" s="22" t="s">
        <v>1615</v>
      </c>
      <c r="L94" s="22" t="s">
        <v>1616</v>
      </c>
      <c r="M94" s="115" t="s">
        <v>1617</v>
      </c>
      <c r="N94" s="18" t="s">
        <v>52</v>
      </c>
      <c r="O94" s="44"/>
      <c r="P94" s="43" t="s">
        <v>53</v>
      </c>
      <c r="Q94" s="43" t="s">
        <v>54</v>
      </c>
      <c r="R94" s="47" t="s">
        <v>1619</v>
      </c>
      <c r="S94" s="50"/>
      <c r="T94" s="50"/>
      <c r="U94" s="50"/>
      <c r="V94" s="48"/>
      <c r="W94" s="48"/>
      <c r="X94" s="48"/>
    </row>
    <row r="95" hidden="1">
      <c r="A95" s="13"/>
      <c r="B95" s="17">
        <v>46212.0</v>
      </c>
      <c r="C95" s="22" t="s">
        <v>28</v>
      </c>
      <c r="D95" s="25" t="s">
        <v>1620</v>
      </c>
      <c r="E95" s="26"/>
      <c r="F95" s="26"/>
      <c r="G95" s="29" t="s">
        <v>1622</v>
      </c>
      <c r="H95" s="22" t="s">
        <v>1600</v>
      </c>
      <c r="I95" s="31"/>
      <c r="J95" s="22" t="s">
        <v>1603</v>
      </c>
      <c r="K95" s="22" t="s">
        <v>1615</v>
      </c>
      <c r="L95" s="22" t="s">
        <v>1624</v>
      </c>
      <c r="M95" s="115" t="s">
        <v>1626</v>
      </c>
      <c r="N95" s="18" t="s">
        <v>52</v>
      </c>
      <c r="O95" s="44"/>
      <c r="P95" s="43" t="s">
        <v>53</v>
      </c>
      <c r="Q95" s="43" t="s">
        <v>54</v>
      </c>
      <c r="R95" s="47" t="s">
        <v>1631</v>
      </c>
      <c r="S95" s="50"/>
      <c r="T95" s="50"/>
      <c r="U95" s="50"/>
      <c r="V95" s="48"/>
      <c r="W95" s="48"/>
      <c r="X95" s="48"/>
    </row>
    <row r="96" hidden="1">
      <c r="A96" s="13"/>
      <c r="B96" s="17">
        <v>46212.0</v>
      </c>
      <c r="C96" s="22" t="s">
        <v>28</v>
      </c>
      <c r="D96" s="25" t="s">
        <v>1632</v>
      </c>
      <c r="E96" s="26"/>
      <c r="F96" s="26"/>
      <c r="G96" s="29" t="s">
        <v>1633</v>
      </c>
      <c r="H96" s="22" t="s">
        <v>1634</v>
      </c>
      <c r="I96" s="31"/>
      <c r="J96" s="22" t="s">
        <v>1635</v>
      </c>
      <c r="K96" s="22" t="s">
        <v>1636</v>
      </c>
      <c r="L96" s="22" t="s">
        <v>1637</v>
      </c>
      <c r="M96" s="115" t="s">
        <v>1638</v>
      </c>
      <c r="N96" s="18" t="s">
        <v>52</v>
      </c>
      <c r="O96" s="44"/>
      <c r="P96" s="43" t="s">
        <v>53</v>
      </c>
      <c r="Q96" s="43" t="s">
        <v>54</v>
      </c>
      <c r="R96" s="47" t="s">
        <v>1640</v>
      </c>
      <c r="S96" s="50"/>
      <c r="T96" s="50"/>
      <c r="U96" s="50"/>
      <c r="V96" s="48"/>
      <c r="W96" s="48"/>
      <c r="X96" s="48"/>
    </row>
    <row r="97" hidden="1">
      <c r="A97" s="13"/>
      <c r="B97" s="17">
        <v>46212.0</v>
      </c>
      <c r="C97" s="22" t="s">
        <v>28</v>
      </c>
      <c r="D97" s="25" t="s">
        <v>1641</v>
      </c>
      <c r="E97" s="26"/>
      <c r="F97" s="26"/>
      <c r="G97" s="29" t="s">
        <v>1642</v>
      </c>
      <c r="H97" s="22" t="s">
        <v>1643</v>
      </c>
      <c r="I97" s="31"/>
      <c r="J97" s="22" t="s">
        <v>1644</v>
      </c>
      <c r="K97" s="22" t="s">
        <v>1645</v>
      </c>
      <c r="L97" s="22" t="s">
        <v>1647</v>
      </c>
      <c r="M97" s="115" t="s">
        <v>1649</v>
      </c>
      <c r="N97" s="18" t="s">
        <v>52</v>
      </c>
      <c r="O97" s="44"/>
      <c r="P97" s="43" t="s">
        <v>53</v>
      </c>
      <c r="Q97" s="43" t="s">
        <v>54</v>
      </c>
      <c r="R97" s="47" t="s">
        <v>1655</v>
      </c>
      <c r="S97" s="50"/>
      <c r="T97" s="50"/>
      <c r="U97" s="50"/>
      <c r="V97" s="48"/>
      <c r="W97" s="48"/>
      <c r="X97" s="48"/>
    </row>
    <row r="98" hidden="1">
      <c r="A98" s="13"/>
      <c r="B98" s="17">
        <v>46212.0</v>
      </c>
      <c r="C98" s="22" t="s">
        <v>28</v>
      </c>
      <c r="D98" s="25" t="s">
        <v>1656</v>
      </c>
      <c r="E98" s="26"/>
      <c r="F98" s="26"/>
      <c r="G98" s="29" t="s">
        <v>1657</v>
      </c>
      <c r="H98" s="22" t="s">
        <v>369</v>
      </c>
      <c r="I98" s="31"/>
      <c r="J98" s="22" t="s">
        <v>270</v>
      </c>
      <c r="K98" s="22" t="s">
        <v>1658</v>
      </c>
      <c r="L98" s="22" t="s">
        <v>1659</v>
      </c>
      <c r="M98" s="115" t="s">
        <v>1660</v>
      </c>
      <c r="N98" s="18" t="s">
        <v>52</v>
      </c>
      <c r="O98" s="44"/>
      <c r="P98" s="43" t="s">
        <v>53</v>
      </c>
      <c r="Q98" s="43" t="s">
        <v>54</v>
      </c>
      <c r="R98" s="47" t="s">
        <v>1663</v>
      </c>
      <c r="S98" s="50"/>
      <c r="T98" s="50"/>
      <c r="U98" s="50"/>
      <c r="V98" s="48"/>
      <c r="W98" s="48"/>
      <c r="X98" s="48"/>
    </row>
    <row r="99" hidden="1">
      <c r="A99" s="13"/>
      <c r="B99" s="17">
        <v>46212.0</v>
      </c>
      <c r="C99" s="22" t="s">
        <v>28</v>
      </c>
      <c r="D99" s="25" t="s">
        <v>1664</v>
      </c>
      <c r="E99" s="26"/>
      <c r="F99" s="26"/>
      <c r="G99" s="29" t="s">
        <v>1665</v>
      </c>
      <c r="H99" s="22" t="s">
        <v>369</v>
      </c>
      <c r="I99" s="31"/>
      <c r="J99" s="22" t="s">
        <v>270</v>
      </c>
      <c r="K99" s="22" t="s">
        <v>1666</v>
      </c>
      <c r="L99" s="22" t="s">
        <v>1668</v>
      </c>
      <c r="M99" s="115" t="s">
        <v>1669</v>
      </c>
      <c r="N99" s="18" t="s">
        <v>52</v>
      </c>
      <c r="O99" s="44"/>
      <c r="P99" s="43" t="s">
        <v>53</v>
      </c>
      <c r="Q99" s="43" t="s">
        <v>54</v>
      </c>
      <c r="R99" s="47" t="s">
        <v>1674</v>
      </c>
      <c r="S99" s="50"/>
      <c r="T99" s="50"/>
      <c r="U99" s="50"/>
      <c r="V99" s="48"/>
      <c r="W99" s="48"/>
      <c r="X99" s="48"/>
    </row>
    <row r="100" hidden="1">
      <c r="A100" s="13"/>
      <c r="B100" s="17">
        <v>46212.0</v>
      </c>
      <c r="C100" s="22" t="s">
        <v>28</v>
      </c>
      <c r="D100" s="25" t="s">
        <v>1675</v>
      </c>
      <c r="E100" s="26"/>
      <c r="F100" s="26"/>
      <c r="G100" s="29" t="s">
        <v>1677</v>
      </c>
      <c r="H100" s="22" t="s">
        <v>369</v>
      </c>
      <c r="I100" s="31"/>
      <c r="J100" s="22" t="s">
        <v>270</v>
      </c>
      <c r="K100" s="22" t="s">
        <v>1678</v>
      </c>
      <c r="L100" s="22" t="s">
        <v>1679</v>
      </c>
      <c r="M100" s="115" t="s">
        <v>1680</v>
      </c>
      <c r="N100" s="18" t="s">
        <v>52</v>
      </c>
      <c r="O100" s="44"/>
      <c r="P100" s="43" t="s">
        <v>53</v>
      </c>
      <c r="Q100" s="43" t="s">
        <v>54</v>
      </c>
      <c r="R100" s="47" t="s">
        <v>1687</v>
      </c>
      <c r="S100" s="50"/>
      <c r="T100" s="50"/>
      <c r="U100" s="50"/>
      <c r="V100" s="48"/>
      <c r="W100" s="48"/>
      <c r="X100" s="48"/>
    </row>
    <row r="101" hidden="1">
      <c r="A101" s="13"/>
      <c r="B101" s="17">
        <v>46212.0</v>
      </c>
      <c r="C101" s="22" t="s">
        <v>28</v>
      </c>
      <c r="D101" s="25" t="s">
        <v>1689</v>
      </c>
      <c r="E101" s="26"/>
      <c r="F101" s="26"/>
      <c r="G101" s="29" t="s">
        <v>1691</v>
      </c>
      <c r="H101" s="22" t="s">
        <v>369</v>
      </c>
      <c r="I101" s="31"/>
      <c r="J101" s="22" t="s">
        <v>270</v>
      </c>
      <c r="K101" s="22" t="s">
        <v>1692</v>
      </c>
      <c r="L101" s="22" t="s">
        <v>1693</v>
      </c>
      <c r="M101" s="115" t="s">
        <v>1695</v>
      </c>
      <c r="N101" s="18" t="s">
        <v>52</v>
      </c>
      <c r="O101" s="44"/>
      <c r="P101" s="43" t="s">
        <v>53</v>
      </c>
      <c r="Q101" s="43" t="s">
        <v>54</v>
      </c>
      <c r="R101" s="47" t="s">
        <v>1698</v>
      </c>
      <c r="S101" s="50"/>
      <c r="T101" s="50"/>
      <c r="U101" s="50"/>
      <c r="V101" s="48"/>
      <c r="W101" s="48"/>
      <c r="X101" s="48"/>
    </row>
    <row r="102" hidden="1">
      <c r="A102" s="13"/>
      <c r="B102" s="17">
        <v>46212.0</v>
      </c>
      <c r="C102" s="22" t="s">
        <v>28</v>
      </c>
      <c r="D102" s="25" t="s">
        <v>1700</v>
      </c>
      <c r="E102" s="26"/>
      <c r="F102" s="26"/>
      <c r="G102" s="29" t="s">
        <v>1702</v>
      </c>
      <c r="H102" s="22" t="s">
        <v>369</v>
      </c>
      <c r="I102" s="31"/>
      <c r="J102" s="22" t="s">
        <v>1703</v>
      </c>
      <c r="K102" s="22" t="s">
        <v>1704</v>
      </c>
      <c r="L102" s="22" t="s">
        <v>1705</v>
      </c>
      <c r="M102" s="115" t="s">
        <v>1706</v>
      </c>
      <c r="N102" s="18" t="s">
        <v>52</v>
      </c>
      <c r="O102" s="44"/>
      <c r="P102" s="43" t="s">
        <v>53</v>
      </c>
      <c r="Q102" s="43" t="s">
        <v>54</v>
      </c>
      <c r="R102" s="47" t="s">
        <v>1709</v>
      </c>
      <c r="S102" s="50"/>
      <c r="T102" s="50"/>
      <c r="U102" s="50"/>
      <c r="V102" s="48"/>
      <c r="W102" s="48"/>
      <c r="X102" s="48"/>
    </row>
    <row r="103" hidden="1">
      <c r="A103" s="13"/>
      <c r="B103" s="17">
        <v>46212.0</v>
      </c>
      <c r="C103" s="22" t="s">
        <v>28</v>
      </c>
      <c r="D103" s="25" t="s">
        <v>1711</v>
      </c>
      <c r="E103" s="26"/>
      <c r="F103" s="26"/>
      <c r="G103" s="29" t="s">
        <v>1712</v>
      </c>
      <c r="H103" s="22" t="s">
        <v>1713</v>
      </c>
      <c r="I103" s="31"/>
      <c r="J103" s="22" t="s">
        <v>1714</v>
      </c>
      <c r="K103" s="22" t="s">
        <v>1716</v>
      </c>
      <c r="L103" s="22" t="s">
        <v>1717</v>
      </c>
      <c r="M103" s="115" t="s">
        <v>1718</v>
      </c>
      <c r="N103" s="18" t="s">
        <v>52</v>
      </c>
      <c r="O103" s="44"/>
      <c r="P103" s="43" t="s">
        <v>53</v>
      </c>
      <c r="Q103" s="43" t="s">
        <v>54</v>
      </c>
      <c r="R103" s="47" t="s">
        <v>1721</v>
      </c>
      <c r="S103" s="50"/>
      <c r="T103" s="50"/>
      <c r="U103" s="50"/>
      <c r="V103" s="48"/>
      <c r="W103" s="48"/>
      <c r="X103" s="48"/>
    </row>
    <row r="104" hidden="1">
      <c r="A104" s="13"/>
      <c r="B104" s="17">
        <v>46212.0</v>
      </c>
      <c r="C104" s="22" t="s">
        <v>28</v>
      </c>
      <c r="D104" s="25" t="s">
        <v>1724</v>
      </c>
      <c r="E104" s="26"/>
      <c r="F104" s="26"/>
      <c r="G104" s="29" t="s">
        <v>1725</v>
      </c>
      <c r="H104" s="22" t="s">
        <v>1713</v>
      </c>
      <c r="I104" s="31"/>
      <c r="J104" s="22" t="s">
        <v>1726</v>
      </c>
      <c r="K104" s="22" t="s">
        <v>1728</v>
      </c>
      <c r="L104" s="22" t="s">
        <v>1729</v>
      </c>
      <c r="M104" s="39" t="s">
        <v>1730</v>
      </c>
      <c r="N104" s="18" t="s">
        <v>52</v>
      </c>
      <c r="O104" s="44"/>
      <c r="P104" s="43" t="s">
        <v>53</v>
      </c>
      <c r="Q104" s="43" t="s">
        <v>54</v>
      </c>
      <c r="R104" s="47" t="s">
        <v>1733</v>
      </c>
      <c r="S104" s="50"/>
      <c r="T104" s="50"/>
      <c r="U104" s="50"/>
      <c r="V104" s="48"/>
      <c r="W104" s="48"/>
      <c r="X104" s="48"/>
    </row>
    <row r="105" hidden="1">
      <c r="A105" s="13"/>
      <c r="B105" s="17">
        <v>46212.0</v>
      </c>
      <c r="C105" s="22" t="s">
        <v>28</v>
      </c>
      <c r="D105" s="25" t="s">
        <v>1734</v>
      </c>
      <c r="E105" s="26"/>
      <c r="F105" s="26"/>
      <c r="G105" s="29" t="s">
        <v>1003</v>
      </c>
      <c r="H105" s="22" t="s">
        <v>369</v>
      </c>
      <c r="I105" s="31"/>
      <c r="J105" s="22" t="s">
        <v>1736</v>
      </c>
      <c r="K105" s="22" t="s">
        <v>1737</v>
      </c>
      <c r="L105" s="22" t="s">
        <v>1739</v>
      </c>
      <c r="M105" s="115" t="s">
        <v>1740</v>
      </c>
      <c r="N105" s="18" t="s">
        <v>52</v>
      </c>
      <c r="O105" s="153"/>
      <c r="P105" s="43" t="s">
        <v>53</v>
      </c>
      <c r="Q105" s="43" t="s">
        <v>54</v>
      </c>
      <c r="R105" s="47" t="s">
        <v>1745</v>
      </c>
      <c r="S105" s="50"/>
      <c r="T105" s="50"/>
      <c r="U105" s="50"/>
      <c r="V105" s="48"/>
      <c r="W105" s="48"/>
      <c r="X105" s="48"/>
    </row>
    <row r="106" hidden="1">
      <c r="A106" s="13"/>
      <c r="B106" s="17">
        <v>46212.0</v>
      </c>
      <c r="C106" s="22" t="s">
        <v>28</v>
      </c>
      <c r="D106" s="25" t="s">
        <v>1747</v>
      </c>
      <c r="E106" s="26"/>
      <c r="F106" s="26"/>
      <c r="G106" s="29" t="s">
        <v>1749</v>
      </c>
      <c r="H106" s="22" t="s">
        <v>1521</v>
      </c>
      <c r="I106" s="31"/>
      <c r="J106" s="22" t="s">
        <v>1750</v>
      </c>
      <c r="K106" s="22" t="s">
        <v>625</v>
      </c>
      <c r="L106" s="22" t="s">
        <v>1751</v>
      </c>
      <c r="M106" s="115" t="s">
        <v>1753</v>
      </c>
      <c r="N106" s="18" t="s">
        <v>52</v>
      </c>
      <c r="O106" s="153"/>
      <c r="P106" s="43" t="s">
        <v>55</v>
      </c>
      <c r="Q106" s="43" t="s">
        <v>55</v>
      </c>
      <c r="R106" s="47" t="s">
        <v>1756</v>
      </c>
      <c r="S106" s="50"/>
      <c r="T106" s="50"/>
      <c r="U106" s="50"/>
      <c r="V106" s="48"/>
      <c r="W106" s="48"/>
      <c r="X106" s="48"/>
    </row>
    <row r="107" hidden="1">
      <c r="A107" s="13"/>
      <c r="B107" s="17">
        <v>46212.0</v>
      </c>
      <c r="C107" s="22" t="s">
        <v>28</v>
      </c>
      <c r="D107" s="25" t="s">
        <v>1758</v>
      </c>
      <c r="E107" s="26"/>
      <c r="F107" s="26"/>
      <c r="G107" s="29" t="s">
        <v>407</v>
      </c>
      <c r="H107" s="22" t="s">
        <v>921</v>
      </c>
      <c r="I107" s="31"/>
      <c r="J107" s="22" t="s">
        <v>1762</v>
      </c>
      <c r="K107" s="22" t="s">
        <v>1763</v>
      </c>
      <c r="L107" s="22" t="s">
        <v>1765</v>
      </c>
      <c r="M107" s="115" t="s">
        <v>1766</v>
      </c>
      <c r="N107" s="18" t="s">
        <v>52</v>
      </c>
      <c r="O107" s="153"/>
      <c r="P107" s="43" t="s">
        <v>53</v>
      </c>
      <c r="Q107" s="43" t="s">
        <v>54</v>
      </c>
      <c r="R107" s="47" t="s">
        <v>1768</v>
      </c>
      <c r="S107" s="50"/>
      <c r="T107" s="50"/>
      <c r="U107" s="50"/>
      <c r="V107" s="48"/>
      <c r="W107" s="48"/>
      <c r="X107" s="48"/>
    </row>
    <row r="108" hidden="1">
      <c r="A108" s="13"/>
      <c r="B108" s="17">
        <v>46212.0</v>
      </c>
      <c r="C108" s="22" t="s">
        <v>28</v>
      </c>
      <c r="D108" s="25" t="s">
        <v>1770</v>
      </c>
      <c r="E108" s="26"/>
      <c r="F108" s="26"/>
      <c r="G108" s="29" t="s">
        <v>1772</v>
      </c>
      <c r="H108" s="22" t="s">
        <v>1774</v>
      </c>
      <c r="I108" s="31"/>
      <c r="J108" s="22" t="s">
        <v>1775</v>
      </c>
      <c r="K108" s="29" t="s">
        <v>1776</v>
      </c>
      <c r="L108" s="29" t="s">
        <v>1777</v>
      </c>
      <c r="M108" s="115" t="s">
        <v>1779</v>
      </c>
      <c r="N108" s="18" t="s">
        <v>52</v>
      </c>
      <c r="O108" s="153"/>
      <c r="P108" s="43" t="s">
        <v>53</v>
      </c>
      <c r="Q108" s="43" t="s">
        <v>54</v>
      </c>
      <c r="R108" s="47" t="s">
        <v>1783</v>
      </c>
      <c r="S108" s="50"/>
      <c r="T108" s="50"/>
      <c r="U108" s="50"/>
      <c r="V108" s="48"/>
      <c r="W108" s="48"/>
      <c r="X108" s="48"/>
    </row>
    <row r="109" hidden="1">
      <c r="A109" s="13"/>
      <c r="B109" s="17">
        <v>46212.0</v>
      </c>
      <c r="C109" s="22" t="s">
        <v>28</v>
      </c>
      <c r="D109" s="25" t="s">
        <v>1785</v>
      </c>
      <c r="E109" s="26"/>
      <c r="F109" s="26"/>
      <c r="G109" s="29" t="s">
        <v>1787</v>
      </c>
      <c r="H109" s="22" t="s">
        <v>1774</v>
      </c>
      <c r="I109" s="31"/>
      <c r="J109" s="22" t="s">
        <v>1788</v>
      </c>
      <c r="K109" s="29" t="s">
        <v>1789</v>
      </c>
      <c r="L109" s="29" t="s">
        <v>1790</v>
      </c>
      <c r="M109" s="115" t="s">
        <v>1791</v>
      </c>
      <c r="N109" s="18" t="s">
        <v>52</v>
      </c>
      <c r="O109" s="153"/>
      <c r="P109" s="43" t="s">
        <v>53</v>
      </c>
      <c r="Q109" s="43" t="s">
        <v>54</v>
      </c>
      <c r="R109" s="47" t="s">
        <v>1793</v>
      </c>
      <c r="S109" s="50"/>
      <c r="T109" s="50"/>
      <c r="U109" s="50"/>
      <c r="V109" s="48"/>
      <c r="W109" s="48"/>
      <c r="X109" s="48"/>
    </row>
    <row r="110" hidden="1">
      <c r="A110" s="13"/>
      <c r="B110" s="17">
        <v>46212.0</v>
      </c>
      <c r="C110" s="22" t="s">
        <v>28</v>
      </c>
      <c r="D110" s="25" t="s">
        <v>1794</v>
      </c>
      <c r="E110" s="26"/>
      <c r="F110" s="26"/>
      <c r="G110" s="29" t="s">
        <v>1796</v>
      </c>
      <c r="H110" s="22" t="s">
        <v>1797</v>
      </c>
      <c r="I110" s="31"/>
      <c r="J110" s="22" t="s">
        <v>1788</v>
      </c>
      <c r="K110" s="29" t="s">
        <v>1798</v>
      </c>
      <c r="L110" s="29" t="s">
        <v>1800</v>
      </c>
      <c r="M110" s="115" t="s">
        <v>1801</v>
      </c>
      <c r="N110" s="18" t="s">
        <v>52</v>
      </c>
      <c r="O110" s="153"/>
      <c r="P110" s="43" t="s">
        <v>53</v>
      </c>
      <c r="Q110" s="43" t="s">
        <v>54</v>
      </c>
      <c r="R110" s="47" t="s">
        <v>1807</v>
      </c>
      <c r="S110" s="50"/>
      <c r="T110" s="50"/>
      <c r="U110" s="50"/>
      <c r="V110" s="48"/>
      <c r="W110" s="48"/>
      <c r="X110" s="48"/>
    </row>
    <row r="111" hidden="1">
      <c r="A111" s="13"/>
      <c r="B111" s="17">
        <v>46212.0</v>
      </c>
      <c r="C111" s="22" t="s">
        <v>28</v>
      </c>
      <c r="D111" s="25" t="s">
        <v>1808</v>
      </c>
      <c r="E111" s="26"/>
      <c r="F111" s="26"/>
      <c r="G111" s="29" t="s">
        <v>1809</v>
      </c>
      <c r="H111" s="22" t="s">
        <v>1774</v>
      </c>
      <c r="I111" s="31"/>
      <c r="J111" s="22" t="s">
        <v>1788</v>
      </c>
      <c r="K111" s="29" t="s">
        <v>1812</v>
      </c>
      <c r="L111" s="29" t="s">
        <v>1813</v>
      </c>
      <c r="M111" s="115" t="s">
        <v>1814</v>
      </c>
      <c r="N111" s="18" t="s">
        <v>52</v>
      </c>
      <c r="O111" s="153"/>
      <c r="P111" s="43" t="s">
        <v>53</v>
      </c>
      <c r="Q111" s="43" t="s">
        <v>54</v>
      </c>
      <c r="R111" s="47" t="s">
        <v>1816</v>
      </c>
      <c r="S111" s="50"/>
      <c r="T111" s="50"/>
      <c r="U111" s="50"/>
      <c r="V111" s="48"/>
      <c r="W111" s="48"/>
      <c r="X111" s="48"/>
    </row>
    <row r="112" hidden="1">
      <c r="A112" s="13"/>
      <c r="B112" s="154">
        <v>46219.0</v>
      </c>
      <c r="C112" s="155" t="s">
        <v>28</v>
      </c>
      <c r="D112" s="156" t="s">
        <v>1821</v>
      </c>
      <c r="E112" s="13"/>
      <c r="F112" s="13"/>
      <c r="G112" s="156" t="s">
        <v>1822</v>
      </c>
      <c r="H112" s="155" t="s">
        <v>1823</v>
      </c>
      <c r="I112" s="116" t="s">
        <v>1824</v>
      </c>
      <c r="J112" s="155" t="s">
        <v>1825</v>
      </c>
      <c r="K112" s="156" t="s">
        <v>1826</v>
      </c>
      <c r="L112" s="156" t="s">
        <v>1827</v>
      </c>
      <c r="M112" s="157" t="s">
        <v>1828</v>
      </c>
      <c r="N112" s="124" t="s">
        <v>52</v>
      </c>
      <c r="O112" s="158"/>
      <c r="P112" s="43" t="s">
        <v>53</v>
      </c>
      <c r="Q112" s="130" t="s">
        <v>54</v>
      </c>
      <c r="R112" s="47" t="s">
        <v>1829</v>
      </c>
      <c r="S112" s="50"/>
      <c r="T112" s="50"/>
      <c r="U112" s="50"/>
      <c r="V112" s="48"/>
      <c r="W112" s="48"/>
      <c r="X112" s="48"/>
    </row>
    <row r="113" hidden="1">
      <c r="A113" s="13"/>
      <c r="B113" s="154">
        <v>46219.0</v>
      </c>
      <c r="C113" s="155" t="s">
        <v>28</v>
      </c>
      <c r="D113" s="156" t="s">
        <v>1832</v>
      </c>
      <c r="E113" s="13"/>
      <c r="F113" s="13"/>
      <c r="G113" s="156" t="s">
        <v>1833</v>
      </c>
      <c r="H113" s="155" t="s">
        <v>1834</v>
      </c>
      <c r="I113" s="116" t="s">
        <v>1835</v>
      </c>
      <c r="J113" s="155" t="s">
        <v>1836</v>
      </c>
      <c r="K113" s="156" t="s">
        <v>1837</v>
      </c>
      <c r="L113" s="156" t="s">
        <v>1838</v>
      </c>
      <c r="M113" s="157" t="s">
        <v>1839</v>
      </c>
      <c r="N113" s="124" t="s">
        <v>52</v>
      </c>
      <c r="O113" s="158"/>
      <c r="P113" s="43" t="s">
        <v>53</v>
      </c>
      <c r="Q113" s="130" t="s">
        <v>54</v>
      </c>
      <c r="R113" s="47" t="s">
        <v>1841</v>
      </c>
      <c r="S113" s="50"/>
      <c r="T113" s="50"/>
      <c r="U113" s="50"/>
      <c r="V113" s="48"/>
      <c r="W113" s="48"/>
      <c r="X113" s="48"/>
    </row>
    <row r="114" hidden="1">
      <c r="A114" s="13"/>
      <c r="B114" s="154">
        <v>46220.0</v>
      </c>
      <c r="C114" s="155" t="s">
        <v>28</v>
      </c>
      <c r="D114" s="156" t="s">
        <v>1842</v>
      </c>
      <c r="E114" s="13"/>
      <c r="F114" s="13"/>
      <c r="G114" s="156" t="s">
        <v>1844</v>
      </c>
      <c r="H114" s="155" t="s">
        <v>1845</v>
      </c>
      <c r="I114" s="116" t="s">
        <v>1847</v>
      </c>
      <c r="J114" s="155" t="s">
        <v>1848</v>
      </c>
      <c r="K114" s="156" t="s">
        <v>1849</v>
      </c>
      <c r="L114" s="156" t="s">
        <v>1850</v>
      </c>
      <c r="M114" s="157" t="s">
        <v>1852</v>
      </c>
      <c r="N114" s="124" t="s">
        <v>52</v>
      </c>
      <c r="O114" s="158"/>
      <c r="P114" s="130" t="s">
        <v>53</v>
      </c>
      <c r="Q114" s="130" t="s">
        <v>54</v>
      </c>
      <c r="R114" s="47" t="s">
        <v>1853</v>
      </c>
      <c r="S114" s="50"/>
      <c r="T114" s="50"/>
      <c r="U114" s="50"/>
      <c r="V114" s="48"/>
      <c r="W114" s="48"/>
      <c r="X114" s="48"/>
    </row>
    <row r="115" hidden="1">
      <c r="A115" s="111"/>
      <c r="B115" s="159">
        <v>45.0</v>
      </c>
      <c r="C115" s="160" t="s">
        <v>28</v>
      </c>
      <c r="D115" s="161" t="str">
        <f>IF(G115&lt;&gt;"","PDHSTVV_"&amp;TEXT(COUNTIF($G115:G$510,"&lt;&gt;"),"00"),"")</f>
        <v>PDHSTVV_01</v>
      </c>
      <c r="E115" s="73" t="s">
        <v>1857</v>
      </c>
      <c r="F115" s="73" t="s">
        <v>514</v>
      </c>
      <c r="G115" s="162" t="s">
        <v>1858</v>
      </c>
      <c r="H115" s="160" t="s">
        <v>1323</v>
      </c>
      <c r="I115" s="163"/>
      <c r="J115" s="160" t="s">
        <v>1185</v>
      </c>
      <c r="K115" s="160" t="s">
        <v>1858</v>
      </c>
      <c r="L115" s="163"/>
      <c r="M115" s="163"/>
      <c r="N115" s="112" t="s">
        <v>52</v>
      </c>
      <c r="O115" s="164"/>
      <c r="P115" s="165" t="s">
        <v>53</v>
      </c>
      <c r="Q115" s="165"/>
      <c r="R115" s="163"/>
      <c r="S115" s="31"/>
      <c r="T115" s="31"/>
      <c r="U115" s="31"/>
      <c r="V115" s="31"/>
      <c r="W115" s="31"/>
      <c r="X115" s="31"/>
      <c r="Y115" s="32"/>
      <c r="Z115" s="32"/>
      <c r="AA115" s="32"/>
      <c r="AB115" s="32"/>
      <c r="AC115" s="32"/>
    </row>
  </sheetData>
  <autoFilter ref="$A$1:$X$115">
    <filterColumn colId="22">
      <filters>
        <filter val="Reopen"/>
      </filters>
    </filterColumn>
  </autoFilter>
  <dataValidations>
    <dataValidation type="list" allowBlank="1" showErrorMessage="1" sqref="C2:C115">
      <formula1>"Tuần 1,Tuần 2,Tuần 3,Tuần 4"</formula1>
    </dataValidation>
    <dataValidation type="list" allowBlank="1" showErrorMessage="1" sqref="U4">
      <formula1>"Pass,Fail"</formula1>
    </dataValidation>
    <dataValidation type="list" allowBlank="1" showErrorMessage="1" sqref="W2:W3 W8 W22 W36 W52:W53 W56 W58 W64 P2:Q114 Q115">
      <formula1>"BA confirm,Reopen,InProcess,Pass,Reject,dev done,Open"</formula1>
    </dataValidation>
    <dataValidation type="list" allowBlank="1" showErrorMessage="1" sqref="P115 V115">
      <formula1>"New,Reopent,InProcess,Resoved,Reject,dev done"</formula1>
    </dataValidation>
    <dataValidation type="list" allowBlank="1" showErrorMessage="1" sqref="U2:U3 U8 U22 U36 U52:U53 U56 U58 U64">
      <formula1>"Pass,Fail,Open,Reopen"</formula1>
    </dataValidation>
    <dataValidation type="list" allowBlank="1" showErrorMessage="1" sqref="N2:N115 T115">
      <formula1>"Pass,Fail,N/R"</formula1>
    </dataValidation>
  </dataValidations>
  <hyperlinks>
    <hyperlink r:id="rId1" ref="M2"/>
    <hyperlink r:id="rId2" ref="M3"/>
    <hyperlink r:id="rId3" ref="T3"/>
    <hyperlink r:id="rId4" ref="M4"/>
    <hyperlink r:id="rId5" ref="M5"/>
    <hyperlink r:id="rId6" ref="M6"/>
    <hyperlink r:id="rId7" ref="M7"/>
    <hyperlink r:id="rId8" ref="M8"/>
    <hyperlink r:id="rId9" ref="T8"/>
    <hyperlink r:id="rId10" ref="M9"/>
    <hyperlink r:id="rId11" ref="M10"/>
    <hyperlink r:id="rId12" ref="M11"/>
    <hyperlink r:id="rId13" ref="M12"/>
    <hyperlink r:id="rId14" ref="M13"/>
    <hyperlink r:id="rId15" ref="M14"/>
    <hyperlink r:id="rId16" ref="M15"/>
    <hyperlink r:id="rId17" ref="M16"/>
    <hyperlink r:id="rId18" ref="M17"/>
    <hyperlink r:id="rId19" ref="M18"/>
    <hyperlink r:id="rId20" ref="M19"/>
    <hyperlink r:id="rId21" ref="M20"/>
    <hyperlink r:id="rId22" ref="M21"/>
    <hyperlink r:id="rId23" ref="M22"/>
    <hyperlink r:id="rId24" ref="T22"/>
    <hyperlink r:id="rId25" ref="M23"/>
    <hyperlink r:id="rId26" ref="M24"/>
    <hyperlink r:id="rId27" ref="M25"/>
    <hyperlink r:id="rId28" ref="M26"/>
    <hyperlink r:id="rId29" ref="M27"/>
    <hyperlink r:id="rId30" ref="M28"/>
    <hyperlink r:id="rId31" ref="M29"/>
    <hyperlink r:id="rId32" ref="M30"/>
    <hyperlink r:id="rId33" ref="M31"/>
    <hyperlink r:id="rId34" ref="M32"/>
    <hyperlink r:id="rId35" ref="M33"/>
    <hyperlink r:id="rId36" ref="M34"/>
    <hyperlink r:id="rId37" ref="M35"/>
    <hyperlink r:id="rId38" ref="M36"/>
    <hyperlink r:id="rId39" ref="T36"/>
    <hyperlink r:id="rId40" ref="M37"/>
    <hyperlink r:id="rId41" ref="M38"/>
    <hyperlink r:id="rId42" ref="M39"/>
    <hyperlink r:id="rId43" ref="M40"/>
    <hyperlink r:id="rId44" ref="M42"/>
    <hyperlink r:id="rId45" ref="M43"/>
    <hyperlink r:id="rId46" ref="M44"/>
    <hyperlink r:id="rId47" ref="M45"/>
    <hyperlink r:id="rId48" ref="M46"/>
    <hyperlink r:id="rId49" ref="M47"/>
    <hyperlink r:id="rId50" ref="M48"/>
    <hyperlink r:id="rId51" ref="M49"/>
    <hyperlink r:id="rId52" ref="M50"/>
    <hyperlink r:id="rId53" ref="M51"/>
    <hyperlink r:id="rId54" ref="M52"/>
    <hyperlink r:id="rId55" ref="T52"/>
    <hyperlink r:id="rId56" ref="M53"/>
    <hyperlink r:id="rId57" ref="T53"/>
    <hyperlink r:id="rId58" ref="M54"/>
    <hyperlink r:id="rId59" ref="M55"/>
    <hyperlink r:id="rId60" ref="M56"/>
    <hyperlink r:id="rId61" ref="T56"/>
    <hyperlink r:id="rId62" ref="M57"/>
    <hyperlink r:id="rId63" ref="M58"/>
    <hyperlink r:id="rId64" ref="T58"/>
    <hyperlink r:id="rId65" ref="M59"/>
    <hyperlink r:id="rId66" ref="M60"/>
    <hyperlink r:id="rId67" ref="M61"/>
    <hyperlink r:id="rId68" ref="M62"/>
    <hyperlink r:id="rId69" ref="M63"/>
    <hyperlink r:id="rId70" ref="M64"/>
    <hyperlink r:id="rId71" ref="T64"/>
    <hyperlink r:id="rId72" ref="M65"/>
    <hyperlink r:id="rId73" ref="M66"/>
    <hyperlink r:id="rId74" ref="M67"/>
    <hyperlink r:id="rId75" ref="M68"/>
    <hyperlink r:id="rId76" ref="M69"/>
    <hyperlink r:id="rId77" ref="M70"/>
    <hyperlink r:id="rId78" ref="M71"/>
    <hyperlink r:id="rId79" ref="M72"/>
    <hyperlink r:id="rId80" ref="M73"/>
    <hyperlink r:id="rId81" ref="M74"/>
    <hyperlink r:id="rId82" ref="M75"/>
    <hyperlink r:id="rId83" ref="M76"/>
    <hyperlink r:id="rId84" ref="M77"/>
    <hyperlink r:id="rId85" ref="M78"/>
    <hyperlink r:id="rId86" ref="M79"/>
    <hyperlink r:id="rId87" ref="M80"/>
    <hyperlink r:id="rId88" ref="M81"/>
    <hyperlink r:id="rId89" ref="M82"/>
    <hyperlink r:id="rId90" ref="M83"/>
    <hyperlink r:id="rId91" ref="M84"/>
    <hyperlink r:id="rId92" ref="M85"/>
    <hyperlink r:id="rId93" ref="M86"/>
    <hyperlink r:id="rId94" ref="M87"/>
    <hyperlink r:id="rId95" ref="M88"/>
    <hyperlink r:id="rId96" ref="M89"/>
    <hyperlink r:id="rId97" ref="M90"/>
    <hyperlink r:id="rId98" ref="M91"/>
    <hyperlink r:id="rId99" ref="M92"/>
    <hyperlink r:id="rId100" ref="M93"/>
    <hyperlink r:id="rId101" ref="M94"/>
    <hyperlink r:id="rId102" ref="M95"/>
    <hyperlink r:id="rId103" ref="M96"/>
    <hyperlink r:id="rId104" ref="M97"/>
    <hyperlink r:id="rId105" ref="M98"/>
    <hyperlink r:id="rId106" ref="M99"/>
    <hyperlink r:id="rId107" ref="M100"/>
    <hyperlink r:id="rId108" ref="M101"/>
    <hyperlink r:id="rId109" ref="M102"/>
    <hyperlink r:id="rId110" ref="M103"/>
    <hyperlink r:id="rId111" ref="M104"/>
    <hyperlink r:id="rId112" ref="M105"/>
    <hyperlink r:id="rId113" ref="M106"/>
    <hyperlink r:id="rId114" ref="M107"/>
    <hyperlink r:id="rId115" ref="M108"/>
    <hyperlink r:id="rId116" ref="M109"/>
    <hyperlink r:id="rId117" ref="M110"/>
    <hyperlink r:id="rId118" ref="M111"/>
  </hyperlinks>
  <drawing r:id="rId1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7.25"/>
    <col customWidth="1" min="2" max="2" width="12.0"/>
    <col customWidth="1" min="4" max="4" width="20.0"/>
    <col customWidth="1" min="6" max="6" width="28.25"/>
    <col customWidth="1" min="7" max="7" width="23.25"/>
    <col customWidth="1" min="8" max="8" width="33.88"/>
    <col customWidth="1" min="9" max="9" width="21.13"/>
    <col customWidth="1" min="10" max="10" width="33.88"/>
    <col customWidth="1" min="11" max="12" width="34.5"/>
    <col customWidth="1" min="13" max="13" width="26.63"/>
    <col customWidth="1" min="15" max="15" width="17.0"/>
    <col customWidth="1" min="16" max="16" width="17.63"/>
    <col customWidth="1" min="17" max="17" width="14.38"/>
    <col customWidth="1" min="18" max="18" width="33.63"/>
  </cols>
  <sheetData>
    <row r="1">
      <c r="A1" s="3"/>
      <c r="B1" s="5" t="s">
        <v>1</v>
      </c>
      <c r="C1" s="5" t="s">
        <v>2</v>
      </c>
      <c r="D1" s="5" t="s">
        <v>3</v>
      </c>
      <c r="E1" s="5" t="s">
        <v>4</v>
      </c>
      <c r="F1" s="6" t="s">
        <v>5</v>
      </c>
      <c r="G1" s="5" t="s">
        <v>6</v>
      </c>
      <c r="H1" s="5" t="s">
        <v>7</v>
      </c>
      <c r="I1" s="5" t="s">
        <v>8</v>
      </c>
      <c r="J1" s="5" t="s">
        <v>9</v>
      </c>
      <c r="K1" s="5" t="s">
        <v>10</v>
      </c>
      <c r="L1" s="5" t="s">
        <v>11</v>
      </c>
      <c r="M1" s="5" t="s">
        <v>12</v>
      </c>
      <c r="N1" s="5" t="s">
        <v>13</v>
      </c>
      <c r="O1" s="5" t="s">
        <v>14</v>
      </c>
      <c r="P1" s="8" t="s">
        <v>15</v>
      </c>
      <c r="Q1" s="6" t="s">
        <v>16</v>
      </c>
      <c r="R1" s="6" t="s">
        <v>17</v>
      </c>
      <c r="S1" s="5" t="s">
        <v>18</v>
      </c>
      <c r="T1" s="5" t="s">
        <v>19</v>
      </c>
      <c r="U1" s="5" t="s">
        <v>20</v>
      </c>
      <c r="V1" s="5" t="s">
        <v>21</v>
      </c>
      <c r="W1" s="5" t="s">
        <v>22</v>
      </c>
      <c r="X1" s="5" t="s">
        <v>23</v>
      </c>
      <c r="Y1" s="9"/>
      <c r="Z1" s="9"/>
      <c r="AA1" s="9"/>
      <c r="AB1" s="10"/>
      <c r="AC1" s="9"/>
      <c r="AD1" s="10"/>
    </row>
    <row r="2">
      <c r="A2" s="13"/>
      <c r="B2" s="15">
        <v>46213.0</v>
      </c>
      <c r="C2" s="18" t="s">
        <v>25</v>
      </c>
      <c r="D2" s="21" t="s">
        <v>27</v>
      </c>
      <c r="E2" s="23"/>
      <c r="F2" s="23"/>
      <c r="G2" s="28" t="s">
        <v>34</v>
      </c>
      <c r="H2" s="30" t="s">
        <v>38</v>
      </c>
      <c r="I2" s="32"/>
      <c r="J2" s="30" t="s">
        <v>46</v>
      </c>
      <c r="K2" s="28" t="s">
        <v>48</v>
      </c>
      <c r="L2" s="28" t="s">
        <v>50</v>
      </c>
      <c r="M2" s="37" t="s">
        <v>51</v>
      </c>
      <c r="N2" s="30" t="s">
        <v>52</v>
      </c>
      <c r="O2" s="23"/>
      <c r="P2" s="43" t="s">
        <v>53</v>
      </c>
      <c r="Q2" s="43" t="s">
        <v>54</v>
      </c>
      <c r="R2" s="47" t="s">
        <v>56</v>
      </c>
      <c r="S2" s="48"/>
      <c r="T2" s="48"/>
      <c r="U2" s="48"/>
      <c r="V2" s="48"/>
      <c r="W2" s="48"/>
      <c r="X2" s="48"/>
    </row>
    <row r="3">
      <c r="A3" s="51"/>
      <c r="B3" s="15">
        <v>46213.0</v>
      </c>
      <c r="C3" s="18" t="s">
        <v>25</v>
      </c>
      <c r="D3" s="21" t="s">
        <v>60</v>
      </c>
      <c r="E3" s="23"/>
      <c r="F3" s="23"/>
      <c r="G3" s="28" t="s">
        <v>63</v>
      </c>
      <c r="H3" s="30" t="s">
        <v>38</v>
      </c>
      <c r="I3" s="23"/>
      <c r="J3" s="30" t="s">
        <v>69</v>
      </c>
      <c r="K3" s="28" t="s">
        <v>71</v>
      </c>
      <c r="L3" s="28" t="s">
        <v>73</v>
      </c>
      <c r="M3" s="65" t="s">
        <v>76</v>
      </c>
      <c r="N3" s="30" t="s">
        <v>52</v>
      </c>
      <c r="O3" s="23"/>
      <c r="P3" s="43" t="s">
        <v>53</v>
      </c>
      <c r="Q3" s="43" t="s">
        <v>54</v>
      </c>
      <c r="R3" s="47" t="s">
        <v>85</v>
      </c>
      <c r="S3" s="48"/>
      <c r="T3" s="48"/>
      <c r="U3" s="48"/>
      <c r="V3" s="48"/>
      <c r="W3" s="48"/>
      <c r="X3" s="48"/>
    </row>
    <row r="4">
      <c r="A4" s="51"/>
      <c r="B4" s="15">
        <v>46213.0</v>
      </c>
      <c r="C4" s="18" t="s">
        <v>25</v>
      </c>
      <c r="D4" s="21" t="s">
        <v>93</v>
      </c>
      <c r="E4" s="23"/>
      <c r="F4" s="23"/>
      <c r="G4" s="28" t="s">
        <v>97</v>
      </c>
      <c r="H4" s="30" t="s">
        <v>98</v>
      </c>
      <c r="I4" s="23"/>
      <c r="J4" s="30" t="s">
        <v>99</v>
      </c>
      <c r="K4" s="30" t="s">
        <v>100</v>
      </c>
      <c r="L4" s="30" t="s">
        <v>101</v>
      </c>
      <c r="M4" s="65" t="s">
        <v>102</v>
      </c>
      <c r="N4" s="30" t="s">
        <v>52</v>
      </c>
      <c r="O4" s="32"/>
      <c r="P4" s="43" t="s">
        <v>53</v>
      </c>
      <c r="Q4" s="43" t="s">
        <v>54</v>
      </c>
      <c r="R4" s="47" t="s">
        <v>107</v>
      </c>
      <c r="S4" s="48"/>
      <c r="T4" s="48"/>
      <c r="U4" s="48"/>
      <c r="V4" s="48"/>
      <c r="W4" s="48"/>
      <c r="X4" s="48"/>
    </row>
    <row r="5">
      <c r="A5" s="13"/>
      <c r="B5" s="15">
        <v>46213.0</v>
      </c>
      <c r="C5" s="18" t="s">
        <v>25</v>
      </c>
      <c r="D5" s="21" t="s">
        <v>111</v>
      </c>
      <c r="E5" s="23"/>
      <c r="F5" s="23"/>
      <c r="G5" s="28" t="s">
        <v>113</v>
      </c>
      <c r="H5" s="30" t="s">
        <v>115</v>
      </c>
      <c r="I5" s="23"/>
      <c r="J5" s="30" t="s">
        <v>99</v>
      </c>
      <c r="K5" s="30" t="s">
        <v>117</v>
      </c>
      <c r="L5" s="30" t="s">
        <v>118</v>
      </c>
      <c r="M5" s="79" t="s">
        <v>119</v>
      </c>
      <c r="N5" s="30" t="s">
        <v>52</v>
      </c>
      <c r="O5" s="32"/>
      <c r="P5" s="43" t="s">
        <v>53</v>
      </c>
      <c r="Q5" s="43" t="s">
        <v>54</v>
      </c>
      <c r="R5" s="47" t="s">
        <v>134</v>
      </c>
      <c r="S5" s="48"/>
      <c r="T5" s="48"/>
      <c r="U5" s="48"/>
      <c r="V5" s="48"/>
      <c r="W5" s="48"/>
      <c r="X5" s="48"/>
    </row>
    <row r="6">
      <c r="A6" s="13"/>
      <c r="B6" s="82">
        <v>62.0</v>
      </c>
      <c r="C6" s="18" t="s">
        <v>25</v>
      </c>
      <c r="D6" s="83" t="s">
        <v>137</v>
      </c>
      <c r="E6" s="84" t="s">
        <v>139</v>
      </c>
      <c r="F6" s="84" t="s">
        <v>140</v>
      </c>
      <c r="G6" s="85" t="s">
        <v>142</v>
      </c>
      <c r="H6" s="30" t="s">
        <v>144</v>
      </c>
      <c r="I6" s="32"/>
      <c r="J6" s="30" t="s">
        <v>147</v>
      </c>
      <c r="K6" s="30" t="s">
        <v>142</v>
      </c>
      <c r="L6" s="30" t="s">
        <v>150</v>
      </c>
      <c r="M6" s="79" t="s">
        <v>152</v>
      </c>
      <c r="N6" s="30" t="s">
        <v>52</v>
      </c>
      <c r="O6" s="32"/>
      <c r="P6" s="43" t="s">
        <v>55</v>
      </c>
      <c r="Q6" s="43" t="s">
        <v>55</v>
      </c>
      <c r="R6" s="47" t="s">
        <v>161</v>
      </c>
      <c r="S6" s="48"/>
      <c r="T6" s="48"/>
      <c r="U6" s="48"/>
      <c r="V6" s="48"/>
      <c r="W6" s="86" t="s">
        <v>162</v>
      </c>
      <c r="X6" s="86" t="s">
        <v>162</v>
      </c>
    </row>
    <row r="7">
      <c r="A7" s="13"/>
      <c r="B7" s="15">
        <v>46213.0</v>
      </c>
      <c r="C7" s="18" t="s">
        <v>25</v>
      </c>
      <c r="D7" s="21" t="s">
        <v>166</v>
      </c>
      <c r="E7" s="23"/>
      <c r="F7" s="23"/>
      <c r="G7" s="28" t="s">
        <v>169</v>
      </c>
      <c r="H7" s="30" t="s">
        <v>170</v>
      </c>
      <c r="I7" s="32"/>
      <c r="J7" s="30" t="s">
        <v>173</v>
      </c>
      <c r="K7" s="30" t="s">
        <v>174</v>
      </c>
      <c r="L7" s="30" t="s">
        <v>176</v>
      </c>
      <c r="M7" s="79" t="s">
        <v>177</v>
      </c>
      <c r="N7" s="30" t="s">
        <v>52</v>
      </c>
      <c r="O7" s="32"/>
      <c r="P7" s="43" t="s">
        <v>53</v>
      </c>
      <c r="Q7" s="43" t="s">
        <v>54</v>
      </c>
      <c r="R7" s="47" t="s">
        <v>188</v>
      </c>
      <c r="S7" s="48"/>
      <c r="T7" s="48"/>
      <c r="U7" s="48"/>
      <c r="V7" s="48"/>
      <c r="W7" s="48"/>
      <c r="X7" s="48"/>
    </row>
    <row r="8">
      <c r="A8" s="13"/>
      <c r="B8" s="15">
        <v>46213.0</v>
      </c>
      <c r="C8" s="18" t="s">
        <v>25</v>
      </c>
      <c r="D8" s="21" t="s">
        <v>190</v>
      </c>
      <c r="E8" s="23"/>
      <c r="F8" s="23"/>
      <c r="G8" s="28" t="s">
        <v>194</v>
      </c>
      <c r="H8" s="30" t="s">
        <v>198</v>
      </c>
      <c r="I8" s="32"/>
      <c r="J8" s="30" t="s">
        <v>173</v>
      </c>
      <c r="K8" s="30" t="s">
        <v>202</v>
      </c>
      <c r="L8" s="30" t="s">
        <v>204</v>
      </c>
      <c r="M8" s="87" t="s">
        <v>206</v>
      </c>
      <c r="N8" s="30" t="s">
        <v>52</v>
      </c>
      <c r="O8" s="32"/>
      <c r="P8" s="43" t="s">
        <v>53</v>
      </c>
      <c r="Q8" s="43" t="s">
        <v>54</v>
      </c>
      <c r="R8" s="47" t="s">
        <v>213</v>
      </c>
      <c r="S8" s="48"/>
      <c r="T8" s="48"/>
      <c r="U8" s="48"/>
      <c r="V8" s="48"/>
      <c r="W8" s="48"/>
      <c r="X8" s="48"/>
    </row>
    <row r="9">
      <c r="A9" s="13"/>
      <c r="B9" s="15">
        <v>46213.0</v>
      </c>
      <c r="C9" s="18" t="s">
        <v>25</v>
      </c>
      <c r="D9" s="21" t="s">
        <v>216</v>
      </c>
      <c r="E9" s="23"/>
      <c r="F9" s="23"/>
      <c r="G9" s="28" t="s">
        <v>220</v>
      </c>
      <c r="H9" s="30" t="s">
        <v>170</v>
      </c>
      <c r="I9" s="32"/>
      <c r="J9" s="30" t="s">
        <v>222</v>
      </c>
      <c r="K9" s="30" t="s">
        <v>224</v>
      </c>
      <c r="L9" s="30" t="s">
        <v>225</v>
      </c>
      <c r="M9" s="87" t="s">
        <v>226</v>
      </c>
      <c r="N9" s="30" t="s">
        <v>52</v>
      </c>
      <c r="O9" s="32"/>
      <c r="P9" s="43" t="s">
        <v>53</v>
      </c>
      <c r="Q9" s="43" t="s">
        <v>54</v>
      </c>
      <c r="R9" s="47" t="s">
        <v>232</v>
      </c>
      <c r="S9" s="48"/>
      <c r="T9" s="48"/>
      <c r="U9" s="48"/>
      <c r="V9" s="48"/>
      <c r="W9" s="48"/>
      <c r="X9" s="48"/>
    </row>
    <row r="10">
      <c r="A10" s="13"/>
      <c r="B10" s="15">
        <v>46213.0</v>
      </c>
      <c r="C10" s="18" t="s">
        <v>25</v>
      </c>
      <c r="D10" s="21" t="s">
        <v>236</v>
      </c>
      <c r="E10" s="23"/>
      <c r="F10" s="23"/>
      <c r="G10" s="28" t="s">
        <v>34</v>
      </c>
      <c r="H10" s="30" t="s">
        <v>170</v>
      </c>
      <c r="I10" s="32"/>
      <c r="J10" s="30" t="s">
        <v>240</v>
      </c>
      <c r="K10" s="30" t="s">
        <v>242</v>
      </c>
      <c r="L10" s="30" t="s">
        <v>244</v>
      </c>
      <c r="M10" s="79" t="s">
        <v>245</v>
      </c>
      <c r="N10" s="30" t="s">
        <v>52</v>
      </c>
      <c r="O10" s="32"/>
      <c r="P10" s="43" t="s">
        <v>53</v>
      </c>
      <c r="Q10" s="43" t="s">
        <v>54</v>
      </c>
      <c r="R10" s="47" t="s">
        <v>252</v>
      </c>
      <c r="S10" s="48"/>
      <c r="T10" s="48"/>
      <c r="U10" s="48"/>
      <c r="V10" s="48"/>
      <c r="W10" s="48"/>
      <c r="X10" s="48"/>
    </row>
    <row r="11">
      <c r="A11" s="13"/>
      <c r="B11" s="15">
        <v>46213.0</v>
      </c>
      <c r="C11" s="18" t="s">
        <v>25</v>
      </c>
      <c r="D11" s="21" t="s">
        <v>258</v>
      </c>
      <c r="E11" s="32"/>
      <c r="F11" s="32"/>
      <c r="G11" s="30" t="s">
        <v>263</v>
      </c>
      <c r="H11" s="30" t="s">
        <v>267</v>
      </c>
      <c r="I11" s="32"/>
      <c r="J11" s="30" t="s">
        <v>270</v>
      </c>
      <c r="K11" s="28" t="s">
        <v>64</v>
      </c>
      <c r="L11" s="30" t="s">
        <v>271</v>
      </c>
      <c r="M11" s="65" t="s">
        <v>272</v>
      </c>
      <c r="N11" s="30" t="s">
        <v>52</v>
      </c>
      <c r="O11" s="32"/>
      <c r="P11" s="43" t="s">
        <v>53</v>
      </c>
      <c r="Q11" s="43" t="s">
        <v>54</v>
      </c>
      <c r="R11" s="47" t="s">
        <v>277</v>
      </c>
      <c r="S11" s="48"/>
      <c r="T11" s="48"/>
      <c r="U11" s="48"/>
      <c r="V11" s="48"/>
      <c r="W11" s="48"/>
      <c r="X11" s="48"/>
    </row>
    <row r="12">
      <c r="A12" s="51"/>
      <c r="B12" s="15">
        <v>46213.0</v>
      </c>
      <c r="C12" s="18" t="s">
        <v>25</v>
      </c>
      <c r="D12" s="21" t="s">
        <v>280</v>
      </c>
      <c r="E12" s="32"/>
      <c r="F12" s="32"/>
      <c r="G12" s="30" t="s">
        <v>282</v>
      </c>
      <c r="H12" s="30" t="s">
        <v>283</v>
      </c>
      <c r="I12" s="32"/>
      <c r="J12" s="30" t="s">
        <v>285</v>
      </c>
      <c r="K12" s="30" t="s">
        <v>286</v>
      </c>
      <c r="L12" s="30" t="s">
        <v>288</v>
      </c>
      <c r="M12" s="89" t="s">
        <v>290</v>
      </c>
      <c r="N12" s="30" t="s">
        <v>52</v>
      </c>
      <c r="O12" s="32"/>
      <c r="P12" s="43" t="s">
        <v>53</v>
      </c>
      <c r="Q12" s="43" t="s">
        <v>54</v>
      </c>
      <c r="R12" s="47" t="s">
        <v>297</v>
      </c>
      <c r="S12" s="48"/>
      <c r="T12" s="48"/>
      <c r="U12" s="48"/>
      <c r="V12" s="48"/>
      <c r="W12" s="48"/>
      <c r="X12" s="48"/>
    </row>
    <row r="13">
      <c r="A13" s="13"/>
      <c r="B13" s="15">
        <v>46213.0</v>
      </c>
      <c r="C13" s="18" t="s">
        <v>25</v>
      </c>
      <c r="D13" s="21" t="s">
        <v>302</v>
      </c>
      <c r="E13" s="32"/>
      <c r="F13" s="32"/>
      <c r="G13" s="30" t="s">
        <v>304</v>
      </c>
      <c r="H13" s="30" t="s">
        <v>306</v>
      </c>
      <c r="I13" s="32"/>
      <c r="J13" s="30" t="s">
        <v>308</v>
      </c>
      <c r="K13" s="28" t="s">
        <v>64</v>
      </c>
      <c r="L13" s="30" t="s">
        <v>311</v>
      </c>
      <c r="M13" s="65" t="s">
        <v>312</v>
      </c>
      <c r="N13" s="30" t="s">
        <v>52</v>
      </c>
      <c r="O13" s="32"/>
      <c r="P13" s="43" t="s">
        <v>53</v>
      </c>
      <c r="Q13" s="43" t="s">
        <v>54</v>
      </c>
      <c r="R13" s="47" t="s">
        <v>317</v>
      </c>
      <c r="S13" s="48"/>
      <c r="T13" s="48"/>
      <c r="U13" s="48"/>
      <c r="V13" s="48"/>
      <c r="W13" s="48"/>
      <c r="X13" s="48"/>
    </row>
    <row r="14">
      <c r="A14" s="13"/>
      <c r="B14" s="15">
        <v>46213.0</v>
      </c>
      <c r="C14" s="18" t="s">
        <v>25</v>
      </c>
      <c r="D14" s="21" t="s">
        <v>318</v>
      </c>
      <c r="E14" s="23"/>
      <c r="F14" s="23"/>
      <c r="G14" s="28" t="s">
        <v>319</v>
      </c>
      <c r="H14" s="30" t="s">
        <v>321</v>
      </c>
      <c r="I14" s="32"/>
      <c r="J14" s="30" t="s">
        <v>323</v>
      </c>
      <c r="K14" s="30" t="s">
        <v>286</v>
      </c>
      <c r="L14" s="30" t="s">
        <v>327</v>
      </c>
      <c r="M14" s="65" t="s">
        <v>328</v>
      </c>
      <c r="N14" s="30" t="s">
        <v>52</v>
      </c>
      <c r="O14" s="32"/>
      <c r="P14" s="43" t="s">
        <v>53</v>
      </c>
      <c r="Q14" s="43" t="s">
        <v>54</v>
      </c>
      <c r="R14" s="47" t="s">
        <v>342</v>
      </c>
      <c r="S14" s="48"/>
      <c r="T14" s="48"/>
      <c r="U14" s="48"/>
      <c r="V14" s="48"/>
      <c r="W14" s="48"/>
      <c r="X14" s="48"/>
    </row>
    <row r="15">
      <c r="A15" s="13"/>
      <c r="B15" s="82">
        <v>67.0</v>
      </c>
      <c r="C15" s="18" t="s">
        <v>25</v>
      </c>
      <c r="D15" s="83" t="s">
        <v>345</v>
      </c>
      <c r="E15" s="84" t="s">
        <v>346</v>
      </c>
      <c r="F15" s="84" t="s">
        <v>347</v>
      </c>
      <c r="G15" s="85" t="s">
        <v>348</v>
      </c>
      <c r="H15" s="30" t="s">
        <v>349</v>
      </c>
      <c r="I15" s="32"/>
      <c r="J15" s="30" t="s">
        <v>350</v>
      </c>
      <c r="K15" s="30" t="s">
        <v>348</v>
      </c>
      <c r="L15" s="30" t="s">
        <v>351</v>
      </c>
      <c r="M15" s="79" t="s">
        <v>352</v>
      </c>
      <c r="N15" s="30" t="s">
        <v>52</v>
      </c>
      <c r="O15" s="32"/>
      <c r="P15" s="43" t="s">
        <v>53</v>
      </c>
      <c r="Q15" s="43" t="s">
        <v>54</v>
      </c>
      <c r="R15" s="47" t="s">
        <v>358</v>
      </c>
      <c r="S15" s="48"/>
      <c r="T15" s="48"/>
      <c r="U15" s="48"/>
      <c r="V15" s="48"/>
      <c r="W15" s="48"/>
      <c r="X15" s="48"/>
    </row>
    <row r="16">
      <c r="A16" s="13"/>
      <c r="B16" s="15">
        <v>46213.0</v>
      </c>
      <c r="C16" s="18" t="s">
        <v>25</v>
      </c>
      <c r="D16" s="21" t="s">
        <v>363</v>
      </c>
      <c r="E16" s="23"/>
      <c r="F16" s="23"/>
      <c r="G16" s="28" t="s">
        <v>365</v>
      </c>
      <c r="H16" s="30" t="s">
        <v>369</v>
      </c>
      <c r="I16" s="32"/>
      <c r="J16" s="30" t="s">
        <v>371</v>
      </c>
      <c r="K16" s="28" t="s">
        <v>374</v>
      </c>
      <c r="L16" s="30" t="s">
        <v>376</v>
      </c>
      <c r="M16" s="65" t="s">
        <v>378</v>
      </c>
      <c r="N16" s="30" t="s">
        <v>52</v>
      </c>
      <c r="O16" s="32"/>
      <c r="P16" s="43" t="s">
        <v>53</v>
      </c>
      <c r="Q16" s="43" t="s">
        <v>54</v>
      </c>
      <c r="R16" s="47" t="s">
        <v>389</v>
      </c>
      <c r="S16" s="48"/>
      <c r="T16" s="48"/>
      <c r="U16" s="48"/>
      <c r="V16" s="48"/>
      <c r="W16" s="48"/>
      <c r="X16" s="48"/>
    </row>
    <row r="17">
      <c r="A17" s="13"/>
      <c r="B17" s="15">
        <v>46213.0</v>
      </c>
      <c r="C17" s="18" t="s">
        <v>25</v>
      </c>
      <c r="D17" s="21" t="s">
        <v>397</v>
      </c>
      <c r="E17" s="23"/>
      <c r="F17" s="23"/>
      <c r="G17" s="28" t="s">
        <v>398</v>
      </c>
      <c r="H17" s="30" t="s">
        <v>369</v>
      </c>
      <c r="I17" s="32"/>
      <c r="J17" s="30" t="s">
        <v>400</v>
      </c>
      <c r="K17" s="30" t="s">
        <v>401</v>
      </c>
      <c r="L17" s="30" t="s">
        <v>403</v>
      </c>
      <c r="M17" s="65" t="s">
        <v>405</v>
      </c>
      <c r="N17" s="30" t="s">
        <v>52</v>
      </c>
      <c r="O17" s="32"/>
      <c r="P17" s="43" t="s">
        <v>55</v>
      </c>
      <c r="Q17" s="43" t="s">
        <v>419</v>
      </c>
      <c r="R17" s="47" t="s">
        <v>420</v>
      </c>
      <c r="S17" s="48"/>
      <c r="T17" s="48"/>
      <c r="U17" s="48"/>
      <c r="V17" s="48"/>
      <c r="W17" s="48"/>
      <c r="X17" s="48"/>
    </row>
    <row r="18">
      <c r="A18" s="13"/>
      <c r="B18" s="15">
        <v>46213.0</v>
      </c>
      <c r="C18" s="18" t="s">
        <v>25</v>
      </c>
      <c r="D18" s="21" t="s">
        <v>426</v>
      </c>
      <c r="E18" s="23"/>
      <c r="F18" s="23"/>
      <c r="G18" s="28" t="s">
        <v>429</v>
      </c>
      <c r="H18" s="30" t="s">
        <v>369</v>
      </c>
      <c r="I18" s="32"/>
      <c r="J18" s="30" t="s">
        <v>432</v>
      </c>
      <c r="K18" s="30" t="s">
        <v>433</v>
      </c>
      <c r="L18" s="30" t="s">
        <v>434</v>
      </c>
      <c r="M18" s="65" t="s">
        <v>435</v>
      </c>
      <c r="N18" s="30" t="s">
        <v>52</v>
      </c>
      <c r="O18" s="32"/>
      <c r="P18" s="43" t="s">
        <v>53</v>
      </c>
      <c r="Q18" s="43" t="s">
        <v>54</v>
      </c>
      <c r="R18" s="47" t="s">
        <v>451</v>
      </c>
      <c r="S18" s="48"/>
      <c r="T18" s="48"/>
      <c r="U18" s="48"/>
      <c r="V18" s="48"/>
      <c r="W18" s="48"/>
      <c r="X18" s="48"/>
    </row>
    <row r="19">
      <c r="A19" s="13"/>
      <c r="B19" s="15">
        <v>46213.0</v>
      </c>
      <c r="C19" s="18" t="s">
        <v>25</v>
      </c>
      <c r="D19" s="21" t="s">
        <v>455</v>
      </c>
      <c r="E19" s="23"/>
      <c r="F19" s="23"/>
      <c r="G19" s="28" t="s">
        <v>460</v>
      </c>
      <c r="H19" s="30" t="s">
        <v>369</v>
      </c>
      <c r="I19" s="32"/>
      <c r="J19" s="30" t="s">
        <v>432</v>
      </c>
      <c r="K19" s="28" t="s">
        <v>64</v>
      </c>
      <c r="L19" s="30" t="s">
        <v>463</v>
      </c>
      <c r="M19" s="65" t="s">
        <v>465</v>
      </c>
      <c r="N19" s="30" t="s">
        <v>52</v>
      </c>
      <c r="O19" s="32"/>
      <c r="P19" s="43" t="s">
        <v>53</v>
      </c>
      <c r="Q19" s="43" t="s">
        <v>54</v>
      </c>
      <c r="R19" s="47" t="s">
        <v>476</v>
      </c>
      <c r="S19" s="48"/>
      <c r="T19" s="48"/>
      <c r="U19" s="48"/>
      <c r="V19" s="48"/>
      <c r="W19" s="48"/>
      <c r="X19" s="48"/>
    </row>
    <row r="20">
      <c r="A20" s="13"/>
      <c r="B20" s="15">
        <v>46213.0</v>
      </c>
      <c r="C20" s="18" t="s">
        <v>25</v>
      </c>
      <c r="D20" s="21" t="s">
        <v>479</v>
      </c>
      <c r="E20" s="23"/>
      <c r="F20" s="23"/>
      <c r="G20" s="28" t="s">
        <v>482</v>
      </c>
      <c r="H20" s="30" t="s">
        <v>369</v>
      </c>
      <c r="I20" s="32"/>
      <c r="J20" s="30" t="s">
        <v>432</v>
      </c>
      <c r="K20" s="28" t="s">
        <v>64</v>
      </c>
      <c r="L20" s="30" t="s">
        <v>486</v>
      </c>
      <c r="M20" s="65" t="s">
        <v>489</v>
      </c>
      <c r="N20" s="30" t="s">
        <v>52</v>
      </c>
      <c r="O20" s="32"/>
      <c r="P20" s="43" t="s">
        <v>53</v>
      </c>
      <c r="Q20" s="43" t="s">
        <v>54</v>
      </c>
      <c r="R20" s="47" t="s">
        <v>499</v>
      </c>
      <c r="S20" s="48"/>
      <c r="T20" s="48"/>
      <c r="U20" s="48"/>
      <c r="V20" s="48"/>
      <c r="W20" s="48"/>
      <c r="X20" s="48"/>
    </row>
    <row r="21">
      <c r="A21" s="13"/>
      <c r="B21" s="15">
        <v>46213.0</v>
      </c>
      <c r="C21" s="18" t="s">
        <v>25</v>
      </c>
      <c r="D21" s="21" t="s">
        <v>503</v>
      </c>
      <c r="E21" s="23"/>
      <c r="F21" s="23"/>
      <c r="G21" s="28" t="s">
        <v>504</v>
      </c>
      <c r="H21" s="30" t="s">
        <v>369</v>
      </c>
      <c r="I21" s="32"/>
      <c r="J21" s="30" t="s">
        <v>432</v>
      </c>
      <c r="K21" s="28" t="s">
        <v>64</v>
      </c>
      <c r="L21" s="30" t="s">
        <v>505</v>
      </c>
      <c r="M21" s="65" t="s">
        <v>506</v>
      </c>
      <c r="N21" s="30" t="s">
        <v>52</v>
      </c>
      <c r="O21" s="32"/>
      <c r="P21" s="43" t="s">
        <v>53</v>
      </c>
      <c r="Q21" s="43" t="s">
        <v>54</v>
      </c>
      <c r="R21" s="47" t="s">
        <v>521</v>
      </c>
      <c r="S21" s="48"/>
      <c r="T21" s="48"/>
      <c r="U21" s="48"/>
      <c r="V21" s="48"/>
      <c r="W21" s="48"/>
      <c r="X21" s="48"/>
    </row>
    <row r="22">
      <c r="A22" s="13"/>
      <c r="B22" s="15">
        <v>46213.0</v>
      </c>
      <c r="C22" s="18" t="s">
        <v>25</v>
      </c>
      <c r="D22" s="21" t="s">
        <v>527</v>
      </c>
      <c r="E22" s="23"/>
      <c r="F22" s="23"/>
      <c r="G22" s="28" t="s">
        <v>528</v>
      </c>
      <c r="H22" s="30" t="s">
        <v>369</v>
      </c>
      <c r="I22" s="32"/>
      <c r="J22" s="30" t="s">
        <v>432</v>
      </c>
      <c r="K22" s="28" t="s">
        <v>64</v>
      </c>
      <c r="L22" s="30" t="s">
        <v>529</v>
      </c>
      <c r="M22" s="65" t="s">
        <v>531</v>
      </c>
      <c r="N22" s="30" t="s">
        <v>52</v>
      </c>
      <c r="O22" s="32"/>
      <c r="P22" s="43" t="s">
        <v>53</v>
      </c>
      <c r="Q22" s="43" t="s">
        <v>54</v>
      </c>
      <c r="R22" s="47" t="s">
        <v>539</v>
      </c>
      <c r="S22" s="48"/>
      <c r="T22" s="48"/>
      <c r="U22" s="48"/>
      <c r="V22" s="48"/>
      <c r="W22" s="48"/>
      <c r="X22" s="48"/>
    </row>
    <row r="23">
      <c r="A23" s="13"/>
      <c r="B23" s="15">
        <v>46213.0</v>
      </c>
      <c r="C23" s="18" t="s">
        <v>25</v>
      </c>
      <c r="D23" s="21" t="s">
        <v>544</v>
      </c>
      <c r="E23" s="23"/>
      <c r="F23" s="23"/>
      <c r="G23" s="28" t="s">
        <v>546</v>
      </c>
      <c r="H23" s="30" t="s">
        <v>369</v>
      </c>
      <c r="I23" s="32"/>
      <c r="J23" s="30" t="s">
        <v>547</v>
      </c>
      <c r="K23" s="30" t="s">
        <v>549</v>
      </c>
      <c r="L23" s="30" t="s">
        <v>551</v>
      </c>
      <c r="M23" s="65" t="s">
        <v>553</v>
      </c>
      <c r="N23" s="30" t="s">
        <v>52</v>
      </c>
      <c r="O23" s="32"/>
      <c r="P23" s="43" t="s">
        <v>55</v>
      </c>
      <c r="Q23" s="43" t="s">
        <v>55</v>
      </c>
      <c r="R23" s="47" t="s">
        <v>562</v>
      </c>
      <c r="S23" s="48"/>
      <c r="T23" s="48"/>
      <c r="U23" s="48"/>
      <c r="V23" s="48"/>
      <c r="W23" s="48"/>
      <c r="X23" s="48"/>
    </row>
    <row r="24">
      <c r="A24" s="111"/>
      <c r="B24" s="15">
        <v>46213.0</v>
      </c>
      <c r="C24" s="112" t="s">
        <v>25</v>
      </c>
      <c r="D24" s="21" t="s">
        <v>568</v>
      </c>
      <c r="E24" s="23"/>
      <c r="F24" s="23"/>
      <c r="G24" s="99" t="s">
        <v>59</v>
      </c>
      <c r="H24" s="113" t="s">
        <v>369</v>
      </c>
      <c r="I24" s="114"/>
      <c r="J24" s="113" t="s">
        <v>570</v>
      </c>
      <c r="K24" s="99" t="s">
        <v>571</v>
      </c>
      <c r="L24" s="113" t="s">
        <v>573</v>
      </c>
      <c r="M24" s="37" t="s">
        <v>574</v>
      </c>
      <c r="N24" s="113" t="s">
        <v>52</v>
      </c>
      <c r="O24" s="32"/>
      <c r="P24" s="43" t="s">
        <v>53</v>
      </c>
      <c r="Q24" s="43" t="s">
        <v>54</v>
      </c>
      <c r="R24" s="116" t="s">
        <v>581</v>
      </c>
      <c r="S24" s="117"/>
      <c r="T24" s="117"/>
      <c r="U24" s="117"/>
      <c r="V24" s="117"/>
      <c r="W24" s="117"/>
      <c r="X24" s="117"/>
      <c r="Y24" s="97"/>
      <c r="Z24" s="97"/>
      <c r="AA24" s="97"/>
      <c r="AB24" s="97"/>
      <c r="AC24" s="97"/>
    </row>
    <row r="25">
      <c r="A25" s="111"/>
      <c r="B25" s="15">
        <v>46213.0</v>
      </c>
      <c r="C25" s="112" t="s">
        <v>25</v>
      </c>
      <c r="D25" s="21" t="s">
        <v>593</v>
      </c>
      <c r="E25" s="23"/>
      <c r="F25" s="23"/>
      <c r="G25" s="99" t="s">
        <v>596</v>
      </c>
      <c r="H25" s="113" t="s">
        <v>369</v>
      </c>
      <c r="I25" s="114"/>
      <c r="J25" s="113" t="s">
        <v>599</v>
      </c>
      <c r="K25" s="99" t="s">
        <v>600</v>
      </c>
      <c r="L25" s="113" t="s">
        <v>601</v>
      </c>
      <c r="M25" s="37" t="s">
        <v>602</v>
      </c>
      <c r="N25" s="113" t="s">
        <v>52</v>
      </c>
      <c r="O25" s="32"/>
      <c r="P25" s="43" t="s">
        <v>53</v>
      </c>
      <c r="Q25" s="43" t="s">
        <v>54</v>
      </c>
      <c r="R25" s="116" t="s">
        <v>604</v>
      </c>
      <c r="S25" s="117"/>
      <c r="T25" s="117"/>
      <c r="U25" s="117"/>
      <c r="V25" s="117"/>
      <c r="W25" s="117"/>
      <c r="X25" s="117"/>
      <c r="Y25" s="97"/>
      <c r="Z25" s="97"/>
      <c r="AA25" s="97"/>
      <c r="AB25" s="97"/>
      <c r="AC25" s="97"/>
    </row>
    <row r="26">
      <c r="A26" s="111"/>
      <c r="B26" s="15">
        <v>46213.0</v>
      </c>
      <c r="C26" s="112" t="s">
        <v>25</v>
      </c>
      <c r="D26" s="21" t="s">
        <v>615</v>
      </c>
      <c r="E26" s="23"/>
      <c r="F26" s="23"/>
      <c r="G26" s="99" t="s">
        <v>619</v>
      </c>
      <c r="H26" s="113" t="s">
        <v>369</v>
      </c>
      <c r="I26" s="114"/>
      <c r="J26" s="113" t="s">
        <v>599</v>
      </c>
      <c r="K26" s="99" t="s">
        <v>64</v>
      </c>
      <c r="L26" s="113" t="s">
        <v>622</v>
      </c>
      <c r="M26" s="37" t="s">
        <v>623</v>
      </c>
      <c r="N26" s="113" t="s">
        <v>52</v>
      </c>
      <c r="O26" s="32"/>
      <c r="P26" s="43" t="s">
        <v>53</v>
      </c>
      <c r="Q26" s="43" t="s">
        <v>54</v>
      </c>
      <c r="R26" s="116" t="s">
        <v>628</v>
      </c>
      <c r="S26" s="117"/>
      <c r="T26" s="117"/>
      <c r="U26" s="117"/>
      <c r="V26" s="117"/>
      <c r="W26" s="117"/>
      <c r="X26" s="117"/>
      <c r="Y26" s="97"/>
      <c r="Z26" s="97"/>
      <c r="AA26" s="97"/>
      <c r="AB26" s="97"/>
      <c r="AC26" s="97"/>
    </row>
    <row r="27">
      <c r="A27" s="111"/>
      <c r="B27" s="15">
        <v>46213.0</v>
      </c>
      <c r="C27" s="112" t="s">
        <v>25</v>
      </c>
      <c r="D27" s="21" t="s">
        <v>630</v>
      </c>
      <c r="E27" s="23"/>
      <c r="F27" s="23"/>
      <c r="G27" s="99" t="s">
        <v>632</v>
      </c>
      <c r="H27" s="113" t="s">
        <v>369</v>
      </c>
      <c r="I27" s="114"/>
      <c r="J27" s="113" t="s">
        <v>599</v>
      </c>
      <c r="K27" s="99" t="s">
        <v>64</v>
      </c>
      <c r="L27" s="113" t="s">
        <v>622</v>
      </c>
      <c r="M27" s="37" t="s">
        <v>635</v>
      </c>
      <c r="N27" s="113" t="s">
        <v>52</v>
      </c>
      <c r="O27" s="32"/>
      <c r="P27" s="43" t="s">
        <v>53</v>
      </c>
      <c r="Q27" s="43" t="s">
        <v>54</v>
      </c>
      <c r="R27" s="116" t="s">
        <v>637</v>
      </c>
      <c r="S27" s="117"/>
      <c r="T27" s="117"/>
      <c r="U27" s="117"/>
      <c r="V27" s="117"/>
      <c r="W27" s="117"/>
      <c r="X27" s="117"/>
      <c r="Y27" s="97"/>
      <c r="Z27" s="97"/>
      <c r="AA27" s="97"/>
      <c r="AB27" s="97"/>
      <c r="AC27" s="97"/>
    </row>
    <row r="28">
      <c r="A28" s="111"/>
      <c r="B28" s="15">
        <v>46213.0</v>
      </c>
      <c r="C28" s="112" t="s">
        <v>25</v>
      </c>
      <c r="D28" s="21" t="s">
        <v>640</v>
      </c>
      <c r="E28" s="23"/>
      <c r="F28" s="23"/>
      <c r="G28" s="99" t="s">
        <v>644</v>
      </c>
      <c r="H28" s="113" t="s">
        <v>369</v>
      </c>
      <c r="I28" s="114"/>
      <c r="J28" s="113" t="s">
        <v>599</v>
      </c>
      <c r="K28" s="99" t="s">
        <v>64</v>
      </c>
      <c r="L28" s="113" t="s">
        <v>648</v>
      </c>
      <c r="M28" s="37" t="s">
        <v>649</v>
      </c>
      <c r="N28" s="113" t="s">
        <v>52</v>
      </c>
      <c r="O28" s="32"/>
      <c r="P28" s="43" t="s">
        <v>53</v>
      </c>
      <c r="Q28" s="43" t="s">
        <v>54</v>
      </c>
      <c r="R28" s="116" t="s">
        <v>655</v>
      </c>
      <c r="S28" s="117"/>
      <c r="T28" s="117"/>
      <c r="U28" s="117"/>
      <c r="V28" s="117"/>
      <c r="W28" s="117"/>
      <c r="X28" s="117"/>
      <c r="Y28" s="97"/>
      <c r="Z28" s="97"/>
      <c r="AA28" s="97"/>
      <c r="AB28" s="97"/>
      <c r="AC28" s="97"/>
    </row>
    <row r="29">
      <c r="A29" s="111"/>
      <c r="B29" s="15">
        <v>46213.0</v>
      </c>
      <c r="C29" s="112" t="s">
        <v>25</v>
      </c>
      <c r="D29" s="21" t="s">
        <v>659</v>
      </c>
      <c r="E29" s="23"/>
      <c r="F29" s="23"/>
      <c r="G29" s="99" t="s">
        <v>663</v>
      </c>
      <c r="H29" s="113" t="s">
        <v>665</v>
      </c>
      <c r="I29" s="114"/>
      <c r="J29" s="113" t="s">
        <v>668</v>
      </c>
      <c r="K29" s="113" t="s">
        <v>671</v>
      </c>
      <c r="L29" s="113" t="s">
        <v>672</v>
      </c>
      <c r="M29" s="37" t="s">
        <v>673</v>
      </c>
      <c r="N29" s="113" t="s">
        <v>52</v>
      </c>
      <c r="O29" s="32"/>
      <c r="P29" s="43" t="s">
        <v>53</v>
      </c>
      <c r="Q29" s="43" t="s">
        <v>54</v>
      </c>
      <c r="R29" s="116" t="s">
        <v>676</v>
      </c>
      <c r="S29" s="117"/>
      <c r="T29" s="117"/>
      <c r="U29" s="117"/>
      <c r="V29" s="117"/>
      <c r="W29" s="117"/>
      <c r="X29" s="117"/>
      <c r="Y29" s="97"/>
      <c r="Z29" s="97"/>
      <c r="AA29" s="97"/>
      <c r="AB29" s="97"/>
      <c r="AC29" s="97"/>
    </row>
    <row r="30">
      <c r="A30" s="111"/>
      <c r="B30" s="15">
        <v>46213.0</v>
      </c>
      <c r="C30" s="112" t="s">
        <v>25</v>
      </c>
      <c r="D30" s="21" t="s">
        <v>679</v>
      </c>
      <c r="E30" s="23"/>
      <c r="F30" s="23"/>
      <c r="G30" s="99" t="s">
        <v>680</v>
      </c>
      <c r="H30" s="113" t="s">
        <v>369</v>
      </c>
      <c r="I30" s="114"/>
      <c r="J30" s="113" t="s">
        <v>681</v>
      </c>
      <c r="K30" s="113" t="s">
        <v>682</v>
      </c>
      <c r="L30" s="113" t="s">
        <v>685</v>
      </c>
      <c r="M30" s="37" t="s">
        <v>686</v>
      </c>
      <c r="N30" s="113" t="s">
        <v>52</v>
      </c>
      <c r="O30" s="32"/>
      <c r="P30" s="43" t="s">
        <v>53</v>
      </c>
      <c r="Q30" s="43" t="s">
        <v>54</v>
      </c>
      <c r="R30" s="116" t="s">
        <v>693</v>
      </c>
      <c r="S30" s="117"/>
      <c r="T30" s="117"/>
      <c r="U30" s="117"/>
      <c r="V30" s="117"/>
      <c r="W30" s="117"/>
      <c r="X30" s="117"/>
      <c r="Y30" s="97"/>
      <c r="Z30" s="97"/>
      <c r="AA30" s="97"/>
      <c r="AB30" s="97"/>
      <c r="AC30" s="97"/>
    </row>
    <row r="31">
      <c r="A31" s="111"/>
      <c r="B31" s="15">
        <v>46213.0</v>
      </c>
      <c r="C31" s="112" t="s">
        <v>25</v>
      </c>
      <c r="D31" s="21" t="s">
        <v>694</v>
      </c>
      <c r="E31" s="23"/>
      <c r="F31" s="23"/>
      <c r="G31" s="99" t="s">
        <v>697</v>
      </c>
      <c r="H31" s="113" t="s">
        <v>369</v>
      </c>
      <c r="I31" s="114"/>
      <c r="J31" s="113" t="s">
        <v>699</v>
      </c>
      <c r="K31" s="113" t="s">
        <v>700</v>
      </c>
      <c r="L31" s="113" t="s">
        <v>701</v>
      </c>
      <c r="M31" s="37" t="s">
        <v>703</v>
      </c>
      <c r="N31" s="113" t="s">
        <v>52</v>
      </c>
      <c r="O31" s="32"/>
      <c r="P31" s="43" t="s">
        <v>53</v>
      </c>
      <c r="Q31" s="43" t="s">
        <v>54</v>
      </c>
      <c r="R31" s="116" t="s">
        <v>706</v>
      </c>
      <c r="S31" s="117"/>
      <c r="T31" s="117"/>
      <c r="U31" s="117"/>
      <c r="V31" s="117"/>
      <c r="W31" s="117"/>
      <c r="X31" s="117"/>
      <c r="Y31" s="97"/>
      <c r="Z31" s="97"/>
      <c r="AA31" s="97"/>
      <c r="AB31" s="97"/>
      <c r="AC31" s="97"/>
    </row>
    <row r="32">
      <c r="A32" s="111"/>
      <c r="B32" s="15">
        <v>46213.0</v>
      </c>
      <c r="C32" s="112" t="s">
        <v>25</v>
      </c>
      <c r="D32" s="21" t="s">
        <v>710</v>
      </c>
      <c r="E32" s="23"/>
      <c r="F32" s="23"/>
      <c r="G32" s="99" t="s">
        <v>546</v>
      </c>
      <c r="H32" s="113" t="s">
        <v>369</v>
      </c>
      <c r="I32" s="114"/>
      <c r="J32" s="113" t="s">
        <v>712</v>
      </c>
      <c r="K32" s="113" t="s">
        <v>713</v>
      </c>
      <c r="L32" s="113" t="s">
        <v>551</v>
      </c>
      <c r="M32" s="37" t="s">
        <v>716</v>
      </c>
      <c r="N32" s="113" t="s">
        <v>52</v>
      </c>
      <c r="O32" s="32"/>
      <c r="P32" s="43" t="s">
        <v>55</v>
      </c>
      <c r="Q32" s="43" t="s">
        <v>55</v>
      </c>
      <c r="R32" s="116" t="s">
        <v>731</v>
      </c>
      <c r="S32" s="117"/>
      <c r="T32" s="117"/>
      <c r="U32" s="117"/>
      <c r="V32" s="117"/>
      <c r="W32" s="117"/>
      <c r="X32" s="117"/>
      <c r="Y32" s="97"/>
      <c r="Z32" s="97"/>
      <c r="AA32" s="97"/>
      <c r="AB32" s="97"/>
      <c r="AC32" s="97"/>
    </row>
    <row r="33">
      <c r="A33" s="111"/>
      <c r="B33" s="15">
        <v>46214.0</v>
      </c>
      <c r="C33" s="112" t="s">
        <v>25</v>
      </c>
      <c r="D33" s="21" t="s">
        <v>735</v>
      </c>
      <c r="E33" s="23"/>
      <c r="F33" s="23"/>
      <c r="G33" s="99" t="s">
        <v>191</v>
      </c>
      <c r="H33" s="113" t="s">
        <v>739</v>
      </c>
      <c r="I33" s="114"/>
      <c r="J33" s="113" t="s">
        <v>742</v>
      </c>
      <c r="K33" s="113" t="s">
        <v>744</v>
      </c>
      <c r="L33" s="113" t="s">
        <v>746</v>
      </c>
      <c r="M33" s="37" t="s">
        <v>748</v>
      </c>
      <c r="N33" s="113" t="s">
        <v>52</v>
      </c>
      <c r="O33" s="32"/>
      <c r="P33" s="43" t="s">
        <v>53</v>
      </c>
      <c r="Q33" s="43" t="s">
        <v>54</v>
      </c>
      <c r="R33" s="116" t="s">
        <v>752</v>
      </c>
      <c r="S33" s="117"/>
      <c r="T33" s="117"/>
      <c r="U33" s="117"/>
      <c r="V33" s="117"/>
      <c r="W33" s="117"/>
      <c r="X33" s="117"/>
      <c r="Y33" s="97"/>
      <c r="Z33" s="97"/>
      <c r="AA33" s="97"/>
      <c r="AB33" s="97"/>
      <c r="AC33" s="97"/>
    </row>
    <row r="34">
      <c r="A34" s="111"/>
      <c r="B34" s="15">
        <v>46214.0</v>
      </c>
      <c r="C34" s="112" t="s">
        <v>25</v>
      </c>
      <c r="D34" s="21" t="s">
        <v>763</v>
      </c>
      <c r="E34" s="23"/>
      <c r="F34" s="23"/>
      <c r="G34" s="99" t="s">
        <v>766</v>
      </c>
      <c r="H34" s="113" t="s">
        <v>739</v>
      </c>
      <c r="I34" s="114"/>
      <c r="J34" s="113" t="s">
        <v>768</v>
      </c>
      <c r="K34" s="99" t="s">
        <v>769</v>
      </c>
      <c r="L34" s="113" t="s">
        <v>770</v>
      </c>
      <c r="M34" s="37" t="s">
        <v>771</v>
      </c>
      <c r="N34" s="113" t="s">
        <v>52</v>
      </c>
      <c r="O34" s="32"/>
      <c r="P34" s="43" t="s">
        <v>55</v>
      </c>
      <c r="Q34" s="43" t="s">
        <v>55</v>
      </c>
      <c r="R34" s="116" t="s">
        <v>776</v>
      </c>
      <c r="S34" s="117"/>
      <c r="T34" s="117"/>
      <c r="U34" s="117"/>
      <c r="V34" s="117"/>
      <c r="W34" s="117"/>
      <c r="X34" s="117"/>
      <c r="Y34" s="97"/>
      <c r="Z34" s="97"/>
      <c r="AA34" s="97"/>
      <c r="AB34" s="97"/>
      <c r="AC34" s="97"/>
    </row>
    <row r="35">
      <c r="A35" s="111"/>
      <c r="B35" s="15">
        <v>46214.0</v>
      </c>
      <c r="C35" s="112" t="s">
        <v>25</v>
      </c>
      <c r="D35" s="21" t="s">
        <v>782</v>
      </c>
      <c r="E35" s="23"/>
      <c r="F35" s="23"/>
      <c r="G35" s="99" t="s">
        <v>785</v>
      </c>
      <c r="H35" s="113" t="s">
        <v>739</v>
      </c>
      <c r="I35" s="114"/>
      <c r="J35" s="113" t="s">
        <v>787</v>
      </c>
      <c r="K35" s="99" t="s">
        <v>769</v>
      </c>
      <c r="L35" s="113" t="s">
        <v>789</v>
      </c>
      <c r="M35" s="37" t="s">
        <v>790</v>
      </c>
      <c r="N35" s="113" t="s">
        <v>52</v>
      </c>
      <c r="O35" s="32"/>
      <c r="P35" s="43" t="s">
        <v>55</v>
      </c>
      <c r="Q35" s="43" t="s">
        <v>55</v>
      </c>
      <c r="R35" s="116" t="s">
        <v>794</v>
      </c>
      <c r="S35" s="117"/>
      <c r="T35" s="117"/>
      <c r="U35" s="117"/>
      <c r="V35" s="117"/>
      <c r="W35" s="117"/>
      <c r="X35" s="117"/>
      <c r="Y35" s="97"/>
      <c r="Z35" s="97"/>
      <c r="AA35" s="97"/>
      <c r="AB35" s="97"/>
      <c r="AC35" s="97"/>
    </row>
    <row r="36">
      <c r="A36" s="111"/>
      <c r="B36" s="15">
        <v>46214.0</v>
      </c>
      <c r="C36" s="112" t="s">
        <v>25</v>
      </c>
      <c r="D36" s="21" t="s">
        <v>800</v>
      </c>
      <c r="E36" s="23"/>
      <c r="F36" s="23"/>
      <c r="G36" s="99" t="s">
        <v>801</v>
      </c>
      <c r="H36" s="113" t="s">
        <v>739</v>
      </c>
      <c r="I36" s="114"/>
      <c r="J36" s="113" t="s">
        <v>802</v>
      </c>
      <c r="K36" s="99" t="s">
        <v>769</v>
      </c>
      <c r="L36" s="113" t="s">
        <v>804</v>
      </c>
      <c r="M36" s="37" t="s">
        <v>805</v>
      </c>
      <c r="N36" s="113" t="s">
        <v>52</v>
      </c>
      <c r="O36" s="32"/>
      <c r="P36" s="43" t="s">
        <v>55</v>
      </c>
      <c r="Q36" s="43" t="s">
        <v>55</v>
      </c>
      <c r="R36" s="116" t="s">
        <v>814</v>
      </c>
      <c r="S36" s="117"/>
      <c r="T36" s="117"/>
      <c r="U36" s="117"/>
      <c r="V36" s="117"/>
      <c r="W36" s="117"/>
      <c r="X36" s="117"/>
      <c r="Y36" s="97"/>
      <c r="Z36" s="97"/>
      <c r="AA36" s="97"/>
      <c r="AB36" s="97"/>
      <c r="AC36" s="97"/>
    </row>
    <row r="37">
      <c r="A37" s="111"/>
      <c r="B37" s="15">
        <v>46214.0</v>
      </c>
      <c r="C37" s="112" t="s">
        <v>25</v>
      </c>
      <c r="D37" s="21" t="s">
        <v>821</v>
      </c>
      <c r="E37" s="23"/>
      <c r="F37" s="23"/>
      <c r="G37" s="99" t="s">
        <v>825</v>
      </c>
      <c r="H37" s="113" t="s">
        <v>739</v>
      </c>
      <c r="I37" s="114"/>
      <c r="J37" s="113" t="s">
        <v>826</v>
      </c>
      <c r="K37" s="99" t="s">
        <v>769</v>
      </c>
      <c r="L37" s="113" t="s">
        <v>828</v>
      </c>
      <c r="M37" s="37" t="s">
        <v>830</v>
      </c>
      <c r="N37" s="113" t="s">
        <v>52</v>
      </c>
      <c r="O37" s="32"/>
      <c r="P37" s="43" t="s">
        <v>53</v>
      </c>
      <c r="Q37" s="43" t="s">
        <v>54</v>
      </c>
      <c r="R37" s="116" t="s">
        <v>837</v>
      </c>
      <c r="S37" s="117"/>
      <c r="T37" s="117"/>
      <c r="U37" s="117"/>
      <c r="V37" s="117"/>
      <c r="W37" s="117"/>
      <c r="X37" s="117"/>
      <c r="Y37" s="97"/>
      <c r="Z37" s="97"/>
      <c r="AA37" s="97"/>
      <c r="AB37" s="97"/>
      <c r="AC37" s="97"/>
    </row>
    <row r="38">
      <c r="A38" s="111"/>
      <c r="B38" s="15">
        <v>46214.0</v>
      </c>
      <c r="C38" s="112" t="s">
        <v>25</v>
      </c>
      <c r="D38" s="21" t="s">
        <v>841</v>
      </c>
      <c r="E38" s="23"/>
      <c r="F38" s="23"/>
      <c r="G38" s="99" t="s">
        <v>844</v>
      </c>
      <c r="H38" s="113" t="s">
        <v>739</v>
      </c>
      <c r="I38" s="114"/>
      <c r="J38" s="113" t="s">
        <v>848</v>
      </c>
      <c r="K38" s="99" t="s">
        <v>769</v>
      </c>
      <c r="L38" s="113" t="s">
        <v>850</v>
      </c>
      <c r="M38" s="37" t="s">
        <v>851</v>
      </c>
      <c r="N38" s="113" t="s">
        <v>52</v>
      </c>
      <c r="O38" s="32"/>
      <c r="P38" s="43" t="s">
        <v>55</v>
      </c>
      <c r="Q38" s="43" t="s">
        <v>55</v>
      </c>
      <c r="R38" s="116" t="s">
        <v>861</v>
      </c>
      <c r="S38" s="117"/>
      <c r="T38" s="117"/>
      <c r="U38" s="117"/>
      <c r="V38" s="117"/>
      <c r="W38" s="117"/>
      <c r="X38" s="117"/>
      <c r="Y38" s="97"/>
      <c r="Z38" s="97"/>
      <c r="AA38" s="97"/>
      <c r="AB38" s="97"/>
      <c r="AC38" s="97"/>
    </row>
    <row r="39">
      <c r="A39" s="111"/>
      <c r="B39" s="15">
        <v>46214.0</v>
      </c>
      <c r="C39" s="112" t="s">
        <v>25</v>
      </c>
      <c r="D39" s="21" t="s">
        <v>863</v>
      </c>
      <c r="E39" s="23"/>
      <c r="F39" s="23"/>
      <c r="G39" s="99" t="s">
        <v>865</v>
      </c>
      <c r="H39" s="113" t="s">
        <v>739</v>
      </c>
      <c r="I39" s="114"/>
      <c r="J39" s="113" t="s">
        <v>868</v>
      </c>
      <c r="K39" s="99" t="s">
        <v>769</v>
      </c>
      <c r="L39" s="113" t="s">
        <v>870</v>
      </c>
      <c r="M39" s="37" t="s">
        <v>872</v>
      </c>
      <c r="N39" s="113" t="s">
        <v>52</v>
      </c>
      <c r="O39" s="32"/>
      <c r="P39" s="43" t="s">
        <v>55</v>
      </c>
      <c r="Q39" s="43" t="s">
        <v>55</v>
      </c>
      <c r="R39" s="116" t="s">
        <v>878</v>
      </c>
      <c r="S39" s="117"/>
      <c r="T39" s="117"/>
      <c r="U39" s="117"/>
      <c r="V39" s="117"/>
      <c r="W39" s="117"/>
      <c r="X39" s="117"/>
      <c r="Y39" s="97"/>
      <c r="Z39" s="97"/>
      <c r="AA39" s="97"/>
      <c r="AB39" s="97"/>
      <c r="AC39" s="97"/>
    </row>
    <row r="40">
      <c r="A40" s="111"/>
      <c r="B40" s="15">
        <v>46214.0</v>
      </c>
      <c r="C40" s="112" t="s">
        <v>25</v>
      </c>
      <c r="D40" s="21" t="s">
        <v>883</v>
      </c>
      <c r="E40" s="23"/>
      <c r="F40" s="23"/>
      <c r="G40" s="99" t="s">
        <v>884</v>
      </c>
      <c r="H40" s="113" t="s">
        <v>739</v>
      </c>
      <c r="I40" s="114"/>
      <c r="J40" s="113" t="s">
        <v>888</v>
      </c>
      <c r="K40" s="113" t="s">
        <v>890</v>
      </c>
      <c r="L40" s="113" t="s">
        <v>892</v>
      </c>
      <c r="M40" s="37" t="s">
        <v>893</v>
      </c>
      <c r="N40" s="113" t="s">
        <v>52</v>
      </c>
      <c r="O40" s="32"/>
      <c r="P40" s="43" t="s">
        <v>53</v>
      </c>
      <c r="Q40" s="43" t="s">
        <v>54</v>
      </c>
      <c r="R40" s="116" t="s">
        <v>900</v>
      </c>
      <c r="S40" s="117"/>
      <c r="T40" s="117"/>
      <c r="U40" s="117"/>
      <c r="V40" s="117"/>
      <c r="W40" s="117"/>
      <c r="X40" s="117"/>
      <c r="Y40" s="97"/>
      <c r="Z40" s="97"/>
      <c r="AA40" s="97"/>
      <c r="AB40" s="97"/>
      <c r="AC40" s="97"/>
    </row>
    <row r="41">
      <c r="A41" s="111"/>
      <c r="B41" s="15">
        <v>46214.0</v>
      </c>
      <c r="C41" s="112" t="s">
        <v>25</v>
      </c>
      <c r="D41" s="21" t="s">
        <v>902</v>
      </c>
      <c r="E41" s="23"/>
      <c r="F41" s="23"/>
      <c r="G41" s="99" t="s">
        <v>905</v>
      </c>
      <c r="H41" s="113" t="s">
        <v>369</v>
      </c>
      <c r="I41" s="114"/>
      <c r="J41" s="113" t="s">
        <v>570</v>
      </c>
      <c r="K41" s="99" t="s">
        <v>64</v>
      </c>
      <c r="L41" s="99" t="s">
        <v>908</v>
      </c>
      <c r="M41" s="37" t="s">
        <v>909</v>
      </c>
      <c r="N41" s="113" t="s">
        <v>52</v>
      </c>
      <c r="O41" s="32"/>
      <c r="P41" s="43" t="s">
        <v>53</v>
      </c>
      <c r="Q41" s="43" t="s">
        <v>54</v>
      </c>
      <c r="R41" s="116" t="s">
        <v>918</v>
      </c>
      <c r="S41" s="117"/>
      <c r="T41" s="117"/>
      <c r="U41" s="117"/>
      <c r="V41" s="117"/>
      <c r="W41" s="117"/>
      <c r="X41" s="117"/>
      <c r="Y41" s="97"/>
      <c r="Z41" s="97"/>
      <c r="AA41" s="97"/>
      <c r="AB41" s="97"/>
      <c r="AC41" s="97"/>
    </row>
    <row r="42">
      <c r="A42" s="111"/>
      <c r="B42" s="15">
        <v>46214.0</v>
      </c>
      <c r="C42" s="112" t="s">
        <v>25</v>
      </c>
      <c r="D42" s="21" t="s">
        <v>919</v>
      </c>
      <c r="E42" s="23"/>
      <c r="F42" s="23"/>
      <c r="G42" s="99" t="s">
        <v>407</v>
      </c>
      <c r="H42" s="113" t="s">
        <v>921</v>
      </c>
      <c r="I42" s="114"/>
      <c r="J42" s="113" t="s">
        <v>924</v>
      </c>
      <c r="K42" s="113" t="s">
        <v>925</v>
      </c>
      <c r="L42" s="113" t="s">
        <v>926</v>
      </c>
      <c r="M42" s="37" t="s">
        <v>929</v>
      </c>
      <c r="N42" s="113" t="s">
        <v>52</v>
      </c>
      <c r="O42" s="32"/>
      <c r="P42" s="43" t="s">
        <v>53</v>
      </c>
      <c r="Q42" s="43" t="s">
        <v>54</v>
      </c>
      <c r="R42" s="116" t="s">
        <v>939</v>
      </c>
      <c r="S42" s="117"/>
      <c r="T42" s="117"/>
      <c r="U42" s="117"/>
      <c r="V42" s="117"/>
      <c r="W42" s="117"/>
      <c r="X42" s="117"/>
      <c r="Y42" s="97"/>
      <c r="Z42" s="97"/>
      <c r="AA42" s="97"/>
      <c r="AB42" s="97"/>
      <c r="AC42" s="97"/>
    </row>
    <row r="43">
      <c r="A43" s="111"/>
      <c r="B43" s="15">
        <v>46214.0</v>
      </c>
      <c r="C43" s="112" t="s">
        <v>25</v>
      </c>
      <c r="D43" s="21" t="s">
        <v>946</v>
      </c>
      <c r="E43" s="23"/>
      <c r="F43" s="23"/>
      <c r="G43" s="99" t="s">
        <v>949</v>
      </c>
      <c r="H43" s="113" t="s">
        <v>369</v>
      </c>
      <c r="I43" s="114"/>
      <c r="J43" s="113" t="s">
        <v>951</v>
      </c>
      <c r="K43" s="99" t="s">
        <v>952</v>
      </c>
      <c r="L43" s="99" t="s">
        <v>954</v>
      </c>
      <c r="M43" s="37" t="s">
        <v>956</v>
      </c>
      <c r="N43" s="113" t="s">
        <v>52</v>
      </c>
      <c r="O43" s="32"/>
      <c r="P43" s="43" t="s">
        <v>53</v>
      </c>
      <c r="Q43" s="43" t="s">
        <v>54</v>
      </c>
      <c r="R43" s="116" t="s">
        <v>961</v>
      </c>
      <c r="S43" s="117"/>
      <c r="T43" s="117"/>
      <c r="U43" s="117"/>
      <c r="V43" s="117"/>
      <c r="W43" s="117"/>
      <c r="X43" s="117"/>
      <c r="Y43" s="97"/>
      <c r="Z43" s="97"/>
      <c r="AA43" s="97"/>
      <c r="AB43" s="97"/>
      <c r="AC43" s="97"/>
    </row>
    <row r="44">
      <c r="A44" s="111"/>
      <c r="B44" s="15">
        <v>46214.0</v>
      </c>
      <c r="C44" s="112" t="s">
        <v>25</v>
      </c>
      <c r="D44" s="21" t="s">
        <v>970</v>
      </c>
      <c r="E44" s="23"/>
      <c r="F44" s="23"/>
      <c r="G44" s="99" t="s">
        <v>905</v>
      </c>
      <c r="H44" s="113" t="s">
        <v>369</v>
      </c>
      <c r="I44" s="114"/>
      <c r="J44" s="113" t="s">
        <v>951</v>
      </c>
      <c r="K44" s="99" t="s">
        <v>64</v>
      </c>
      <c r="L44" s="113" t="s">
        <v>978</v>
      </c>
      <c r="M44" s="37" t="s">
        <v>980</v>
      </c>
      <c r="N44" s="113" t="s">
        <v>52</v>
      </c>
      <c r="O44" s="32"/>
      <c r="P44" s="43" t="s">
        <v>53</v>
      </c>
      <c r="Q44" s="43" t="s">
        <v>54</v>
      </c>
      <c r="R44" s="116" t="s">
        <v>982</v>
      </c>
      <c r="S44" s="117"/>
      <c r="T44" s="117"/>
      <c r="U44" s="117"/>
      <c r="V44" s="117"/>
      <c r="W44" s="117"/>
      <c r="X44" s="117"/>
      <c r="Y44" s="97"/>
      <c r="Z44" s="97"/>
      <c r="AA44" s="97"/>
      <c r="AB44" s="97"/>
      <c r="AC44" s="97"/>
    </row>
    <row r="45">
      <c r="A45" s="111"/>
      <c r="B45" s="15">
        <v>46214.0</v>
      </c>
      <c r="C45" s="112" t="s">
        <v>25</v>
      </c>
      <c r="D45" s="21" t="s">
        <v>987</v>
      </c>
      <c r="E45" s="23"/>
      <c r="F45" s="23"/>
      <c r="G45" s="99" t="s">
        <v>991</v>
      </c>
      <c r="H45" s="113" t="s">
        <v>992</v>
      </c>
      <c r="I45" s="114"/>
      <c r="J45" s="113" t="s">
        <v>993</v>
      </c>
      <c r="K45" s="113" t="s">
        <v>994</v>
      </c>
      <c r="L45" s="113" t="s">
        <v>996</v>
      </c>
      <c r="M45" s="37" t="s">
        <v>998</v>
      </c>
      <c r="N45" s="113" t="s">
        <v>52</v>
      </c>
      <c r="O45" s="32"/>
      <c r="P45" s="43" t="s">
        <v>53</v>
      </c>
      <c r="Q45" s="43" t="s">
        <v>54</v>
      </c>
      <c r="R45" s="116" t="s">
        <v>1005</v>
      </c>
      <c r="S45" s="117"/>
      <c r="T45" s="117"/>
      <c r="U45" s="117"/>
      <c r="V45" s="117"/>
      <c r="W45" s="117"/>
      <c r="X45" s="117"/>
      <c r="Y45" s="97"/>
      <c r="Z45" s="97"/>
      <c r="AA45" s="97"/>
      <c r="AB45" s="97"/>
      <c r="AC45" s="97"/>
    </row>
    <row r="46">
      <c r="A46" s="111"/>
      <c r="B46" s="15">
        <v>46214.0</v>
      </c>
      <c r="C46" s="112" t="s">
        <v>25</v>
      </c>
      <c r="D46" s="21" t="s">
        <v>1009</v>
      </c>
      <c r="E46" s="23"/>
      <c r="F46" s="23"/>
      <c r="G46" s="99" t="s">
        <v>234</v>
      </c>
      <c r="H46" s="113" t="s">
        <v>369</v>
      </c>
      <c r="I46" s="114"/>
      <c r="J46" s="113" t="s">
        <v>1010</v>
      </c>
      <c r="K46" s="113" t="s">
        <v>1012</v>
      </c>
      <c r="L46" s="113" t="s">
        <v>1013</v>
      </c>
      <c r="M46" s="37" t="s">
        <v>1014</v>
      </c>
      <c r="N46" s="113" t="s">
        <v>52</v>
      </c>
      <c r="O46" s="32"/>
      <c r="P46" s="43" t="s">
        <v>53</v>
      </c>
      <c r="Q46" s="43" t="s">
        <v>54</v>
      </c>
      <c r="R46" s="116" t="s">
        <v>1019</v>
      </c>
      <c r="S46" s="117"/>
      <c r="T46" s="117"/>
      <c r="U46" s="117"/>
      <c r="V46" s="117"/>
      <c r="W46" s="117"/>
      <c r="X46" s="117"/>
      <c r="Y46" s="97"/>
      <c r="Z46" s="97"/>
      <c r="AA46" s="97"/>
      <c r="AB46" s="97"/>
      <c r="AC46" s="97"/>
    </row>
    <row r="47">
      <c r="A47" s="111"/>
      <c r="B47" s="15">
        <v>46214.0</v>
      </c>
      <c r="C47" s="112" t="s">
        <v>25</v>
      </c>
      <c r="D47" s="21" t="s">
        <v>1024</v>
      </c>
      <c r="E47" s="23"/>
      <c r="F47" s="23"/>
      <c r="G47" s="99" t="s">
        <v>1025</v>
      </c>
      <c r="H47" s="113" t="s">
        <v>369</v>
      </c>
      <c r="I47" s="114"/>
      <c r="J47" s="113" t="s">
        <v>1028</v>
      </c>
      <c r="K47" s="113" t="s">
        <v>1029</v>
      </c>
      <c r="L47" s="113" t="s">
        <v>1030</v>
      </c>
      <c r="M47" s="37" t="s">
        <v>1032</v>
      </c>
      <c r="N47" s="113" t="s">
        <v>52</v>
      </c>
      <c r="O47" s="32"/>
      <c r="P47" s="43" t="s">
        <v>53</v>
      </c>
      <c r="Q47" s="43" t="s">
        <v>54</v>
      </c>
      <c r="R47" s="116" t="s">
        <v>1035</v>
      </c>
      <c r="S47" s="117"/>
      <c r="T47" s="117"/>
      <c r="U47" s="117"/>
      <c r="V47" s="117"/>
      <c r="W47" s="117"/>
      <c r="X47" s="117"/>
      <c r="Y47" s="97"/>
      <c r="Z47" s="97"/>
      <c r="AA47" s="97"/>
      <c r="AB47" s="97"/>
      <c r="AC47" s="97"/>
    </row>
    <row r="48">
      <c r="A48" s="111"/>
      <c r="B48" s="15">
        <v>46214.0</v>
      </c>
      <c r="C48" s="112" t="s">
        <v>25</v>
      </c>
      <c r="D48" s="21" t="s">
        <v>1036</v>
      </c>
      <c r="E48" s="23"/>
      <c r="F48" s="23"/>
      <c r="G48" s="99" t="s">
        <v>1039</v>
      </c>
      <c r="H48" s="113" t="s">
        <v>369</v>
      </c>
      <c r="I48" s="114"/>
      <c r="J48" s="113" t="s">
        <v>1040</v>
      </c>
      <c r="K48" s="113" t="s">
        <v>1041</v>
      </c>
      <c r="L48" s="113" t="s">
        <v>1042</v>
      </c>
      <c r="M48" s="37" t="s">
        <v>1043</v>
      </c>
      <c r="N48" s="113" t="s">
        <v>52</v>
      </c>
      <c r="O48" s="32"/>
      <c r="P48" s="43" t="s">
        <v>55</v>
      </c>
      <c r="Q48" s="43" t="s">
        <v>55</v>
      </c>
      <c r="R48" s="116" t="s">
        <v>1047</v>
      </c>
      <c r="S48" s="117"/>
      <c r="T48" s="117"/>
      <c r="U48" s="117"/>
      <c r="V48" s="117"/>
      <c r="W48" s="117"/>
      <c r="X48" s="117"/>
      <c r="Y48" s="97"/>
      <c r="Z48" s="97"/>
      <c r="AA48" s="97"/>
      <c r="AB48" s="97"/>
      <c r="AC48" s="97"/>
    </row>
    <row r="49">
      <c r="A49" s="111"/>
      <c r="B49" s="15">
        <v>46214.0</v>
      </c>
      <c r="C49" s="112" t="s">
        <v>25</v>
      </c>
      <c r="D49" s="21" t="s">
        <v>1052</v>
      </c>
      <c r="E49" s="23"/>
      <c r="F49" s="23"/>
      <c r="G49" s="99" t="s">
        <v>141</v>
      </c>
      <c r="H49" s="113" t="s">
        <v>992</v>
      </c>
      <c r="I49" s="114"/>
      <c r="J49" s="113" t="s">
        <v>1056</v>
      </c>
      <c r="K49" s="113" t="s">
        <v>1057</v>
      </c>
      <c r="L49" s="113" t="s">
        <v>1058</v>
      </c>
      <c r="M49" s="37" t="s">
        <v>1059</v>
      </c>
      <c r="N49" s="113" t="s">
        <v>52</v>
      </c>
      <c r="O49" s="32"/>
      <c r="P49" s="43" t="s">
        <v>53</v>
      </c>
      <c r="Q49" s="43" t="s">
        <v>54</v>
      </c>
      <c r="R49" s="116" t="s">
        <v>1064</v>
      </c>
      <c r="S49" s="117"/>
      <c r="T49" s="117"/>
      <c r="U49" s="117"/>
      <c r="V49" s="117"/>
      <c r="W49" s="117"/>
      <c r="X49" s="117"/>
      <c r="Y49" s="97"/>
      <c r="Z49" s="97"/>
      <c r="AA49" s="97"/>
      <c r="AB49" s="97"/>
      <c r="AC49" s="97"/>
    </row>
    <row r="50">
      <c r="A50" s="111"/>
      <c r="B50" s="15">
        <v>46214.0</v>
      </c>
      <c r="C50" s="112" t="s">
        <v>25</v>
      </c>
      <c r="D50" s="21" t="s">
        <v>1069</v>
      </c>
      <c r="E50" s="23"/>
      <c r="F50" s="23"/>
      <c r="G50" s="99" t="s">
        <v>1070</v>
      </c>
      <c r="H50" s="113" t="s">
        <v>369</v>
      </c>
      <c r="I50" s="114"/>
      <c r="J50" s="113" t="s">
        <v>1074</v>
      </c>
      <c r="K50" s="113" t="s">
        <v>1075</v>
      </c>
      <c r="L50" s="113" t="s">
        <v>1076</v>
      </c>
      <c r="M50" s="37" t="s">
        <v>1077</v>
      </c>
      <c r="N50" s="113" t="s">
        <v>52</v>
      </c>
      <c r="O50" s="32"/>
      <c r="P50" s="43" t="s">
        <v>53</v>
      </c>
      <c r="Q50" s="43" t="s">
        <v>54</v>
      </c>
      <c r="R50" s="116" t="s">
        <v>1081</v>
      </c>
      <c r="S50" s="117"/>
      <c r="T50" s="117"/>
      <c r="U50" s="117"/>
      <c r="V50" s="117"/>
      <c r="W50" s="117"/>
      <c r="X50" s="117"/>
      <c r="Y50" s="97"/>
      <c r="Z50" s="97"/>
      <c r="AA50" s="97"/>
      <c r="AB50" s="97"/>
      <c r="AC50" s="97"/>
    </row>
    <row r="51">
      <c r="A51" s="111"/>
      <c r="B51" s="15">
        <v>46214.0</v>
      </c>
      <c r="C51" s="112" t="s">
        <v>25</v>
      </c>
      <c r="D51" s="21" t="s">
        <v>1086</v>
      </c>
      <c r="E51" s="23"/>
      <c r="F51" s="23"/>
      <c r="G51" s="99" t="s">
        <v>1089</v>
      </c>
      <c r="H51" s="113" t="s">
        <v>369</v>
      </c>
      <c r="I51" s="114"/>
      <c r="J51" s="113" t="s">
        <v>1091</v>
      </c>
      <c r="K51" s="99" t="s">
        <v>64</v>
      </c>
      <c r="L51" s="113" t="s">
        <v>1092</v>
      </c>
      <c r="M51" s="37" t="s">
        <v>1094</v>
      </c>
      <c r="N51" s="113" t="s">
        <v>52</v>
      </c>
      <c r="O51" s="32"/>
      <c r="P51" s="43" t="s">
        <v>53</v>
      </c>
      <c r="Q51" s="43" t="s">
        <v>54</v>
      </c>
      <c r="R51" s="116" t="s">
        <v>1097</v>
      </c>
      <c r="S51" s="117"/>
      <c r="T51" s="117"/>
      <c r="U51" s="117"/>
      <c r="V51" s="117"/>
      <c r="W51" s="117"/>
      <c r="X51" s="117"/>
      <c r="Y51" s="97"/>
      <c r="Z51" s="97"/>
      <c r="AA51" s="97"/>
      <c r="AB51" s="97"/>
      <c r="AC51" s="97"/>
    </row>
    <row r="52">
      <c r="A52" s="111"/>
      <c r="B52" s="15">
        <v>46214.0</v>
      </c>
      <c r="C52" s="112" t="s">
        <v>25</v>
      </c>
      <c r="D52" s="21" t="s">
        <v>1102</v>
      </c>
      <c r="E52" s="23"/>
      <c r="F52" s="23"/>
      <c r="G52" s="99" t="s">
        <v>1103</v>
      </c>
      <c r="H52" s="113" t="s">
        <v>369</v>
      </c>
      <c r="I52" s="114"/>
      <c r="J52" s="113" t="s">
        <v>1104</v>
      </c>
      <c r="K52" s="113" t="s">
        <v>1105</v>
      </c>
      <c r="L52" s="113" t="s">
        <v>1106</v>
      </c>
      <c r="M52" s="37" t="s">
        <v>1107</v>
      </c>
      <c r="N52" s="113" t="s">
        <v>52</v>
      </c>
      <c r="O52" s="32"/>
      <c r="P52" s="43" t="s">
        <v>53</v>
      </c>
      <c r="Q52" s="43" t="s">
        <v>54</v>
      </c>
      <c r="R52" s="116" t="s">
        <v>1112</v>
      </c>
      <c r="S52" s="117"/>
      <c r="T52" s="117"/>
      <c r="U52" s="117"/>
      <c r="V52" s="117"/>
      <c r="W52" s="117"/>
      <c r="X52" s="117"/>
      <c r="Y52" s="97"/>
      <c r="Z52" s="97"/>
      <c r="AA52" s="97"/>
      <c r="AB52" s="97"/>
      <c r="AC52" s="97"/>
    </row>
    <row r="53">
      <c r="A53" s="111"/>
      <c r="B53" s="15">
        <v>46214.0</v>
      </c>
      <c r="C53" s="112" t="s">
        <v>25</v>
      </c>
      <c r="D53" s="21" t="s">
        <v>1117</v>
      </c>
      <c r="E53" s="23"/>
      <c r="F53" s="23"/>
      <c r="G53" s="99" t="s">
        <v>1118</v>
      </c>
      <c r="H53" s="113" t="s">
        <v>369</v>
      </c>
      <c r="I53" s="114"/>
      <c r="J53" s="113" t="s">
        <v>1120</v>
      </c>
      <c r="K53" s="113" t="s">
        <v>1121</v>
      </c>
      <c r="L53" s="113" t="s">
        <v>1122</v>
      </c>
      <c r="M53" s="37" t="s">
        <v>1123</v>
      </c>
      <c r="N53" s="113" t="s">
        <v>52</v>
      </c>
      <c r="O53" s="32"/>
      <c r="P53" s="43" t="s">
        <v>53</v>
      </c>
      <c r="Q53" s="43" t="s">
        <v>54</v>
      </c>
      <c r="R53" s="116" t="s">
        <v>1129</v>
      </c>
      <c r="S53" s="117"/>
      <c r="T53" s="117"/>
      <c r="U53" s="117"/>
      <c r="V53" s="117"/>
      <c r="W53" s="117"/>
      <c r="X53" s="117"/>
      <c r="Y53" s="97"/>
      <c r="Z53" s="97"/>
      <c r="AA53" s="97"/>
      <c r="AB53" s="97"/>
      <c r="AC53" s="97"/>
    </row>
    <row r="54">
      <c r="A54" s="111"/>
      <c r="B54" s="15">
        <v>46214.0</v>
      </c>
      <c r="C54" s="112" t="s">
        <v>25</v>
      </c>
      <c r="D54" s="21" t="s">
        <v>1131</v>
      </c>
      <c r="E54" s="23"/>
      <c r="F54" s="23"/>
      <c r="G54" s="99" t="s">
        <v>1133</v>
      </c>
      <c r="H54" s="113" t="s">
        <v>369</v>
      </c>
      <c r="I54" s="114"/>
      <c r="J54" s="113" t="s">
        <v>1138</v>
      </c>
      <c r="K54" s="113" t="s">
        <v>1121</v>
      </c>
      <c r="L54" s="113" t="s">
        <v>1122</v>
      </c>
      <c r="M54" s="37" t="s">
        <v>1141</v>
      </c>
      <c r="N54" s="113" t="s">
        <v>52</v>
      </c>
      <c r="O54" s="32"/>
      <c r="P54" s="43" t="s">
        <v>53</v>
      </c>
      <c r="Q54" s="43" t="s">
        <v>54</v>
      </c>
      <c r="R54" s="116" t="s">
        <v>1143</v>
      </c>
      <c r="S54" s="117"/>
      <c r="T54" s="117"/>
      <c r="U54" s="117"/>
      <c r="V54" s="117"/>
      <c r="W54" s="117"/>
      <c r="X54" s="117"/>
      <c r="Y54" s="97"/>
      <c r="Z54" s="97"/>
      <c r="AA54" s="97"/>
      <c r="AB54" s="97"/>
      <c r="AC54" s="97"/>
    </row>
    <row r="55">
      <c r="A55" s="111"/>
      <c r="B55" s="15">
        <v>46214.0</v>
      </c>
      <c r="C55" s="112" t="s">
        <v>25</v>
      </c>
      <c r="D55" s="21" t="s">
        <v>1145</v>
      </c>
      <c r="E55" s="23"/>
      <c r="F55" s="23"/>
      <c r="G55" s="99" t="s">
        <v>1148</v>
      </c>
      <c r="H55" s="113" t="s">
        <v>1149</v>
      </c>
      <c r="I55" s="114"/>
      <c r="J55" s="113" t="s">
        <v>1150</v>
      </c>
      <c r="K55" s="113" t="s">
        <v>1151</v>
      </c>
      <c r="L55" s="113" t="s">
        <v>1152</v>
      </c>
      <c r="M55" s="37" t="s">
        <v>1154</v>
      </c>
      <c r="N55" s="113" t="s">
        <v>52</v>
      </c>
      <c r="O55" s="32"/>
      <c r="P55" s="43" t="s">
        <v>53</v>
      </c>
      <c r="Q55" s="43" t="s">
        <v>54</v>
      </c>
      <c r="R55" s="116" t="s">
        <v>1158</v>
      </c>
      <c r="S55" s="117"/>
      <c r="T55" s="117"/>
      <c r="U55" s="117"/>
      <c r="V55" s="117"/>
      <c r="W55" s="117"/>
      <c r="X55" s="117"/>
      <c r="Y55" s="97"/>
      <c r="Z55" s="97"/>
      <c r="AA55" s="97"/>
      <c r="AB55" s="97"/>
      <c r="AC55" s="97"/>
    </row>
    <row r="56">
      <c r="A56" s="111"/>
      <c r="B56" s="15">
        <v>46214.0</v>
      </c>
      <c r="C56" s="112" t="s">
        <v>25</v>
      </c>
      <c r="D56" s="21" t="s">
        <v>1162</v>
      </c>
      <c r="E56" s="23"/>
      <c r="F56" s="23"/>
      <c r="G56" s="99" t="s">
        <v>1163</v>
      </c>
      <c r="H56" s="113" t="s">
        <v>1149</v>
      </c>
      <c r="I56" s="114"/>
      <c r="J56" s="113" t="s">
        <v>1164</v>
      </c>
      <c r="K56" s="113" t="s">
        <v>1166</v>
      </c>
      <c r="L56" s="113" t="s">
        <v>1167</v>
      </c>
      <c r="M56" s="37" t="s">
        <v>1168</v>
      </c>
      <c r="N56" s="113" t="s">
        <v>52</v>
      </c>
      <c r="O56" s="32"/>
      <c r="P56" s="43" t="s">
        <v>53</v>
      </c>
      <c r="Q56" s="43" t="s">
        <v>54</v>
      </c>
      <c r="R56" s="116" t="s">
        <v>1174</v>
      </c>
      <c r="S56" s="117"/>
      <c r="T56" s="117"/>
      <c r="U56" s="117"/>
      <c r="V56" s="117"/>
      <c r="W56" s="117"/>
      <c r="X56" s="117"/>
      <c r="Y56" s="97"/>
      <c r="Z56" s="97"/>
      <c r="AA56" s="97"/>
      <c r="AB56" s="97"/>
      <c r="AC56" s="97"/>
    </row>
    <row r="57">
      <c r="A57" s="111"/>
      <c r="B57" s="15">
        <v>46214.0</v>
      </c>
      <c r="C57" s="112" t="s">
        <v>25</v>
      </c>
      <c r="D57" s="21" t="s">
        <v>1177</v>
      </c>
      <c r="E57" s="23"/>
      <c r="F57" s="23"/>
      <c r="G57" s="99" t="s">
        <v>1179</v>
      </c>
      <c r="H57" s="113" t="s">
        <v>1149</v>
      </c>
      <c r="I57" s="114"/>
      <c r="J57" s="113" t="s">
        <v>1184</v>
      </c>
      <c r="K57" s="113" t="s">
        <v>1029</v>
      </c>
      <c r="L57" s="113" t="s">
        <v>1188</v>
      </c>
      <c r="M57" s="37" t="s">
        <v>1190</v>
      </c>
      <c r="N57" s="113" t="s">
        <v>52</v>
      </c>
      <c r="O57" s="32"/>
      <c r="P57" s="43" t="s">
        <v>55</v>
      </c>
      <c r="Q57" s="43" t="s">
        <v>419</v>
      </c>
      <c r="R57" s="116" t="s">
        <v>420</v>
      </c>
      <c r="S57" s="117"/>
      <c r="T57" s="117"/>
      <c r="U57" s="117"/>
      <c r="V57" s="117"/>
      <c r="W57" s="117"/>
      <c r="X57" s="117"/>
      <c r="Y57" s="97"/>
      <c r="Z57" s="97"/>
      <c r="AA57" s="97"/>
      <c r="AB57" s="97"/>
      <c r="AC57" s="97"/>
    </row>
    <row r="58">
      <c r="A58" s="111"/>
      <c r="B58" s="15">
        <v>46214.0</v>
      </c>
      <c r="C58" s="112" t="s">
        <v>25</v>
      </c>
      <c r="D58" s="21" t="s">
        <v>1196</v>
      </c>
      <c r="E58" s="23"/>
      <c r="F58" s="23"/>
      <c r="G58" s="99" t="s">
        <v>1199</v>
      </c>
      <c r="H58" s="113" t="s">
        <v>1149</v>
      </c>
      <c r="I58" s="114"/>
      <c r="J58" s="113" t="s">
        <v>1200</v>
      </c>
      <c r="K58" s="113" t="s">
        <v>1201</v>
      </c>
      <c r="L58" s="113" t="s">
        <v>1188</v>
      </c>
      <c r="M58" s="37" t="s">
        <v>1202</v>
      </c>
      <c r="N58" s="113" t="s">
        <v>52</v>
      </c>
      <c r="O58" s="32"/>
      <c r="P58" s="43" t="s">
        <v>55</v>
      </c>
      <c r="Q58" s="43" t="s">
        <v>55</v>
      </c>
      <c r="R58" s="116" t="s">
        <v>1207</v>
      </c>
      <c r="S58" s="117"/>
      <c r="T58" s="117"/>
      <c r="U58" s="117"/>
      <c r="V58" s="117"/>
      <c r="W58" s="117"/>
      <c r="X58" s="117"/>
      <c r="Y58" s="97"/>
      <c r="Z58" s="97"/>
      <c r="AA58" s="97"/>
      <c r="AB58" s="97"/>
      <c r="AC58" s="97"/>
    </row>
    <row r="59">
      <c r="A59" s="111"/>
      <c r="B59" s="15">
        <v>46214.0</v>
      </c>
      <c r="C59" s="112" t="s">
        <v>25</v>
      </c>
      <c r="D59" s="21" t="s">
        <v>1210</v>
      </c>
      <c r="E59" s="23"/>
      <c r="F59" s="23"/>
      <c r="G59" s="99" t="s">
        <v>1212</v>
      </c>
      <c r="H59" s="113" t="s">
        <v>1149</v>
      </c>
      <c r="I59" s="114"/>
      <c r="J59" s="113" t="s">
        <v>1213</v>
      </c>
      <c r="K59" s="113" t="s">
        <v>1215</v>
      </c>
      <c r="L59" s="113" t="s">
        <v>1216</v>
      </c>
      <c r="M59" s="37" t="s">
        <v>1218</v>
      </c>
      <c r="N59" s="113" t="s">
        <v>52</v>
      </c>
      <c r="O59" s="32"/>
      <c r="P59" s="43" t="s">
        <v>53</v>
      </c>
      <c r="Q59" s="43" t="s">
        <v>54</v>
      </c>
      <c r="R59" s="116" t="s">
        <v>1222</v>
      </c>
      <c r="S59" s="117"/>
      <c r="T59" s="117"/>
      <c r="U59" s="117"/>
      <c r="V59" s="117"/>
      <c r="W59" s="117"/>
      <c r="X59" s="117"/>
      <c r="Y59" s="97"/>
      <c r="Z59" s="97"/>
      <c r="AA59" s="97"/>
      <c r="AB59" s="97"/>
      <c r="AC59" s="97"/>
    </row>
    <row r="60">
      <c r="A60" s="111"/>
      <c r="B60" s="15">
        <v>46214.0</v>
      </c>
      <c r="C60" s="112" t="s">
        <v>25</v>
      </c>
      <c r="D60" s="21" t="s">
        <v>1227</v>
      </c>
      <c r="E60" s="23"/>
      <c r="F60" s="23"/>
      <c r="G60" s="99" t="s">
        <v>1103</v>
      </c>
      <c r="H60" s="113" t="s">
        <v>1230</v>
      </c>
      <c r="I60" s="114"/>
      <c r="J60" s="113" t="s">
        <v>1232</v>
      </c>
      <c r="K60" s="113" t="s">
        <v>1233</v>
      </c>
      <c r="L60" s="113" t="s">
        <v>1234</v>
      </c>
      <c r="M60" s="37" t="s">
        <v>1235</v>
      </c>
      <c r="N60" s="113" t="s">
        <v>52</v>
      </c>
      <c r="O60" s="32"/>
      <c r="P60" s="43" t="s">
        <v>53</v>
      </c>
      <c r="Q60" s="43" t="s">
        <v>54</v>
      </c>
      <c r="R60" s="116" t="s">
        <v>1240</v>
      </c>
      <c r="S60" s="117"/>
      <c r="T60" s="117"/>
      <c r="U60" s="117"/>
      <c r="V60" s="117"/>
      <c r="W60" s="117"/>
      <c r="X60" s="117"/>
      <c r="Y60" s="97"/>
      <c r="Z60" s="97"/>
      <c r="AA60" s="97"/>
      <c r="AB60" s="97"/>
      <c r="AC60" s="97"/>
    </row>
    <row r="61">
      <c r="A61" s="111"/>
      <c r="B61" s="15">
        <v>46214.0</v>
      </c>
      <c r="C61" s="112" t="s">
        <v>25</v>
      </c>
      <c r="D61" s="21" t="s">
        <v>1244</v>
      </c>
      <c r="E61" s="23"/>
      <c r="F61" s="23"/>
      <c r="G61" s="99" t="s">
        <v>1246</v>
      </c>
      <c r="H61" s="113" t="s">
        <v>1230</v>
      </c>
      <c r="I61" s="114"/>
      <c r="J61" s="113" t="s">
        <v>1247</v>
      </c>
      <c r="K61" s="113" t="s">
        <v>1248</v>
      </c>
      <c r="L61" s="113" t="s">
        <v>1188</v>
      </c>
      <c r="M61" s="37" t="s">
        <v>1249</v>
      </c>
      <c r="N61" s="113" t="s">
        <v>52</v>
      </c>
      <c r="O61" s="32"/>
      <c r="P61" s="43" t="s">
        <v>55</v>
      </c>
      <c r="Q61" s="43" t="s">
        <v>419</v>
      </c>
      <c r="R61" s="116" t="s">
        <v>420</v>
      </c>
      <c r="S61" s="117"/>
      <c r="T61" s="117"/>
      <c r="U61" s="117"/>
      <c r="V61" s="117"/>
      <c r="W61" s="117"/>
      <c r="X61" s="117"/>
      <c r="Y61" s="97"/>
      <c r="Z61" s="97"/>
      <c r="AA61" s="97"/>
      <c r="AB61" s="97"/>
      <c r="AC61" s="97"/>
    </row>
    <row r="62">
      <c r="A62" s="111"/>
      <c r="B62" s="15">
        <v>46214.0</v>
      </c>
      <c r="C62" s="112" t="s">
        <v>25</v>
      </c>
      <c r="D62" s="21" t="s">
        <v>1259</v>
      </c>
      <c r="E62" s="23"/>
      <c r="F62" s="23"/>
      <c r="G62" s="99" t="s">
        <v>113</v>
      </c>
      <c r="H62" s="113" t="s">
        <v>1230</v>
      </c>
      <c r="I62" s="114"/>
      <c r="J62" s="113" t="s">
        <v>1260</v>
      </c>
      <c r="K62" s="113" t="s">
        <v>1261</v>
      </c>
      <c r="L62" s="113" t="s">
        <v>1262</v>
      </c>
      <c r="M62" s="37" t="s">
        <v>1263</v>
      </c>
      <c r="N62" s="113" t="s">
        <v>52</v>
      </c>
      <c r="O62" s="32"/>
      <c r="P62" s="43" t="s">
        <v>53</v>
      </c>
      <c r="Q62" s="43" t="s">
        <v>54</v>
      </c>
      <c r="R62" s="116" t="s">
        <v>1268</v>
      </c>
      <c r="S62" s="117"/>
      <c r="T62" s="117"/>
      <c r="U62" s="117"/>
      <c r="V62" s="117"/>
      <c r="W62" s="117"/>
      <c r="X62" s="117"/>
      <c r="Y62" s="97"/>
      <c r="Z62" s="97"/>
      <c r="AA62" s="97"/>
      <c r="AB62" s="97"/>
      <c r="AC62" s="97"/>
    </row>
    <row r="63">
      <c r="A63" s="111"/>
      <c r="B63" s="82">
        <v>86.0</v>
      </c>
      <c r="C63" s="112" t="s">
        <v>25</v>
      </c>
      <c r="D63" s="83" t="s">
        <v>1272</v>
      </c>
      <c r="E63" s="84" t="s">
        <v>1273</v>
      </c>
      <c r="F63" s="84" t="s">
        <v>722</v>
      </c>
      <c r="G63" s="109" t="s">
        <v>1274</v>
      </c>
      <c r="H63" s="113" t="s">
        <v>1275</v>
      </c>
      <c r="I63" s="114"/>
      <c r="J63" s="113" t="s">
        <v>1276</v>
      </c>
      <c r="K63" s="113" t="s">
        <v>1277</v>
      </c>
      <c r="L63" s="113" t="s">
        <v>728</v>
      </c>
      <c r="M63" s="37" t="s">
        <v>1280</v>
      </c>
      <c r="N63" s="113" t="s">
        <v>52</v>
      </c>
      <c r="O63" s="32"/>
      <c r="P63" s="43" t="s">
        <v>53</v>
      </c>
      <c r="Q63" s="43" t="s">
        <v>54</v>
      </c>
      <c r="R63" s="116" t="s">
        <v>1285</v>
      </c>
      <c r="S63" s="117"/>
      <c r="T63" s="117"/>
      <c r="U63" s="117"/>
      <c r="V63" s="117"/>
      <c r="W63" s="117"/>
      <c r="X63" s="117"/>
      <c r="Y63" s="97"/>
      <c r="Z63" s="97"/>
      <c r="AA63" s="97"/>
      <c r="AB63" s="97"/>
      <c r="AC63" s="97"/>
    </row>
    <row r="64">
      <c r="A64" s="111"/>
      <c r="B64" s="15">
        <v>46214.0</v>
      </c>
      <c r="C64" s="112" t="s">
        <v>25</v>
      </c>
      <c r="D64" s="21" t="s">
        <v>1290</v>
      </c>
      <c r="E64" s="23"/>
      <c r="F64" s="23"/>
      <c r="G64" s="99" t="s">
        <v>34</v>
      </c>
      <c r="H64" s="113" t="s">
        <v>1275</v>
      </c>
      <c r="I64" s="114"/>
      <c r="J64" s="113" t="s">
        <v>1291</v>
      </c>
      <c r="K64" s="113" t="s">
        <v>1292</v>
      </c>
      <c r="L64" s="113" t="s">
        <v>1293</v>
      </c>
      <c r="M64" s="37" t="s">
        <v>1294</v>
      </c>
      <c r="N64" s="113" t="s">
        <v>52</v>
      </c>
      <c r="O64" s="32"/>
      <c r="P64" s="43" t="s">
        <v>53</v>
      </c>
      <c r="Q64" s="43" t="s">
        <v>54</v>
      </c>
      <c r="R64" s="116" t="s">
        <v>1303</v>
      </c>
      <c r="S64" s="117"/>
      <c r="T64" s="117"/>
      <c r="U64" s="117"/>
      <c r="V64" s="117"/>
      <c r="W64" s="117"/>
      <c r="X64" s="117"/>
      <c r="Y64" s="97"/>
      <c r="Z64" s="97"/>
      <c r="AA64" s="97"/>
      <c r="AB64" s="97"/>
      <c r="AC64" s="97"/>
    </row>
    <row r="65">
      <c r="A65" s="111"/>
      <c r="B65" s="82">
        <v>87.0</v>
      </c>
      <c r="C65" s="112" t="s">
        <v>25</v>
      </c>
      <c r="D65" s="83" t="s">
        <v>1305</v>
      </c>
      <c r="E65" s="84" t="s">
        <v>1306</v>
      </c>
      <c r="F65" s="84" t="s">
        <v>722</v>
      </c>
      <c r="G65" s="109" t="s">
        <v>1307</v>
      </c>
      <c r="H65" s="113" t="s">
        <v>1309</v>
      </c>
      <c r="I65" s="114"/>
      <c r="J65" s="113" t="s">
        <v>1311</v>
      </c>
      <c r="K65" s="113" t="s">
        <v>1312</v>
      </c>
      <c r="L65" s="113" t="s">
        <v>1313</v>
      </c>
      <c r="M65" s="37" t="s">
        <v>1314</v>
      </c>
      <c r="N65" s="113" t="s">
        <v>52</v>
      </c>
      <c r="O65" s="32"/>
      <c r="P65" s="43" t="s">
        <v>55</v>
      </c>
      <c r="Q65" s="43" t="s">
        <v>55</v>
      </c>
      <c r="R65" s="116" t="s">
        <v>1318</v>
      </c>
      <c r="S65" s="117"/>
      <c r="T65" s="117"/>
      <c r="U65" s="117"/>
      <c r="V65" s="117"/>
      <c r="W65" s="117"/>
      <c r="X65" s="117"/>
      <c r="Y65" s="97"/>
      <c r="Z65" s="97"/>
      <c r="AA65" s="97"/>
      <c r="AB65" s="97"/>
      <c r="AC65" s="97"/>
    </row>
    <row r="66">
      <c r="A66" s="111"/>
      <c r="B66" s="15">
        <v>46214.0</v>
      </c>
      <c r="C66" s="112" t="s">
        <v>25</v>
      </c>
      <c r="D66" s="21" t="s">
        <v>1320</v>
      </c>
      <c r="E66" s="23"/>
      <c r="F66" s="23"/>
      <c r="G66" s="99" t="s">
        <v>1322</v>
      </c>
      <c r="H66" s="113" t="s">
        <v>1309</v>
      </c>
      <c r="I66" s="114"/>
      <c r="J66" s="113" t="s">
        <v>1324</v>
      </c>
      <c r="K66" s="99" t="s">
        <v>64</v>
      </c>
      <c r="L66" s="113" t="s">
        <v>1325</v>
      </c>
      <c r="M66" s="37" t="s">
        <v>1326</v>
      </c>
      <c r="N66" s="113" t="s">
        <v>52</v>
      </c>
      <c r="O66" s="32"/>
      <c r="P66" s="43" t="s">
        <v>55</v>
      </c>
      <c r="Q66" s="43" t="s">
        <v>55</v>
      </c>
      <c r="R66" s="116" t="s">
        <v>1334</v>
      </c>
      <c r="S66" s="117"/>
      <c r="T66" s="117"/>
      <c r="U66" s="117"/>
      <c r="V66" s="117"/>
      <c r="W66" s="117"/>
      <c r="X66" s="117"/>
      <c r="Y66" s="97"/>
      <c r="Z66" s="97"/>
      <c r="AA66" s="97"/>
      <c r="AB66" s="97"/>
      <c r="AC66" s="97"/>
    </row>
    <row r="67">
      <c r="A67" s="111"/>
      <c r="B67" s="15">
        <v>46214.0</v>
      </c>
      <c r="C67" s="112" t="s">
        <v>25</v>
      </c>
      <c r="D67" s="21" t="s">
        <v>1337</v>
      </c>
      <c r="E67" s="23"/>
      <c r="F67" s="23"/>
      <c r="G67" s="99" t="s">
        <v>1339</v>
      </c>
      <c r="H67" s="113" t="s">
        <v>1340</v>
      </c>
      <c r="I67" s="114"/>
      <c r="J67" s="113" t="s">
        <v>1343</v>
      </c>
      <c r="K67" s="113" t="s">
        <v>1346</v>
      </c>
      <c r="L67" s="113" t="s">
        <v>1347</v>
      </c>
      <c r="M67" s="37" t="s">
        <v>1348</v>
      </c>
      <c r="N67" s="113" t="s">
        <v>52</v>
      </c>
      <c r="O67" s="32"/>
      <c r="P67" s="43" t="s">
        <v>53</v>
      </c>
      <c r="Q67" s="43" t="s">
        <v>54</v>
      </c>
      <c r="R67" s="116" t="s">
        <v>1350</v>
      </c>
      <c r="S67" s="117"/>
      <c r="T67" s="117"/>
      <c r="U67" s="117"/>
      <c r="V67" s="117"/>
      <c r="W67" s="117"/>
      <c r="X67" s="117"/>
      <c r="Y67" s="97"/>
      <c r="Z67" s="97"/>
      <c r="AA67" s="97"/>
      <c r="AB67" s="97"/>
      <c r="AC67" s="97"/>
    </row>
    <row r="68">
      <c r="A68" s="111"/>
      <c r="B68" s="15">
        <v>46214.0</v>
      </c>
      <c r="C68" s="112" t="s">
        <v>25</v>
      </c>
      <c r="D68" s="21" t="s">
        <v>1352</v>
      </c>
      <c r="E68" s="23"/>
      <c r="F68" s="23"/>
      <c r="G68" s="99" t="s">
        <v>1355</v>
      </c>
      <c r="H68" s="113" t="s">
        <v>1357</v>
      </c>
      <c r="I68" s="114"/>
      <c r="J68" s="113" t="s">
        <v>1311</v>
      </c>
      <c r="K68" s="113" t="s">
        <v>1360</v>
      </c>
      <c r="L68" s="113" t="s">
        <v>1361</v>
      </c>
      <c r="M68" s="37" t="s">
        <v>1362</v>
      </c>
      <c r="N68" s="113" t="s">
        <v>52</v>
      </c>
      <c r="O68" s="32"/>
      <c r="P68" s="43" t="s">
        <v>53</v>
      </c>
      <c r="Q68" s="43" t="s">
        <v>54</v>
      </c>
      <c r="R68" s="116" t="s">
        <v>1367</v>
      </c>
      <c r="S68" s="117"/>
      <c r="T68" s="117"/>
      <c r="U68" s="117"/>
      <c r="V68" s="117"/>
      <c r="W68" s="117"/>
      <c r="X68" s="117"/>
      <c r="Y68" s="97"/>
      <c r="Z68" s="97"/>
      <c r="AA68" s="97"/>
      <c r="AB68" s="97"/>
      <c r="AC68" s="97"/>
    </row>
    <row r="69">
      <c r="A69" s="111"/>
      <c r="B69" s="15">
        <v>46214.0</v>
      </c>
      <c r="C69" s="112" t="s">
        <v>25</v>
      </c>
      <c r="D69" s="21" t="s">
        <v>1373</v>
      </c>
      <c r="E69" s="23"/>
      <c r="F69" s="23"/>
      <c r="G69" s="99" t="s">
        <v>1376</v>
      </c>
      <c r="H69" s="113" t="s">
        <v>1377</v>
      </c>
      <c r="I69" s="114"/>
      <c r="J69" s="113" t="s">
        <v>1378</v>
      </c>
      <c r="K69" s="99" t="s">
        <v>64</v>
      </c>
      <c r="L69" s="113" t="s">
        <v>1379</v>
      </c>
      <c r="M69" s="37" t="s">
        <v>1380</v>
      </c>
      <c r="N69" s="113" t="s">
        <v>52</v>
      </c>
      <c r="O69" s="32"/>
      <c r="P69" s="43" t="s">
        <v>53</v>
      </c>
      <c r="Q69" s="43" t="s">
        <v>54</v>
      </c>
      <c r="R69" s="116" t="s">
        <v>1385</v>
      </c>
      <c r="S69" s="117"/>
      <c r="T69" s="117"/>
      <c r="U69" s="117"/>
      <c r="V69" s="117"/>
      <c r="W69" s="117"/>
      <c r="X69" s="117"/>
      <c r="Y69" s="97"/>
      <c r="Z69" s="97"/>
      <c r="AA69" s="97"/>
      <c r="AB69" s="97"/>
      <c r="AC69" s="97"/>
    </row>
    <row r="70">
      <c r="A70" s="111"/>
      <c r="B70" s="15">
        <v>46214.0</v>
      </c>
      <c r="C70" s="112" t="s">
        <v>25</v>
      </c>
      <c r="D70" s="21" t="s">
        <v>1391</v>
      </c>
      <c r="E70" s="23"/>
      <c r="F70" s="23"/>
      <c r="G70" s="99" t="s">
        <v>1392</v>
      </c>
      <c r="H70" s="113" t="s">
        <v>1377</v>
      </c>
      <c r="I70" s="114"/>
      <c r="J70" s="113" t="s">
        <v>1394</v>
      </c>
      <c r="K70" s="113" t="s">
        <v>1396</v>
      </c>
      <c r="L70" s="113" t="s">
        <v>1398</v>
      </c>
      <c r="M70" s="37" t="s">
        <v>1399</v>
      </c>
      <c r="N70" s="113" t="s">
        <v>52</v>
      </c>
      <c r="O70" s="32"/>
      <c r="P70" s="43" t="s">
        <v>53</v>
      </c>
      <c r="Q70" s="43" t="s">
        <v>54</v>
      </c>
      <c r="R70" s="116" t="s">
        <v>1409</v>
      </c>
      <c r="S70" s="117"/>
      <c r="T70" s="117"/>
      <c r="U70" s="117"/>
      <c r="V70" s="117"/>
      <c r="W70" s="117"/>
      <c r="X70" s="117"/>
      <c r="Y70" s="97"/>
      <c r="Z70" s="97"/>
      <c r="AA70" s="97"/>
      <c r="AB70" s="97"/>
      <c r="AC70" s="97"/>
    </row>
    <row r="71">
      <c r="A71" s="111"/>
      <c r="B71" s="15">
        <v>46214.0</v>
      </c>
      <c r="C71" s="112" t="s">
        <v>25</v>
      </c>
      <c r="D71" s="21" t="s">
        <v>1410</v>
      </c>
      <c r="E71" s="23"/>
      <c r="F71" s="23"/>
      <c r="G71" s="99" t="s">
        <v>1411</v>
      </c>
      <c r="H71" s="113" t="s">
        <v>1377</v>
      </c>
      <c r="I71" s="114"/>
      <c r="J71" s="113" t="s">
        <v>1412</v>
      </c>
      <c r="K71" s="113" t="s">
        <v>1414</v>
      </c>
      <c r="L71" s="113" t="s">
        <v>1415</v>
      </c>
      <c r="M71" s="37" t="s">
        <v>1416</v>
      </c>
      <c r="N71" s="113" t="s">
        <v>52</v>
      </c>
      <c r="O71" s="32"/>
      <c r="P71" s="43" t="s">
        <v>53</v>
      </c>
      <c r="Q71" s="43" t="s">
        <v>54</v>
      </c>
      <c r="R71" s="116" t="s">
        <v>1423</v>
      </c>
      <c r="S71" s="117"/>
      <c r="T71" s="117"/>
      <c r="U71" s="117"/>
      <c r="V71" s="117"/>
      <c r="W71" s="117"/>
      <c r="X71" s="117"/>
      <c r="Y71" s="97"/>
      <c r="Z71" s="97"/>
      <c r="AA71" s="97"/>
      <c r="AB71" s="97"/>
      <c r="AC71" s="97"/>
    </row>
    <row r="72">
      <c r="A72" s="111"/>
      <c r="B72" s="15">
        <v>46214.0</v>
      </c>
      <c r="C72" s="112" t="s">
        <v>25</v>
      </c>
      <c r="D72" s="21" t="s">
        <v>1442</v>
      </c>
      <c r="E72" s="32"/>
      <c r="F72" s="32"/>
      <c r="G72" s="113" t="s">
        <v>1443</v>
      </c>
      <c r="H72" s="113" t="s">
        <v>1377</v>
      </c>
      <c r="I72" s="114"/>
      <c r="J72" s="113" t="s">
        <v>1445</v>
      </c>
      <c r="K72" s="113" t="s">
        <v>1447</v>
      </c>
      <c r="L72" s="113" t="s">
        <v>1449</v>
      </c>
      <c r="M72" s="37" t="s">
        <v>1450</v>
      </c>
      <c r="N72" s="113" t="s">
        <v>52</v>
      </c>
      <c r="O72" s="32"/>
      <c r="P72" s="43" t="s">
        <v>53</v>
      </c>
      <c r="Q72" s="43" t="s">
        <v>54</v>
      </c>
      <c r="R72" s="116" t="s">
        <v>1460</v>
      </c>
      <c r="S72" s="117"/>
      <c r="T72" s="117"/>
      <c r="U72" s="117"/>
      <c r="V72" s="117"/>
      <c r="W72" s="117"/>
      <c r="X72" s="117"/>
      <c r="Y72" s="97"/>
      <c r="Z72" s="97"/>
      <c r="AA72" s="97"/>
      <c r="AB72" s="97"/>
      <c r="AC72" s="97"/>
    </row>
    <row r="73">
      <c r="A73" s="111"/>
      <c r="B73" s="15">
        <v>46214.0</v>
      </c>
      <c r="C73" s="112" t="s">
        <v>25</v>
      </c>
      <c r="D73" s="21" t="s">
        <v>1464</v>
      </c>
      <c r="E73" s="32"/>
      <c r="F73" s="32"/>
      <c r="G73" s="99" t="s">
        <v>1465</v>
      </c>
      <c r="H73" s="113" t="s">
        <v>1466</v>
      </c>
      <c r="I73" s="114"/>
      <c r="J73" s="113" t="s">
        <v>1468</v>
      </c>
      <c r="K73" s="99" t="s">
        <v>64</v>
      </c>
      <c r="L73" s="113" t="s">
        <v>1477</v>
      </c>
      <c r="M73" s="87" t="s">
        <v>1478</v>
      </c>
      <c r="N73" s="113" t="s">
        <v>52</v>
      </c>
      <c r="O73" s="32"/>
      <c r="P73" s="43" t="s">
        <v>53</v>
      </c>
      <c r="Q73" s="43" t="s">
        <v>54</v>
      </c>
      <c r="R73" s="116" t="s">
        <v>1488</v>
      </c>
      <c r="S73" s="117"/>
      <c r="T73" s="117"/>
      <c r="U73" s="117"/>
      <c r="V73" s="117"/>
      <c r="W73" s="117"/>
      <c r="X73" s="117"/>
      <c r="Y73" s="97"/>
      <c r="Z73" s="97"/>
      <c r="AA73" s="97"/>
      <c r="AB73" s="97"/>
      <c r="AC73" s="97"/>
    </row>
    <row r="74">
      <c r="A74" s="111"/>
      <c r="B74" s="15">
        <v>46214.0</v>
      </c>
      <c r="C74" s="112" t="s">
        <v>25</v>
      </c>
      <c r="D74" s="21" t="s">
        <v>1493</v>
      </c>
      <c r="E74" s="32"/>
      <c r="F74" s="32"/>
      <c r="G74" s="113" t="s">
        <v>1496</v>
      </c>
      <c r="H74" s="113" t="s">
        <v>1466</v>
      </c>
      <c r="I74" s="114"/>
      <c r="J74" s="113" t="s">
        <v>1500</v>
      </c>
      <c r="K74" s="113" t="s">
        <v>1502</v>
      </c>
      <c r="L74" s="113" t="s">
        <v>1503</v>
      </c>
      <c r="M74" s="87" t="s">
        <v>1504</v>
      </c>
      <c r="N74" s="113" t="s">
        <v>52</v>
      </c>
      <c r="O74" s="32"/>
      <c r="P74" s="43" t="s">
        <v>53</v>
      </c>
      <c r="Q74" s="43" t="s">
        <v>54</v>
      </c>
      <c r="R74" s="116" t="s">
        <v>1512</v>
      </c>
      <c r="S74" s="117"/>
      <c r="T74" s="117"/>
      <c r="U74" s="117"/>
      <c r="V74" s="117"/>
      <c r="W74" s="117"/>
      <c r="X74" s="117"/>
      <c r="Y74" s="97"/>
      <c r="Z74" s="97"/>
      <c r="AA74" s="97"/>
      <c r="AB74" s="97"/>
      <c r="AC74" s="97"/>
    </row>
    <row r="75">
      <c r="A75" s="111"/>
      <c r="B75" s="15">
        <v>46214.0</v>
      </c>
      <c r="C75" s="112" t="s">
        <v>25</v>
      </c>
      <c r="D75" s="21" t="s">
        <v>1518</v>
      </c>
      <c r="E75" s="32"/>
      <c r="F75" s="32"/>
      <c r="G75" s="113" t="s">
        <v>1520</v>
      </c>
      <c r="H75" s="113" t="s">
        <v>1466</v>
      </c>
      <c r="I75" s="114"/>
      <c r="J75" s="113" t="s">
        <v>1523</v>
      </c>
      <c r="K75" s="113" t="s">
        <v>1525</v>
      </c>
      <c r="L75" s="113" t="s">
        <v>1527</v>
      </c>
      <c r="M75" s="37" t="s">
        <v>1529</v>
      </c>
      <c r="N75" s="113" t="s">
        <v>52</v>
      </c>
      <c r="O75" s="32"/>
      <c r="P75" s="43" t="s">
        <v>53</v>
      </c>
      <c r="Q75" s="43" t="s">
        <v>54</v>
      </c>
      <c r="R75" s="116" t="s">
        <v>1531</v>
      </c>
      <c r="S75" s="117"/>
      <c r="T75" s="117"/>
      <c r="U75" s="117"/>
      <c r="V75" s="117"/>
      <c r="W75" s="117"/>
      <c r="X75" s="117"/>
      <c r="Y75" s="97"/>
      <c r="Z75" s="97"/>
      <c r="AA75" s="97"/>
      <c r="AB75" s="97"/>
      <c r="AC75" s="97"/>
    </row>
    <row r="76">
      <c r="A76" s="111"/>
      <c r="B76" s="15">
        <v>46214.0</v>
      </c>
      <c r="C76" s="112" t="s">
        <v>25</v>
      </c>
      <c r="D76" s="21" t="s">
        <v>1534</v>
      </c>
      <c r="E76" s="32"/>
      <c r="F76" s="32"/>
      <c r="G76" s="113" t="s">
        <v>1539</v>
      </c>
      <c r="H76" s="113" t="s">
        <v>369</v>
      </c>
      <c r="I76" s="114"/>
      <c r="J76" s="113" t="s">
        <v>1542</v>
      </c>
      <c r="K76" s="113" t="s">
        <v>1543</v>
      </c>
      <c r="L76" s="113" t="s">
        <v>1545</v>
      </c>
      <c r="M76" s="37" t="s">
        <v>1547</v>
      </c>
      <c r="N76" s="113" t="s">
        <v>52</v>
      </c>
      <c r="O76" s="32"/>
      <c r="P76" s="43" t="s">
        <v>55</v>
      </c>
      <c r="Q76" s="43" t="s">
        <v>419</v>
      </c>
      <c r="R76" s="116" t="s">
        <v>1557</v>
      </c>
      <c r="S76" s="117"/>
      <c r="T76" s="117"/>
      <c r="U76" s="117"/>
      <c r="V76" s="117"/>
      <c r="W76" s="117"/>
      <c r="X76" s="117"/>
      <c r="Y76" s="97"/>
      <c r="Z76" s="97"/>
      <c r="AA76" s="97"/>
      <c r="AB76" s="97"/>
      <c r="AC76" s="97"/>
    </row>
    <row r="77">
      <c r="A77" s="111"/>
      <c r="B77" s="15">
        <v>46214.0</v>
      </c>
      <c r="C77" s="112" t="s">
        <v>25</v>
      </c>
      <c r="D77" s="21" t="s">
        <v>1565</v>
      </c>
      <c r="E77" s="32"/>
      <c r="F77" s="32"/>
      <c r="G77" s="113" t="s">
        <v>1570</v>
      </c>
      <c r="H77" s="113" t="s">
        <v>1572</v>
      </c>
      <c r="I77" s="114"/>
      <c r="J77" s="113" t="s">
        <v>1542</v>
      </c>
      <c r="K77" s="113" t="s">
        <v>1573</v>
      </c>
      <c r="L77" s="113" t="s">
        <v>1575</v>
      </c>
      <c r="M77" s="37" t="s">
        <v>1576</v>
      </c>
      <c r="N77" s="113" t="s">
        <v>52</v>
      </c>
      <c r="O77" s="32"/>
      <c r="P77" s="43" t="s">
        <v>53</v>
      </c>
      <c r="Q77" s="43" t="s">
        <v>54</v>
      </c>
      <c r="R77" s="116" t="s">
        <v>1588</v>
      </c>
      <c r="S77" s="117"/>
      <c r="T77" s="117"/>
      <c r="U77" s="117"/>
      <c r="V77" s="117"/>
      <c r="W77" s="117"/>
      <c r="X77" s="117"/>
      <c r="Y77" s="97"/>
      <c r="Z77" s="97"/>
      <c r="AA77" s="97"/>
      <c r="AB77" s="97"/>
      <c r="AC77" s="97"/>
    </row>
    <row r="78">
      <c r="A78" s="111"/>
      <c r="B78" s="82">
        <v>91.0</v>
      </c>
      <c r="C78" s="112" t="s">
        <v>25</v>
      </c>
      <c r="D78" s="83" t="s">
        <v>1594</v>
      </c>
      <c r="E78" s="84" t="s">
        <v>1595</v>
      </c>
      <c r="F78" s="84" t="s">
        <v>722</v>
      </c>
      <c r="G78" s="109" t="s">
        <v>1599</v>
      </c>
      <c r="H78" s="113" t="s">
        <v>1602</v>
      </c>
      <c r="I78" s="114"/>
      <c r="J78" s="113" t="s">
        <v>1608</v>
      </c>
      <c r="K78" s="113" t="s">
        <v>1609</v>
      </c>
      <c r="L78" s="113" t="s">
        <v>1611</v>
      </c>
      <c r="M78" s="37" t="s">
        <v>1612</v>
      </c>
      <c r="N78" s="113" t="s">
        <v>52</v>
      </c>
      <c r="O78" s="32"/>
      <c r="P78" s="43" t="s">
        <v>53</v>
      </c>
      <c r="Q78" s="43" t="s">
        <v>54</v>
      </c>
      <c r="R78" s="116" t="s">
        <v>1618</v>
      </c>
      <c r="S78" s="117"/>
      <c r="T78" s="117"/>
      <c r="U78" s="117"/>
      <c r="V78" s="117"/>
      <c r="W78" s="117"/>
      <c r="X78" s="117"/>
      <c r="Y78" s="97"/>
      <c r="Z78" s="97"/>
      <c r="AA78" s="97"/>
      <c r="AB78" s="97"/>
      <c r="AC78" s="97"/>
    </row>
    <row r="79">
      <c r="A79" s="111"/>
      <c r="B79" s="15">
        <v>46214.0</v>
      </c>
      <c r="C79" s="112" t="s">
        <v>25</v>
      </c>
      <c r="D79" s="21" t="s">
        <v>1621</v>
      </c>
      <c r="E79" s="32"/>
      <c r="F79" s="32"/>
      <c r="G79" s="113" t="s">
        <v>1623</v>
      </c>
      <c r="H79" s="113" t="s">
        <v>1602</v>
      </c>
      <c r="I79" s="114"/>
      <c r="J79" s="113" t="s">
        <v>1627</v>
      </c>
      <c r="K79" s="113" t="s">
        <v>1628</v>
      </c>
      <c r="L79" s="113" t="s">
        <v>1629</v>
      </c>
      <c r="M79" s="37" t="s">
        <v>1630</v>
      </c>
      <c r="N79" s="113" t="s">
        <v>52</v>
      </c>
      <c r="O79" s="32"/>
      <c r="P79" s="43" t="s">
        <v>53</v>
      </c>
      <c r="Q79" s="43" t="s">
        <v>54</v>
      </c>
      <c r="R79" s="116" t="s">
        <v>1639</v>
      </c>
      <c r="S79" s="117"/>
      <c r="T79" s="117"/>
      <c r="U79" s="117"/>
      <c r="V79" s="117"/>
      <c r="W79" s="117"/>
      <c r="X79" s="117"/>
      <c r="Y79" s="97"/>
      <c r="Z79" s="97"/>
      <c r="AA79" s="97"/>
      <c r="AB79" s="97"/>
      <c r="AC79" s="97"/>
    </row>
    <row r="80">
      <c r="A80" s="111"/>
      <c r="B80" s="15">
        <v>46216.0</v>
      </c>
      <c r="C80" s="112" t="s">
        <v>25</v>
      </c>
      <c r="D80" s="21" t="s">
        <v>1646</v>
      </c>
      <c r="E80" s="23"/>
      <c r="F80" s="23"/>
      <c r="G80" s="99" t="s">
        <v>1650</v>
      </c>
      <c r="H80" s="113" t="s">
        <v>1651</v>
      </c>
      <c r="I80" s="114"/>
      <c r="J80" s="113" t="s">
        <v>1652</v>
      </c>
      <c r="K80" s="113" t="s">
        <v>1653</v>
      </c>
      <c r="L80" s="113" t="s">
        <v>101</v>
      </c>
      <c r="M80" s="37" t="s">
        <v>1654</v>
      </c>
      <c r="N80" s="113" t="s">
        <v>52</v>
      </c>
      <c r="O80" s="32"/>
      <c r="P80" s="43" t="s">
        <v>55</v>
      </c>
      <c r="Q80" s="43" t="s">
        <v>419</v>
      </c>
      <c r="R80" s="116" t="s">
        <v>420</v>
      </c>
      <c r="S80" s="117"/>
      <c r="T80" s="117"/>
      <c r="U80" s="117"/>
      <c r="V80" s="117"/>
      <c r="W80" s="117"/>
      <c r="X80" s="117"/>
      <c r="Y80" s="97"/>
      <c r="Z80" s="97"/>
      <c r="AA80" s="97"/>
      <c r="AB80" s="97"/>
      <c r="AC80" s="97"/>
    </row>
    <row r="81">
      <c r="A81" s="111"/>
      <c r="B81" s="15">
        <v>46216.0</v>
      </c>
      <c r="C81" s="112" t="s">
        <v>25</v>
      </c>
      <c r="D81" s="21" t="s">
        <v>1661</v>
      </c>
      <c r="E81" s="23"/>
      <c r="F81" s="23"/>
      <c r="G81" s="99" t="s">
        <v>1662</v>
      </c>
      <c r="H81" s="113" t="s">
        <v>369</v>
      </c>
      <c r="I81" s="114"/>
      <c r="J81" s="113" t="s">
        <v>1670</v>
      </c>
      <c r="K81" s="113" t="s">
        <v>1671</v>
      </c>
      <c r="L81" s="113" t="s">
        <v>1672</v>
      </c>
      <c r="M81" s="37" t="s">
        <v>1673</v>
      </c>
      <c r="N81" s="113" t="s">
        <v>52</v>
      </c>
      <c r="O81" s="32"/>
      <c r="P81" s="43" t="s">
        <v>53</v>
      </c>
      <c r="Q81" s="43" t="s">
        <v>54</v>
      </c>
      <c r="R81" s="116" t="s">
        <v>1676</v>
      </c>
      <c r="S81" s="117"/>
      <c r="T81" s="117"/>
      <c r="U81" s="117"/>
      <c r="V81" s="117"/>
      <c r="W81" s="117"/>
      <c r="X81" s="117"/>
      <c r="Y81" s="97"/>
      <c r="Z81" s="97"/>
      <c r="AA81" s="97"/>
      <c r="AB81" s="97"/>
      <c r="AC81" s="97"/>
    </row>
    <row r="82">
      <c r="A82" s="111"/>
      <c r="B82" s="15">
        <v>46216.0</v>
      </c>
      <c r="C82" s="112" t="s">
        <v>25</v>
      </c>
      <c r="D82" s="21" t="s">
        <v>1681</v>
      </c>
      <c r="E82" s="23"/>
      <c r="F82" s="23"/>
      <c r="G82" s="99" t="s">
        <v>1682</v>
      </c>
      <c r="H82" s="113" t="s">
        <v>369</v>
      </c>
      <c r="I82" s="114"/>
      <c r="J82" s="113" t="s">
        <v>1683</v>
      </c>
      <c r="K82" s="113" t="s">
        <v>1684</v>
      </c>
      <c r="L82" s="113" t="s">
        <v>1685</v>
      </c>
      <c r="M82" s="37" t="s">
        <v>1686</v>
      </c>
      <c r="N82" s="113" t="s">
        <v>52</v>
      </c>
      <c r="O82" s="32"/>
      <c r="P82" s="43" t="s">
        <v>55</v>
      </c>
      <c r="Q82" s="43" t="s">
        <v>55</v>
      </c>
      <c r="R82" s="116" t="s">
        <v>1694</v>
      </c>
      <c r="S82" s="117"/>
      <c r="T82" s="117"/>
      <c r="U82" s="117"/>
      <c r="V82" s="117"/>
      <c r="W82" s="117"/>
      <c r="X82" s="117"/>
      <c r="Y82" s="97"/>
      <c r="Z82" s="97"/>
      <c r="AA82" s="97"/>
      <c r="AB82" s="97"/>
      <c r="AC82" s="97"/>
    </row>
    <row r="83">
      <c r="A83" s="111"/>
      <c r="B83" s="15">
        <v>46216.0</v>
      </c>
      <c r="C83" s="112" t="s">
        <v>25</v>
      </c>
      <c r="D83" s="21" t="s">
        <v>1696</v>
      </c>
      <c r="E83" s="23"/>
      <c r="F83" s="23"/>
      <c r="G83" s="99" t="s">
        <v>1697</v>
      </c>
      <c r="H83" s="113" t="s">
        <v>369</v>
      </c>
      <c r="I83" s="114"/>
      <c r="J83" s="113" t="s">
        <v>1683</v>
      </c>
      <c r="K83" s="113" t="s">
        <v>1699</v>
      </c>
      <c r="L83" s="113" t="s">
        <v>1685</v>
      </c>
      <c r="M83" s="37" t="s">
        <v>1701</v>
      </c>
      <c r="N83" s="113" t="s">
        <v>52</v>
      </c>
      <c r="O83" s="32"/>
      <c r="P83" s="43" t="s">
        <v>53</v>
      </c>
      <c r="Q83" s="43" t="s">
        <v>54</v>
      </c>
      <c r="R83" s="116" t="s">
        <v>1708</v>
      </c>
      <c r="S83" s="117"/>
      <c r="T83" s="117"/>
      <c r="U83" s="117"/>
      <c r="V83" s="117"/>
      <c r="W83" s="117"/>
      <c r="X83" s="117"/>
      <c r="Y83" s="97"/>
      <c r="Z83" s="97"/>
      <c r="AA83" s="97"/>
      <c r="AB83" s="97"/>
      <c r="AC83" s="97"/>
    </row>
    <row r="84">
      <c r="A84" s="111"/>
      <c r="B84" s="15">
        <v>46216.0</v>
      </c>
      <c r="C84" s="112" t="s">
        <v>25</v>
      </c>
      <c r="D84" s="21" t="s">
        <v>1715</v>
      </c>
      <c r="E84" s="23"/>
      <c r="F84" s="23"/>
      <c r="G84" s="99" t="s">
        <v>1719</v>
      </c>
      <c r="H84" s="113" t="s">
        <v>369</v>
      </c>
      <c r="I84" s="114"/>
      <c r="J84" s="113" t="s">
        <v>1683</v>
      </c>
      <c r="K84" s="113" t="s">
        <v>1720</v>
      </c>
      <c r="L84" s="113" t="s">
        <v>1722</v>
      </c>
      <c r="M84" s="152" t="s">
        <v>1723</v>
      </c>
      <c r="N84" s="113" t="s">
        <v>52</v>
      </c>
      <c r="O84" s="32"/>
      <c r="P84" s="43" t="s">
        <v>55</v>
      </c>
      <c r="Q84" s="43" t="s">
        <v>55</v>
      </c>
      <c r="R84" s="116" t="s">
        <v>1732</v>
      </c>
      <c r="S84" s="117"/>
      <c r="T84" s="117"/>
      <c r="U84" s="117"/>
      <c r="V84" s="117"/>
      <c r="W84" s="117"/>
      <c r="X84" s="117"/>
      <c r="Y84" s="97"/>
      <c r="Z84" s="97"/>
      <c r="AA84" s="97"/>
      <c r="AB84" s="97"/>
      <c r="AC84" s="97"/>
    </row>
    <row r="85">
      <c r="A85" s="111"/>
      <c r="B85" s="15">
        <v>46216.0</v>
      </c>
      <c r="C85" s="112" t="s">
        <v>25</v>
      </c>
      <c r="D85" s="21" t="s">
        <v>1735</v>
      </c>
      <c r="E85" s="23"/>
      <c r="F85" s="23"/>
      <c r="G85" s="99" t="s">
        <v>1738</v>
      </c>
      <c r="H85" s="113" t="s">
        <v>369</v>
      </c>
      <c r="I85" s="114"/>
      <c r="J85" s="113" t="s">
        <v>1741</v>
      </c>
      <c r="K85" s="113" t="s">
        <v>1742</v>
      </c>
      <c r="L85" s="113" t="s">
        <v>1743</v>
      </c>
      <c r="M85" s="37" t="s">
        <v>1744</v>
      </c>
      <c r="N85" s="113" t="s">
        <v>52</v>
      </c>
      <c r="O85" s="32"/>
      <c r="P85" s="43" t="s">
        <v>53</v>
      </c>
      <c r="Q85" s="43" t="s">
        <v>54</v>
      </c>
      <c r="R85" s="116" t="s">
        <v>1752</v>
      </c>
      <c r="S85" s="117"/>
      <c r="T85" s="117"/>
      <c r="U85" s="117"/>
      <c r="V85" s="117"/>
      <c r="W85" s="117"/>
      <c r="X85" s="117"/>
      <c r="Y85" s="97"/>
      <c r="Z85" s="97"/>
      <c r="AA85" s="97"/>
      <c r="AB85" s="97"/>
      <c r="AC85" s="97"/>
    </row>
    <row r="86">
      <c r="A86" s="111"/>
      <c r="B86" s="15">
        <v>46216.0</v>
      </c>
      <c r="C86" s="112" t="s">
        <v>25</v>
      </c>
      <c r="D86" s="21" t="s">
        <v>1754</v>
      </c>
      <c r="E86" s="23"/>
      <c r="F86" s="23"/>
      <c r="G86" s="99" t="s">
        <v>1755</v>
      </c>
      <c r="H86" s="113" t="s">
        <v>1757</v>
      </c>
      <c r="I86" s="114"/>
      <c r="J86" s="113" t="s">
        <v>1741</v>
      </c>
      <c r="K86" s="113" t="s">
        <v>1759</v>
      </c>
      <c r="L86" s="113" t="s">
        <v>1761</v>
      </c>
      <c r="M86" s="37" t="s">
        <v>1767</v>
      </c>
      <c r="N86" s="113" t="s">
        <v>52</v>
      </c>
      <c r="O86" s="32"/>
      <c r="P86" s="43" t="s">
        <v>53</v>
      </c>
      <c r="Q86" s="43" t="s">
        <v>54</v>
      </c>
      <c r="R86" s="116" t="s">
        <v>1769</v>
      </c>
      <c r="S86" s="117"/>
      <c r="T86" s="117"/>
      <c r="U86" s="117"/>
      <c r="V86" s="117"/>
      <c r="W86" s="117"/>
      <c r="X86" s="117"/>
      <c r="Y86" s="97"/>
      <c r="Z86" s="97"/>
      <c r="AA86" s="97"/>
      <c r="AB86" s="97"/>
      <c r="AC86" s="97"/>
    </row>
    <row r="87">
      <c r="A87" s="111"/>
      <c r="B87" s="15">
        <v>46216.0</v>
      </c>
      <c r="C87" s="112" t="s">
        <v>25</v>
      </c>
      <c r="D87" s="21" t="s">
        <v>1778</v>
      </c>
      <c r="E87" s="23"/>
      <c r="F87" s="23"/>
      <c r="G87" s="99" t="s">
        <v>141</v>
      </c>
      <c r="H87" s="113" t="s">
        <v>369</v>
      </c>
      <c r="I87" s="114"/>
      <c r="J87" s="113" t="s">
        <v>1780</v>
      </c>
      <c r="K87" s="113" t="s">
        <v>1781</v>
      </c>
      <c r="L87" s="113" t="s">
        <v>1782</v>
      </c>
      <c r="M87" s="37" t="s">
        <v>1784</v>
      </c>
      <c r="N87" s="113" t="s">
        <v>52</v>
      </c>
      <c r="O87" s="32"/>
      <c r="P87" s="43" t="s">
        <v>53</v>
      </c>
      <c r="Q87" s="43" t="s">
        <v>54</v>
      </c>
      <c r="R87" s="116" t="s">
        <v>1792</v>
      </c>
      <c r="S87" s="117"/>
      <c r="T87" s="117"/>
      <c r="U87" s="117"/>
      <c r="V87" s="117"/>
      <c r="W87" s="117"/>
      <c r="X87" s="117"/>
      <c r="Y87" s="97"/>
      <c r="Z87" s="97"/>
      <c r="AA87" s="97"/>
      <c r="AB87" s="97"/>
      <c r="AC87" s="97"/>
    </row>
    <row r="88">
      <c r="A88" s="111"/>
      <c r="B88" s="15">
        <v>46216.0</v>
      </c>
      <c r="C88" s="112" t="s">
        <v>25</v>
      </c>
      <c r="D88" s="21" t="s">
        <v>1795</v>
      </c>
      <c r="E88" s="23"/>
      <c r="F88" s="23"/>
      <c r="G88" s="99" t="s">
        <v>1799</v>
      </c>
      <c r="H88" s="113" t="s">
        <v>1521</v>
      </c>
      <c r="I88" s="114"/>
      <c r="J88" s="113" t="s">
        <v>1802</v>
      </c>
      <c r="K88" s="99" t="s">
        <v>1804</v>
      </c>
      <c r="L88" s="99" t="s">
        <v>1805</v>
      </c>
      <c r="M88" s="37" t="s">
        <v>1806</v>
      </c>
      <c r="N88" s="113" t="s">
        <v>52</v>
      </c>
      <c r="O88" s="32"/>
      <c r="P88" s="43" t="s">
        <v>53</v>
      </c>
      <c r="Q88" s="43" t="s">
        <v>54</v>
      </c>
      <c r="R88" s="116" t="s">
        <v>1810</v>
      </c>
      <c r="S88" s="117"/>
      <c r="T88" s="117"/>
      <c r="U88" s="117"/>
      <c r="V88" s="117"/>
      <c r="W88" s="117"/>
      <c r="X88" s="117"/>
      <c r="Y88" s="97"/>
      <c r="Z88" s="97"/>
      <c r="AA88" s="97"/>
      <c r="AB88" s="97"/>
      <c r="AC88" s="97"/>
    </row>
    <row r="89">
      <c r="A89" s="111"/>
      <c r="B89" s="15">
        <v>46216.0</v>
      </c>
      <c r="C89" s="112" t="s">
        <v>25</v>
      </c>
      <c r="D89" s="21" t="s">
        <v>1815</v>
      </c>
      <c r="E89" s="23"/>
      <c r="F89" s="23"/>
      <c r="G89" s="99" t="s">
        <v>905</v>
      </c>
      <c r="H89" s="113" t="s">
        <v>369</v>
      </c>
      <c r="I89" s="114"/>
      <c r="J89" s="113" t="s">
        <v>1817</v>
      </c>
      <c r="K89" s="99" t="s">
        <v>1818</v>
      </c>
      <c r="L89" s="99" t="s">
        <v>1819</v>
      </c>
      <c r="M89" s="37" t="s">
        <v>1820</v>
      </c>
      <c r="N89" s="113" t="s">
        <v>52</v>
      </c>
      <c r="O89" s="32"/>
      <c r="P89" s="43" t="s">
        <v>53</v>
      </c>
      <c r="Q89" s="43" t="s">
        <v>54</v>
      </c>
      <c r="R89" s="116" t="s">
        <v>1830</v>
      </c>
      <c r="S89" s="117"/>
      <c r="T89" s="117"/>
      <c r="U89" s="117"/>
      <c r="V89" s="117"/>
      <c r="W89" s="117"/>
      <c r="X89" s="117"/>
      <c r="Y89" s="97"/>
      <c r="Z89" s="97"/>
      <c r="AA89" s="97"/>
      <c r="AB89" s="97"/>
      <c r="AC89" s="97"/>
    </row>
    <row r="90">
      <c r="A90" s="111"/>
      <c r="B90" s="15">
        <v>46216.0</v>
      </c>
      <c r="C90" s="112" t="s">
        <v>25</v>
      </c>
      <c r="D90" s="21" t="s">
        <v>1840</v>
      </c>
      <c r="E90" s="23"/>
      <c r="F90" s="23"/>
      <c r="G90" s="99" t="s">
        <v>407</v>
      </c>
      <c r="H90" s="113" t="s">
        <v>921</v>
      </c>
      <c r="I90" s="114"/>
      <c r="J90" s="113" t="s">
        <v>1843</v>
      </c>
      <c r="K90" s="113" t="s">
        <v>1846</v>
      </c>
      <c r="L90" s="113" t="s">
        <v>1313</v>
      </c>
      <c r="M90" s="37" t="s">
        <v>1851</v>
      </c>
      <c r="N90" s="113" t="s">
        <v>52</v>
      </c>
      <c r="O90" s="32"/>
      <c r="P90" s="43" t="s">
        <v>53</v>
      </c>
      <c r="Q90" s="43" t="s">
        <v>54</v>
      </c>
      <c r="R90" s="116" t="s">
        <v>1854</v>
      </c>
      <c r="S90" s="117"/>
      <c r="T90" s="117"/>
      <c r="U90" s="117"/>
      <c r="V90" s="117"/>
      <c r="W90" s="117"/>
      <c r="X90" s="117"/>
      <c r="Y90" s="97"/>
      <c r="Z90" s="97"/>
      <c r="AA90" s="97"/>
      <c r="AB90" s="97"/>
      <c r="AC90" s="97"/>
    </row>
    <row r="91">
      <c r="A91" s="111"/>
      <c r="B91" s="15">
        <v>46216.0</v>
      </c>
      <c r="C91" s="112" t="s">
        <v>25</v>
      </c>
      <c r="D91" s="21" t="s">
        <v>1856</v>
      </c>
      <c r="E91" s="23"/>
      <c r="F91" s="23"/>
      <c r="G91" s="99" t="s">
        <v>364</v>
      </c>
      <c r="H91" s="113" t="s">
        <v>369</v>
      </c>
      <c r="I91" s="114"/>
      <c r="J91" s="113" t="s">
        <v>1859</v>
      </c>
      <c r="K91" s="113" t="s">
        <v>1860</v>
      </c>
      <c r="L91" s="113" t="s">
        <v>1862</v>
      </c>
      <c r="M91" s="37" t="s">
        <v>1863</v>
      </c>
      <c r="N91" s="113" t="s">
        <v>52</v>
      </c>
      <c r="O91" s="32"/>
      <c r="P91" s="43" t="s">
        <v>53</v>
      </c>
      <c r="Q91" s="43" t="s">
        <v>54</v>
      </c>
      <c r="R91" s="116" t="s">
        <v>1864</v>
      </c>
      <c r="S91" s="117"/>
      <c r="T91" s="117"/>
      <c r="U91" s="117"/>
      <c r="V91" s="117"/>
      <c r="W91" s="117"/>
      <c r="X91" s="117"/>
      <c r="Y91" s="97"/>
      <c r="Z91" s="97"/>
      <c r="AA91" s="97"/>
      <c r="AB91" s="97"/>
      <c r="AC91" s="97"/>
    </row>
    <row r="92">
      <c r="A92" s="111"/>
      <c r="B92" s="15">
        <v>46216.0</v>
      </c>
      <c r="C92" s="112" t="s">
        <v>25</v>
      </c>
      <c r="D92" s="21" t="s">
        <v>1866</v>
      </c>
      <c r="E92" s="23"/>
      <c r="F92" s="23"/>
      <c r="G92" s="99" t="s">
        <v>1867</v>
      </c>
      <c r="H92" s="113" t="s">
        <v>369</v>
      </c>
      <c r="I92" s="114"/>
      <c r="J92" s="113" t="s">
        <v>1683</v>
      </c>
      <c r="K92" s="113" t="s">
        <v>1868</v>
      </c>
      <c r="L92" s="113" t="s">
        <v>1869</v>
      </c>
      <c r="M92" s="37" t="s">
        <v>1870</v>
      </c>
      <c r="N92" s="113" t="s">
        <v>52</v>
      </c>
      <c r="O92" s="32"/>
      <c r="P92" s="43" t="s">
        <v>53</v>
      </c>
      <c r="Q92" s="43" t="s">
        <v>54</v>
      </c>
      <c r="R92" s="116" t="s">
        <v>1871</v>
      </c>
      <c r="S92" s="117"/>
      <c r="T92" s="117"/>
      <c r="U92" s="117"/>
      <c r="V92" s="117"/>
      <c r="W92" s="117"/>
      <c r="X92" s="117"/>
      <c r="Y92" s="97"/>
      <c r="Z92" s="97"/>
      <c r="AA92" s="97"/>
      <c r="AB92" s="97"/>
      <c r="AC92" s="97"/>
    </row>
    <row r="93">
      <c r="A93" s="111"/>
      <c r="B93" s="15">
        <v>46216.0</v>
      </c>
      <c r="C93" s="112" t="s">
        <v>25</v>
      </c>
      <c r="D93" s="21" t="s">
        <v>1872</v>
      </c>
      <c r="E93" s="23"/>
      <c r="F93" s="23"/>
      <c r="G93" s="99" t="s">
        <v>1873</v>
      </c>
      <c r="H93" s="113" t="s">
        <v>369</v>
      </c>
      <c r="I93" s="114"/>
      <c r="J93" s="113" t="s">
        <v>1874</v>
      </c>
      <c r="K93" s="113" t="s">
        <v>1875</v>
      </c>
      <c r="L93" s="113" t="s">
        <v>1876</v>
      </c>
      <c r="M93" s="37" t="s">
        <v>1877</v>
      </c>
      <c r="N93" s="113" t="s">
        <v>52</v>
      </c>
      <c r="O93" s="32"/>
      <c r="P93" s="43" t="s">
        <v>53</v>
      </c>
      <c r="Q93" s="43" t="s">
        <v>54</v>
      </c>
      <c r="R93" s="116" t="s">
        <v>1880</v>
      </c>
      <c r="S93" s="117"/>
      <c r="T93" s="117"/>
      <c r="U93" s="117"/>
      <c r="V93" s="117"/>
      <c r="W93" s="117"/>
      <c r="X93" s="117"/>
      <c r="Y93" s="97"/>
      <c r="Z93" s="97"/>
      <c r="AA93" s="97"/>
      <c r="AB93" s="97"/>
      <c r="AC93" s="97"/>
    </row>
    <row r="94">
      <c r="A94" s="111"/>
      <c r="B94" s="15">
        <v>46216.0</v>
      </c>
      <c r="C94" s="112" t="s">
        <v>25</v>
      </c>
      <c r="D94" s="21" t="s">
        <v>1881</v>
      </c>
      <c r="E94" s="23"/>
      <c r="F94" s="23"/>
      <c r="G94" s="99" t="s">
        <v>1883</v>
      </c>
      <c r="H94" s="113" t="s">
        <v>369</v>
      </c>
      <c r="I94" s="114"/>
      <c r="J94" s="113" t="s">
        <v>1884</v>
      </c>
      <c r="K94" s="113" t="s">
        <v>1886</v>
      </c>
      <c r="L94" s="113" t="s">
        <v>1887</v>
      </c>
      <c r="M94" s="37" t="s">
        <v>1888</v>
      </c>
      <c r="N94" s="113" t="s">
        <v>52</v>
      </c>
      <c r="O94" s="32"/>
      <c r="P94" s="43" t="s">
        <v>53</v>
      </c>
      <c r="Q94" s="43" t="s">
        <v>54</v>
      </c>
      <c r="R94" s="116" t="s">
        <v>1889</v>
      </c>
      <c r="S94" s="117"/>
      <c r="T94" s="117"/>
      <c r="U94" s="117"/>
      <c r="V94" s="117"/>
      <c r="W94" s="117"/>
      <c r="X94" s="117"/>
      <c r="Y94" s="97"/>
      <c r="Z94" s="97"/>
      <c r="AA94" s="97"/>
      <c r="AB94" s="97"/>
      <c r="AC94" s="97"/>
    </row>
    <row r="95">
      <c r="A95" s="111"/>
      <c r="B95" s="15">
        <v>46216.0</v>
      </c>
      <c r="C95" s="112" t="s">
        <v>25</v>
      </c>
      <c r="D95" s="21" t="s">
        <v>1891</v>
      </c>
      <c r="E95" s="23"/>
      <c r="F95" s="23"/>
      <c r="G95" s="99" t="s">
        <v>1893</v>
      </c>
      <c r="H95" s="113" t="s">
        <v>369</v>
      </c>
      <c r="I95" s="114"/>
      <c r="J95" s="113" t="s">
        <v>1894</v>
      </c>
      <c r="K95" s="113" t="s">
        <v>1895</v>
      </c>
      <c r="L95" s="113" t="s">
        <v>1896</v>
      </c>
      <c r="M95" s="37" t="s">
        <v>1897</v>
      </c>
      <c r="N95" s="113" t="s">
        <v>52</v>
      </c>
      <c r="O95" s="32"/>
      <c r="P95" s="43" t="s">
        <v>53</v>
      </c>
      <c r="Q95" s="43" t="s">
        <v>54</v>
      </c>
      <c r="R95" s="116" t="s">
        <v>1898</v>
      </c>
      <c r="S95" s="117"/>
      <c r="T95" s="117"/>
      <c r="U95" s="117"/>
      <c r="V95" s="117"/>
      <c r="W95" s="117"/>
      <c r="X95" s="117"/>
      <c r="Y95" s="97"/>
      <c r="Z95" s="97"/>
      <c r="AA95" s="97"/>
      <c r="AB95" s="97"/>
      <c r="AC95" s="97"/>
    </row>
    <row r="96">
      <c r="A96" s="111"/>
      <c r="B96" s="15">
        <v>46216.0</v>
      </c>
      <c r="C96" s="112" t="s">
        <v>25</v>
      </c>
      <c r="D96" s="21" t="s">
        <v>1899</v>
      </c>
      <c r="E96" s="23"/>
      <c r="F96" s="23"/>
      <c r="G96" s="99" t="s">
        <v>1901</v>
      </c>
      <c r="H96" s="113" t="s">
        <v>369</v>
      </c>
      <c r="I96" s="114"/>
      <c r="J96" s="113" t="s">
        <v>1902</v>
      </c>
      <c r="K96" s="113" t="s">
        <v>1903</v>
      </c>
      <c r="L96" s="113" t="s">
        <v>1904</v>
      </c>
      <c r="M96" s="37" t="s">
        <v>1905</v>
      </c>
      <c r="N96" s="113" t="s">
        <v>52</v>
      </c>
      <c r="O96" s="32"/>
      <c r="P96" s="43" t="s">
        <v>53</v>
      </c>
      <c r="Q96" s="43" t="s">
        <v>54</v>
      </c>
      <c r="R96" s="116" t="s">
        <v>1906</v>
      </c>
      <c r="S96" s="117"/>
      <c r="T96" s="117"/>
      <c r="U96" s="117"/>
      <c r="V96" s="117"/>
      <c r="W96" s="117"/>
      <c r="X96" s="117"/>
      <c r="Y96" s="97"/>
      <c r="Z96" s="97"/>
      <c r="AA96" s="97"/>
      <c r="AB96" s="97"/>
      <c r="AC96" s="97"/>
    </row>
    <row r="97">
      <c r="A97" s="111"/>
      <c r="B97" s="15">
        <v>46216.0</v>
      </c>
      <c r="C97" s="112" t="s">
        <v>25</v>
      </c>
      <c r="D97" s="21" t="s">
        <v>1910</v>
      </c>
      <c r="E97" s="23"/>
      <c r="F97" s="23"/>
      <c r="G97" s="99" t="s">
        <v>1911</v>
      </c>
      <c r="H97" s="113" t="s">
        <v>369</v>
      </c>
      <c r="I97" s="114"/>
      <c r="J97" s="113" t="s">
        <v>1912</v>
      </c>
      <c r="K97" s="99" t="s">
        <v>64</v>
      </c>
      <c r="L97" s="113" t="s">
        <v>1914</v>
      </c>
      <c r="M97" s="37" t="s">
        <v>1915</v>
      </c>
      <c r="N97" s="113" t="s">
        <v>52</v>
      </c>
      <c r="O97" s="32"/>
      <c r="P97" s="43" t="s">
        <v>53</v>
      </c>
      <c r="Q97" s="43" t="s">
        <v>54</v>
      </c>
      <c r="R97" s="116" t="s">
        <v>1917</v>
      </c>
      <c r="S97" s="117"/>
      <c r="T97" s="117"/>
      <c r="U97" s="117"/>
      <c r="V97" s="117"/>
      <c r="W97" s="117"/>
      <c r="X97" s="117"/>
      <c r="Y97" s="97"/>
      <c r="Z97" s="97"/>
      <c r="AA97" s="97"/>
      <c r="AB97" s="97"/>
      <c r="AC97" s="97"/>
    </row>
    <row r="98">
      <c r="A98" s="111"/>
      <c r="B98" s="15">
        <v>46216.0</v>
      </c>
      <c r="C98" s="112" t="s">
        <v>25</v>
      </c>
      <c r="D98" s="21" t="s">
        <v>1919</v>
      </c>
      <c r="E98" s="23"/>
      <c r="F98" s="23"/>
      <c r="G98" s="99" t="s">
        <v>1920</v>
      </c>
      <c r="H98" s="113" t="s">
        <v>369</v>
      </c>
      <c r="I98" s="114"/>
      <c r="J98" s="113" t="s">
        <v>1921</v>
      </c>
      <c r="K98" s="113" t="s">
        <v>1922</v>
      </c>
      <c r="L98" s="113" t="s">
        <v>1923</v>
      </c>
      <c r="M98" s="37" t="s">
        <v>1924</v>
      </c>
      <c r="N98" s="113" t="s">
        <v>52</v>
      </c>
      <c r="O98" s="32"/>
      <c r="P98" s="43" t="s">
        <v>53</v>
      </c>
      <c r="Q98" s="43" t="s">
        <v>54</v>
      </c>
      <c r="R98" s="116" t="s">
        <v>1926</v>
      </c>
      <c r="S98" s="117"/>
      <c r="T98" s="117"/>
      <c r="U98" s="117"/>
      <c r="V98" s="117"/>
      <c r="W98" s="117"/>
      <c r="X98" s="117"/>
      <c r="Y98" s="97"/>
      <c r="Z98" s="97"/>
      <c r="AA98" s="97"/>
      <c r="AB98" s="97"/>
      <c r="AC98" s="97"/>
    </row>
    <row r="99">
      <c r="A99" s="111"/>
      <c r="B99" s="15">
        <v>46216.0</v>
      </c>
      <c r="C99" s="112" t="s">
        <v>25</v>
      </c>
      <c r="D99" s="21" t="s">
        <v>1929</v>
      </c>
      <c r="E99" s="23"/>
      <c r="F99" s="23"/>
      <c r="G99" s="99" t="s">
        <v>1930</v>
      </c>
      <c r="H99" s="113" t="s">
        <v>369</v>
      </c>
      <c r="I99" s="114"/>
      <c r="J99" s="113" t="s">
        <v>1921</v>
      </c>
      <c r="K99" s="113" t="s">
        <v>1931</v>
      </c>
      <c r="L99" s="113" t="s">
        <v>1932</v>
      </c>
      <c r="M99" s="37" t="s">
        <v>1933</v>
      </c>
      <c r="N99" s="113" t="s">
        <v>52</v>
      </c>
      <c r="O99" s="32"/>
      <c r="P99" s="43" t="s">
        <v>53</v>
      </c>
      <c r="Q99" s="43" t="s">
        <v>54</v>
      </c>
      <c r="R99" s="116" t="s">
        <v>1937</v>
      </c>
      <c r="S99" s="117"/>
      <c r="T99" s="117"/>
      <c r="U99" s="117"/>
      <c r="V99" s="117"/>
      <c r="W99" s="117"/>
      <c r="X99" s="117"/>
      <c r="Y99" s="97"/>
      <c r="Z99" s="97"/>
      <c r="AA99" s="97"/>
      <c r="AB99" s="97"/>
      <c r="AC99" s="97"/>
    </row>
    <row r="100">
      <c r="A100" s="111"/>
      <c r="B100" s="15">
        <v>46216.0</v>
      </c>
      <c r="C100" s="112" t="s">
        <v>25</v>
      </c>
      <c r="D100" s="21" t="s">
        <v>1939</v>
      </c>
      <c r="E100" s="23"/>
      <c r="F100" s="23"/>
      <c r="G100" s="99" t="s">
        <v>1940</v>
      </c>
      <c r="H100" s="113" t="s">
        <v>369</v>
      </c>
      <c r="I100" s="114"/>
      <c r="J100" s="113" t="s">
        <v>1921</v>
      </c>
      <c r="K100" s="113" t="s">
        <v>1942</v>
      </c>
      <c r="L100" s="113" t="s">
        <v>1313</v>
      </c>
      <c r="M100" s="37" t="s">
        <v>1943</v>
      </c>
      <c r="N100" s="113" t="s">
        <v>52</v>
      </c>
      <c r="O100" s="32"/>
      <c r="P100" s="43" t="s">
        <v>53</v>
      </c>
      <c r="Q100" s="43" t="s">
        <v>54</v>
      </c>
      <c r="R100" s="116" t="s">
        <v>1944</v>
      </c>
      <c r="S100" s="117"/>
      <c r="T100" s="117"/>
      <c r="U100" s="117"/>
      <c r="V100" s="117"/>
      <c r="W100" s="117"/>
      <c r="X100" s="117"/>
      <c r="Y100" s="97"/>
      <c r="Z100" s="97"/>
      <c r="AA100" s="97"/>
      <c r="AB100" s="97"/>
      <c r="AC100" s="97"/>
    </row>
    <row r="101">
      <c r="A101" s="111"/>
      <c r="B101" s="15">
        <v>46216.0</v>
      </c>
      <c r="C101" s="112" t="s">
        <v>25</v>
      </c>
      <c r="D101" s="21" t="s">
        <v>1945</v>
      </c>
      <c r="E101" s="23"/>
      <c r="F101" s="23"/>
      <c r="G101" s="99" t="s">
        <v>1946</v>
      </c>
      <c r="H101" s="113" t="s">
        <v>369</v>
      </c>
      <c r="I101" s="114"/>
      <c r="J101" s="113" t="s">
        <v>1921</v>
      </c>
      <c r="K101" s="113" t="s">
        <v>1947</v>
      </c>
      <c r="L101" s="113" t="s">
        <v>1313</v>
      </c>
      <c r="M101" s="37" t="s">
        <v>1948</v>
      </c>
      <c r="N101" s="113" t="s">
        <v>52</v>
      </c>
      <c r="O101" s="32"/>
      <c r="P101" s="43" t="s">
        <v>53</v>
      </c>
      <c r="Q101" s="43" t="s">
        <v>54</v>
      </c>
      <c r="R101" s="116" t="s">
        <v>1949</v>
      </c>
      <c r="S101" s="117"/>
      <c r="T101" s="117"/>
      <c r="U101" s="117"/>
      <c r="V101" s="117"/>
      <c r="W101" s="117"/>
      <c r="X101" s="117"/>
      <c r="Y101" s="97"/>
      <c r="Z101" s="97"/>
      <c r="AA101" s="97"/>
      <c r="AB101" s="97"/>
      <c r="AC101" s="97"/>
    </row>
    <row r="102">
      <c r="A102" s="111"/>
      <c r="B102" s="15">
        <v>46216.0</v>
      </c>
      <c r="C102" s="112" t="s">
        <v>25</v>
      </c>
      <c r="D102" s="21" t="s">
        <v>1950</v>
      </c>
      <c r="E102" s="23"/>
      <c r="F102" s="23"/>
      <c r="G102" s="99" t="s">
        <v>1951</v>
      </c>
      <c r="H102" s="113" t="s">
        <v>369</v>
      </c>
      <c r="I102" s="114"/>
      <c r="J102" s="113" t="s">
        <v>1921</v>
      </c>
      <c r="K102" s="113" t="s">
        <v>1952</v>
      </c>
      <c r="L102" s="113" t="s">
        <v>1313</v>
      </c>
      <c r="M102" s="37" t="s">
        <v>1953</v>
      </c>
      <c r="N102" s="113" t="s">
        <v>52</v>
      </c>
      <c r="O102" s="32"/>
      <c r="P102" s="43" t="s">
        <v>53</v>
      </c>
      <c r="Q102" s="43" t="s">
        <v>54</v>
      </c>
      <c r="R102" s="116" t="s">
        <v>1954</v>
      </c>
      <c r="S102" s="117"/>
      <c r="T102" s="117"/>
      <c r="U102" s="117"/>
      <c r="V102" s="117"/>
      <c r="W102" s="117"/>
      <c r="X102" s="117"/>
      <c r="Y102" s="97"/>
      <c r="Z102" s="97"/>
      <c r="AA102" s="97"/>
      <c r="AB102" s="97"/>
      <c r="AC102" s="97"/>
    </row>
    <row r="103">
      <c r="A103" s="111"/>
      <c r="B103" s="15">
        <v>46216.0</v>
      </c>
      <c r="C103" s="112" t="s">
        <v>25</v>
      </c>
      <c r="D103" s="21" t="s">
        <v>1955</v>
      </c>
      <c r="E103" s="23"/>
      <c r="F103" s="23"/>
      <c r="G103" s="99" t="s">
        <v>1956</v>
      </c>
      <c r="H103" s="113" t="s">
        <v>369</v>
      </c>
      <c r="I103" s="114"/>
      <c r="J103" s="113" t="s">
        <v>1921</v>
      </c>
      <c r="K103" s="113" t="s">
        <v>1958</v>
      </c>
      <c r="L103" s="113" t="s">
        <v>1959</v>
      </c>
      <c r="M103" s="37" t="s">
        <v>1960</v>
      </c>
      <c r="N103" s="113" t="s">
        <v>52</v>
      </c>
      <c r="O103" s="32"/>
      <c r="P103" s="43" t="s">
        <v>55</v>
      </c>
      <c r="Q103" s="43" t="s">
        <v>419</v>
      </c>
      <c r="R103" s="116" t="s">
        <v>420</v>
      </c>
      <c r="S103" s="117"/>
      <c r="T103" s="117"/>
      <c r="U103" s="117"/>
      <c r="V103" s="117"/>
      <c r="W103" s="117"/>
      <c r="X103" s="117"/>
      <c r="Y103" s="97"/>
      <c r="Z103" s="97"/>
      <c r="AA103" s="97"/>
      <c r="AB103" s="97"/>
      <c r="AC103" s="97"/>
    </row>
    <row r="104">
      <c r="A104" s="111"/>
      <c r="B104" s="15">
        <v>46216.0</v>
      </c>
      <c r="C104" s="112" t="s">
        <v>25</v>
      </c>
      <c r="D104" s="21" t="s">
        <v>1961</v>
      </c>
      <c r="E104" s="23"/>
      <c r="F104" s="23"/>
      <c r="G104" s="99" t="s">
        <v>1962</v>
      </c>
      <c r="H104" s="113" t="s">
        <v>1963</v>
      </c>
      <c r="I104" s="114"/>
      <c r="J104" s="113" t="s">
        <v>1921</v>
      </c>
      <c r="K104" s="113" t="s">
        <v>1964</v>
      </c>
      <c r="L104" s="113" t="s">
        <v>1965</v>
      </c>
      <c r="M104" s="37" t="s">
        <v>1966</v>
      </c>
      <c r="N104" s="113" t="s">
        <v>52</v>
      </c>
      <c r="O104" s="32"/>
      <c r="P104" s="43" t="s">
        <v>55</v>
      </c>
      <c r="Q104" s="43" t="s">
        <v>419</v>
      </c>
      <c r="R104" s="116" t="s">
        <v>420</v>
      </c>
      <c r="S104" s="117"/>
      <c r="T104" s="117"/>
      <c r="U104" s="117"/>
      <c r="V104" s="117"/>
      <c r="W104" s="117"/>
      <c r="X104" s="117"/>
      <c r="Y104" s="97"/>
      <c r="Z104" s="97"/>
      <c r="AA104" s="97"/>
      <c r="AB104" s="97"/>
      <c r="AC104" s="97"/>
    </row>
    <row r="105">
      <c r="A105" s="111"/>
      <c r="B105" s="15">
        <v>46216.0</v>
      </c>
      <c r="C105" s="112" t="s">
        <v>25</v>
      </c>
      <c r="D105" s="21" t="s">
        <v>1968</v>
      </c>
      <c r="E105" s="23"/>
      <c r="F105" s="23"/>
      <c r="G105" s="99" t="s">
        <v>1969</v>
      </c>
      <c r="H105" s="113" t="s">
        <v>369</v>
      </c>
      <c r="I105" s="114"/>
      <c r="J105" s="113" t="s">
        <v>1912</v>
      </c>
      <c r="K105" s="113" t="s">
        <v>1970</v>
      </c>
      <c r="L105" s="113" t="s">
        <v>1971</v>
      </c>
      <c r="M105" s="37" t="s">
        <v>1972</v>
      </c>
      <c r="N105" s="113" t="s">
        <v>52</v>
      </c>
      <c r="O105" s="32"/>
      <c r="P105" s="43" t="s">
        <v>55</v>
      </c>
      <c r="Q105" s="43" t="s">
        <v>55</v>
      </c>
      <c r="R105" s="116" t="s">
        <v>1973</v>
      </c>
      <c r="S105" s="117"/>
      <c r="T105" s="117"/>
      <c r="U105" s="117"/>
      <c r="V105" s="117"/>
      <c r="W105" s="117"/>
      <c r="X105" s="117"/>
      <c r="Y105" s="97"/>
      <c r="Z105" s="97"/>
      <c r="AA105" s="97"/>
      <c r="AB105" s="97"/>
      <c r="AC105" s="97"/>
    </row>
    <row r="106">
      <c r="A106" s="111"/>
      <c r="B106" s="15">
        <v>46216.0</v>
      </c>
      <c r="C106" s="112" t="s">
        <v>25</v>
      </c>
      <c r="D106" s="21" t="s">
        <v>1974</v>
      </c>
      <c r="E106" s="23"/>
      <c r="F106" s="23"/>
      <c r="G106" s="99" t="s">
        <v>1975</v>
      </c>
      <c r="H106" s="113" t="s">
        <v>369</v>
      </c>
      <c r="I106" s="114"/>
      <c r="J106" s="113" t="s">
        <v>1976</v>
      </c>
      <c r="K106" s="113" t="s">
        <v>1977</v>
      </c>
      <c r="L106" s="113" t="s">
        <v>1978</v>
      </c>
      <c r="M106" s="37" t="s">
        <v>1979</v>
      </c>
      <c r="N106" s="113" t="s">
        <v>52</v>
      </c>
      <c r="O106" s="32"/>
      <c r="P106" s="43" t="s">
        <v>53</v>
      </c>
      <c r="Q106" s="43" t="s">
        <v>54</v>
      </c>
      <c r="R106" s="116" t="s">
        <v>1981</v>
      </c>
      <c r="S106" s="117"/>
      <c r="T106" s="117"/>
      <c r="U106" s="117"/>
      <c r="V106" s="117"/>
      <c r="W106" s="117"/>
      <c r="X106" s="117"/>
      <c r="Y106" s="97"/>
      <c r="Z106" s="97"/>
      <c r="AA106" s="97"/>
      <c r="AB106" s="97"/>
      <c r="AC106" s="97"/>
    </row>
    <row r="107">
      <c r="A107" s="111"/>
      <c r="B107" s="15">
        <v>46216.0</v>
      </c>
      <c r="C107" s="112" t="s">
        <v>25</v>
      </c>
      <c r="D107" s="21" t="s">
        <v>1982</v>
      </c>
      <c r="E107" s="23"/>
      <c r="F107" s="23"/>
      <c r="G107" s="99" t="s">
        <v>1983</v>
      </c>
      <c r="H107" s="113" t="s">
        <v>369</v>
      </c>
      <c r="I107" s="114"/>
      <c r="J107" s="113" t="s">
        <v>1976</v>
      </c>
      <c r="K107" s="113" t="s">
        <v>1984</v>
      </c>
      <c r="L107" s="113" t="s">
        <v>1985</v>
      </c>
      <c r="M107" s="37" t="s">
        <v>1986</v>
      </c>
      <c r="N107" s="113" t="s">
        <v>52</v>
      </c>
      <c r="O107" s="32"/>
      <c r="P107" s="43" t="s">
        <v>55</v>
      </c>
      <c r="Q107" s="43" t="s">
        <v>419</v>
      </c>
      <c r="R107" s="116" t="s">
        <v>420</v>
      </c>
      <c r="S107" s="117"/>
      <c r="T107" s="117"/>
      <c r="U107" s="117"/>
      <c r="V107" s="117"/>
      <c r="W107" s="117"/>
      <c r="X107" s="117"/>
      <c r="Y107" s="97"/>
      <c r="Z107" s="97"/>
      <c r="AA107" s="97"/>
      <c r="AB107" s="97"/>
      <c r="AC107" s="97"/>
    </row>
    <row r="108">
      <c r="A108" s="111"/>
      <c r="B108" s="15">
        <v>46216.0</v>
      </c>
      <c r="C108" s="112" t="s">
        <v>25</v>
      </c>
      <c r="D108" s="21" t="s">
        <v>1989</v>
      </c>
      <c r="E108" s="23"/>
      <c r="F108" s="23"/>
      <c r="G108" s="99" t="s">
        <v>1990</v>
      </c>
      <c r="H108" s="113" t="s">
        <v>369</v>
      </c>
      <c r="I108" s="114"/>
      <c r="J108" s="113" t="s">
        <v>1991</v>
      </c>
      <c r="K108" s="99" t="s">
        <v>64</v>
      </c>
      <c r="L108" s="113" t="s">
        <v>1992</v>
      </c>
      <c r="M108" s="37" t="s">
        <v>1993</v>
      </c>
      <c r="N108" s="113" t="s">
        <v>52</v>
      </c>
      <c r="O108" s="32"/>
      <c r="P108" s="43" t="s">
        <v>55</v>
      </c>
      <c r="Q108" s="43" t="s">
        <v>419</v>
      </c>
      <c r="R108" s="116" t="s">
        <v>420</v>
      </c>
      <c r="S108" s="117"/>
      <c r="T108" s="117"/>
      <c r="U108" s="117"/>
      <c r="V108" s="117"/>
      <c r="W108" s="117"/>
      <c r="X108" s="117"/>
      <c r="Y108" s="97"/>
      <c r="Z108" s="97"/>
      <c r="AA108" s="97"/>
      <c r="AB108" s="97"/>
      <c r="AC108" s="97"/>
    </row>
    <row r="109">
      <c r="A109" s="111"/>
      <c r="B109" s="15">
        <v>46216.0</v>
      </c>
      <c r="C109" s="112" t="s">
        <v>25</v>
      </c>
      <c r="D109" s="21" t="s">
        <v>1994</v>
      </c>
      <c r="E109" s="23"/>
      <c r="F109" s="23"/>
      <c r="G109" s="99" t="s">
        <v>1995</v>
      </c>
      <c r="H109" s="113" t="s">
        <v>369</v>
      </c>
      <c r="I109" s="114"/>
      <c r="J109" s="113" t="s">
        <v>1996</v>
      </c>
      <c r="K109" s="113" t="s">
        <v>1998</v>
      </c>
      <c r="L109" s="113" t="s">
        <v>1999</v>
      </c>
      <c r="M109" s="37" t="s">
        <v>2000</v>
      </c>
      <c r="N109" s="113" t="s">
        <v>52</v>
      </c>
      <c r="O109" s="32"/>
      <c r="P109" s="43" t="s">
        <v>53</v>
      </c>
      <c r="Q109" s="43" t="s">
        <v>54</v>
      </c>
      <c r="R109" s="116" t="s">
        <v>2001</v>
      </c>
      <c r="S109" s="117"/>
      <c r="T109" s="117"/>
      <c r="U109" s="117"/>
      <c r="V109" s="117"/>
      <c r="W109" s="117"/>
      <c r="X109" s="117"/>
      <c r="Y109" s="97"/>
      <c r="Z109" s="97"/>
      <c r="AA109" s="97"/>
      <c r="AB109" s="97"/>
      <c r="AC109" s="97"/>
    </row>
    <row r="110">
      <c r="A110" s="111"/>
      <c r="B110" s="15">
        <v>46216.0</v>
      </c>
      <c r="C110" s="112" t="s">
        <v>25</v>
      </c>
      <c r="D110" s="21" t="s">
        <v>2002</v>
      </c>
      <c r="E110" s="23"/>
      <c r="F110" s="23"/>
      <c r="G110" s="99" t="s">
        <v>2003</v>
      </c>
      <c r="H110" s="113" t="s">
        <v>369</v>
      </c>
      <c r="I110" s="114"/>
      <c r="J110" s="113" t="s">
        <v>2005</v>
      </c>
      <c r="K110" s="99" t="s">
        <v>2006</v>
      </c>
      <c r="L110" s="113" t="s">
        <v>2007</v>
      </c>
      <c r="M110" s="37" t="s">
        <v>2008</v>
      </c>
      <c r="N110" s="113" t="s">
        <v>52</v>
      </c>
      <c r="O110" s="32"/>
      <c r="P110" s="43" t="s">
        <v>53</v>
      </c>
      <c r="Q110" s="43" t="s">
        <v>54</v>
      </c>
      <c r="R110" s="116" t="s">
        <v>2010</v>
      </c>
      <c r="S110" s="117"/>
      <c r="T110" s="117"/>
      <c r="U110" s="117"/>
      <c r="V110" s="117"/>
      <c r="W110" s="117"/>
      <c r="X110" s="117"/>
      <c r="Y110" s="97"/>
      <c r="Z110" s="97"/>
      <c r="AA110" s="97"/>
      <c r="AB110" s="97"/>
      <c r="AC110" s="97"/>
    </row>
    <row r="111">
      <c r="A111" s="111"/>
      <c r="B111" s="15">
        <v>46216.0</v>
      </c>
      <c r="C111" s="112" t="s">
        <v>25</v>
      </c>
      <c r="D111" s="21" t="s">
        <v>2011</v>
      </c>
      <c r="E111" s="23"/>
      <c r="F111" s="23"/>
      <c r="G111" s="99" t="s">
        <v>2012</v>
      </c>
      <c r="H111" s="113" t="s">
        <v>369</v>
      </c>
      <c r="I111" s="114"/>
      <c r="J111" s="113" t="s">
        <v>2005</v>
      </c>
      <c r="K111" s="113" t="s">
        <v>2013</v>
      </c>
      <c r="L111" s="113" t="s">
        <v>2007</v>
      </c>
      <c r="M111" s="37" t="s">
        <v>2014</v>
      </c>
      <c r="N111" s="113" t="s">
        <v>52</v>
      </c>
      <c r="O111" s="32"/>
      <c r="P111" s="43" t="s">
        <v>53</v>
      </c>
      <c r="Q111" s="43" t="s">
        <v>54</v>
      </c>
      <c r="R111" s="116" t="s">
        <v>2017</v>
      </c>
      <c r="S111" s="117"/>
      <c r="T111" s="117"/>
      <c r="U111" s="117"/>
      <c r="V111" s="117"/>
      <c r="W111" s="117"/>
      <c r="X111" s="117"/>
      <c r="Y111" s="97"/>
      <c r="Z111" s="97"/>
      <c r="AA111" s="97"/>
      <c r="AB111" s="97"/>
      <c r="AC111" s="97"/>
    </row>
    <row r="112">
      <c r="A112" s="111"/>
      <c r="B112" s="15">
        <v>46216.0</v>
      </c>
      <c r="C112" s="112" t="s">
        <v>25</v>
      </c>
      <c r="D112" s="21" t="s">
        <v>2018</v>
      </c>
      <c r="E112" s="23"/>
      <c r="F112" s="23"/>
      <c r="G112" s="99" t="s">
        <v>2019</v>
      </c>
      <c r="H112" s="113" t="s">
        <v>369</v>
      </c>
      <c r="I112" s="114"/>
      <c r="J112" s="113" t="s">
        <v>2005</v>
      </c>
      <c r="K112" s="113" t="s">
        <v>2020</v>
      </c>
      <c r="L112" s="113" t="s">
        <v>2007</v>
      </c>
      <c r="M112" s="37" t="s">
        <v>2021</v>
      </c>
      <c r="N112" s="113" t="s">
        <v>52</v>
      </c>
      <c r="O112" s="32"/>
      <c r="P112" s="43" t="s">
        <v>53</v>
      </c>
      <c r="Q112" s="43" t="s">
        <v>54</v>
      </c>
      <c r="R112" s="116" t="s">
        <v>2022</v>
      </c>
      <c r="S112" s="117"/>
      <c r="T112" s="117"/>
      <c r="U112" s="117"/>
      <c r="V112" s="117"/>
      <c r="W112" s="117"/>
      <c r="X112" s="117"/>
      <c r="Y112" s="97"/>
      <c r="Z112" s="97"/>
      <c r="AA112" s="97"/>
      <c r="AB112" s="97"/>
      <c r="AC112" s="97"/>
    </row>
    <row r="113">
      <c r="A113" s="111"/>
      <c r="B113" s="15">
        <v>46216.0</v>
      </c>
      <c r="C113" s="112" t="s">
        <v>25</v>
      </c>
      <c r="D113" s="21" t="s">
        <v>2023</v>
      </c>
      <c r="E113" s="23"/>
      <c r="F113" s="23"/>
      <c r="G113" s="99" t="s">
        <v>905</v>
      </c>
      <c r="H113" s="113" t="s">
        <v>369</v>
      </c>
      <c r="I113" s="114"/>
      <c r="J113" s="113" t="s">
        <v>1912</v>
      </c>
      <c r="K113" s="99" t="s">
        <v>64</v>
      </c>
      <c r="L113" s="113" t="s">
        <v>2024</v>
      </c>
      <c r="M113" s="37" t="s">
        <v>2025</v>
      </c>
      <c r="N113" s="113" t="s">
        <v>52</v>
      </c>
      <c r="O113" s="32"/>
      <c r="P113" s="43" t="s">
        <v>53</v>
      </c>
      <c r="Q113" s="43" t="s">
        <v>54</v>
      </c>
      <c r="R113" s="116" t="s">
        <v>2027</v>
      </c>
      <c r="S113" s="117"/>
      <c r="T113" s="117"/>
      <c r="U113" s="117"/>
      <c r="V113" s="117"/>
      <c r="W113" s="117"/>
      <c r="X113" s="117"/>
      <c r="Y113" s="97"/>
      <c r="Z113" s="97"/>
      <c r="AA113" s="97"/>
      <c r="AB113" s="97"/>
      <c r="AC113" s="97"/>
    </row>
    <row r="114">
      <c r="A114" s="111"/>
      <c r="B114" s="15">
        <v>46216.0</v>
      </c>
      <c r="C114" s="112" t="s">
        <v>25</v>
      </c>
      <c r="D114" s="21" t="s">
        <v>2032</v>
      </c>
      <c r="E114" s="23"/>
      <c r="F114" s="23"/>
      <c r="G114" s="99" t="s">
        <v>407</v>
      </c>
      <c r="H114" s="113" t="s">
        <v>921</v>
      </c>
      <c r="I114" s="114"/>
      <c r="J114" s="113" t="s">
        <v>2033</v>
      </c>
      <c r="K114" s="113" t="s">
        <v>2034</v>
      </c>
      <c r="L114" s="113" t="s">
        <v>926</v>
      </c>
      <c r="M114" s="37" t="s">
        <v>2035</v>
      </c>
      <c r="N114" s="113" t="s">
        <v>52</v>
      </c>
      <c r="O114" s="32"/>
      <c r="P114" s="43" t="s">
        <v>53</v>
      </c>
      <c r="Q114" s="43" t="s">
        <v>54</v>
      </c>
      <c r="R114" s="116" t="s">
        <v>2036</v>
      </c>
      <c r="S114" s="117"/>
      <c r="T114" s="117"/>
      <c r="U114" s="117"/>
      <c r="V114" s="117"/>
      <c r="W114" s="117"/>
      <c r="X114" s="117"/>
      <c r="Y114" s="97"/>
      <c r="Z114" s="97"/>
      <c r="AA114" s="97"/>
      <c r="AB114" s="97"/>
      <c r="AC114" s="97"/>
    </row>
    <row r="115">
      <c r="A115" s="111"/>
      <c r="B115" s="82">
        <v>97.0</v>
      </c>
      <c r="C115" s="112" t="s">
        <v>25</v>
      </c>
      <c r="D115" s="83" t="s">
        <v>2037</v>
      </c>
      <c r="E115" s="84" t="s">
        <v>2038</v>
      </c>
      <c r="F115" s="84" t="s">
        <v>140</v>
      </c>
      <c r="G115" s="109" t="s">
        <v>2040</v>
      </c>
      <c r="H115" s="113" t="s">
        <v>2042</v>
      </c>
      <c r="I115" s="114"/>
      <c r="J115" s="113" t="s">
        <v>2045</v>
      </c>
      <c r="K115" s="113" t="s">
        <v>2040</v>
      </c>
      <c r="L115" s="113" t="s">
        <v>2047</v>
      </c>
      <c r="M115" s="152" t="s">
        <v>2049</v>
      </c>
      <c r="N115" s="113" t="s">
        <v>52</v>
      </c>
      <c r="O115" s="32"/>
      <c r="P115" s="43" t="s">
        <v>55</v>
      </c>
      <c r="Q115" s="43" t="s">
        <v>419</v>
      </c>
      <c r="R115" s="116" t="s">
        <v>420</v>
      </c>
      <c r="S115" s="117"/>
      <c r="T115" s="117"/>
      <c r="U115" s="117"/>
      <c r="V115" s="117"/>
      <c r="W115" s="117"/>
      <c r="X115" s="117"/>
      <c r="Y115" s="97"/>
      <c r="Z115" s="97"/>
      <c r="AA115" s="97"/>
      <c r="AB115" s="97"/>
      <c r="AC115" s="97"/>
    </row>
    <row r="116">
      <c r="A116" s="111"/>
      <c r="B116" s="15">
        <v>46216.0</v>
      </c>
      <c r="C116" s="112" t="s">
        <v>25</v>
      </c>
      <c r="D116" s="21" t="s">
        <v>2053</v>
      </c>
      <c r="E116" s="23"/>
      <c r="F116" s="23"/>
      <c r="G116" s="99" t="s">
        <v>1911</v>
      </c>
      <c r="H116" s="113" t="s">
        <v>369</v>
      </c>
      <c r="I116" s="114"/>
      <c r="J116" s="113" t="s">
        <v>1912</v>
      </c>
      <c r="K116" s="99" t="s">
        <v>64</v>
      </c>
      <c r="L116" s="113" t="s">
        <v>2057</v>
      </c>
      <c r="M116" s="37" t="s">
        <v>2058</v>
      </c>
      <c r="N116" s="113" t="s">
        <v>52</v>
      </c>
      <c r="O116" s="32"/>
      <c r="P116" s="43" t="s">
        <v>55</v>
      </c>
      <c r="Q116" s="43" t="s">
        <v>55</v>
      </c>
      <c r="R116" s="116" t="s">
        <v>2059</v>
      </c>
      <c r="S116" s="117"/>
      <c r="T116" s="117"/>
      <c r="U116" s="117"/>
      <c r="V116" s="117"/>
      <c r="W116" s="117"/>
      <c r="X116" s="117"/>
      <c r="Y116" s="97"/>
      <c r="Z116" s="97"/>
      <c r="AA116" s="97"/>
      <c r="AB116" s="97"/>
      <c r="AC116" s="97"/>
    </row>
    <row r="117">
      <c r="A117" s="111"/>
      <c r="B117" s="15">
        <v>46216.0</v>
      </c>
      <c r="C117" s="112" t="s">
        <v>25</v>
      </c>
      <c r="D117" s="21" t="s">
        <v>2060</v>
      </c>
      <c r="E117" s="23"/>
      <c r="F117" s="23"/>
      <c r="G117" s="99" t="s">
        <v>2063</v>
      </c>
      <c r="H117" s="113" t="s">
        <v>369</v>
      </c>
      <c r="I117" s="114"/>
      <c r="J117" s="113" t="s">
        <v>2066</v>
      </c>
      <c r="K117" s="113" t="s">
        <v>2068</v>
      </c>
      <c r="L117" s="113" t="s">
        <v>495</v>
      </c>
      <c r="M117" s="37" t="s">
        <v>2070</v>
      </c>
      <c r="N117" s="113" t="s">
        <v>52</v>
      </c>
      <c r="O117" s="32"/>
      <c r="P117" s="43" t="s">
        <v>55</v>
      </c>
      <c r="Q117" s="43" t="s">
        <v>55</v>
      </c>
      <c r="R117" s="116" t="s">
        <v>2072</v>
      </c>
      <c r="S117" s="117"/>
      <c r="T117" s="117"/>
      <c r="U117" s="117"/>
      <c r="V117" s="117"/>
      <c r="W117" s="117"/>
      <c r="X117" s="117"/>
      <c r="Y117" s="97"/>
      <c r="Z117" s="97"/>
      <c r="AA117" s="97"/>
      <c r="AB117" s="97"/>
      <c r="AC117" s="97"/>
    </row>
    <row r="118">
      <c r="A118" s="111"/>
      <c r="B118" s="15">
        <v>46216.0</v>
      </c>
      <c r="C118" s="112" t="s">
        <v>25</v>
      </c>
      <c r="D118" s="21" t="s">
        <v>2073</v>
      </c>
      <c r="E118" s="23"/>
      <c r="F118" s="23"/>
      <c r="G118" s="99" t="s">
        <v>2074</v>
      </c>
      <c r="H118" s="113" t="s">
        <v>369</v>
      </c>
      <c r="I118" s="114"/>
      <c r="J118" s="113" t="s">
        <v>2075</v>
      </c>
      <c r="K118" s="113" t="s">
        <v>2076</v>
      </c>
      <c r="L118" s="113" t="s">
        <v>2077</v>
      </c>
      <c r="M118" s="37" t="s">
        <v>2078</v>
      </c>
      <c r="N118" s="113" t="s">
        <v>52</v>
      </c>
      <c r="O118" s="32"/>
      <c r="P118" s="43" t="s">
        <v>53</v>
      </c>
      <c r="Q118" s="43" t="s">
        <v>54</v>
      </c>
      <c r="R118" s="116" t="s">
        <v>2085</v>
      </c>
      <c r="S118" s="117"/>
      <c r="T118" s="117"/>
      <c r="U118" s="117"/>
      <c r="V118" s="117"/>
      <c r="W118" s="117"/>
      <c r="X118" s="117"/>
      <c r="Y118" s="97"/>
      <c r="Z118" s="97"/>
      <c r="AA118" s="97"/>
      <c r="AB118" s="97"/>
      <c r="AC118" s="97"/>
    </row>
    <row r="119">
      <c r="A119" s="111"/>
      <c r="B119" s="15">
        <v>46216.0</v>
      </c>
      <c r="C119" s="112" t="s">
        <v>25</v>
      </c>
      <c r="D119" s="21" t="s">
        <v>2086</v>
      </c>
      <c r="E119" s="23"/>
      <c r="F119" s="23"/>
      <c r="G119" s="99" t="s">
        <v>2087</v>
      </c>
      <c r="H119" s="113" t="s">
        <v>369</v>
      </c>
      <c r="I119" s="114"/>
      <c r="J119" s="113" t="s">
        <v>2089</v>
      </c>
      <c r="K119" s="113" t="s">
        <v>2090</v>
      </c>
      <c r="L119" s="113" t="s">
        <v>2093</v>
      </c>
      <c r="M119" s="87" t="s">
        <v>2094</v>
      </c>
      <c r="N119" s="113" t="s">
        <v>52</v>
      </c>
      <c r="O119" s="32"/>
      <c r="P119" s="43" t="s">
        <v>53</v>
      </c>
      <c r="Q119" s="43" t="s">
        <v>54</v>
      </c>
      <c r="R119" s="116" t="s">
        <v>2098</v>
      </c>
      <c r="S119" s="117"/>
      <c r="T119" s="117"/>
      <c r="U119" s="117"/>
      <c r="V119" s="117"/>
      <c r="W119" s="117"/>
      <c r="X119" s="117"/>
      <c r="Y119" s="97"/>
      <c r="Z119" s="97"/>
      <c r="AA119" s="97"/>
      <c r="AB119" s="97"/>
      <c r="AC119" s="97"/>
    </row>
    <row r="120">
      <c r="A120" s="111"/>
      <c r="B120" s="15">
        <v>46216.0</v>
      </c>
      <c r="C120" s="112" t="s">
        <v>25</v>
      </c>
      <c r="D120" s="21" t="s">
        <v>2099</v>
      </c>
      <c r="E120" s="23"/>
      <c r="F120" s="23"/>
      <c r="G120" s="99" t="s">
        <v>2100</v>
      </c>
      <c r="H120" s="113" t="s">
        <v>369</v>
      </c>
      <c r="I120" s="114"/>
      <c r="J120" s="113" t="s">
        <v>2089</v>
      </c>
      <c r="K120" s="113" t="s">
        <v>2101</v>
      </c>
      <c r="L120" s="113" t="s">
        <v>874</v>
      </c>
      <c r="M120" s="37" t="s">
        <v>2102</v>
      </c>
      <c r="N120" s="113" t="s">
        <v>52</v>
      </c>
      <c r="O120" s="32"/>
      <c r="P120" s="43" t="s">
        <v>55</v>
      </c>
      <c r="Q120" s="43" t="s">
        <v>419</v>
      </c>
      <c r="R120" s="116" t="s">
        <v>2103</v>
      </c>
      <c r="S120" s="117"/>
      <c r="T120" s="117"/>
      <c r="U120" s="117"/>
      <c r="V120" s="117"/>
      <c r="W120" s="117"/>
      <c r="X120" s="117"/>
      <c r="Y120" s="97"/>
      <c r="Z120" s="97"/>
      <c r="AA120" s="97"/>
      <c r="AB120" s="97"/>
      <c r="AC120" s="97"/>
    </row>
    <row r="121">
      <c r="A121" s="111"/>
      <c r="B121" s="15">
        <v>46216.0</v>
      </c>
      <c r="C121" s="112" t="s">
        <v>25</v>
      </c>
      <c r="D121" s="21" t="s">
        <v>2104</v>
      </c>
      <c r="E121" s="23"/>
      <c r="F121" s="23"/>
      <c r="G121" s="99" t="s">
        <v>2105</v>
      </c>
      <c r="H121" s="113" t="s">
        <v>369</v>
      </c>
      <c r="I121" s="114"/>
      <c r="J121" s="113" t="s">
        <v>2109</v>
      </c>
      <c r="K121" s="113" t="s">
        <v>2111</v>
      </c>
      <c r="L121" s="113" t="s">
        <v>1234</v>
      </c>
      <c r="M121" s="37" t="s">
        <v>2113</v>
      </c>
      <c r="N121" s="113" t="s">
        <v>52</v>
      </c>
      <c r="O121" s="32"/>
      <c r="P121" s="43" t="s">
        <v>53</v>
      </c>
      <c r="Q121" s="43" t="s">
        <v>54</v>
      </c>
      <c r="R121" s="116" t="s">
        <v>2115</v>
      </c>
      <c r="S121" s="117"/>
      <c r="T121" s="117"/>
      <c r="U121" s="117"/>
      <c r="V121" s="117"/>
      <c r="W121" s="117"/>
      <c r="X121" s="117"/>
      <c r="Y121" s="97"/>
      <c r="Z121" s="97"/>
      <c r="AA121" s="97"/>
      <c r="AB121" s="97"/>
      <c r="AC121" s="97"/>
    </row>
    <row r="122">
      <c r="A122" s="111"/>
      <c r="B122" s="15">
        <v>46216.0</v>
      </c>
      <c r="C122" s="112" t="s">
        <v>25</v>
      </c>
      <c r="D122" s="21" t="s">
        <v>2116</v>
      </c>
      <c r="E122" s="23"/>
      <c r="F122" s="23"/>
      <c r="G122" s="99" t="s">
        <v>2117</v>
      </c>
      <c r="H122" s="113" t="s">
        <v>369</v>
      </c>
      <c r="I122" s="114"/>
      <c r="J122" s="113" t="s">
        <v>2118</v>
      </c>
      <c r="K122" s="113" t="s">
        <v>2119</v>
      </c>
      <c r="L122" s="113" t="s">
        <v>2120</v>
      </c>
      <c r="M122" s="37" t="s">
        <v>2121</v>
      </c>
      <c r="N122" s="113" t="s">
        <v>52</v>
      </c>
      <c r="O122" s="32"/>
      <c r="P122" s="43" t="s">
        <v>53</v>
      </c>
      <c r="Q122" s="43" t="s">
        <v>54</v>
      </c>
      <c r="R122" s="116" t="s">
        <v>2127</v>
      </c>
      <c r="S122" s="117"/>
      <c r="T122" s="117"/>
      <c r="U122" s="117"/>
      <c r="V122" s="117"/>
      <c r="W122" s="117"/>
      <c r="X122" s="117"/>
      <c r="Y122" s="97"/>
      <c r="Z122" s="97"/>
      <c r="AA122" s="97"/>
      <c r="AB122" s="97"/>
      <c r="AC122" s="97"/>
    </row>
    <row r="123">
      <c r="A123" s="111"/>
      <c r="B123" s="15">
        <v>46216.0</v>
      </c>
      <c r="C123" s="112" t="s">
        <v>25</v>
      </c>
      <c r="D123" s="21" t="s">
        <v>2129</v>
      </c>
      <c r="E123" s="23"/>
      <c r="F123" s="23"/>
      <c r="G123" s="99" t="s">
        <v>2130</v>
      </c>
      <c r="H123" s="113" t="s">
        <v>369</v>
      </c>
      <c r="I123" s="114"/>
      <c r="J123" s="113" t="s">
        <v>2131</v>
      </c>
      <c r="K123" s="99" t="s">
        <v>64</v>
      </c>
      <c r="L123" s="113" t="s">
        <v>2132</v>
      </c>
      <c r="M123" s="37" t="s">
        <v>2133</v>
      </c>
      <c r="N123" s="113" t="s">
        <v>52</v>
      </c>
      <c r="O123" s="32"/>
      <c r="P123" s="43" t="s">
        <v>53</v>
      </c>
      <c r="Q123" s="43" t="s">
        <v>54</v>
      </c>
      <c r="R123" s="116" t="s">
        <v>2134</v>
      </c>
      <c r="S123" s="117"/>
      <c r="T123" s="117"/>
      <c r="U123" s="117"/>
      <c r="V123" s="117"/>
      <c r="W123" s="117"/>
      <c r="X123" s="117"/>
      <c r="Y123" s="97"/>
      <c r="Z123" s="97"/>
      <c r="AA123" s="97"/>
      <c r="AB123" s="97"/>
      <c r="AC123" s="97"/>
    </row>
    <row r="124">
      <c r="A124" s="111"/>
      <c r="B124" s="15">
        <v>46216.0</v>
      </c>
      <c r="C124" s="112" t="s">
        <v>25</v>
      </c>
      <c r="D124" s="21" t="s">
        <v>2135</v>
      </c>
      <c r="E124" s="23"/>
      <c r="F124" s="23"/>
      <c r="G124" s="99" t="s">
        <v>2136</v>
      </c>
      <c r="H124" s="113" t="s">
        <v>369</v>
      </c>
      <c r="I124" s="114"/>
      <c r="J124" s="113" t="s">
        <v>2139</v>
      </c>
      <c r="K124" s="113" t="s">
        <v>2141</v>
      </c>
      <c r="L124" s="113" t="s">
        <v>2144</v>
      </c>
      <c r="M124" s="37" t="s">
        <v>2145</v>
      </c>
      <c r="N124" s="113" t="s">
        <v>52</v>
      </c>
      <c r="O124" s="32"/>
      <c r="P124" s="43" t="s">
        <v>53</v>
      </c>
      <c r="Q124" s="43" t="s">
        <v>54</v>
      </c>
      <c r="R124" s="116" t="s">
        <v>2147</v>
      </c>
      <c r="S124" s="117"/>
      <c r="T124" s="117"/>
      <c r="U124" s="117"/>
      <c r="V124" s="117"/>
      <c r="W124" s="117"/>
      <c r="X124" s="117"/>
      <c r="Y124" s="97"/>
      <c r="Z124" s="97"/>
      <c r="AA124" s="97"/>
      <c r="AB124" s="97"/>
      <c r="AC124" s="97"/>
    </row>
    <row r="125">
      <c r="A125" s="111"/>
      <c r="B125" s="15">
        <v>46216.0</v>
      </c>
      <c r="C125" s="112" t="s">
        <v>25</v>
      </c>
      <c r="D125" s="21" t="s">
        <v>2148</v>
      </c>
      <c r="E125" s="23"/>
      <c r="F125" s="23"/>
      <c r="G125" s="99" t="s">
        <v>2149</v>
      </c>
      <c r="H125" s="113" t="s">
        <v>369</v>
      </c>
      <c r="I125" s="114"/>
      <c r="J125" s="113" t="s">
        <v>2150</v>
      </c>
      <c r="K125" s="99" t="s">
        <v>2151</v>
      </c>
      <c r="L125" s="113" t="s">
        <v>2152</v>
      </c>
      <c r="M125" s="37" t="s">
        <v>2153</v>
      </c>
      <c r="N125" s="113" t="s">
        <v>52</v>
      </c>
      <c r="O125" s="32"/>
      <c r="P125" s="43" t="s">
        <v>53</v>
      </c>
      <c r="Q125" s="43" t="s">
        <v>54</v>
      </c>
      <c r="R125" s="116" t="s">
        <v>2161</v>
      </c>
      <c r="S125" s="117"/>
      <c r="T125" s="117"/>
      <c r="U125" s="117"/>
      <c r="V125" s="117"/>
      <c r="W125" s="117"/>
      <c r="X125" s="117"/>
      <c r="Y125" s="97"/>
      <c r="Z125" s="97"/>
      <c r="AA125" s="97"/>
      <c r="AB125" s="97"/>
      <c r="AC125" s="97"/>
    </row>
    <row r="126">
      <c r="A126" s="111"/>
      <c r="B126" s="15">
        <v>46216.0</v>
      </c>
      <c r="C126" s="112" t="s">
        <v>25</v>
      </c>
      <c r="D126" s="21" t="s">
        <v>2162</v>
      </c>
      <c r="E126" s="23"/>
      <c r="F126" s="23"/>
      <c r="G126" s="99" t="s">
        <v>2163</v>
      </c>
      <c r="H126" s="113" t="s">
        <v>2164</v>
      </c>
      <c r="I126" s="114"/>
      <c r="J126" s="113" t="s">
        <v>2165</v>
      </c>
      <c r="K126" s="113" t="s">
        <v>2166</v>
      </c>
      <c r="L126" s="113" t="s">
        <v>101</v>
      </c>
      <c r="M126" s="37" t="s">
        <v>2167</v>
      </c>
      <c r="N126" s="113" t="s">
        <v>52</v>
      </c>
      <c r="O126" s="32"/>
      <c r="P126" s="43" t="s">
        <v>55</v>
      </c>
      <c r="Q126" s="43" t="s">
        <v>419</v>
      </c>
      <c r="R126" s="116" t="s">
        <v>420</v>
      </c>
      <c r="S126" s="117"/>
      <c r="T126" s="117"/>
      <c r="U126" s="117"/>
      <c r="V126" s="117"/>
      <c r="W126" s="117"/>
      <c r="X126" s="117"/>
      <c r="Y126" s="97"/>
      <c r="Z126" s="97"/>
      <c r="AA126" s="97"/>
      <c r="AB126" s="97"/>
      <c r="AC126" s="97"/>
    </row>
    <row r="127">
      <c r="A127" s="111"/>
      <c r="B127" s="15">
        <v>46216.0</v>
      </c>
      <c r="C127" s="112" t="s">
        <v>25</v>
      </c>
      <c r="D127" s="21" t="s">
        <v>2174</v>
      </c>
      <c r="E127" s="23"/>
      <c r="F127" s="23"/>
      <c r="G127" s="99" t="s">
        <v>546</v>
      </c>
      <c r="H127" s="113" t="s">
        <v>369</v>
      </c>
      <c r="I127" s="114"/>
      <c r="J127" s="113" t="s">
        <v>2175</v>
      </c>
      <c r="K127" s="113" t="s">
        <v>2176</v>
      </c>
      <c r="L127" s="113" t="s">
        <v>551</v>
      </c>
      <c r="M127" s="37" t="s">
        <v>2177</v>
      </c>
      <c r="N127" s="113" t="s">
        <v>52</v>
      </c>
      <c r="O127" s="32"/>
      <c r="P127" s="43" t="s">
        <v>55</v>
      </c>
      <c r="Q127" s="43" t="s">
        <v>419</v>
      </c>
      <c r="R127" s="116" t="s">
        <v>420</v>
      </c>
      <c r="S127" s="117"/>
      <c r="T127" s="117"/>
      <c r="U127" s="117"/>
      <c r="V127" s="117"/>
      <c r="W127" s="117"/>
      <c r="X127" s="117"/>
      <c r="Y127" s="97"/>
      <c r="Z127" s="97"/>
      <c r="AA127" s="97"/>
      <c r="AB127" s="97"/>
      <c r="AC127" s="97"/>
    </row>
    <row r="128">
      <c r="A128" s="111"/>
      <c r="B128" s="15">
        <v>46216.0</v>
      </c>
      <c r="C128" s="112" t="s">
        <v>25</v>
      </c>
      <c r="D128" s="21" t="s">
        <v>2184</v>
      </c>
      <c r="E128" s="23"/>
      <c r="F128" s="23"/>
      <c r="G128" s="99" t="s">
        <v>2130</v>
      </c>
      <c r="H128" s="113" t="s">
        <v>369</v>
      </c>
      <c r="I128" s="114"/>
      <c r="J128" s="113" t="s">
        <v>2131</v>
      </c>
      <c r="K128" s="99" t="s">
        <v>64</v>
      </c>
      <c r="L128" s="113" t="s">
        <v>2132</v>
      </c>
      <c r="M128" s="37" t="s">
        <v>2185</v>
      </c>
      <c r="N128" s="113" t="s">
        <v>52</v>
      </c>
      <c r="O128" s="32"/>
      <c r="P128" s="43" t="s">
        <v>53</v>
      </c>
      <c r="Q128" s="43" t="s">
        <v>54</v>
      </c>
      <c r="R128" s="116" t="s">
        <v>2186</v>
      </c>
      <c r="S128" s="117"/>
      <c r="T128" s="117"/>
      <c r="U128" s="117"/>
      <c r="V128" s="117"/>
      <c r="W128" s="117"/>
      <c r="X128" s="117"/>
      <c r="Y128" s="97"/>
      <c r="Z128" s="97"/>
      <c r="AA128" s="97"/>
      <c r="AB128" s="97"/>
      <c r="AC128" s="97"/>
    </row>
    <row r="129">
      <c r="A129" s="111"/>
      <c r="B129" s="15">
        <v>46216.0</v>
      </c>
      <c r="C129" s="112" t="s">
        <v>25</v>
      </c>
      <c r="D129" s="21" t="s">
        <v>2193</v>
      </c>
      <c r="E129" s="23"/>
      <c r="F129" s="23"/>
      <c r="G129" s="99" t="s">
        <v>2136</v>
      </c>
      <c r="H129" s="113" t="s">
        <v>369</v>
      </c>
      <c r="I129" s="114"/>
      <c r="J129" s="113" t="s">
        <v>2139</v>
      </c>
      <c r="K129" s="113" t="s">
        <v>2141</v>
      </c>
      <c r="L129" s="113" t="s">
        <v>2144</v>
      </c>
      <c r="M129" s="37" t="s">
        <v>2194</v>
      </c>
      <c r="N129" s="113" t="s">
        <v>52</v>
      </c>
      <c r="O129" s="32"/>
      <c r="P129" s="43" t="s">
        <v>53</v>
      </c>
      <c r="Q129" s="43" t="s">
        <v>54</v>
      </c>
      <c r="R129" s="116" t="s">
        <v>2195</v>
      </c>
      <c r="S129" s="117"/>
      <c r="T129" s="117"/>
      <c r="U129" s="117"/>
      <c r="V129" s="117"/>
      <c r="W129" s="117"/>
      <c r="X129" s="117"/>
      <c r="Y129" s="97"/>
      <c r="Z129" s="97"/>
      <c r="AA129" s="97"/>
      <c r="AB129" s="97"/>
      <c r="AC129" s="97"/>
    </row>
    <row r="130">
      <c r="A130" s="111"/>
      <c r="B130" s="15">
        <v>46216.0</v>
      </c>
      <c r="C130" s="112" t="s">
        <v>25</v>
      </c>
      <c r="D130" s="21" t="s">
        <v>2196</v>
      </c>
      <c r="E130" s="23"/>
      <c r="F130" s="23"/>
      <c r="G130" s="99" t="s">
        <v>2149</v>
      </c>
      <c r="H130" s="113" t="s">
        <v>369</v>
      </c>
      <c r="I130" s="114"/>
      <c r="J130" s="113" t="s">
        <v>2150</v>
      </c>
      <c r="K130" s="99" t="s">
        <v>2151</v>
      </c>
      <c r="L130" s="113" t="s">
        <v>2152</v>
      </c>
      <c r="M130" s="37" t="s">
        <v>2197</v>
      </c>
      <c r="N130" s="113" t="s">
        <v>52</v>
      </c>
      <c r="O130" s="32"/>
      <c r="P130" s="43" t="s">
        <v>53</v>
      </c>
      <c r="Q130" s="43" t="s">
        <v>54</v>
      </c>
      <c r="R130" s="116" t="s">
        <v>2203</v>
      </c>
      <c r="S130" s="117"/>
      <c r="T130" s="117"/>
      <c r="U130" s="117"/>
      <c r="V130" s="117"/>
      <c r="W130" s="117"/>
      <c r="X130" s="117"/>
      <c r="Y130" s="97"/>
      <c r="Z130" s="97"/>
      <c r="AA130" s="97"/>
      <c r="AB130" s="97"/>
      <c r="AC130" s="97"/>
    </row>
    <row r="131">
      <c r="A131" s="111"/>
      <c r="B131" s="15">
        <v>46216.0</v>
      </c>
      <c r="C131" s="112" t="s">
        <v>25</v>
      </c>
      <c r="D131" s="21" t="s">
        <v>2204</v>
      </c>
      <c r="E131" s="23"/>
      <c r="F131" s="23"/>
      <c r="G131" s="99" t="s">
        <v>2163</v>
      </c>
      <c r="H131" s="113" t="s">
        <v>2164</v>
      </c>
      <c r="I131" s="114"/>
      <c r="J131" s="113" t="s">
        <v>2165</v>
      </c>
      <c r="K131" s="113" t="s">
        <v>2166</v>
      </c>
      <c r="L131" s="113" t="s">
        <v>101</v>
      </c>
      <c r="M131" s="37" t="s">
        <v>2205</v>
      </c>
      <c r="N131" s="113" t="s">
        <v>52</v>
      </c>
      <c r="O131" s="32"/>
      <c r="P131" s="43" t="s">
        <v>55</v>
      </c>
      <c r="Q131" s="43" t="s">
        <v>419</v>
      </c>
      <c r="R131" s="116" t="s">
        <v>420</v>
      </c>
      <c r="S131" s="117"/>
      <c r="T131" s="117"/>
      <c r="U131" s="117"/>
      <c r="V131" s="117"/>
      <c r="W131" s="117"/>
      <c r="X131" s="117"/>
      <c r="Y131" s="97"/>
      <c r="Z131" s="97"/>
      <c r="AA131" s="97"/>
      <c r="AB131" s="97"/>
      <c r="AC131" s="97"/>
    </row>
    <row r="132">
      <c r="A132" s="111"/>
      <c r="B132" s="15">
        <v>46216.0</v>
      </c>
      <c r="C132" s="112" t="s">
        <v>25</v>
      </c>
      <c r="D132" s="21" t="s">
        <v>2206</v>
      </c>
      <c r="E132" s="23"/>
      <c r="F132" s="23"/>
      <c r="G132" s="99" t="s">
        <v>546</v>
      </c>
      <c r="H132" s="113" t="s">
        <v>369</v>
      </c>
      <c r="I132" s="114"/>
      <c r="J132" s="113" t="s">
        <v>2175</v>
      </c>
      <c r="K132" s="113" t="s">
        <v>2176</v>
      </c>
      <c r="L132" s="113" t="s">
        <v>551</v>
      </c>
      <c r="M132" s="37" t="s">
        <v>2207</v>
      </c>
      <c r="N132" s="113" t="s">
        <v>52</v>
      </c>
      <c r="O132" s="32"/>
      <c r="P132" s="43" t="s">
        <v>55</v>
      </c>
      <c r="Q132" s="43" t="s">
        <v>419</v>
      </c>
      <c r="R132" s="116" t="s">
        <v>420</v>
      </c>
      <c r="S132" s="117"/>
      <c r="T132" s="117"/>
      <c r="U132" s="117"/>
      <c r="V132" s="117"/>
      <c r="W132" s="117"/>
      <c r="X132" s="117"/>
      <c r="Y132" s="97"/>
      <c r="Z132" s="97"/>
      <c r="AA132" s="97"/>
      <c r="AB132" s="97"/>
      <c r="AC132" s="97"/>
    </row>
    <row r="133">
      <c r="A133" s="111"/>
      <c r="B133" s="15">
        <v>46216.0</v>
      </c>
      <c r="C133" s="112" t="s">
        <v>25</v>
      </c>
      <c r="D133" s="21" t="s">
        <v>2212</v>
      </c>
      <c r="E133" s="23"/>
      <c r="F133" s="23"/>
      <c r="G133" s="99" t="s">
        <v>2130</v>
      </c>
      <c r="H133" s="113" t="s">
        <v>369</v>
      </c>
      <c r="I133" s="114"/>
      <c r="J133" s="113" t="s">
        <v>2131</v>
      </c>
      <c r="K133" s="99" t="s">
        <v>64</v>
      </c>
      <c r="L133" s="113" t="s">
        <v>2214</v>
      </c>
      <c r="M133" s="37" t="s">
        <v>2215</v>
      </c>
      <c r="N133" s="113" t="s">
        <v>52</v>
      </c>
      <c r="O133" s="32"/>
      <c r="P133" s="43" t="s">
        <v>53</v>
      </c>
      <c r="Q133" s="43" t="s">
        <v>54</v>
      </c>
      <c r="R133" s="116" t="s">
        <v>2216</v>
      </c>
      <c r="S133" s="117"/>
      <c r="T133" s="117"/>
      <c r="U133" s="117"/>
      <c r="V133" s="117"/>
      <c r="W133" s="117"/>
      <c r="X133" s="117"/>
      <c r="Y133" s="97"/>
      <c r="Z133" s="97"/>
      <c r="AA133" s="97"/>
      <c r="AB133" s="97"/>
      <c r="AC133" s="97"/>
    </row>
    <row r="134">
      <c r="A134" s="111"/>
      <c r="B134" s="15">
        <v>46216.0</v>
      </c>
      <c r="C134" s="112" t="s">
        <v>25</v>
      </c>
      <c r="D134" s="21" t="s">
        <v>2219</v>
      </c>
      <c r="E134" s="23"/>
      <c r="F134" s="23"/>
      <c r="G134" s="99" t="s">
        <v>2136</v>
      </c>
      <c r="H134" s="113" t="s">
        <v>369</v>
      </c>
      <c r="I134" s="114"/>
      <c r="J134" s="113" t="s">
        <v>2139</v>
      </c>
      <c r="K134" s="113" t="s">
        <v>2141</v>
      </c>
      <c r="L134" s="113" t="s">
        <v>2144</v>
      </c>
      <c r="M134" s="37" t="s">
        <v>2224</v>
      </c>
      <c r="N134" s="113" t="s">
        <v>52</v>
      </c>
      <c r="O134" s="32"/>
      <c r="P134" s="43" t="s">
        <v>53</v>
      </c>
      <c r="Q134" s="43" t="s">
        <v>54</v>
      </c>
      <c r="R134" s="116" t="s">
        <v>2225</v>
      </c>
      <c r="S134" s="117"/>
      <c r="T134" s="117"/>
      <c r="U134" s="117"/>
      <c r="V134" s="117"/>
      <c r="W134" s="117"/>
      <c r="X134" s="117"/>
      <c r="Y134" s="97"/>
      <c r="Z134" s="97"/>
      <c r="AA134" s="97"/>
      <c r="AB134" s="97"/>
      <c r="AC134" s="97"/>
    </row>
    <row r="135">
      <c r="A135" s="111"/>
      <c r="B135" s="15">
        <v>46216.0</v>
      </c>
      <c r="C135" s="112" t="s">
        <v>25</v>
      </c>
      <c r="D135" s="21" t="s">
        <v>2226</v>
      </c>
      <c r="E135" s="23"/>
      <c r="F135" s="23"/>
      <c r="G135" s="99" t="s">
        <v>2149</v>
      </c>
      <c r="H135" s="113" t="s">
        <v>369</v>
      </c>
      <c r="I135" s="114"/>
      <c r="J135" s="113" t="s">
        <v>2150</v>
      </c>
      <c r="K135" s="99" t="s">
        <v>2151</v>
      </c>
      <c r="L135" s="113" t="s">
        <v>2233</v>
      </c>
      <c r="M135" s="37" t="s">
        <v>2234</v>
      </c>
      <c r="N135" s="113" t="s">
        <v>52</v>
      </c>
      <c r="O135" s="32"/>
      <c r="P135" s="43" t="s">
        <v>53</v>
      </c>
      <c r="Q135" s="43" t="s">
        <v>54</v>
      </c>
      <c r="R135" s="116" t="s">
        <v>2235</v>
      </c>
      <c r="S135" s="117"/>
      <c r="T135" s="117"/>
      <c r="U135" s="117"/>
      <c r="V135" s="117"/>
      <c r="W135" s="117"/>
      <c r="X135" s="117"/>
      <c r="Y135" s="97"/>
      <c r="Z135" s="97"/>
      <c r="AA135" s="97"/>
      <c r="AB135" s="97"/>
      <c r="AC135" s="97"/>
    </row>
    <row r="136">
      <c r="A136" s="111"/>
      <c r="B136" s="15">
        <v>46216.0</v>
      </c>
      <c r="C136" s="112" t="s">
        <v>25</v>
      </c>
      <c r="D136" s="21" t="s">
        <v>2236</v>
      </c>
      <c r="E136" s="23"/>
      <c r="F136" s="23"/>
      <c r="G136" s="99" t="s">
        <v>2130</v>
      </c>
      <c r="H136" s="113" t="s">
        <v>369</v>
      </c>
      <c r="I136" s="114"/>
      <c r="J136" s="113" t="s">
        <v>2131</v>
      </c>
      <c r="K136" s="99" t="s">
        <v>64</v>
      </c>
      <c r="L136" s="113" t="s">
        <v>2237</v>
      </c>
      <c r="M136" s="37" t="s">
        <v>2238</v>
      </c>
      <c r="N136" s="113" t="s">
        <v>52</v>
      </c>
      <c r="O136" s="32"/>
      <c r="P136" s="43" t="s">
        <v>53</v>
      </c>
      <c r="Q136" s="43" t="s">
        <v>54</v>
      </c>
      <c r="R136" s="116" t="s">
        <v>2245</v>
      </c>
      <c r="S136" s="117"/>
      <c r="T136" s="117"/>
      <c r="U136" s="117"/>
      <c r="V136" s="117"/>
      <c r="W136" s="117"/>
      <c r="X136" s="117"/>
      <c r="Y136" s="97"/>
      <c r="Z136" s="97"/>
      <c r="AA136" s="97"/>
      <c r="AB136" s="97"/>
      <c r="AC136" s="97"/>
    </row>
    <row r="137">
      <c r="A137" s="111"/>
      <c r="B137" s="15">
        <v>46216.0</v>
      </c>
      <c r="C137" s="112" t="s">
        <v>25</v>
      </c>
      <c r="D137" s="21" t="s">
        <v>2246</v>
      </c>
      <c r="E137" s="23"/>
      <c r="F137" s="23"/>
      <c r="G137" s="99" t="s">
        <v>2136</v>
      </c>
      <c r="H137" s="113" t="s">
        <v>369</v>
      </c>
      <c r="I137" s="114"/>
      <c r="J137" s="113" t="s">
        <v>2139</v>
      </c>
      <c r="K137" s="113" t="s">
        <v>2141</v>
      </c>
      <c r="L137" s="113" t="s">
        <v>2144</v>
      </c>
      <c r="M137" s="37" t="s">
        <v>2247</v>
      </c>
      <c r="N137" s="113" t="s">
        <v>52</v>
      </c>
      <c r="O137" s="32"/>
      <c r="P137" s="43" t="s">
        <v>53</v>
      </c>
      <c r="Q137" s="43" t="s">
        <v>54</v>
      </c>
      <c r="R137" s="116" t="s">
        <v>2254</v>
      </c>
      <c r="S137" s="117"/>
      <c r="T137" s="117"/>
      <c r="U137" s="117"/>
      <c r="V137" s="117"/>
      <c r="W137" s="117"/>
      <c r="X137" s="117"/>
      <c r="Y137" s="97"/>
      <c r="Z137" s="97"/>
      <c r="AA137" s="97"/>
      <c r="AB137" s="97"/>
      <c r="AC137" s="97"/>
    </row>
    <row r="138">
      <c r="A138" s="111"/>
      <c r="B138" s="15">
        <v>46216.0</v>
      </c>
      <c r="C138" s="112" t="s">
        <v>25</v>
      </c>
      <c r="D138" s="21" t="s">
        <v>2255</v>
      </c>
      <c r="E138" s="23"/>
      <c r="F138" s="23"/>
      <c r="G138" s="99" t="s">
        <v>2149</v>
      </c>
      <c r="H138" s="113" t="s">
        <v>369</v>
      </c>
      <c r="I138" s="114"/>
      <c r="J138" s="113" t="s">
        <v>2150</v>
      </c>
      <c r="K138" s="99" t="s">
        <v>2151</v>
      </c>
      <c r="L138" s="113" t="s">
        <v>2256</v>
      </c>
      <c r="M138" s="37" t="s">
        <v>2257</v>
      </c>
      <c r="N138" s="113" t="s">
        <v>52</v>
      </c>
      <c r="O138" s="32"/>
      <c r="P138" s="43" t="s">
        <v>53</v>
      </c>
      <c r="Q138" s="43" t="s">
        <v>54</v>
      </c>
      <c r="R138" s="116" t="s">
        <v>2259</v>
      </c>
      <c r="S138" s="117"/>
      <c r="T138" s="117"/>
      <c r="U138" s="117"/>
      <c r="V138" s="117"/>
      <c r="W138" s="117"/>
      <c r="X138" s="117"/>
      <c r="Y138" s="97"/>
      <c r="Z138" s="97"/>
      <c r="AA138" s="97"/>
      <c r="AB138" s="97"/>
      <c r="AC138" s="97"/>
    </row>
    <row r="139">
      <c r="A139" s="111"/>
      <c r="B139" s="15">
        <v>46217.0</v>
      </c>
      <c r="C139" s="112" t="s">
        <v>25</v>
      </c>
      <c r="D139" s="21" t="s">
        <v>2263</v>
      </c>
      <c r="E139" s="23"/>
      <c r="F139" s="23"/>
      <c r="G139" s="99" t="s">
        <v>407</v>
      </c>
      <c r="H139" s="113" t="s">
        <v>2264</v>
      </c>
      <c r="I139" s="114"/>
      <c r="J139" s="113" t="s">
        <v>2265</v>
      </c>
      <c r="K139" s="113" t="s">
        <v>2266</v>
      </c>
      <c r="L139" s="113" t="s">
        <v>2267</v>
      </c>
      <c r="M139" s="37" t="s">
        <v>2268</v>
      </c>
      <c r="N139" s="113" t="s">
        <v>52</v>
      </c>
      <c r="O139" s="32"/>
      <c r="P139" s="43" t="s">
        <v>55</v>
      </c>
      <c r="Q139" s="43" t="s">
        <v>55</v>
      </c>
      <c r="R139" s="116" t="s">
        <v>2269</v>
      </c>
      <c r="S139" s="117"/>
      <c r="T139" s="117"/>
      <c r="U139" s="117"/>
      <c r="V139" s="117"/>
      <c r="W139" s="117"/>
      <c r="X139" s="117"/>
      <c r="Y139" s="97"/>
      <c r="Z139" s="97"/>
      <c r="AA139" s="97"/>
      <c r="AB139" s="97"/>
      <c r="AC139" s="97"/>
    </row>
    <row r="140">
      <c r="A140" s="111"/>
      <c r="B140" s="15">
        <v>46217.0</v>
      </c>
      <c r="C140" s="112" t="s">
        <v>25</v>
      </c>
      <c r="D140" s="21" t="s">
        <v>2275</v>
      </c>
      <c r="E140" s="23"/>
      <c r="F140" s="23"/>
      <c r="G140" s="99" t="s">
        <v>2136</v>
      </c>
      <c r="H140" s="113" t="s">
        <v>369</v>
      </c>
      <c r="I140" s="114"/>
      <c r="J140" s="113" t="s">
        <v>2139</v>
      </c>
      <c r="K140" s="113" t="s">
        <v>2141</v>
      </c>
      <c r="L140" s="113" t="s">
        <v>2277</v>
      </c>
      <c r="M140" s="37" t="s">
        <v>2278</v>
      </c>
      <c r="N140" s="113" t="s">
        <v>52</v>
      </c>
      <c r="O140" s="32"/>
      <c r="P140" s="43" t="s">
        <v>53</v>
      </c>
      <c r="Q140" s="43" t="s">
        <v>54</v>
      </c>
      <c r="R140" s="116" t="s">
        <v>2279</v>
      </c>
      <c r="S140" s="117"/>
      <c r="T140" s="117"/>
      <c r="U140" s="117"/>
      <c r="V140" s="117"/>
      <c r="W140" s="117"/>
      <c r="X140" s="117"/>
      <c r="Y140" s="97"/>
      <c r="Z140" s="97"/>
      <c r="AA140" s="97"/>
      <c r="AB140" s="97"/>
      <c r="AC140" s="97"/>
    </row>
    <row r="141">
      <c r="A141" s="111"/>
      <c r="B141" s="82">
        <v>104.0</v>
      </c>
      <c r="C141" s="112" t="s">
        <v>25</v>
      </c>
      <c r="D141" s="83" t="s">
        <v>2280</v>
      </c>
      <c r="E141" s="84" t="s">
        <v>2281</v>
      </c>
      <c r="F141" s="84" t="s">
        <v>2282</v>
      </c>
      <c r="G141" s="109" t="s">
        <v>2283</v>
      </c>
      <c r="H141" s="113" t="s">
        <v>369</v>
      </c>
      <c r="I141" s="114"/>
      <c r="J141" s="113" t="s">
        <v>2284</v>
      </c>
      <c r="K141" s="113" t="s">
        <v>2283</v>
      </c>
      <c r="L141" s="113" t="s">
        <v>2285</v>
      </c>
      <c r="M141" s="152" t="s">
        <v>2286</v>
      </c>
      <c r="N141" s="113" t="s">
        <v>52</v>
      </c>
      <c r="O141" s="32"/>
      <c r="P141" s="43" t="s">
        <v>55</v>
      </c>
      <c r="Q141" s="43" t="s">
        <v>55</v>
      </c>
      <c r="R141" s="116" t="s">
        <v>2293</v>
      </c>
      <c r="S141" s="117"/>
      <c r="T141" s="117"/>
      <c r="U141" s="117"/>
      <c r="V141" s="117"/>
      <c r="W141" s="117"/>
      <c r="X141" s="117"/>
      <c r="Y141" s="97"/>
      <c r="Z141" s="97"/>
      <c r="AA141" s="97"/>
      <c r="AB141" s="97"/>
      <c r="AC141" s="97"/>
    </row>
    <row r="142">
      <c r="A142" s="111"/>
      <c r="B142" s="15">
        <v>46217.0</v>
      </c>
      <c r="C142" s="112" t="s">
        <v>25</v>
      </c>
      <c r="D142" s="21" t="s">
        <v>2294</v>
      </c>
      <c r="E142" s="23"/>
      <c r="F142" s="23"/>
      <c r="G142" s="99" t="s">
        <v>2130</v>
      </c>
      <c r="H142" s="113" t="s">
        <v>369</v>
      </c>
      <c r="I142" s="114"/>
      <c r="J142" s="113" t="s">
        <v>2131</v>
      </c>
      <c r="K142" s="99" t="s">
        <v>64</v>
      </c>
      <c r="L142" s="113" t="s">
        <v>2295</v>
      </c>
      <c r="M142" s="37" t="s">
        <v>2296</v>
      </c>
      <c r="N142" s="113" t="s">
        <v>52</v>
      </c>
      <c r="O142" s="32"/>
      <c r="P142" s="43" t="s">
        <v>53</v>
      </c>
      <c r="Q142" s="43" t="s">
        <v>54</v>
      </c>
      <c r="R142" s="116" t="s">
        <v>2303</v>
      </c>
      <c r="S142" s="117"/>
      <c r="T142" s="117"/>
      <c r="U142" s="117"/>
      <c r="V142" s="117"/>
      <c r="W142" s="117"/>
      <c r="X142" s="117"/>
      <c r="Y142" s="97"/>
      <c r="Z142" s="97"/>
      <c r="AA142" s="97"/>
      <c r="AB142" s="97"/>
      <c r="AC142" s="97"/>
    </row>
    <row r="143">
      <c r="A143" s="111"/>
      <c r="B143" s="15">
        <v>46217.0</v>
      </c>
      <c r="C143" s="112" t="s">
        <v>25</v>
      </c>
      <c r="D143" s="21" t="s">
        <v>2304</v>
      </c>
      <c r="E143" s="23"/>
      <c r="F143" s="23"/>
      <c r="G143" s="99" t="s">
        <v>2136</v>
      </c>
      <c r="H143" s="113" t="s">
        <v>369</v>
      </c>
      <c r="I143" s="114"/>
      <c r="J143" s="113" t="s">
        <v>2139</v>
      </c>
      <c r="K143" s="113" t="s">
        <v>2141</v>
      </c>
      <c r="L143" s="113" t="s">
        <v>2277</v>
      </c>
      <c r="M143" s="37" t="s">
        <v>2305</v>
      </c>
      <c r="N143" s="113" t="s">
        <v>52</v>
      </c>
      <c r="O143" s="32"/>
      <c r="P143" s="43" t="s">
        <v>53</v>
      </c>
      <c r="Q143" s="43" t="s">
        <v>54</v>
      </c>
      <c r="R143" s="116" t="s">
        <v>2312</v>
      </c>
      <c r="S143" s="117"/>
      <c r="T143" s="117"/>
      <c r="U143" s="117"/>
      <c r="V143" s="117"/>
      <c r="W143" s="117"/>
      <c r="X143" s="117"/>
      <c r="Y143" s="97"/>
      <c r="Z143" s="97"/>
      <c r="AA143" s="97"/>
      <c r="AB143" s="97"/>
      <c r="AC143" s="97"/>
    </row>
    <row r="144">
      <c r="A144" s="111"/>
      <c r="B144" s="15">
        <v>46217.0</v>
      </c>
      <c r="C144" s="112" t="s">
        <v>25</v>
      </c>
      <c r="D144" s="21" t="s">
        <v>2313</v>
      </c>
      <c r="E144" s="23"/>
      <c r="F144" s="23"/>
      <c r="G144" s="99" t="s">
        <v>2149</v>
      </c>
      <c r="H144" s="113" t="s">
        <v>369</v>
      </c>
      <c r="I144" s="114"/>
      <c r="J144" s="113" t="s">
        <v>2150</v>
      </c>
      <c r="K144" s="99" t="s">
        <v>2151</v>
      </c>
      <c r="L144" s="113" t="s">
        <v>2314</v>
      </c>
      <c r="M144" s="37" t="s">
        <v>2315</v>
      </c>
      <c r="N144" s="113" t="s">
        <v>52</v>
      </c>
      <c r="O144" s="32"/>
      <c r="P144" s="43" t="s">
        <v>53</v>
      </c>
      <c r="Q144" s="43" t="s">
        <v>54</v>
      </c>
      <c r="R144" s="116" t="s">
        <v>2321</v>
      </c>
      <c r="S144" s="117"/>
      <c r="T144" s="117"/>
      <c r="U144" s="117"/>
      <c r="V144" s="117"/>
      <c r="W144" s="117"/>
      <c r="X144" s="117"/>
      <c r="Y144" s="97"/>
      <c r="Z144" s="97"/>
      <c r="AA144" s="97"/>
      <c r="AB144" s="97"/>
      <c r="AC144" s="97"/>
    </row>
    <row r="145">
      <c r="A145" s="111"/>
      <c r="B145" s="15">
        <v>46217.0</v>
      </c>
      <c r="C145" s="112" t="s">
        <v>25</v>
      </c>
      <c r="D145" s="21" t="s">
        <v>2323</v>
      </c>
      <c r="E145" s="23"/>
      <c r="F145" s="23"/>
      <c r="G145" s="99" t="s">
        <v>2163</v>
      </c>
      <c r="H145" s="113" t="s">
        <v>2164</v>
      </c>
      <c r="I145" s="114"/>
      <c r="J145" s="113" t="s">
        <v>2165</v>
      </c>
      <c r="K145" s="113" t="s">
        <v>2166</v>
      </c>
      <c r="L145" s="113" t="s">
        <v>101</v>
      </c>
      <c r="M145" s="37" t="s">
        <v>2324</v>
      </c>
      <c r="N145" s="113" t="s">
        <v>52</v>
      </c>
      <c r="O145" s="32"/>
      <c r="P145" s="43" t="s">
        <v>55</v>
      </c>
      <c r="Q145" s="43" t="s">
        <v>419</v>
      </c>
      <c r="R145" s="116" t="s">
        <v>420</v>
      </c>
      <c r="S145" s="117"/>
      <c r="T145" s="117"/>
      <c r="U145" s="117"/>
      <c r="V145" s="117"/>
      <c r="W145" s="117"/>
      <c r="X145" s="117"/>
      <c r="Y145" s="97"/>
      <c r="Z145" s="97"/>
      <c r="AA145" s="97"/>
      <c r="AB145" s="97"/>
      <c r="AC145" s="97"/>
    </row>
    <row r="146">
      <c r="A146" s="111"/>
      <c r="B146" s="15">
        <v>46217.0</v>
      </c>
      <c r="C146" s="112" t="s">
        <v>25</v>
      </c>
      <c r="D146" s="21" t="s">
        <v>2332</v>
      </c>
      <c r="E146" s="32"/>
      <c r="F146" s="32"/>
      <c r="G146" s="99" t="s">
        <v>2130</v>
      </c>
      <c r="H146" s="113" t="s">
        <v>369</v>
      </c>
      <c r="I146" s="114"/>
      <c r="J146" s="113" t="s">
        <v>2131</v>
      </c>
      <c r="K146" s="99" t="s">
        <v>64</v>
      </c>
      <c r="L146" s="113" t="s">
        <v>2333</v>
      </c>
      <c r="M146" s="37" t="s">
        <v>2334</v>
      </c>
      <c r="N146" s="113" t="s">
        <v>52</v>
      </c>
      <c r="O146" s="32"/>
      <c r="P146" s="43" t="s">
        <v>53</v>
      </c>
      <c r="Q146" s="43" t="s">
        <v>54</v>
      </c>
      <c r="R146" s="116" t="s">
        <v>2337</v>
      </c>
      <c r="S146" s="117"/>
      <c r="T146" s="117"/>
      <c r="U146" s="117"/>
      <c r="V146" s="117"/>
      <c r="W146" s="117"/>
      <c r="X146" s="117"/>
      <c r="Y146" s="97"/>
      <c r="Z146" s="97"/>
      <c r="AA146" s="97"/>
      <c r="AB146" s="97"/>
      <c r="AC146" s="97"/>
    </row>
    <row r="147">
      <c r="A147" s="111"/>
      <c r="B147" s="15">
        <v>46217.0</v>
      </c>
      <c r="C147" s="112" t="s">
        <v>25</v>
      </c>
      <c r="D147" s="21" t="s">
        <v>2338</v>
      </c>
      <c r="E147" s="32"/>
      <c r="F147" s="32"/>
      <c r="G147" s="99" t="s">
        <v>2136</v>
      </c>
      <c r="H147" s="113" t="s">
        <v>369</v>
      </c>
      <c r="I147" s="114"/>
      <c r="J147" s="113" t="s">
        <v>2139</v>
      </c>
      <c r="K147" s="113" t="s">
        <v>2141</v>
      </c>
      <c r="L147" s="113" t="s">
        <v>2277</v>
      </c>
      <c r="M147" s="37" t="s">
        <v>2339</v>
      </c>
      <c r="N147" s="113" t="s">
        <v>52</v>
      </c>
      <c r="O147" s="32"/>
      <c r="P147" s="43" t="s">
        <v>53</v>
      </c>
      <c r="Q147" s="43" t="s">
        <v>54</v>
      </c>
      <c r="R147" s="116" t="s">
        <v>2345</v>
      </c>
      <c r="S147" s="117"/>
      <c r="T147" s="117"/>
      <c r="U147" s="117"/>
      <c r="V147" s="117"/>
      <c r="W147" s="117"/>
      <c r="X147" s="117"/>
      <c r="Y147" s="97"/>
      <c r="Z147" s="97"/>
      <c r="AA147" s="97"/>
      <c r="AB147" s="97"/>
      <c r="AC147" s="97"/>
    </row>
    <row r="148">
      <c r="A148" s="111"/>
      <c r="B148" s="15">
        <v>46217.0</v>
      </c>
      <c r="C148" s="112" t="s">
        <v>25</v>
      </c>
      <c r="D148" s="21" t="s">
        <v>2346</v>
      </c>
      <c r="E148" s="32"/>
      <c r="F148" s="32"/>
      <c r="G148" s="99" t="s">
        <v>2149</v>
      </c>
      <c r="H148" s="113" t="s">
        <v>369</v>
      </c>
      <c r="I148" s="114"/>
      <c r="J148" s="113" t="s">
        <v>2150</v>
      </c>
      <c r="K148" s="99" t="s">
        <v>2151</v>
      </c>
      <c r="L148" s="113" t="s">
        <v>2347</v>
      </c>
      <c r="M148" s="37" t="s">
        <v>2348</v>
      </c>
      <c r="N148" s="113" t="s">
        <v>52</v>
      </c>
      <c r="O148" s="32"/>
      <c r="P148" s="43" t="s">
        <v>53</v>
      </c>
      <c r="Q148" s="43" t="s">
        <v>54</v>
      </c>
      <c r="R148" s="116" t="s">
        <v>2349</v>
      </c>
      <c r="S148" s="117"/>
      <c r="T148" s="117"/>
      <c r="U148" s="117"/>
      <c r="V148" s="117"/>
      <c r="W148" s="117"/>
      <c r="X148" s="117"/>
      <c r="Y148" s="97"/>
      <c r="Z148" s="97"/>
      <c r="AA148" s="97"/>
      <c r="AB148" s="97"/>
      <c r="AC148" s="97"/>
    </row>
    <row r="149">
      <c r="A149" s="111"/>
      <c r="B149" s="15">
        <v>46217.0</v>
      </c>
      <c r="C149" s="112" t="s">
        <v>25</v>
      </c>
      <c r="D149" s="21" t="s">
        <v>2352</v>
      </c>
      <c r="E149" s="32"/>
      <c r="F149" s="32"/>
      <c r="G149" s="99" t="s">
        <v>2130</v>
      </c>
      <c r="H149" s="113" t="s">
        <v>369</v>
      </c>
      <c r="I149" s="114"/>
      <c r="J149" s="113" t="s">
        <v>2131</v>
      </c>
      <c r="K149" s="99" t="s">
        <v>64</v>
      </c>
      <c r="L149" s="113" t="s">
        <v>2357</v>
      </c>
      <c r="M149" s="37" t="s">
        <v>2358</v>
      </c>
      <c r="N149" s="113" t="s">
        <v>52</v>
      </c>
      <c r="O149" s="32"/>
      <c r="P149" s="43" t="s">
        <v>53</v>
      </c>
      <c r="Q149" s="43" t="s">
        <v>54</v>
      </c>
      <c r="R149" s="116" t="s">
        <v>2359</v>
      </c>
      <c r="S149" s="117"/>
      <c r="T149" s="117"/>
      <c r="U149" s="117"/>
      <c r="V149" s="117"/>
      <c r="W149" s="117"/>
      <c r="X149" s="117"/>
      <c r="Y149" s="97"/>
      <c r="Z149" s="97"/>
      <c r="AA149" s="97"/>
      <c r="AB149" s="97"/>
      <c r="AC149" s="97"/>
    </row>
    <row r="150">
      <c r="A150" s="111"/>
      <c r="B150" s="15">
        <v>46217.0</v>
      </c>
      <c r="C150" s="112" t="s">
        <v>25</v>
      </c>
      <c r="D150" s="21" t="s">
        <v>2365</v>
      </c>
      <c r="E150" s="32"/>
      <c r="F150" s="32"/>
      <c r="G150" s="99" t="s">
        <v>2136</v>
      </c>
      <c r="H150" s="113" t="s">
        <v>369</v>
      </c>
      <c r="I150" s="114"/>
      <c r="J150" s="113" t="s">
        <v>2139</v>
      </c>
      <c r="K150" s="113" t="s">
        <v>2141</v>
      </c>
      <c r="L150" s="113" t="s">
        <v>2277</v>
      </c>
      <c r="M150" s="37" t="s">
        <v>2367</v>
      </c>
      <c r="N150" s="113" t="s">
        <v>52</v>
      </c>
      <c r="O150" s="32"/>
      <c r="P150" s="43" t="s">
        <v>53</v>
      </c>
      <c r="Q150" s="43" t="s">
        <v>54</v>
      </c>
      <c r="R150" s="116" t="s">
        <v>2368</v>
      </c>
      <c r="S150" s="117"/>
      <c r="T150" s="117"/>
      <c r="U150" s="117"/>
      <c r="V150" s="117"/>
      <c r="W150" s="117"/>
      <c r="X150" s="117"/>
      <c r="Y150" s="97"/>
      <c r="Z150" s="97"/>
      <c r="AA150" s="97"/>
      <c r="AB150" s="97"/>
      <c r="AC150" s="97"/>
    </row>
    <row r="151">
      <c r="A151" s="111"/>
      <c r="B151" s="15">
        <v>46217.0</v>
      </c>
      <c r="C151" s="112" t="s">
        <v>25</v>
      </c>
      <c r="D151" s="21" t="s">
        <v>2370</v>
      </c>
      <c r="E151" s="32"/>
      <c r="F151" s="32"/>
      <c r="G151" s="99" t="s">
        <v>2149</v>
      </c>
      <c r="H151" s="113" t="s">
        <v>369</v>
      </c>
      <c r="I151" s="114"/>
      <c r="J151" s="113" t="s">
        <v>2150</v>
      </c>
      <c r="K151" s="99" t="s">
        <v>2151</v>
      </c>
      <c r="L151" s="113" t="s">
        <v>2376</v>
      </c>
      <c r="M151" s="37" t="s">
        <v>2377</v>
      </c>
      <c r="N151" s="113" t="s">
        <v>52</v>
      </c>
      <c r="O151" s="32"/>
      <c r="P151" s="43" t="s">
        <v>53</v>
      </c>
      <c r="Q151" s="43" t="s">
        <v>54</v>
      </c>
      <c r="R151" s="116" t="s">
        <v>2378</v>
      </c>
      <c r="S151" s="117"/>
      <c r="T151" s="117"/>
      <c r="U151" s="117"/>
      <c r="V151" s="117"/>
      <c r="W151" s="117"/>
      <c r="X151" s="117"/>
      <c r="Y151" s="97"/>
      <c r="Z151" s="97"/>
      <c r="AA151" s="97"/>
      <c r="AB151" s="97"/>
      <c r="AC151" s="97"/>
    </row>
    <row r="152">
      <c r="A152" s="111"/>
      <c r="B152" s="15">
        <v>46217.0</v>
      </c>
      <c r="C152" s="112" t="s">
        <v>25</v>
      </c>
      <c r="D152" s="21" t="s">
        <v>2379</v>
      </c>
      <c r="E152" s="32"/>
      <c r="F152" s="32"/>
      <c r="G152" s="113" t="s">
        <v>2381</v>
      </c>
      <c r="H152" s="113" t="s">
        <v>369</v>
      </c>
      <c r="I152" s="114"/>
      <c r="J152" s="113" t="s">
        <v>2384</v>
      </c>
      <c r="K152" s="99" t="s">
        <v>64</v>
      </c>
      <c r="L152" s="113" t="s">
        <v>2387</v>
      </c>
      <c r="M152" s="37" t="s">
        <v>2388</v>
      </c>
      <c r="N152" s="113" t="s">
        <v>52</v>
      </c>
      <c r="O152" s="32"/>
      <c r="P152" s="43" t="s">
        <v>53</v>
      </c>
      <c r="Q152" s="43" t="s">
        <v>54</v>
      </c>
      <c r="R152" s="116" t="s">
        <v>2390</v>
      </c>
      <c r="S152" s="117"/>
      <c r="T152" s="117"/>
      <c r="U152" s="117"/>
      <c r="V152" s="117"/>
      <c r="W152" s="117"/>
      <c r="X152" s="117"/>
      <c r="Y152" s="97"/>
      <c r="Z152" s="97"/>
      <c r="AA152" s="97"/>
      <c r="AB152" s="97"/>
      <c r="AC152" s="97"/>
    </row>
    <row r="153">
      <c r="A153" s="111"/>
      <c r="B153" s="15">
        <v>46217.0</v>
      </c>
      <c r="C153" s="112" t="s">
        <v>25</v>
      </c>
      <c r="D153" s="21" t="s">
        <v>2391</v>
      </c>
      <c r="E153" s="32"/>
      <c r="F153" s="32"/>
      <c r="G153" s="113" t="s">
        <v>2392</v>
      </c>
      <c r="H153" s="113" t="s">
        <v>369</v>
      </c>
      <c r="I153" s="114"/>
      <c r="J153" s="113" t="s">
        <v>2384</v>
      </c>
      <c r="K153" s="99" t="s">
        <v>64</v>
      </c>
      <c r="L153" s="113" t="s">
        <v>2393</v>
      </c>
      <c r="M153" s="37" t="s">
        <v>2394</v>
      </c>
      <c r="N153" s="113" t="s">
        <v>52</v>
      </c>
      <c r="O153" s="32"/>
      <c r="P153" s="43" t="s">
        <v>53</v>
      </c>
      <c r="Q153" s="43" t="s">
        <v>54</v>
      </c>
      <c r="R153" s="116" t="s">
        <v>2397</v>
      </c>
      <c r="S153" s="117"/>
      <c r="T153" s="117"/>
      <c r="U153" s="117"/>
      <c r="V153" s="117"/>
      <c r="W153" s="117"/>
      <c r="X153" s="117"/>
      <c r="Y153" s="97"/>
      <c r="Z153" s="97"/>
      <c r="AA153" s="97"/>
      <c r="AB153" s="97"/>
      <c r="AC153" s="97"/>
    </row>
    <row r="154">
      <c r="A154" s="111"/>
      <c r="B154" s="15">
        <v>46217.0</v>
      </c>
      <c r="C154" s="112" t="s">
        <v>25</v>
      </c>
      <c r="D154" s="21" t="s">
        <v>2401</v>
      </c>
      <c r="E154" s="32"/>
      <c r="F154" s="32"/>
      <c r="G154" s="113" t="s">
        <v>2403</v>
      </c>
      <c r="H154" s="113" t="s">
        <v>369</v>
      </c>
      <c r="I154" s="114"/>
      <c r="J154" s="113" t="s">
        <v>2404</v>
      </c>
      <c r="K154" s="113" t="s">
        <v>2405</v>
      </c>
      <c r="L154" s="113" t="s">
        <v>2406</v>
      </c>
      <c r="M154" s="37" t="s">
        <v>2407</v>
      </c>
      <c r="N154" s="113" t="s">
        <v>52</v>
      </c>
      <c r="O154" s="32"/>
      <c r="P154" s="43" t="s">
        <v>53</v>
      </c>
      <c r="Q154" s="43" t="s">
        <v>54</v>
      </c>
      <c r="R154" s="116" t="s">
        <v>2408</v>
      </c>
      <c r="S154" s="117"/>
      <c r="T154" s="117"/>
      <c r="U154" s="117"/>
      <c r="V154" s="117"/>
      <c r="W154" s="117"/>
      <c r="X154" s="117"/>
      <c r="Y154" s="97"/>
      <c r="Z154" s="97"/>
      <c r="AA154" s="97"/>
      <c r="AB154" s="97"/>
      <c r="AC154" s="97"/>
    </row>
    <row r="155">
      <c r="A155" s="111"/>
      <c r="B155" s="15">
        <v>46217.0</v>
      </c>
      <c r="C155" s="112" t="s">
        <v>25</v>
      </c>
      <c r="D155" s="21" t="s">
        <v>2409</v>
      </c>
      <c r="E155" s="32"/>
      <c r="F155" s="32"/>
      <c r="G155" s="113" t="s">
        <v>2410</v>
      </c>
      <c r="H155" s="113" t="s">
        <v>369</v>
      </c>
      <c r="I155" s="114"/>
      <c r="J155" s="113" t="s">
        <v>2411</v>
      </c>
      <c r="K155" s="113" t="s">
        <v>2413</v>
      </c>
      <c r="L155" s="113" t="s">
        <v>2406</v>
      </c>
      <c r="M155" s="37" t="s">
        <v>2414</v>
      </c>
      <c r="N155" s="113" t="s">
        <v>52</v>
      </c>
      <c r="O155" s="32"/>
      <c r="P155" s="43" t="s">
        <v>53</v>
      </c>
      <c r="Q155" s="43" t="s">
        <v>54</v>
      </c>
      <c r="R155" s="116" t="s">
        <v>2416</v>
      </c>
      <c r="S155" s="117"/>
      <c r="T155" s="117"/>
      <c r="U155" s="117"/>
      <c r="V155" s="117"/>
      <c r="W155" s="117"/>
      <c r="X155" s="117"/>
      <c r="Y155" s="97"/>
      <c r="Z155" s="97"/>
      <c r="AA155" s="97"/>
      <c r="AB155" s="97"/>
      <c r="AC155" s="97"/>
    </row>
    <row r="156">
      <c r="A156" s="111"/>
      <c r="B156" s="15">
        <v>46217.0</v>
      </c>
      <c r="C156" s="112" t="s">
        <v>25</v>
      </c>
      <c r="D156" s="21" t="s">
        <v>2417</v>
      </c>
      <c r="E156" s="32"/>
      <c r="F156" s="32"/>
      <c r="G156" s="113" t="s">
        <v>2418</v>
      </c>
      <c r="H156" s="113" t="s">
        <v>369</v>
      </c>
      <c r="I156" s="114"/>
      <c r="J156" s="113" t="s">
        <v>2419</v>
      </c>
      <c r="K156" s="99" t="s">
        <v>2420</v>
      </c>
      <c r="L156" s="113" t="s">
        <v>2421</v>
      </c>
      <c r="M156" s="37" t="s">
        <v>2422</v>
      </c>
      <c r="N156" s="113" t="s">
        <v>52</v>
      </c>
      <c r="O156" s="32"/>
      <c r="P156" s="43" t="s">
        <v>53</v>
      </c>
      <c r="Q156" s="43" t="s">
        <v>54</v>
      </c>
      <c r="R156" s="116" t="s">
        <v>2429</v>
      </c>
      <c r="S156" s="117"/>
      <c r="T156" s="117"/>
      <c r="U156" s="117"/>
      <c r="V156" s="117"/>
      <c r="W156" s="117"/>
      <c r="X156" s="117"/>
      <c r="Y156" s="97"/>
      <c r="Z156" s="97"/>
      <c r="AA156" s="97"/>
      <c r="AB156" s="97"/>
      <c r="AC156" s="97"/>
    </row>
    <row r="157">
      <c r="A157" s="111"/>
      <c r="B157" s="15">
        <v>46217.0</v>
      </c>
      <c r="C157" s="112" t="s">
        <v>25</v>
      </c>
      <c r="D157" s="21" t="s">
        <v>2430</v>
      </c>
      <c r="E157" s="32"/>
      <c r="F157" s="32"/>
      <c r="G157" s="99" t="s">
        <v>2130</v>
      </c>
      <c r="H157" s="113" t="s">
        <v>369</v>
      </c>
      <c r="I157" s="114"/>
      <c r="J157" s="113" t="s">
        <v>2131</v>
      </c>
      <c r="K157" s="99" t="s">
        <v>64</v>
      </c>
      <c r="L157" s="113" t="s">
        <v>2431</v>
      </c>
      <c r="M157" s="37" t="s">
        <v>2433</v>
      </c>
      <c r="N157" s="113" t="s">
        <v>52</v>
      </c>
      <c r="O157" s="32"/>
      <c r="P157" s="43" t="s">
        <v>53</v>
      </c>
      <c r="Q157" s="43" t="s">
        <v>54</v>
      </c>
      <c r="R157" s="116" t="s">
        <v>2438</v>
      </c>
      <c r="S157" s="117"/>
      <c r="T157" s="117"/>
      <c r="U157" s="117"/>
      <c r="V157" s="117"/>
      <c r="W157" s="117"/>
      <c r="X157" s="117"/>
      <c r="Y157" s="97"/>
      <c r="Z157" s="97"/>
      <c r="AA157" s="97"/>
      <c r="AB157" s="97"/>
      <c r="AC157" s="97"/>
    </row>
    <row r="158">
      <c r="A158" s="111"/>
      <c r="B158" s="15">
        <v>46217.0</v>
      </c>
      <c r="C158" s="112" t="s">
        <v>25</v>
      </c>
      <c r="D158" s="21" t="s">
        <v>2439</v>
      </c>
      <c r="E158" s="23"/>
      <c r="F158" s="23"/>
      <c r="G158" s="99" t="s">
        <v>2149</v>
      </c>
      <c r="H158" s="113" t="s">
        <v>369</v>
      </c>
      <c r="I158" s="114"/>
      <c r="J158" s="113" t="s">
        <v>2150</v>
      </c>
      <c r="K158" s="99" t="s">
        <v>2151</v>
      </c>
      <c r="L158" s="113" t="s">
        <v>2431</v>
      </c>
      <c r="M158" s="37" t="s">
        <v>2440</v>
      </c>
      <c r="N158" s="113" t="s">
        <v>52</v>
      </c>
      <c r="O158" s="32"/>
      <c r="P158" s="43" t="s">
        <v>53</v>
      </c>
      <c r="Q158" s="43" t="s">
        <v>54</v>
      </c>
      <c r="R158" s="116" t="s">
        <v>2446</v>
      </c>
      <c r="S158" s="117"/>
      <c r="T158" s="117"/>
      <c r="U158" s="117"/>
      <c r="V158" s="117"/>
      <c r="W158" s="117"/>
      <c r="X158" s="117"/>
      <c r="Y158" s="97"/>
      <c r="Z158" s="97"/>
      <c r="AA158" s="97"/>
      <c r="AB158" s="97"/>
      <c r="AC158" s="97"/>
    </row>
    <row r="159">
      <c r="A159" s="111"/>
      <c r="B159" s="15">
        <v>46217.0</v>
      </c>
      <c r="C159" s="112" t="s">
        <v>25</v>
      </c>
      <c r="D159" s="21" t="s">
        <v>2447</v>
      </c>
      <c r="E159" s="23"/>
      <c r="F159" s="23"/>
      <c r="G159" s="99" t="s">
        <v>2448</v>
      </c>
      <c r="H159" s="113" t="s">
        <v>2449</v>
      </c>
      <c r="I159" s="114"/>
      <c r="J159" s="113" t="s">
        <v>2450</v>
      </c>
      <c r="K159" s="113" t="s">
        <v>2451</v>
      </c>
      <c r="L159" s="113" t="s">
        <v>2452</v>
      </c>
      <c r="M159" s="37" t="s">
        <v>2455</v>
      </c>
      <c r="N159" s="113" t="s">
        <v>52</v>
      </c>
      <c r="O159" s="32"/>
      <c r="P159" s="43" t="s">
        <v>55</v>
      </c>
      <c r="Q159" s="43" t="s">
        <v>419</v>
      </c>
      <c r="R159" s="116" t="s">
        <v>420</v>
      </c>
      <c r="S159" s="117"/>
      <c r="T159" s="117"/>
      <c r="U159" s="117"/>
      <c r="V159" s="117"/>
      <c r="W159" s="117"/>
      <c r="X159" s="117"/>
      <c r="Y159" s="97"/>
      <c r="Z159" s="97"/>
      <c r="AA159" s="97"/>
      <c r="AB159" s="97"/>
      <c r="AC159" s="97"/>
    </row>
    <row r="160">
      <c r="A160" s="111"/>
      <c r="B160" s="15">
        <v>46217.0</v>
      </c>
      <c r="C160" s="112" t="s">
        <v>25</v>
      </c>
      <c r="D160" s="21" t="s">
        <v>2459</v>
      </c>
      <c r="E160" s="23"/>
      <c r="F160" s="23"/>
      <c r="G160" s="99" t="s">
        <v>2130</v>
      </c>
      <c r="H160" s="113" t="s">
        <v>369</v>
      </c>
      <c r="I160" s="114"/>
      <c r="J160" s="113" t="s">
        <v>2131</v>
      </c>
      <c r="K160" s="99" t="s">
        <v>64</v>
      </c>
      <c r="L160" s="113" t="s">
        <v>2462</v>
      </c>
      <c r="M160" s="37" t="s">
        <v>2463</v>
      </c>
      <c r="N160" s="113" t="s">
        <v>52</v>
      </c>
      <c r="O160" s="32"/>
      <c r="P160" s="43" t="s">
        <v>53</v>
      </c>
      <c r="Q160" s="43" t="s">
        <v>54</v>
      </c>
      <c r="R160" s="116" t="s">
        <v>2467</v>
      </c>
      <c r="S160" s="117"/>
      <c r="T160" s="117"/>
      <c r="U160" s="117"/>
      <c r="V160" s="117"/>
      <c r="W160" s="117"/>
      <c r="X160" s="117"/>
      <c r="Y160" s="97"/>
      <c r="Z160" s="97"/>
      <c r="AA160" s="97"/>
      <c r="AB160" s="97"/>
      <c r="AC160" s="97"/>
    </row>
    <row r="161">
      <c r="A161" s="111"/>
      <c r="B161" s="15">
        <v>46217.0</v>
      </c>
      <c r="C161" s="112" t="s">
        <v>25</v>
      </c>
      <c r="D161" s="21" t="s">
        <v>2468</v>
      </c>
      <c r="E161" s="23"/>
      <c r="F161" s="23"/>
      <c r="G161" s="99" t="s">
        <v>2149</v>
      </c>
      <c r="H161" s="113" t="s">
        <v>369</v>
      </c>
      <c r="I161" s="114"/>
      <c r="J161" s="113" t="s">
        <v>2150</v>
      </c>
      <c r="K161" s="99" t="s">
        <v>2151</v>
      </c>
      <c r="L161" s="113" t="s">
        <v>2462</v>
      </c>
      <c r="M161" s="37" t="s">
        <v>2469</v>
      </c>
      <c r="N161" s="113" t="s">
        <v>52</v>
      </c>
      <c r="O161" s="32"/>
      <c r="P161" s="43" t="s">
        <v>53</v>
      </c>
      <c r="Q161" s="43" t="s">
        <v>54</v>
      </c>
      <c r="R161" s="116" t="s">
        <v>2471</v>
      </c>
      <c r="S161" s="117"/>
      <c r="T161" s="117"/>
      <c r="U161" s="117"/>
      <c r="V161" s="117"/>
      <c r="W161" s="117"/>
      <c r="X161" s="117"/>
      <c r="Y161" s="97"/>
      <c r="Z161" s="97"/>
      <c r="AA161" s="97"/>
      <c r="AB161" s="97"/>
      <c r="AC161" s="97"/>
    </row>
    <row r="162">
      <c r="A162" s="111"/>
      <c r="B162" s="15">
        <v>46217.0</v>
      </c>
      <c r="C162" s="112" t="s">
        <v>25</v>
      </c>
      <c r="D162" s="21" t="s">
        <v>2475</v>
      </c>
      <c r="E162" s="23"/>
      <c r="F162" s="23"/>
      <c r="G162" s="99" t="s">
        <v>2130</v>
      </c>
      <c r="H162" s="113" t="s">
        <v>369</v>
      </c>
      <c r="I162" s="114"/>
      <c r="J162" s="113" t="s">
        <v>2131</v>
      </c>
      <c r="K162" s="99" t="s">
        <v>64</v>
      </c>
      <c r="L162" s="113" t="s">
        <v>2431</v>
      </c>
      <c r="M162" s="37" t="s">
        <v>2477</v>
      </c>
      <c r="N162" s="113" t="s">
        <v>52</v>
      </c>
      <c r="O162" s="32"/>
      <c r="P162" s="43" t="s">
        <v>53</v>
      </c>
      <c r="Q162" s="43" t="s">
        <v>54</v>
      </c>
      <c r="R162" s="116" t="s">
        <v>2478</v>
      </c>
      <c r="S162" s="117"/>
      <c r="T162" s="117"/>
      <c r="U162" s="117"/>
      <c r="V162" s="117"/>
      <c r="W162" s="117"/>
      <c r="X162" s="117"/>
      <c r="Y162" s="97"/>
      <c r="Z162" s="97"/>
      <c r="AA162" s="97"/>
      <c r="AB162" s="97"/>
      <c r="AC162" s="97"/>
    </row>
    <row r="163">
      <c r="A163" s="111"/>
      <c r="B163" s="15">
        <v>46217.0</v>
      </c>
      <c r="C163" s="112" t="s">
        <v>25</v>
      </c>
      <c r="D163" s="21" t="s">
        <v>2482</v>
      </c>
      <c r="E163" s="23"/>
      <c r="F163" s="23"/>
      <c r="G163" s="99" t="s">
        <v>2149</v>
      </c>
      <c r="H163" s="113" t="s">
        <v>369</v>
      </c>
      <c r="I163" s="114"/>
      <c r="J163" s="113" t="s">
        <v>2150</v>
      </c>
      <c r="K163" s="99" t="s">
        <v>2151</v>
      </c>
      <c r="L163" s="113" t="s">
        <v>2431</v>
      </c>
      <c r="M163" s="37" t="s">
        <v>2483</v>
      </c>
      <c r="N163" s="113" t="s">
        <v>52</v>
      </c>
      <c r="O163" s="32"/>
      <c r="P163" s="43" t="s">
        <v>53</v>
      </c>
      <c r="Q163" s="43" t="s">
        <v>54</v>
      </c>
      <c r="R163" s="116" t="s">
        <v>2484</v>
      </c>
      <c r="S163" s="117"/>
      <c r="T163" s="117"/>
      <c r="U163" s="117"/>
      <c r="V163" s="117"/>
      <c r="W163" s="117"/>
      <c r="X163" s="117"/>
      <c r="Y163" s="97"/>
      <c r="Z163" s="97"/>
      <c r="AA163" s="97"/>
      <c r="AB163" s="97"/>
      <c r="AC163" s="97"/>
    </row>
    <row r="164">
      <c r="A164" s="111"/>
      <c r="B164" s="15">
        <v>46217.0</v>
      </c>
      <c r="C164" s="112" t="s">
        <v>25</v>
      </c>
      <c r="D164" s="21" t="s">
        <v>2487</v>
      </c>
      <c r="E164" s="23"/>
      <c r="F164" s="23"/>
      <c r="G164" s="99" t="s">
        <v>546</v>
      </c>
      <c r="H164" s="113" t="s">
        <v>369</v>
      </c>
      <c r="I164" s="114"/>
      <c r="J164" s="113" t="s">
        <v>2491</v>
      </c>
      <c r="K164" s="113" t="s">
        <v>2492</v>
      </c>
      <c r="L164" s="113" t="s">
        <v>2493</v>
      </c>
      <c r="M164" s="37" t="s">
        <v>2494</v>
      </c>
      <c r="N164" s="113" t="s">
        <v>52</v>
      </c>
      <c r="O164" s="32"/>
      <c r="P164" s="43" t="s">
        <v>55</v>
      </c>
      <c r="Q164" s="43" t="s">
        <v>55</v>
      </c>
      <c r="R164" s="116" t="s">
        <v>2499</v>
      </c>
      <c r="S164" s="117"/>
      <c r="T164" s="117"/>
      <c r="U164" s="117"/>
      <c r="V164" s="117"/>
      <c r="W164" s="117"/>
      <c r="X164" s="117"/>
      <c r="Y164" s="97"/>
      <c r="Z164" s="97"/>
      <c r="AA164" s="97"/>
      <c r="AB164" s="97"/>
      <c r="AC164" s="97"/>
    </row>
    <row r="165">
      <c r="A165" s="111"/>
      <c r="B165" s="15">
        <v>46217.0</v>
      </c>
      <c r="C165" s="112" t="s">
        <v>25</v>
      </c>
      <c r="D165" s="21" t="s">
        <v>2501</v>
      </c>
      <c r="E165" s="23"/>
      <c r="F165" s="23"/>
      <c r="G165" s="99" t="s">
        <v>905</v>
      </c>
      <c r="H165" s="113" t="s">
        <v>369</v>
      </c>
      <c r="I165" s="114"/>
      <c r="J165" s="113" t="s">
        <v>2502</v>
      </c>
      <c r="K165" s="99" t="s">
        <v>64</v>
      </c>
      <c r="L165" s="113" t="s">
        <v>2505</v>
      </c>
      <c r="M165" s="37" t="s">
        <v>2506</v>
      </c>
      <c r="N165" s="113" t="s">
        <v>52</v>
      </c>
      <c r="O165" s="32"/>
      <c r="P165" s="43" t="s">
        <v>53</v>
      </c>
      <c r="Q165" s="43" t="s">
        <v>54</v>
      </c>
      <c r="R165" s="116" t="s">
        <v>2510</v>
      </c>
      <c r="S165" s="117"/>
      <c r="T165" s="117"/>
      <c r="U165" s="117"/>
      <c r="V165" s="117"/>
      <c r="W165" s="117"/>
      <c r="X165" s="117"/>
      <c r="Y165" s="97"/>
      <c r="Z165" s="97"/>
      <c r="AA165" s="97"/>
      <c r="AB165" s="97"/>
      <c r="AC165" s="97"/>
    </row>
    <row r="166">
      <c r="A166" s="111"/>
      <c r="B166" s="15">
        <v>46217.0</v>
      </c>
      <c r="C166" s="112" t="s">
        <v>25</v>
      </c>
      <c r="D166" s="21" t="s">
        <v>2511</v>
      </c>
      <c r="E166" s="23"/>
      <c r="F166" s="23"/>
      <c r="G166" s="99" t="s">
        <v>2512</v>
      </c>
      <c r="H166" s="113" t="s">
        <v>369</v>
      </c>
      <c r="I166" s="114"/>
      <c r="J166" s="113" t="s">
        <v>2502</v>
      </c>
      <c r="K166" s="99" t="s">
        <v>2513</v>
      </c>
      <c r="L166" s="113" t="s">
        <v>2514</v>
      </c>
      <c r="M166" s="37" t="s">
        <v>2515</v>
      </c>
      <c r="N166" s="113" t="s">
        <v>52</v>
      </c>
      <c r="O166" s="32"/>
      <c r="P166" s="43" t="s">
        <v>53</v>
      </c>
      <c r="Q166" s="43" t="s">
        <v>54</v>
      </c>
      <c r="R166" s="116" t="s">
        <v>2516</v>
      </c>
      <c r="S166" s="117"/>
      <c r="T166" s="117"/>
      <c r="U166" s="117"/>
      <c r="V166" s="117"/>
      <c r="W166" s="117"/>
      <c r="X166" s="117"/>
      <c r="Y166" s="97"/>
      <c r="Z166" s="97"/>
      <c r="AA166" s="97"/>
      <c r="AB166" s="97"/>
      <c r="AC166" s="97"/>
    </row>
    <row r="167">
      <c r="A167" s="111"/>
      <c r="B167" s="15">
        <v>46217.0</v>
      </c>
      <c r="C167" s="112" t="s">
        <v>25</v>
      </c>
      <c r="D167" s="21" t="s">
        <v>2519</v>
      </c>
      <c r="E167" s="23"/>
      <c r="F167" s="23"/>
      <c r="G167" s="99" t="s">
        <v>407</v>
      </c>
      <c r="H167" s="113" t="s">
        <v>2264</v>
      </c>
      <c r="I167" s="114"/>
      <c r="J167" s="113" t="s">
        <v>2522</v>
      </c>
      <c r="K167" s="113" t="s">
        <v>2524</v>
      </c>
      <c r="L167" s="113" t="s">
        <v>2525</v>
      </c>
      <c r="M167" s="37" t="s">
        <v>2526</v>
      </c>
      <c r="N167" s="113" t="s">
        <v>52</v>
      </c>
      <c r="O167" s="32"/>
      <c r="P167" s="43" t="s">
        <v>55</v>
      </c>
      <c r="Q167" s="43" t="s">
        <v>55</v>
      </c>
      <c r="R167" s="116" t="s">
        <v>2527</v>
      </c>
      <c r="S167" s="117"/>
      <c r="T167" s="117"/>
      <c r="U167" s="117"/>
      <c r="V167" s="117"/>
      <c r="W167" s="117"/>
      <c r="X167" s="117"/>
      <c r="Y167" s="97"/>
      <c r="Z167" s="97"/>
      <c r="AA167" s="97"/>
      <c r="AB167" s="97"/>
      <c r="AC167" s="97"/>
    </row>
    <row r="168">
      <c r="A168" s="111"/>
      <c r="B168" s="15">
        <v>46217.0</v>
      </c>
      <c r="C168" s="112" t="s">
        <v>25</v>
      </c>
      <c r="D168" s="21" t="s">
        <v>2528</v>
      </c>
      <c r="E168" s="23"/>
      <c r="F168" s="23"/>
      <c r="G168" s="99" t="s">
        <v>2529</v>
      </c>
      <c r="H168" s="113" t="s">
        <v>2530</v>
      </c>
      <c r="I168" s="114"/>
      <c r="J168" s="113" t="s">
        <v>2531</v>
      </c>
      <c r="K168" s="113" t="s">
        <v>2532</v>
      </c>
      <c r="L168" s="113" t="s">
        <v>101</v>
      </c>
      <c r="M168" s="37" t="s">
        <v>2533</v>
      </c>
      <c r="N168" s="113" t="s">
        <v>52</v>
      </c>
      <c r="O168" s="32"/>
      <c r="P168" s="43" t="s">
        <v>53</v>
      </c>
      <c r="Q168" s="43" t="s">
        <v>54</v>
      </c>
      <c r="R168" s="116" t="s">
        <v>2539</v>
      </c>
      <c r="S168" s="117"/>
      <c r="T168" s="117"/>
      <c r="U168" s="117"/>
      <c r="V168" s="117"/>
      <c r="W168" s="117"/>
      <c r="X168" s="117"/>
      <c r="Y168" s="97"/>
      <c r="Z168" s="97"/>
      <c r="AA168" s="97"/>
      <c r="AB168" s="97"/>
      <c r="AC168" s="97"/>
    </row>
    <row r="169">
      <c r="A169" s="111"/>
      <c r="B169" s="15">
        <v>46217.0</v>
      </c>
      <c r="C169" s="112" t="s">
        <v>25</v>
      </c>
      <c r="D169" s="21" t="s">
        <v>2540</v>
      </c>
      <c r="E169" s="23"/>
      <c r="F169" s="23"/>
      <c r="G169" s="99" t="s">
        <v>2541</v>
      </c>
      <c r="H169" s="113" t="s">
        <v>2542</v>
      </c>
      <c r="I169" s="114"/>
      <c r="J169" s="113" t="s">
        <v>2543</v>
      </c>
      <c r="K169" s="113" t="s">
        <v>2544</v>
      </c>
      <c r="L169" s="113" t="s">
        <v>101</v>
      </c>
      <c r="M169" s="37" t="s">
        <v>2546</v>
      </c>
      <c r="N169" s="113" t="s">
        <v>52</v>
      </c>
      <c r="O169" s="32"/>
      <c r="P169" s="43" t="s">
        <v>55</v>
      </c>
      <c r="Q169" s="43" t="s">
        <v>419</v>
      </c>
      <c r="R169" s="116" t="s">
        <v>420</v>
      </c>
      <c r="S169" s="117"/>
      <c r="T169" s="117"/>
      <c r="U169" s="117"/>
      <c r="V169" s="117"/>
      <c r="W169" s="117"/>
      <c r="X169" s="117"/>
      <c r="Y169" s="97"/>
      <c r="Z169" s="97"/>
      <c r="AA169" s="97"/>
      <c r="AB169" s="97"/>
      <c r="AC169" s="97"/>
    </row>
    <row r="170">
      <c r="A170" s="111"/>
      <c r="B170" s="15">
        <v>46217.0</v>
      </c>
      <c r="C170" s="112" t="s">
        <v>25</v>
      </c>
      <c r="D170" s="21" t="s">
        <v>2553</v>
      </c>
      <c r="E170" s="23"/>
      <c r="F170" s="23"/>
      <c r="G170" s="99" t="s">
        <v>546</v>
      </c>
      <c r="H170" s="113" t="s">
        <v>369</v>
      </c>
      <c r="I170" s="114"/>
      <c r="J170" s="113" t="s">
        <v>2554</v>
      </c>
      <c r="K170" s="113" t="s">
        <v>2557</v>
      </c>
      <c r="L170" s="113" t="s">
        <v>2559</v>
      </c>
      <c r="M170" s="37" t="s">
        <v>2561</v>
      </c>
      <c r="N170" s="113" t="s">
        <v>52</v>
      </c>
      <c r="O170" s="32"/>
      <c r="P170" s="43" t="s">
        <v>55</v>
      </c>
      <c r="Q170" s="43" t="s">
        <v>55</v>
      </c>
      <c r="R170" s="116" t="s">
        <v>2563</v>
      </c>
      <c r="S170" s="117"/>
      <c r="T170" s="117"/>
      <c r="U170" s="117"/>
      <c r="V170" s="117"/>
      <c r="W170" s="117"/>
      <c r="X170" s="117"/>
      <c r="Y170" s="97"/>
      <c r="Z170" s="97"/>
      <c r="AA170" s="97"/>
      <c r="AB170" s="97"/>
      <c r="AC170" s="97"/>
    </row>
    <row r="171">
      <c r="A171" s="111"/>
      <c r="B171" s="15">
        <v>46217.0</v>
      </c>
      <c r="C171" s="112" t="s">
        <v>25</v>
      </c>
      <c r="D171" s="21" t="s">
        <v>2569</v>
      </c>
      <c r="E171" s="23"/>
      <c r="F171" s="23"/>
      <c r="G171" s="99" t="s">
        <v>2570</v>
      </c>
      <c r="H171" s="113" t="s">
        <v>369</v>
      </c>
      <c r="I171" s="114"/>
      <c r="J171" s="113" t="s">
        <v>2571</v>
      </c>
      <c r="K171" s="113" t="s">
        <v>2572</v>
      </c>
      <c r="L171" s="113" t="s">
        <v>2573</v>
      </c>
      <c r="M171" s="37" t="s">
        <v>2574</v>
      </c>
      <c r="N171" s="113" t="s">
        <v>52</v>
      </c>
      <c r="O171" s="32"/>
      <c r="P171" s="43" t="s">
        <v>55</v>
      </c>
      <c r="Q171" s="43" t="s">
        <v>55</v>
      </c>
      <c r="R171" s="116" t="s">
        <v>2576</v>
      </c>
      <c r="S171" s="117"/>
      <c r="T171" s="117"/>
      <c r="U171" s="117"/>
      <c r="V171" s="117"/>
      <c r="W171" s="117"/>
      <c r="X171" s="117"/>
      <c r="Y171" s="97"/>
      <c r="Z171" s="97"/>
      <c r="AA171" s="97"/>
      <c r="AB171" s="97"/>
      <c r="AC171" s="97"/>
    </row>
    <row r="172">
      <c r="A172" s="111"/>
      <c r="B172" s="15">
        <v>46218.0</v>
      </c>
      <c r="C172" s="112" t="s">
        <v>25</v>
      </c>
      <c r="D172" s="21" t="s">
        <v>2581</v>
      </c>
      <c r="E172" s="23"/>
      <c r="F172" s="23"/>
      <c r="G172" s="99" t="s">
        <v>2582</v>
      </c>
      <c r="H172" s="113" t="s">
        <v>369</v>
      </c>
      <c r="I172" s="114"/>
      <c r="J172" s="113" t="s">
        <v>2583</v>
      </c>
      <c r="K172" s="113" t="s">
        <v>2584</v>
      </c>
      <c r="L172" s="113" t="s">
        <v>2585</v>
      </c>
      <c r="M172" s="37" t="s">
        <v>2586</v>
      </c>
      <c r="N172" s="113" t="s">
        <v>52</v>
      </c>
      <c r="O172" s="32"/>
      <c r="P172" s="43" t="s">
        <v>53</v>
      </c>
      <c r="Q172" s="43" t="s">
        <v>54</v>
      </c>
      <c r="R172" s="116" t="s">
        <v>2589</v>
      </c>
      <c r="S172" s="117"/>
      <c r="T172" s="117"/>
      <c r="U172" s="117"/>
      <c r="V172" s="117"/>
      <c r="W172" s="117"/>
      <c r="X172" s="117"/>
      <c r="Y172" s="97"/>
      <c r="Z172" s="97"/>
      <c r="AA172" s="97"/>
      <c r="AB172" s="97"/>
      <c r="AC172" s="97"/>
    </row>
    <row r="173">
      <c r="A173" s="111"/>
      <c r="B173" s="15">
        <v>46218.0</v>
      </c>
      <c r="C173" s="112" t="s">
        <v>25</v>
      </c>
      <c r="D173" s="21" t="s">
        <v>2590</v>
      </c>
      <c r="E173" s="23"/>
      <c r="F173" s="23"/>
      <c r="G173" s="99" t="s">
        <v>2591</v>
      </c>
      <c r="H173" s="113" t="s">
        <v>369</v>
      </c>
      <c r="I173" s="114"/>
      <c r="J173" s="113" t="s">
        <v>2592</v>
      </c>
      <c r="K173" s="113" t="s">
        <v>2593</v>
      </c>
      <c r="L173" s="113" t="s">
        <v>2594</v>
      </c>
      <c r="M173" s="37" t="s">
        <v>2595</v>
      </c>
      <c r="N173" s="113" t="s">
        <v>52</v>
      </c>
      <c r="O173" s="32"/>
      <c r="P173" s="43" t="s">
        <v>53</v>
      </c>
      <c r="Q173" s="43" t="s">
        <v>54</v>
      </c>
      <c r="R173" s="116" t="s">
        <v>2597</v>
      </c>
      <c r="S173" s="117"/>
      <c r="T173" s="117"/>
      <c r="U173" s="117"/>
      <c r="V173" s="117"/>
      <c r="W173" s="117"/>
      <c r="X173" s="117"/>
      <c r="Y173" s="97"/>
      <c r="Z173" s="97"/>
      <c r="AA173" s="97"/>
      <c r="AB173" s="97"/>
      <c r="AC173" s="97"/>
    </row>
    <row r="174">
      <c r="A174" s="111"/>
      <c r="B174" s="15">
        <v>46218.0</v>
      </c>
      <c r="C174" s="112" t="s">
        <v>25</v>
      </c>
      <c r="D174" s="21" t="s">
        <v>2598</v>
      </c>
      <c r="E174" s="23"/>
      <c r="F174" s="23"/>
      <c r="G174" s="99" t="s">
        <v>2599</v>
      </c>
      <c r="H174" s="113" t="s">
        <v>369</v>
      </c>
      <c r="I174" s="114"/>
      <c r="J174" s="113" t="s">
        <v>2592</v>
      </c>
      <c r="K174" s="99" t="s">
        <v>64</v>
      </c>
      <c r="L174" s="113" t="s">
        <v>2600</v>
      </c>
      <c r="M174" s="37" t="s">
        <v>2601</v>
      </c>
      <c r="N174" s="113" t="s">
        <v>52</v>
      </c>
      <c r="O174" s="32"/>
      <c r="P174" s="43" t="s">
        <v>53</v>
      </c>
      <c r="Q174" s="43" t="s">
        <v>54</v>
      </c>
      <c r="R174" s="116" t="s">
        <v>2602</v>
      </c>
      <c r="S174" s="117"/>
      <c r="T174" s="117"/>
      <c r="U174" s="117"/>
      <c r="V174" s="117"/>
      <c r="W174" s="117"/>
      <c r="X174" s="117"/>
      <c r="Y174" s="97"/>
      <c r="Z174" s="97"/>
      <c r="AA174" s="97"/>
      <c r="AB174" s="97"/>
      <c r="AC174" s="97"/>
    </row>
    <row r="175">
      <c r="A175" s="111"/>
      <c r="B175" s="15">
        <v>46218.0</v>
      </c>
      <c r="C175" s="112" t="s">
        <v>25</v>
      </c>
      <c r="D175" s="21" t="s">
        <v>2603</v>
      </c>
      <c r="E175" s="23"/>
      <c r="F175" s="23"/>
      <c r="G175" s="99" t="s">
        <v>2130</v>
      </c>
      <c r="H175" s="113" t="s">
        <v>369</v>
      </c>
      <c r="I175" s="114"/>
      <c r="J175" s="113" t="s">
        <v>2131</v>
      </c>
      <c r="K175" s="99" t="s">
        <v>64</v>
      </c>
      <c r="L175" s="113" t="s">
        <v>2431</v>
      </c>
      <c r="M175" s="37" t="s">
        <v>2605</v>
      </c>
      <c r="N175" s="113" t="s">
        <v>52</v>
      </c>
      <c r="O175" s="32"/>
      <c r="P175" s="43" t="s">
        <v>53</v>
      </c>
      <c r="Q175" s="43" t="s">
        <v>54</v>
      </c>
      <c r="R175" s="116" t="s">
        <v>2606</v>
      </c>
      <c r="S175" s="117"/>
      <c r="T175" s="117"/>
      <c r="U175" s="117"/>
      <c r="V175" s="117"/>
      <c r="W175" s="117"/>
      <c r="X175" s="117"/>
      <c r="Y175" s="97"/>
      <c r="Z175" s="97"/>
      <c r="AA175" s="97"/>
      <c r="AB175" s="97"/>
      <c r="AC175" s="97"/>
    </row>
    <row r="176">
      <c r="A176" s="111"/>
      <c r="B176" s="15">
        <v>46218.0</v>
      </c>
      <c r="C176" s="112" t="s">
        <v>25</v>
      </c>
      <c r="D176" s="21" t="s">
        <v>2607</v>
      </c>
      <c r="E176" s="23"/>
      <c r="F176" s="23"/>
      <c r="G176" s="99" t="s">
        <v>2149</v>
      </c>
      <c r="H176" s="113" t="s">
        <v>369</v>
      </c>
      <c r="I176" s="114"/>
      <c r="J176" s="113" t="s">
        <v>2150</v>
      </c>
      <c r="K176" s="99" t="s">
        <v>2151</v>
      </c>
      <c r="L176" s="113" t="s">
        <v>2431</v>
      </c>
      <c r="M176" s="37" t="s">
        <v>2608</v>
      </c>
      <c r="N176" s="113" t="s">
        <v>52</v>
      </c>
      <c r="O176" s="32"/>
      <c r="P176" s="43" t="s">
        <v>53</v>
      </c>
      <c r="Q176" s="43" t="s">
        <v>54</v>
      </c>
      <c r="R176" s="116" t="s">
        <v>2610</v>
      </c>
      <c r="S176" s="117"/>
      <c r="T176" s="117"/>
      <c r="U176" s="117"/>
      <c r="V176" s="117"/>
      <c r="W176" s="117"/>
      <c r="X176" s="117"/>
      <c r="Y176" s="97"/>
      <c r="Z176" s="97"/>
      <c r="AA176" s="97"/>
      <c r="AB176" s="97"/>
      <c r="AC176" s="97"/>
    </row>
    <row r="177">
      <c r="A177" s="111"/>
      <c r="B177" s="15">
        <v>46218.0</v>
      </c>
      <c r="C177" s="112" t="s">
        <v>25</v>
      </c>
      <c r="D177" s="21" t="s">
        <v>2611</v>
      </c>
      <c r="E177" s="23"/>
      <c r="F177" s="23"/>
      <c r="G177" s="99" t="s">
        <v>2130</v>
      </c>
      <c r="H177" s="113" t="s">
        <v>369</v>
      </c>
      <c r="I177" s="114"/>
      <c r="J177" s="113" t="s">
        <v>2131</v>
      </c>
      <c r="K177" s="99" t="s">
        <v>64</v>
      </c>
      <c r="L177" s="113" t="s">
        <v>2431</v>
      </c>
      <c r="M177" s="37" t="s">
        <v>2612</v>
      </c>
      <c r="N177" s="113" t="s">
        <v>52</v>
      </c>
      <c r="O177" s="32"/>
      <c r="P177" s="43" t="s">
        <v>53</v>
      </c>
      <c r="Q177" s="43" t="s">
        <v>54</v>
      </c>
      <c r="R177" s="116" t="s">
        <v>2613</v>
      </c>
      <c r="S177" s="117"/>
      <c r="T177" s="117"/>
      <c r="U177" s="117"/>
      <c r="V177" s="117"/>
      <c r="W177" s="117"/>
      <c r="X177" s="117"/>
      <c r="Y177" s="97"/>
      <c r="Z177" s="97"/>
      <c r="AA177" s="97"/>
      <c r="AB177" s="97"/>
      <c r="AC177" s="97"/>
    </row>
    <row r="178">
      <c r="A178" s="111"/>
      <c r="B178" s="15">
        <v>46218.0</v>
      </c>
      <c r="C178" s="112" t="s">
        <v>25</v>
      </c>
      <c r="D178" s="21" t="s">
        <v>2614</v>
      </c>
      <c r="E178" s="23"/>
      <c r="F178" s="23"/>
      <c r="G178" s="99" t="s">
        <v>2149</v>
      </c>
      <c r="H178" s="113" t="s">
        <v>369</v>
      </c>
      <c r="I178" s="114"/>
      <c r="J178" s="113" t="s">
        <v>2150</v>
      </c>
      <c r="K178" s="99" t="s">
        <v>2151</v>
      </c>
      <c r="L178" s="113" t="s">
        <v>2431</v>
      </c>
      <c r="M178" s="37" t="s">
        <v>2615</v>
      </c>
      <c r="N178" s="113" t="s">
        <v>52</v>
      </c>
      <c r="O178" s="32"/>
      <c r="P178" s="43" t="s">
        <v>53</v>
      </c>
      <c r="Q178" s="43" t="s">
        <v>54</v>
      </c>
      <c r="R178" s="116" t="s">
        <v>2617</v>
      </c>
      <c r="S178" s="117"/>
      <c r="T178" s="117"/>
      <c r="U178" s="117"/>
      <c r="V178" s="117"/>
      <c r="W178" s="117"/>
      <c r="X178" s="117"/>
      <c r="Y178" s="97"/>
      <c r="Z178" s="97"/>
      <c r="AA178" s="97"/>
      <c r="AB178" s="97"/>
      <c r="AC178" s="97"/>
    </row>
    <row r="179">
      <c r="A179" s="111"/>
      <c r="B179" s="15">
        <v>46218.0</v>
      </c>
      <c r="C179" s="112" t="s">
        <v>25</v>
      </c>
      <c r="D179" s="21" t="s">
        <v>2618</v>
      </c>
      <c r="E179" s="32"/>
      <c r="F179" s="32"/>
      <c r="G179" s="113" t="s">
        <v>2619</v>
      </c>
      <c r="H179" s="113" t="s">
        <v>2620</v>
      </c>
      <c r="I179" s="114"/>
      <c r="J179" s="113" t="s">
        <v>2621</v>
      </c>
      <c r="K179" s="113" t="s">
        <v>2622</v>
      </c>
      <c r="L179" s="113" t="s">
        <v>2623</v>
      </c>
      <c r="M179" s="37" t="s">
        <v>2624</v>
      </c>
      <c r="N179" s="113" t="s">
        <v>52</v>
      </c>
      <c r="O179" s="32"/>
      <c r="P179" s="43" t="s">
        <v>53</v>
      </c>
      <c r="Q179" s="43" t="s">
        <v>54</v>
      </c>
      <c r="R179" s="116" t="s">
        <v>2625</v>
      </c>
      <c r="S179" s="117"/>
      <c r="T179" s="117"/>
      <c r="U179" s="117"/>
      <c r="V179" s="117"/>
      <c r="W179" s="117"/>
      <c r="X179" s="117"/>
      <c r="Y179" s="97"/>
      <c r="Z179" s="97"/>
      <c r="AA179" s="97"/>
      <c r="AB179" s="97"/>
      <c r="AC179" s="97"/>
    </row>
    <row r="180">
      <c r="A180" s="111"/>
      <c r="B180" s="15">
        <v>46218.0</v>
      </c>
      <c r="C180" s="112" t="s">
        <v>25</v>
      </c>
      <c r="D180" s="21" t="s">
        <v>2626</v>
      </c>
      <c r="E180" s="32"/>
      <c r="F180" s="32"/>
      <c r="G180" s="113" t="s">
        <v>2627</v>
      </c>
      <c r="H180" s="113" t="s">
        <v>2628</v>
      </c>
      <c r="I180" s="114"/>
      <c r="J180" s="113" t="s">
        <v>2629</v>
      </c>
      <c r="K180" s="113" t="s">
        <v>2630</v>
      </c>
      <c r="L180" s="113" t="s">
        <v>2631</v>
      </c>
      <c r="M180" s="37" t="s">
        <v>2632</v>
      </c>
      <c r="N180" s="113" t="s">
        <v>52</v>
      </c>
      <c r="O180" s="32"/>
      <c r="P180" s="43" t="s">
        <v>53</v>
      </c>
      <c r="Q180" s="43" t="s">
        <v>54</v>
      </c>
      <c r="R180" s="116" t="s">
        <v>2633</v>
      </c>
      <c r="S180" s="117"/>
      <c r="T180" s="117"/>
      <c r="U180" s="117"/>
      <c r="V180" s="117"/>
      <c r="W180" s="117"/>
      <c r="X180" s="117"/>
      <c r="Y180" s="97"/>
      <c r="Z180" s="97"/>
      <c r="AA180" s="97"/>
      <c r="AB180" s="97"/>
      <c r="AC180" s="97"/>
    </row>
    <row r="181">
      <c r="A181" s="111"/>
      <c r="B181" s="15">
        <v>46218.0</v>
      </c>
      <c r="C181" s="112" t="s">
        <v>25</v>
      </c>
      <c r="D181" s="21" t="s">
        <v>2635</v>
      </c>
      <c r="E181" s="32"/>
      <c r="F181" s="32"/>
      <c r="G181" s="113" t="s">
        <v>2636</v>
      </c>
      <c r="H181" s="113" t="s">
        <v>2637</v>
      </c>
      <c r="I181" s="114"/>
      <c r="J181" s="113" t="s">
        <v>2638</v>
      </c>
      <c r="K181" s="113" t="s">
        <v>2639</v>
      </c>
      <c r="L181" s="113" t="s">
        <v>1313</v>
      </c>
      <c r="M181" s="37" t="s">
        <v>2640</v>
      </c>
      <c r="N181" s="113" t="s">
        <v>52</v>
      </c>
      <c r="O181" s="32"/>
      <c r="P181" s="43" t="s">
        <v>53</v>
      </c>
      <c r="Q181" s="43" t="s">
        <v>54</v>
      </c>
      <c r="R181" s="116" t="s">
        <v>2641</v>
      </c>
      <c r="S181" s="117"/>
      <c r="T181" s="117"/>
      <c r="U181" s="117"/>
      <c r="V181" s="117"/>
      <c r="W181" s="117"/>
      <c r="X181" s="117"/>
      <c r="Y181" s="97"/>
      <c r="Z181" s="97"/>
      <c r="AA181" s="97"/>
      <c r="AB181" s="97"/>
      <c r="AC181" s="97"/>
    </row>
    <row r="182">
      <c r="A182" s="111"/>
      <c r="B182" s="82">
        <v>119.0</v>
      </c>
      <c r="C182" s="112" t="s">
        <v>25</v>
      </c>
      <c r="D182" s="83" t="s">
        <v>2642</v>
      </c>
      <c r="E182" s="84" t="s">
        <v>2643</v>
      </c>
      <c r="F182" s="84" t="s">
        <v>2644</v>
      </c>
      <c r="G182" s="109" t="s">
        <v>2645</v>
      </c>
      <c r="H182" s="113" t="s">
        <v>847</v>
      </c>
      <c r="I182" s="114"/>
      <c r="J182" s="113" t="s">
        <v>2646</v>
      </c>
      <c r="K182" s="113" t="s">
        <v>2647</v>
      </c>
      <c r="L182" s="113" t="s">
        <v>2267</v>
      </c>
      <c r="M182" s="37" t="s">
        <v>2648</v>
      </c>
      <c r="N182" s="113" t="s">
        <v>52</v>
      </c>
      <c r="O182" s="32"/>
      <c r="P182" s="43" t="s">
        <v>53</v>
      </c>
      <c r="Q182" s="43" t="s">
        <v>54</v>
      </c>
      <c r="R182" s="116" t="s">
        <v>2651</v>
      </c>
      <c r="S182" s="117"/>
      <c r="T182" s="117"/>
      <c r="U182" s="117"/>
      <c r="V182" s="117"/>
      <c r="W182" s="117"/>
      <c r="X182" s="117"/>
      <c r="Y182" s="97"/>
      <c r="Z182" s="97"/>
      <c r="AA182" s="97"/>
      <c r="AB182" s="97"/>
      <c r="AC182" s="97"/>
    </row>
    <row r="183">
      <c r="A183" s="111"/>
      <c r="B183" s="15">
        <v>46218.0</v>
      </c>
      <c r="C183" s="112" t="s">
        <v>25</v>
      </c>
      <c r="D183" s="21" t="s">
        <v>2652</v>
      </c>
      <c r="E183" s="32"/>
      <c r="F183" s="32"/>
      <c r="G183" s="113" t="s">
        <v>2653</v>
      </c>
      <c r="H183" s="113" t="s">
        <v>847</v>
      </c>
      <c r="I183" s="114"/>
      <c r="J183" s="113" t="s">
        <v>2654</v>
      </c>
      <c r="K183" s="99" t="s">
        <v>2655</v>
      </c>
      <c r="L183" s="113" t="s">
        <v>2656</v>
      </c>
      <c r="M183" s="37" t="s">
        <v>2657</v>
      </c>
      <c r="N183" s="113" t="s">
        <v>52</v>
      </c>
      <c r="O183" s="32"/>
      <c r="P183" s="43" t="s">
        <v>53</v>
      </c>
      <c r="Q183" s="43" t="s">
        <v>54</v>
      </c>
      <c r="R183" s="116" t="s">
        <v>2658</v>
      </c>
      <c r="S183" s="117"/>
      <c r="T183" s="117"/>
      <c r="U183" s="117"/>
      <c r="V183" s="117"/>
      <c r="W183" s="117"/>
      <c r="X183" s="117"/>
      <c r="Y183" s="97"/>
      <c r="Z183" s="97"/>
      <c r="AA183" s="97"/>
      <c r="AB183" s="97"/>
      <c r="AC183" s="97"/>
    </row>
    <row r="184">
      <c r="A184" s="111"/>
      <c r="B184" s="15">
        <v>46218.0</v>
      </c>
      <c r="C184" s="112" t="s">
        <v>25</v>
      </c>
      <c r="D184" s="21" t="s">
        <v>2659</v>
      </c>
      <c r="E184" s="32"/>
      <c r="F184" s="32"/>
      <c r="G184" s="113" t="s">
        <v>2660</v>
      </c>
      <c r="H184" s="113" t="s">
        <v>847</v>
      </c>
      <c r="I184" s="114"/>
      <c r="J184" s="113" t="s">
        <v>2661</v>
      </c>
      <c r="K184" s="113" t="s">
        <v>2662</v>
      </c>
      <c r="L184" s="113" t="s">
        <v>2663</v>
      </c>
      <c r="M184" s="37" t="s">
        <v>2664</v>
      </c>
      <c r="N184" s="113" t="s">
        <v>52</v>
      </c>
      <c r="O184" s="32"/>
      <c r="P184" s="43" t="s">
        <v>55</v>
      </c>
      <c r="Q184" s="43" t="s">
        <v>419</v>
      </c>
      <c r="R184" s="116" t="s">
        <v>420</v>
      </c>
      <c r="S184" s="117"/>
      <c r="T184" s="117"/>
      <c r="U184" s="117"/>
      <c r="V184" s="117"/>
      <c r="W184" s="117"/>
      <c r="X184" s="117"/>
      <c r="Y184" s="97"/>
      <c r="Z184" s="97"/>
      <c r="AA184" s="97"/>
      <c r="AB184" s="97"/>
      <c r="AC184" s="97"/>
    </row>
    <row r="185">
      <c r="A185" s="111"/>
      <c r="B185" s="15">
        <v>46218.0</v>
      </c>
      <c r="C185" s="112" t="s">
        <v>25</v>
      </c>
      <c r="D185" s="21" t="s">
        <v>2665</v>
      </c>
      <c r="E185" s="23"/>
      <c r="F185" s="23"/>
      <c r="G185" s="99" t="s">
        <v>2667</v>
      </c>
      <c r="H185" s="113" t="s">
        <v>2668</v>
      </c>
      <c r="I185" s="114"/>
      <c r="J185" s="113" t="s">
        <v>2669</v>
      </c>
      <c r="K185" s="99" t="s">
        <v>64</v>
      </c>
      <c r="L185" s="113" t="s">
        <v>2670</v>
      </c>
      <c r="M185" s="37" t="s">
        <v>2671</v>
      </c>
      <c r="N185" s="113" t="s">
        <v>52</v>
      </c>
      <c r="O185" s="30" t="s">
        <v>2672</v>
      </c>
      <c r="P185" s="43" t="s">
        <v>53</v>
      </c>
      <c r="Q185" s="43" t="s">
        <v>54</v>
      </c>
      <c r="R185" s="116" t="s">
        <v>2673</v>
      </c>
      <c r="S185" s="117"/>
      <c r="T185" s="117"/>
      <c r="U185" s="117"/>
      <c r="V185" s="117"/>
      <c r="W185" s="117"/>
      <c r="X185" s="117"/>
      <c r="Y185" s="97"/>
      <c r="Z185" s="97"/>
      <c r="AA185" s="97"/>
      <c r="AB185" s="97"/>
      <c r="AC185" s="97"/>
    </row>
    <row r="186">
      <c r="A186" s="111"/>
      <c r="B186" s="15">
        <v>46218.0</v>
      </c>
      <c r="C186" s="112" t="s">
        <v>25</v>
      </c>
      <c r="D186" s="21" t="s">
        <v>2674</v>
      </c>
      <c r="E186" s="23"/>
      <c r="F186" s="23"/>
      <c r="G186" s="99" t="s">
        <v>2675</v>
      </c>
      <c r="H186" s="113" t="s">
        <v>2668</v>
      </c>
      <c r="I186" s="114"/>
      <c r="J186" s="113" t="s">
        <v>2669</v>
      </c>
      <c r="K186" s="99" t="s">
        <v>64</v>
      </c>
      <c r="L186" s="113" t="s">
        <v>2676</v>
      </c>
      <c r="M186" s="37" t="s">
        <v>2677</v>
      </c>
      <c r="N186" s="113" t="s">
        <v>52</v>
      </c>
      <c r="O186" s="32"/>
      <c r="P186" s="43" t="s">
        <v>53</v>
      </c>
      <c r="Q186" s="43" t="s">
        <v>54</v>
      </c>
      <c r="R186" s="116" t="s">
        <v>2679</v>
      </c>
      <c r="S186" s="117"/>
      <c r="T186" s="117"/>
      <c r="U186" s="117"/>
      <c r="V186" s="117"/>
      <c r="W186" s="117"/>
      <c r="X186" s="117"/>
      <c r="Y186" s="97"/>
      <c r="Z186" s="97"/>
      <c r="AA186" s="97"/>
      <c r="AB186" s="97"/>
      <c r="AC186" s="97"/>
    </row>
    <row r="187">
      <c r="A187" s="111"/>
      <c r="B187" s="15">
        <v>46218.0</v>
      </c>
      <c r="C187" s="112" t="s">
        <v>25</v>
      </c>
      <c r="D187" s="21" t="s">
        <v>2680</v>
      </c>
      <c r="E187" s="23"/>
      <c r="F187" s="23"/>
      <c r="G187" s="99" t="s">
        <v>2681</v>
      </c>
      <c r="H187" s="113" t="s">
        <v>2682</v>
      </c>
      <c r="I187" s="114"/>
      <c r="J187" s="113" t="s">
        <v>2683</v>
      </c>
      <c r="K187" s="113" t="s">
        <v>2684</v>
      </c>
      <c r="L187" s="113" t="s">
        <v>2685</v>
      </c>
      <c r="M187" s="37" t="s">
        <v>2686</v>
      </c>
      <c r="N187" s="113" t="s">
        <v>52</v>
      </c>
      <c r="O187" s="32"/>
      <c r="P187" s="43" t="s">
        <v>53</v>
      </c>
      <c r="Q187" s="43" t="s">
        <v>54</v>
      </c>
      <c r="R187" s="116" t="s">
        <v>2687</v>
      </c>
      <c r="S187" s="117"/>
      <c r="T187" s="117"/>
      <c r="U187" s="117"/>
      <c r="V187" s="117"/>
      <c r="W187" s="117"/>
      <c r="X187" s="117"/>
      <c r="Y187" s="97"/>
      <c r="Z187" s="97"/>
      <c r="AA187" s="97"/>
      <c r="AB187" s="97"/>
      <c r="AC187" s="97"/>
    </row>
    <row r="188">
      <c r="A188" s="111"/>
      <c r="B188" s="15">
        <v>46218.0</v>
      </c>
      <c r="C188" s="112" t="s">
        <v>25</v>
      </c>
      <c r="D188" s="21" t="s">
        <v>2688</v>
      </c>
      <c r="E188" s="23"/>
      <c r="F188" s="23"/>
      <c r="G188" s="99" t="s">
        <v>2689</v>
      </c>
      <c r="H188" s="113" t="s">
        <v>2668</v>
      </c>
      <c r="I188" s="114"/>
      <c r="J188" s="113" t="s">
        <v>2690</v>
      </c>
      <c r="K188" s="113" t="s">
        <v>2691</v>
      </c>
      <c r="L188" s="113" t="s">
        <v>2692</v>
      </c>
      <c r="M188" s="37" t="s">
        <v>2693</v>
      </c>
      <c r="N188" s="113" t="s">
        <v>52</v>
      </c>
      <c r="O188" s="32"/>
      <c r="P188" s="43" t="s">
        <v>53</v>
      </c>
      <c r="Q188" s="43" t="s">
        <v>54</v>
      </c>
      <c r="R188" s="116" t="s">
        <v>2694</v>
      </c>
      <c r="S188" s="117"/>
      <c r="T188" s="117"/>
      <c r="U188" s="117"/>
      <c r="V188" s="117"/>
      <c r="W188" s="117"/>
      <c r="X188" s="117"/>
      <c r="Y188" s="97"/>
      <c r="Z188" s="97"/>
      <c r="AA188" s="97"/>
      <c r="AB188" s="97"/>
      <c r="AC188" s="97"/>
    </row>
    <row r="189">
      <c r="A189" s="111"/>
      <c r="B189" s="15">
        <v>46218.0</v>
      </c>
      <c r="C189" s="112" t="s">
        <v>25</v>
      </c>
      <c r="D189" s="21" t="s">
        <v>2695</v>
      </c>
      <c r="E189" s="23"/>
      <c r="F189" s="23"/>
      <c r="G189" s="99" t="s">
        <v>2696</v>
      </c>
      <c r="H189" s="113" t="s">
        <v>2668</v>
      </c>
      <c r="I189" s="114"/>
      <c r="J189" s="113" t="s">
        <v>2698</v>
      </c>
      <c r="K189" s="113" t="s">
        <v>2699</v>
      </c>
      <c r="L189" s="113" t="s">
        <v>2700</v>
      </c>
      <c r="M189" s="37" t="s">
        <v>2701</v>
      </c>
      <c r="N189" s="113" t="s">
        <v>52</v>
      </c>
      <c r="O189" s="32"/>
      <c r="P189" s="43" t="s">
        <v>55</v>
      </c>
      <c r="Q189" s="43" t="s">
        <v>419</v>
      </c>
      <c r="R189" s="116" t="s">
        <v>2702</v>
      </c>
      <c r="S189" s="117"/>
      <c r="T189" s="117"/>
      <c r="U189" s="117"/>
      <c r="V189" s="117"/>
      <c r="W189" s="117"/>
      <c r="X189" s="117"/>
      <c r="Y189" s="97"/>
      <c r="Z189" s="97"/>
      <c r="AA189" s="97"/>
      <c r="AB189" s="97"/>
      <c r="AC189" s="97"/>
    </row>
    <row r="190">
      <c r="A190" s="111"/>
      <c r="B190" s="15">
        <v>46218.0</v>
      </c>
      <c r="C190" s="112" t="s">
        <v>25</v>
      </c>
      <c r="D190" s="21" t="s">
        <v>2703</v>
      </c>
      <c r="E190" s="23"/>
      <c r="F190" s="23"/>
      <c r="G190" s="99" t="s">
        <v>2704</v>
      </c>
      <c r="H190" s="113" t="s">
        <v>2705</v>
      </c>
      <c r="I190" s="114"/>
      <c r="J190" s="113" t="s">
        <v>2706</v>
      </c>
      <c r="K190" s="99" t="s">
        <v>64</v>
      </c>
      <c r="L190" s="113" t="s">
        <v>2707</v>
      </c>
      <c r="M190" s="37" t="s">
        <v>2708</v>
      </c>
      <c r="N190" s="113" t="s">
        <v>52</v>
      </c>
      <c r="O190" s="32"/>
      <c r="P190" s="43" t="s">
        <v>55</v>
      </c>
      <c r="Q190" s="43" t="s">
        <v>55</v>
      </c>
      <c r="R190" s="116" t="s">
        <v>2709</v>
      </c>
      <c r="S190" s="117"/>
      <c r="T190" s="117"/>
      <c r="U190" s="117"/>
      <c r="V190" s="117"/>
      <c r="W190" s="117"/>
      <c r="X190" s="117"/>
      <c r="Y190" s="97"/>
      <c r="Z190" s="97"/>
      <c r="AA190" s="97"/>
      <c r="AB190" s="97"/>
      <c r="AC190" s="97"/>
    </row>
    <row r="191">
      <c r="A191" s="111"/>
      <c r="B191" s="15">
        <v>46218.0</v>
      </c>
      <c r="C191" s="112" t="s">
        <v>25</v>
      </c>
      <c r="D191" s="21" t="s">
        <v>2711</v>
      </c>
      <c r="E191" s="23"/>
      <c r="F191" s="23"/>
      <c r="G191" s="99" t="s">
        <v>2712</v>
      </c>
      <c r="H191" s="113" t="s">
        <v>2705</v>
      </c>
      <c r="I191" s="114"/>
      <c r="J191" s="113" t="s">
        <v>2713</v>
      </c>
      <c r="K191" s="113" t="s">
        <v>2714</v>
      </c>
      <c r="L191" s="113" t="s">
        <v>2715</v>
      </c>
      <c r="M191" s="37" t="s">
        <v>2716</v>
      </c>
      <c r="N191" s="113" t="s">
        <v>52</v>
      </c>
      <c r="O191" s="32"/>
      <c r="P191" s="43" t="s">
        <v>55</v>
      </c>
      <c r="Q191" s="43" t="s">
        <v>419</v>
      </c>
      <c r="R191" s="116" t="s">
        <v>420</v>
      </c>
      <c r="S191" s="117"/>
      <c r="T191" s="117"/>
      <c r="U191" s="117"/>
      <c r="V191" s="117"/>
      <c r="W191" s="117"/>
      <c r="X191" s="117"/>
      <c r="Y191" s="97"/>
      <c r="Z191" s="97"/>
      <c r="AA191" s="97"/>
      <c r="AB191" s="97"/>
      <c r="AC191" s="97"/>
    </row>
    <row r="192">
      <c r="A192" s="111"/>
      <c r="B192" s="15">
        <v>46218.0</v>
      </c>
      <c r="C192" s="112" t="s">
        <v>25</v>
      </c>
      <c r="D192" s="21" t="s">
        <v>2717</v>
      </c>
      <c r="E192" s="23"/>
      <c r="F192" s="23"/>
      <c r="G192" s="99" t="s">
        <v>2718</v>
      </c>
      <c r="H192" s="113" t="s">
        <v>2705</v>
      </c>
      <c r="I192" s="114"/>
      <c r="J192" s="113" t="s">
        <v>2719</v>
      </c>
      <c r="K192" s="113" t="s">
        <v>2720</v>
      </c>
      <c r="L192" s="113" t="s">
        <v>2715</v>
      </c>
      <c r="M192" s="37" t="s">
        <v>2721</v>
      </c>
      <c r="N192" s="113" t="s">
        <v>52</v>
      </c>
      <c r="O192" s="32"/>
      <c r="P192" s="43" t="s">
        <v>53</v>
      </c>
      <c r="Q192" s="43" t="s">
        <v>54</v>
      </c>
      <c r="R192" s="116" t="s">
        <v>2722</v>
      </c>
      <c r="S192" s="117"/>
      <c r="T192" s="117"/>
      <c r="U192" s="117"/>
      <c r="V192" s="117"/>
      <c r="W192" s="117"/>
      <c r="X192" s="117"/>
      <c r="Y192" s="97"/>
      <c r="Z192" s="97"/>
      <c r="AA192" s="97"/>
      <c r="AB192" s="97"/>
      <c r="AC192" s="97"/>
    </row>
    <row r="193">
      <c r="A193" s="111"/>
      <c r="B193" s="15">
        <v>46218.0</v>
      </c>
      <c r="C193" s="112" t="s">
        <v>25</v>
      </c>
      <c r="D193" s="21" t="s">
        <v>2723</v>
      </c>
      <c r="E193" s="23"/>
      <c r="F193" s="23"/>
      <c r="G193" s="99" t="s">
        <v>2724</v>
      </c>
      <c r="H193" s="113" t="s">
        <v>2705</v>
      </c>
      <c r="I193" s="114"/>
      <c r="J193" s="113" t="s">
        <v>2725</v>
      </c>
      <c r="K193" s="113" t="s">
        <v>2726</v>
      </c>
      <c r="L193" s="113" t="s">
        <v>2573</v>
      </c>
      <c r="M193" s="37" t="s">
        <v>2728</v>
      </c>
      <c r="N193" s="113" t="s">
        <v>52</v>
      </c>
      <c r="O193" s="32"/>
      <c r="P193" s="43" t="s">
        <v>55</v>
      </c>
      <c r="Q193" s="43" t="s">
        <v>55</v>
      </c>
      <c r="R193" s="116" t="s">
        <v>2729</v>
      </c>
      <c r="S193" s="117"/>
      <c r="T193" s="117"/>
      <c r="U193" s="117"/>
      <c r="V193" s="117"/>
      <c r="W193" s="117"/>
      <c r="X193" s="117"/>
      <c r="Y193" s="97"/>
      <c r="Z193" s="97"/>
      <c r="AA193" s="97"/>
      <c r="AB193" s="97"/>
      <c r="AC193" s="97"/>
    </row>
    <row r="194">
      <c r="A194" s="111"/>
      <c r="B194" s="15">
        <v>46218.0</v>
      </c>
      <c r="C194" s="112" t="s">
        <v>25</v>
      </c>
      <c r="D194" s="21" t="s">
        <v>2730</v>
      </c>
      <c r="E194" s="23"/>
      <c r="F194" s="23"/>
      <c r="G194" s="99" t="s">
        <v>2731</v>
      </c>
      <c r="H194" s="113" t="s">
        <v>2705</v>
      </c>
      <c r="I194" s="114"/>
      <c r="J194" s="113" t="s">
        <v>2732</v>
      </c>
      <c r="K194" s="113" t="s">
        <v>2733</v>
      </c>
      <c r="L194" s="113" t="s">
        <v>2573</v>
      </c>
      <c r="M194" s="37" t="s">
        <v>2734</v>
      </c>
      <c r="N194" s="113" t="s">
        <v>52</v>
      </c>
      <c r="O194" s="32"/>
      <c r="P194" s="43" t="s">
        <v>55</v>
      </c>
      <c r="Q194" s="43" t="s">
        <v>55</v>
      </c>
      <c r="R194" s="116" t="s">
        <v>2736</v>
      </c>
      <c r="S194" s="117"/>
      <c r="T194" s="117"/>
      <c r="U194" s="117"/>
      <c r="V194" s="117"/>
      <c r="W194" s="117"/>
      <c r="X194" s="117"/>
      <c r="Y194" s="97"/>
      <c r="Z194" s="97"/>
      <c r="AA194" s="97"/>
      <c r="AB194" s="97"/>
      <c r="AC194" s="97"/>
    </row>
    <row r="195">
      <c r="A195" s="111"/>
      <c r="B195" s="15">
        <v>46218.0</v>
      </c>
      <c r="C195" s="112" t="s">
        <v>25</v>
      </c>
      <c r="D195" s="21" t="s">
        <v>2737</v>
      </c>
      <c r="E195" s="23"/>
      <c r="F195" s="23"/>
      <c r="G195" s="99" t="s">
        <v>2704</v>
      </c>
      <c r="H195" s="113" t="s">
        <v>2705</v>
      </c>
      <c r="I195" s="114"/>
      <c r="J195" s="113" t="s">
        <v>2706</v>
      </c>
      <c r="K195" s="99" t="s">
        <v>64</v>
      </c>
      <c r="L195" s="113" t="s">
        <v>2738</v>
      </c>
      <c r="M195" s="37" t="s">
        <v>2739</v>
      </c>
      <c r="N195" s="113" t="s">
        <v>52</v>
      </c>
      <c r="O195" s="32"/>
      <c r="P195" s="43" t="s">
        <v>53</v>
      </c>
      <c r="Q195" s="43" t="s">
        <v>54</v>
      </c>
      <c r="R195" s="116" t="s">
        <v>2740</v>
      </c>
      <c r="S195" s="117"/>
      <c r="T195" s="117"/>
      <c r="U195" s="117"/>
      <c r="V195" s="117"/>
      <c r="W195" s="117"/>
      <c r="X195" s="117"/>
      <c r="Y195" s="97"/>
      <c r="Z195" s="97"/>
      <c r="AA195" s="97"/>
      <c r="AB195" s="97"/>
      <c r="AC195" s="97"/>
    </row>
    <row r="196">
      <c r="A196" s="111"/>
      <c r="B196" s="15">
        <v>46218.0</v>
      </c>
      <c r="C196" s="112" t="s">
        <v>25</v>
      </c>
      <c r="D196" s="21" t="s">
        <v>2741</v>
      </c>
      <c r="E196" s="23"/>
      <c r="F196" s="23"/>
      <c r="G196" s="99" t="s">
        <v>2712</v>
      </c>
      <c r="H196" s="113" t="s">
        <v>2705</v>
      </c>
      <c r="I196" s="114"/>
      <c r="J196" s="113" t="s">
        <v>2713</v>
      </c>
      <c r="K196" s="113" t="s">
        <v>2714</v>
      </c>
      <c r="L196" s="113" t="s">
        <v>2715</v>
      </c>
      <c r="M196" s="37" t="s">
        <v>2743</v>
      </c>
      <c r="N196" s="113" t="s">
        <v>52</v>
      </c>
      <c r="O196" s="32"/>
      <c r="P196" s="43" t="s">
        <v>55</v>
      </c>
      <c r="Q196" s="43" t="s">
        <v>419</v>
      </c>
      <c r="R196" s="116" t="s">
        <v>420</v>
      </c>
      <c r="S196" s="117"/>
      <c r="T196" s="117"/>
      <c r="U196" s="117"/>
      <c r="V196" s="117"/>
      <c r="W196" s="117"/>
      <c r="X196" s="117"/>
      <c r="Y196" s="97"/>
      <c r="Z196" s="97"/>
      <c r="AA196" s="97"/>
      <c r="AB196" s="97"/>
      <c r="AC196" s="97"/>
    </row>
    <row r="197">
      <c r="A197" s="111"/>
      <c r="B197" s="15">
        <v>46218.0</v>
      </c>
      <c r="C197" s="112" t="s">
        <v>25</v>
      </c>
      <c r="D197" s="21" t="s">
        <v>2745</v>
      </c>
      <c r="E197" s="23"/>
      <c r="F197" s="23"/>
      <c r="G197" s="99" t="s">
        <v>2718</v>
      </c>
      <c r="H197" s="113" t="s">
        <v>2705</v>
      </c>
      <c r="I197" s="114"/>
      <c r="J197" s="113" t="s">
        <v>2719</v>
      </c>
      <c r="K197" s="113" t="s">
        <v>2720</v>
      </c>
      <c r="L197" s="113" t="s">
        <v>2715</v>
      </c>
      <c r="M197" s="37" t="s">
        <v>2746</v>
      </c>
      <c r="N197" s="113" t="s">
        <v>52</v>
      </c>
      <c r="O197" s="32"/>
      <c r="P197" s="43" t="s">
        <v>53</v>
      </c>
      <c r="Q197" s="43" t="s">
        <v>54</v>
      </c>
      <c r="R197" s="116" t="s">
        <v>2722</v>
      </c>
      <c r="S197" s="117"/>
      <c r="T197" s="117"/>
      <c r="U197" s="117"/>
      <c r="V197" s="117"/>
      <c r="W197" s="117"/>
      <c r="X197" s="117"/>
      <c r="Y197" s="97"/>
      <c r="Z197" s="97"/>
      <c r="AA197" s="97"/>
      <c r="AB197" s="97"/>
      <c r="AC197" s="97"/>
    </row>
    <row r="198">
      <c r="A198" s="111"/>
      <c r="B198" s="15">
        <v>46218.0</v>
      </c>
      <c r="C198" s="112" t="s">
        <v>25</v>
      </c>
      <c r="D198" s="21" t="s">
        <v>2747</v>
      </c>
      <c r="E198" s="23"/>
      <c r="F198" s="23"/>
      <c r="G198" s="99" t="s">
        <v>2724</v>
      </c>
      <c r="H198" s="113" t="s">
        <v>2705</v>
      </c>
      <c r="I198" s="114"/>
      <c r="J198" s="113" t="s">
        <v>2725</v>
      </c>
      <c r="K198" s="113" t="s">
        <v>2726</v>
      </c>
      <c r="L198" s="113" t="s">
        <v>2573</v>
      </c>
      <c r="M198" s="37" t="s">
        <v>2748</v>
      </c>
      <c r="N198" s="113" t="s">
        <v>52</v>
      </c>
      <c r="O198" s="32"/>
      <c r="P198" s="43" t="s">
        <v>55</v>
      </c>
      <c r="Q198" s="43" t="s">
        <v>55</v>
      </c>
      <c r="R198" s="116" t="s">
        <v>2749</v>
      </c>
      <c r="S198" s="117"/>
      <c r="T198" s="117"/>
      <c r="U198" s="117"/>
      <c r="V198" s="117"/>
      <c r="W198" s="117"/>
      <c r="X198" s="117"/>
      <c r="Y198" s="97"/>
      <c r="Z198" s="97"/>
      <c r="AA198" s="97"/>
      <c r="AB198" s="97"/>
      <c r="AC198" s="97"/>
    </row>
    <row r="199">
      <c r="A199" s="111"/>
      <c r="B199" s="15">
        <v>46218.0</v>
      </c>
      <c r="C199" s="112" t="s">
        <v>25</v>
      </c>
      <c r="D199" s="21" t="s">
        <v>2750</v>
      </c>
      <c r="E199" s="23"/>
      <c r="F199" s="23"/>
      <c r="G199" s="99" t="s">
        <v>2731</v>
      </c>
      <c r="H199" s="113" t="s">
        <v>2705</v>
      </c>
      <c r="I199" s="114"/>
      <c r="J199" s="113" t="s">
        <v>2732</v>
      </c>
      <c r="K199" s="113" t="s">
        <v>2733</v>
      </c>
      <c r="L199" s="113" t="s">
        <v>2573</v>
      </c>
      <c r="M199" s="37" t="s">
        <v>2751</v>
      </c>
      <c r="N199" s="113" t="s">
        <v>52</v>
      </c>
      <c r="O199" s="32"/>
      <c r="P199" s="43" t="s">
        <v>55</v>
      </c>
      <c r="Q199" s="43" t="s">
        <v>55</v>
      </c>
      <c r="R199" s="116" t="s">
        <v>2754</v>
      </c>
      <c r="S199" s="117"/>
      <c r="T199" s="117"/>
      <c r="U199" s="117"/>
      <c r="V199" s="117"/>
      <c r="W199" s="117"/>
      <c r="X199" s="117"/>
      <c r="Y199" s="97"/>
      <c r="Z199" s="97"/>
      <c r="AA199" s="97"/>
      <c r="AB199" s="97"/>
      <c r="AC199" s="97"/>
    </row>
    <row r="200">
      <c r="A200" s="111"/>
      <c r="B200" s="82">
        <v>126.0</v>
      </c>
      <c r="C200" s="112" t="s">
        <v>25</v>
      </c>
      <c r="D200" s="83" t="s">
        <v>695</v>
      </c>
      <c r="E200" s="84" t="s">
        <v>2758</v>
      </c>
      <c r="F200" s="84" t="s">
        <v>78</v>
      </c>
      <c r="G200" s="109" t="s">
        <v>2760</v>
      </c>
      <c r="H200" s="113" t="s">
        <v>2705</v>
      </c>
      <c r="I200" s="114"/>
      <c r="J200" s="113" t="s">
        <v>2706</v>
      </c>
      <c r="K200" s="113" t="s">
        <v>2761</v>
      </c>
      <c r="L200" s="113" t="s">
        <v>2762</v>
      </c>
      <c r="M200" s="37" t="s">
        <v>2763</v>
      </c>
      <c r="N200" s="113" t="s">
        <v>52</v>
      </c>
      <c r="O200" s="97"/>
      <c r="P200" s="43" t="s">
        <v>53</v>
      </c>
      <c r="Q200" s="43" t="s">
        <v>54</v>
      </c>
      <c r="R200" s="116" t="s">
        <v>2764</v>
      </c>
      <c r="S200" s="117"/>
      <c r="T200" s="117"/>
      <c r="U200" s="117"/>
      <c r="V200" s="117"/>
      <c r="W200" s="117"/>
      <c r="X200" s="117"/>
      <c r="Y200" s="97"/>
      <c r="Z200" s="97"/>
      <c r="AA200" s="97"/>
      <c r="AB200" s="97"/>
      <c r="AC200" s="97"/>
    </row>
    <row r="201">
      <c r="A201" s="111"/>
      <c r="B201" s="15">
        <v>46218.0</v>
      </c>
      <c r="C201" s="112" t="s">
        <v>25</v>
      </c>
      <c r="D201" s="21" t="s">
        <v>711</v>
      </c>
      <c r="E201" s="23"/>
      <c r="F201" s="23"/>
      <c r="G201" s="99" t="s">
        <v>2765</v>
      </c>
      <c r="H201" s="113" t="s">
        <v>2705</v>
      </c>
      <c r="I201" s="114"/>
      <c r="J201" s="113" t="s">
        <v>2706</v>
      </c>
      <c r="K201" s="99" t="s">
        <v>64</v>
      </c>
      <c r="L201" s="113" t="s">
        <v>2766</v>
      </c>
      <c r="M201" s="37" t="s">
        <v>2767</v>
      </c>
      <c r="N201" s="113" t="s">
        <v>52</v>
      </c>
      <c r="O201" s="32"/>
      <c r="P201" s="43" t="s">
        <v>55</v>
      </c>
      <c r="Q201" s="43" t="s">
        <v>55</v>
      </c>
      <c r="R201" s="116" t="s">
        <v>2768</v>
      </c>
      <c r="S201" s="117"/>
      <c r="T201" s="117"/>
      <c r="U201" s="117"/>
      <c r="V201" s="117"/>
      <c r="W201" s="117"/>
      <c r="X201" s="117"/>
      <c r="Y201" s="97"/>
      <c r="Z201" s="97"/>
      <c r="AA201" s="97"/>
      <c r="AB201" s="97"/>
      <c r="AC201" s="97"/>
    </row>
    <row r="202">
      <c r="A202" s="111"/>
      <c r="B202" s="15">
        <v>46218.0</v>
      </c>
      <c r="C202" s="112" t="s">
        <v>25</v>
      </c>
      <c r="D202" s="21" t="s">
        <v>736</v>
      </c>
      <c r="E202" s="23"/>
      <c r="F202" s="23"/>
      <c r="G202" s="99" t="s">
        <v>2704</v>
      </c>
      <c r="H202" s="113" t="s">
        <v>2705</v>
      </c>
      <c r="I202" s="114"/>
      <c r="J202" s="113" t="s">
        <v>2706</v>
      </c>
      <c r="K202" s="99" t="s">
        <v>64</v>
      </c>
      <c r="L202" s="113" t="s">
        <v>2769</v>
      </c>
      <c r="M202" s="37" t="s">
        <v>2770</v>
      </c>
      <c r="N202" s="113" t="s">
        <v>52</v>
      </c>
      <c r="O202" s="32"/>
      <c r="P202" s="43" t="s">
        <v>53</v>
      </c>
      <c r="Q202" s="43" t="s">
        <v>54</v>
      </c>
      <c r="R202" s="116" t="s">
        <v>2774</v>
      </c>
      <c r="S202" s="117"/>
      <c r="T202" s="117"/>
      <c r="U202" s="117"/>
      <c r="V202" s="117"/>
      <c r="W202" s="117"/>
      <c r="X202" s="117"/>
      <c r="Y202" s="97"/>
      <c r="Z202" s="97"/>
      <c r="AA202" s="97"/>
      <c r="AB202" s="97"/>
      <c r="AC202" s="97"/>
    </row>
    <row r="203">
      <c r="A203" s="111"/>
      <c r="B203" s="15">
        <v>46218.0</v>
      </c>
      <c r="C203" s="112" t="s">
        <v>25</v>
      </c>
      <c r="D203" s="21" t="s">
        <v>2776</v>
      </c>
      <c r="E203" s="23"/>
      <c r="F203" s="23"/>
      <c r="G203" s="99" t="s">
        <v>2712</v>
      </c>
      <c r="H203" s="113" t="s">
        <v>2705</v>
      </c>
      <c r="I203" s="114"/>
      <c r="J203" s="113" t="s">
        <v>2713</v>
      </c>
      <c r="K203" s="113" t="s">
        <v>2714</v>
      </c>
      <c r="L203" s="113" t="s">
        <v>2715</v>
      </c>
      <c r="M203" s="37" t="s">
        <v>2778</v>
      </c>
      <c r="N203" s="113" t="s">
        <v>52</v>
      </c>
      <c r="O203" s="32"/>
      <c r="P203" s="43" t="s">
        <v>55</v>
      </c>
      <c r="Q203" s="43" t="s">
        <v>419</v>
      </c>
      <c r="R203" s="116" t="s">
        <v>420</v>
      </c>
      <c r="S203" s="117"/>
      <c r="T203" s="117"/>
      <c r="U203" s="117"/>
      <c r="V203" s="117"/>
      <c r="W203" s="117"/>
      <c r="X203" s="117"/>
      <c r="Y203" s="97"/>
      <c r="Z203" s="97"/>
      <c r="AA203" s="97"/>
      <c r="AB203" s="97"/>
      <c r="AC203" s="97"/>
    </row>
    <row r="204">
      <c r="A204" s="111"/>
      <c r="B204" s="15">
        <v>46218.0</v>
      </c>
      <c r="C204" s="112" t="s">
        <v>25</v>
      </c>
      <c r="D204" s="21" t="s">
        <v>2779</v>
      </c>
      <c r="E204" s="23"/>
      <c r="F204" s="23"/>
      <c r="G204" s="99" t="s">
        <v>2718</v>
      </c>
      <c r="H204" s="113" t="s">
        <v>2705</v>
      </c>
      <c r="I204" s="114"/>
      <c r="J204" s="113" t="s">
        <v>2719</v>
      </c>
      <c r="K204" s="113" t="s">
        <v>2720</v>
      </c>
      <c r="L204" s="113" t="s">
        <v>2715</v>
      </c>
      <c r="M204" s="37" t="s">
        <v>2780</v>
      </c>
      <c r="N204" s="113" t="s">
        <v>52</v>
      </c>
      <c r="O204" s="32"/>
      <c r="P204" s="43" t="s">
        <v>53</v>
      </c>
      <c r="Q204" s="43" t="s">
        <v>54</v>
      </c>
      <c r="R204" s="116" t="s">
        <v>2781</v>
      </c>
      <c r="S204" s="117"/>
      <c r="T204" s="117"/>
      <c r="U204" s="117"/>
      <c r="V204" s="117"/>
      <c r="W204" s="117"/>
      <c r="X204" s="117"/>
      <c r="Y204" s="97"/>
      <c r="Z204" s="97"/>
      <c r="AA204" s="97"/>
      <c r="AB204" s="97"/>
      <c r="AC204" s="97"/>
    </row>
    <row r="205">
      <c r="A205" s="111"/>
      <c r="B205" s="15">
        <v>46218.0</v>
      </c>
      <c r="C205" s="112" t="s">
        <v>25</v>
      </c>
      <c r="D205" s="21" t="s">
        <v>2784</v>
      </c>
      <c r="E205" s="23"/>
      <c r="F205" s="23"/>
      <c r="G205" s="99" t="s">
        <v>2724</v>
      </c>
      <c r="H205" s="113" t="s">
        <v>2705</v>
      </c>
      <c r="I205" s="114"/>
      <c r="J205" s="113" t="s">
        <v>2725</v>
      </c>
      <c r="K205" s="113" t="s">
        <v>2726</v>
      </c>
      <c r="L205" s="113" t="s">
        <v>2573</v>
      </c>
      <c r="M205" s="37" t="s">
        <v>2788</v>
      </c>
      <c r="N205" s="113" t="s">
        <v>52</v>
      </c>
      <c r="O205" s="32"/>
      <c r="P205" s="43" t="s">
        <v>55</v>
      </c>
      <c r="Q205" s="43" t="s">
        <v>55</v>
      </c>
      <c r="R205" s="116" t="s">
        <v>2789</v>
      </c>
      <c r="S205" s="117"/>
      <c r="T205" s="117"/>
      <c r="U205" s="117"/>
      <c r="V205" s="117"/>
      <c r="W205" s="117"/>
      <c r="X205" s="117"/>
      <c r="Y205" s="97"/>
      <c r="Z205" s="97"/>
      <c r="AA205" s="97"/>
      <c r="AB205" s="97"/>
      <c r="AC205" s="97"/>
    </row>
    <row r="206">
      <c r="A206" s="111"/>
      <c r="B206" s="15">
        <v>46218.0</v>
      </c>
      <c r="C206" s="112" t="s">
        <v>25</v>
      </c>
      <c r="D206" s="21" t="s">
        <v>2790</v>
      </c>
      <c r="E206" s="23"/>
      <c r="F206" s="23"/>
      <c r="G206" s="99" t="s">
        <v>2731</v>
      </c>
      <c r="H206" s="113" t="s">
        <v>2705</v>
      </c>
      <c r="I206" s="114"/>
      <c r="J206" s="113" t="s">
        <v>2732</v>
      </c>
      <c r="K206" s="113" t="s">
        <v>2733</v>
      </c>
      <c r="L206" s="113" t="s">
        <v>2573</v>
      </c>
      <c r="M206" s="37" t="s">
        <v>2791</v>
      </c>
      <c r="N206" s="113" t="s">
        <v>52</v>
      </c>
      <c r="O206" s="32"/>
      <c r="P206" s="43" t="s">
        <v>55</v>
      </c>
      <c r="Q206" s="43" t="s">
        <v>55</v>
      </c>
      <c r="R206" s="116" t="s">
        <v>2792</v>
      </c>
      <c r="S206" s="117"/>
      <c r="T206" s="117"/>
      <c r="U206" s="117"/>
      <c r="V206" s="117"/>
      <c r="W206" s="117"/>
      <c r="X206" s="117"/>
      <c r="Y206" s="97"/>
      <c r="Z206" s="97"/>
      <c r="AA206" s="97"/>
      <c r="AB206" s="97"/>
      <c r="AC206" s="97"/>
    </row>
    <row r="207">
      <c r="A207" s="111"/>
      <c r="B207" s="15">
        <v>46218.0</v>
      </c>
      <c r="C207" s="112" t="s">
        <v>25</v>
      </c>
      <c r="D207" s="21" t="s">
        <v>854</v>
      </c>
      <c r="E207" s="23"/>
      <c r="F207" s="23"/>
      <c r="G207" s="99" t="s">
        <v>2765</v>
      </c>
      <c r="H207" s="113" t="s">
        <v>2705</v>
      </c>
      <c r="I207" s="114"/>
      <c r="J207" s="113" t="s">
        <v>2706</v>
      </c>
      <c r="K207" s="99" t="s">
        <v>64</v>
      </c>
      <c r="L207" s="113" t="s">
        <v>2798</v>
      </c>
      <c r="M207" s="37" t="s">
        <v>2799</v>
      </c>
      <c r="N207" s="113" t="s">
        <v>52</v>
      </c>
      <c r="O207" s="32"/>
      <c r="P207" s="43" t="s">
        <v>53</v>
      </c>
      <c r="Q207" s="43" t="s">
        <v>54</v>
      </c>
      <c r="R207" s="116" t="s">
        <v>2800</v>
      </c>
      <c r="S207" s="117"/>
      <c r="T207" s="117"/>
      <c r="U207" s="117"/>
      <c r="V207" s="117"/>
      <c r="W207" s="117"/>
      <c r="X207" s="117"/>
      <c r="Y207" s="97"/>
      <c r="Z207" s="97"/>
      <c r="AA207" s="97"/>
      <c r="AB207" s="97"/>
      <c r="AC207" s="97"/>
    </row>
    <row r="208">
      <c r="A208" s="111"/>
      <c r="B208" s="15">
        <v>46218.0</v>
      </c>
      <c r="C208" s="112" t="s">
        <v>25</v>
      </c>
      <c r="D208" s="21" t="s">
        <v>2801</v>
      </c>
      <c r="E208" s="23"/>
      <c r="F208" s="23"/>
      <c r="G208" s="99" t="s">
        <v>2704</v>
      </c>
      <c r="H208" s="113" t="s">
        <v>2705</v>
      </c>
      <c r="I208" s="114"/>
      <c r="J208" s="113" t="s">
        <v>2706</v>
      </c>
      <c r="K208" s="99" t="s">
        <v>64</v>
      </c>
      <c r="L208" s="113" t="s">
        <v>2802</v>
      </c>
      <c r="M208" s="37" t="s">
        <v>2803</v>
      </c>
      <c r="N208" s="113" t="s">
        <v>52</v>
      </c>
      <c r="O208" s="32"/>
      <c r="P208" s="43" t="s">
        <v>53</v>
      </c>
      <c r="Q208" s="43" t="s">
        <v>54</v>
      </c>
      <c r="R208" s="116" t="s">
        <v>2809</v>
      </c>
      <c r="S208" s="117"/>
      <c r="T208" s="117"/>
      <c r="U208" s="117"/>
      <c r="V208" s="117"/>
      <c r="W208" s="117"/>
      <c r="X208" s="117"/>
      <c r="Y208" s="97"/>
      <c r="Z208" s="97"/>
      <c r="AA208" s="97"/>
      <c r="AB208" s="97"/>
      <c r="AC208" s="97"/>
    </row>
    <row r="209">
      <c r="A209" s="111"/>
      <c r="B209" s="15">
        <v>46218.0</v>
      </c>
      <c r="C209" s="112" t="s">
        <v>25</v>
      </c>
      <c r="D209" s="21" t="s">
        <v>2810</v>
      </c>
      <c r="E209" s="23"/>
      <c r="F209" s="23"/>
      <c r="G209" s="99" t="s">
        <v>2712</v>
      </c>
      <c r="H209" s="113" t="s">
        <v>2705</v>
      </c>
      <c r="I209" s="114"/>
      <c r="J209" s="113" t="s">
        <v>2713</v>
      </c>
      <c r="K209" s="113" t="s">
        <v>2714</v>
      </c>
      <c r="L209" s="113" t="s">
        <v>2715</v>
      </c>
      <c r="M209" s="37" t="s">
        <v>2811</v>
      </c>
      <c r="N209" s="113" t="s">
        <v>52</v>
      </c>
      <c r="O209" s="32"/>
      <c r="P209" s="43" t="s">
        <v>55</v>
      </c>
      <c r="Q209" s="43" t="s">
        <v>419</v>
      </c>
      <c r="R209" s="116" t="s">
        <v>420</v>
      </c>
      <c r="S209" s="117"/>
      <c r="T209" s="117"/>
      <c r="U209" s="117"/>
      <c r="V209" s="117"/>
      <c r="W209" s="117"/>
      <c r="X209" s="117"/>
      <c r="Y209" s="97"/>
      <c r="Z209" s="97"/>
      <c r="AA209" s="97"/>
      <c r="AB209" s="97"/>
      <c r="AC209" s="97"/>
    </row>
    <row r="210">
      <c r="A210" s="111"/>
      <c r="B210" s="15">
        <v>46218.0</v>
      </c>
      <c r="C210" s="112" t="s">
        <v>25</v>
      </c>
      <c r="D210" s="21" t="s">
        <v>2812</v>
      </c>
      <c r="E210" s="23"/>
      <c r="F210" s="23"/>
      <c r="G210" s="99" t="s">
        <v>2718</v>
      </c>
      <c r="H210" s="113" t="s">
        <v>2705</v>
      </c>
      <c r="I210" s="114"/>
      <c r="J210" s="113" t="s">
        <v>2719</v>
      </c>
      <c r="K210" s="113" t="s">
        <v>2720</v>
      </c>
      <c r="L210" s="113" t="s">
        <v>2715</v>
      </c>
      <c r="M210" s="37" t="s">
        <v>2814</v>
      </c>
      <c r="N210" s="113" t="s">
        <v>52</v>
      </c>
      <c r="O210" s="32"/>
      <c r="P210" s="43" t="s">
        <v>53</v>
      </c>
      <c r="Q210" s="43" t="s">
        <v>54</v>
      </c>
      <c r="R210" s="116" t="s">
        <v>2722</v>
      </c>
      <c r="S210" s="117"/>
      <c r="T210" s="117"/>
      <c r="U210" s="117"/>
      <c r="V210" s="117"/>
      <c r="W210" s="117"/>
      <c r="X210" s="117"/>
      <c r="Y210" s="97"/>
      <c r="Z210" s="97"/>
      <c r="AA210" s="97"/>
      <c r="AB210" s="97"/>
      <c r="AC210" s="97"/>
    </row>
    <row r="211">
      <c r="A211" s="111"/>
      <c r="B211" s="15">
        <v>46218.0</v>
      </c>
      <c r="C211" s="112" t="s">
        <v>25</v>
      </c>
      <c r="D211" s="21" t="s">
        <v>2819</v>
      </c>
      <c r="E211" s="23"/>
      <c r="F211" s="23"/>
      <c r="G211" s="99" t="s">
        <v>2724</v>
      </c>
      <c r="H211" s="113" t="s">
        <v>2705</v>
      </c>
      <c r="I211" s="114"/>
      <c r="J211" s="113" t="s">
        <v>2725</v>
      </c>
      <c r="K211" s="113" t="s">
        <v>2726</v>
      </c>
      <c r="L211" s="113" t="s">
        <v>2573</v>
      </c>
      <c r="M211" s="37" t="s">
        <v>2820</v>
      </c>
      <c r="N211" s="113" t="s">
        <v>52</v>
      </c>
      <c r="O211" s="32"/>
      <c r="P211" s="43" t="s">
        <v>55</v>
      </c>
      <c r="Q211" s="43" t="s">
        <v>55</v>
      </c>
      <c r="R211" s="116" t="s">
        <v>2821</v>
      </c>
      <c r="S211" s="117"/>
      <c r="T211" s="117"/>
      <c r="U211" s="117"/>
      <c r="V211" s="117"/>
      <c r="W211" s="117"/>
      <c r="X211" s="117"/>
      <c r="Y211" s="97"/>
      <c r="Z211" s="97"/>
      <c r="AA211" s="97"/>
      <c r="AB211" s="97"/>
      <c r="AC211" s="97"/>
    </row>
    <row r="212">
      <c r="A212" s="111"/>
      <c r="B212" s="15">
        <v>46218.0</v>
      </c>
      <c r="C212" s="112" t="s">
        <v>25</v>
      </c>
      <c r="D212" s="21" t="s">
        <v>2825</v>
      </c>
      <c r="E212" s="23"/>
      <c r="F212" s="23"/>
      <c r="G212" s="99" t="s">
        <v>2731</v>
      </c>
      <c r="H212" s="113" t="s">
        <v>2705</v>
      </c>
      <c r="I212" s="114"/>
      <c r="J212" s="113" t="s">
        <v>2732</v>
      </c>
      <c r="K212" s="113" t="s">
        <v>2733</v>
      </c>
      <c r="L212" s="113" t="s">
        <v>2573</v>
      </c>
      <c r="M212" s="37" t="s">
        <v>2828</v>
      </c>
      <c r="N212" s="113" t="s">
        <v>52</v>
      </c>
      <c r="O212" s="32"/>
      <c r="P212" s="43" t="s">
        <v>55</v>
      </c>
      <c r="Q212" s="43" t="s">
        <v>55</v>
      </c>
      <c r="R212" s="116" t="s">
        <v>2829</v>
      </c>
      <c r="S212" s="117"/>
      <c r="T212" s="117"/>
      <c r="U212" s="117"/>
      <c r="V212" s="117"/>
      <c r="W212" s="117"/>
      <c r="X212" s="117"/>
      <c r="Y212" s="97"/>
      <c r="Z212" s="97"/>
      <c r="AA212" s="97"/>
      <c r="AB212" s="97"/>
      <c r="AC212" s="97"/>
    </row>
    <row r="213">
      <c r="A213" s="111"/>
      <c r="B213" s="82">
        <v>128.0</v>
      </c>
      <c r="C213" s="112" t="s">
        <v>25</v>
      </c>
      <c r="D213" s="83" t="s">
        <v>2830</v>
      </c>
      <c r="E213" s="84" t="s">
        <v>2831</v>
      </c>
      <c r="F213" s="84" t="s">
        <v>78</v>
      </c>
      <c r="G213" s="109" t="s">
        <v>2832</v>
      </c>
      <c r="H213" s="113" t="s">
        <v>2705</v>
      </c>
      <c r="I213" s="114"/>
      <c r="J213" s="113" t="s">
        <v>2706</v>
      </c>
      <c r="K213" s="113" t="s">
        <v>2761</v>
      </c>
      <c r="L213" s="113" t="s">
        <v>2834</v>
      </c>
      <c r="M213" s="37" t="s">
        <v>2836</v>
      </c>
      <c r="N213" s="113" t="s">
        <v>52</v>
      </c>
      <c r="O213" s="97"/>
      <c r="P213" s="43" t="s">
        <v>53</v>
      </c>
      <c r="Q213" s="43" t="s">
        <v>54</v>
      </c>
      <c r="R213" s="116" t="s">
        <v>2840</v>
      </c>
      <c r="S213" s="117"/>
      <c r="T213" s="117"/>
      <c r="U213" s="117"/>
      <c r="V213" s="117"/>
      <c r="W213" s="117"/>
      <c r="X213" s="117"/>
      <c r="Y213" s="97"/>
      <c r="Z213" s="97"/>
      <c r="AA213" s="97"/>
      <c r="AB213" s="97"/>
      <c r="AC213" s="97"/>
    </row>
    <row r="214">
      <c r="A214" s="111"/>
      <c r="B214" s="15">
        <v>46218.0</v>
      </c>
      <c r="C214" s="112" t="s">
        <v>25</v>
      </c>
      <c r="D214" s="21" t="s">
        <v>2841</v>
      </c>
      <c r="E214" s="23"/>
      <c r="F214" s="23"/>
      <c r="G214" s="99" t="s">
        <v>2765</v>
      </c>
      <c r="H214" s="113" t="s">
        <v>2705</v>
      </c>
      <c r="I214" s="114"/>
      <c r="J214" s="113" t="s">
        <v>2706</v>
      </c>
      <c r="K214" s="99" t="s">
        <v>2842</v>
      </c>
      <c r="L214" s="113" t="s">
        <v>2843</v>
      </c>
      <c r="M214" s="37" t="s">
        <v>2844</v>
      </c>
      <c r="N214" s="113" t="s">
        <v>52</v>
      </c>
      <c r="O214" s="32"/>
      <c r="P214" s="43" t="s">
        <v>55</v>
      </c>
      <c r="Q214" s="43" t="s">
        <v>55</v>
      </c>
      <c r="R214" s="116" t="s">
        <v>2845</v>
      </c>
      <c r="S214" s="117"/>
      <c r="T214" s="117"/>
      <c r="U214" s="117"/>
      <c r="V214" s="117"/>
      <c r="W214" s="117"/>
      <c r="X214" s="117"/>
      <c r="Y214" s="97"/>
      <c r="Z214" s="97"/>
      <c r="AA214" s="97"/>
      <c r="AB214" s="97"/>
      <c r="AC214" s="97"/>
    </row>
    <row r="215">
      <c r="A215" s="111"/>
      <c r="B215" s="15">
        <v>46218.0</v>
      </c>
      <c r="C215" s="112" t="s">
        <v>25</v>
      </c>
      <c r="D215" s="21" t="s">
        <v>2847</v>
      </c>
      <c r="E215" s="23"/>
      <c r="F215" s="23"/>
      <c r="G215" s="99" t="s">
        <v>2704</v>
      </c>
      <c r="H215" s="113" t="s">
        <v>2705</v>
      </c>
      <c r="I215" s="114"/>
      <c r="J215" s="113" t="s">
        <v>2706</v>
      </c>
      <c r="K215" s="99" t="s">
        <v>2849</v>
      </c>
      <c r="L215" s="113" t="s">
        <v>2850</v>
      </c>
      <c r="M215" s="37" t="s">
        <v>2851</v>
      </c>
      <c r="N215" s="113" t="s">
        <v>52</v>
      </c>
      <c r="O215" s="32"/>
      <c r="P215" s="43" t="s">
        <v>53</v>
      </c>
      <c r="Q215" s="43" t="s">
        <v>54</v>
      </c>
      <c r="R215" s="116" t="s">
        <v>2852</v>
      </c>
      <c r="S215" s="117"/>
      <c r="T215" s="117"/>
      <c r="U215" s="117"/>
      <c r="V215" s="117"/>
      <c r="W215" s="117"/>
      <c r="X215" s="117"/>
      <c r="Y215" s="97"/>
      <c r="Z215" s="97"/>
      <c r="AA215" s="97"/>
      <c r="AB215" s="97"/>
      <c r="AC215" s="97"/>
    </row>
    <row r="216">
      <c r="A216" s="111"/>
      <c r="B216" s="15">
        <v>46218.0</v>
      </c>
      <c r="C216" s="112" t="s">
        <v>25</v>
      </c>
      <c r="D216" s="21" t="s">
        <v>2853</v>
      </c>
      <c r="E216" s="23"/>
      <c r="F216" s="23"/>
      <c r="G216" s="99" t="s">
        <v>2712</v>
      </c>
      <c r="H216" s="113" t="s">
        <v>2705</v>
      </c>
      <c r="I216" s="114"/>
      <c r="J216" s="113" t="s">
        <v>2713</v>
      </c>
      <c r="K216" s="113" t="s">
        <v>2714</v>
      </c>
      <c r="L216" s="113" t="s">
        <v>2715</v>
      </c>
      <c r="M216" s="37" t="s">
        <v>2854</v>
      </c>
      <c r="N216" s="113" t="s">
        <v>52</v>
      </c>
      <c r="O216" s="32"/>
      <c r="P216" s="43" t="s">
        <v>55</v>
      </c>
      <c r="Q216" s="43" t="s">
        <v>419</v>
      </c>
      <c r="R216" s="116" t="s">
        <v>420</v>
      </c>
      <c r="S216" s="117"/>
      <c r="T216" s="117"/>
      <c r="U216" s="117"/>
      <c r="V216" s="117"/>
      <c r="W216" s="117"/>
      <c r="X216" s="117"/>
      <c r="Y216" s="97"/>
      <c r="Z216" s="97"/>
      <c r="AA216" s="97"/>
      <c r="AB216" s="97"/>
      <c r="AC216" s="97"/>
    </row>
    <row r="217">
      <c r="A217" s="111"/>
      <c r="B217" s="15">
        <v>46218.0</v>
      </c>
      <c r="C217" s="112" t="s">
        <v>25</v>
      </c>
      <c r="D217" s="21" t="s">
        <v>2859</v>
      </c>
      <c r="E217" s="23"/>
      <c r="F217" s="23"/>
      <c r="G217" s="99" t="s">
        <v>2718</v>
      </c>
      <c r="H217" s="113" t="s">
        <v>2705</v>
      </c>
      <c r="I217" s="114"/>
      <c r="J217" s="113" t="s">
        <v>2719</v>
      </c>
      <c r="K217" s="113" t="s">
        <v>2720</v>
      </c>
      <c r="L217" s="113" t="s">
        <v>2715</v>
      </c>
      <c r="M217" s="37" t="s">
        <v>2862</v>
      </c>
      <c r="N217" s="113" t="s">
        <v>52</v>
      </c>
      <c r="O217" s="32"/>
      <c r="P217" s="43" t="s">
        <v>53</v>
      </c>
      <c r="Q217" s="43" t="s">
        <v>54</v>
      </c>
      <c r="R217" s="116" t="s">
        <v>2722</v>
      </c>
      <c r="S217" s="117"/>
      <c r="T217" s="117"/>
      <c r="U217" s="117"/>
      <c r="V217" s="117"/>
      <c r="W217" s="117"/>
      <c r="X217" s="117"/>
      <c r="Y217" s="97"/>
      <c r="Z217" s="97"/>
      <c r="AA217" s="97"/>
      <c r="AB217" s="97"/>
      <c r="AC217" s="97"/>
    </row>
    <row r="218">
      <c r="A218" s="111"/>
      <c r="B218" s="15">
        <v>46218.0</v>
      </c>
      <c r="C218" s="112" t="s">
        <v>25</v>
      </c>
      <c r="D218" s="21" t="s">
        <v>2864</v>
      </c>
      <c r="E218" s="23"/>
      <c r="F218" s="23"/>
      <c r="G218" s="99" t="s">
        <v>2724</v>
      </c>
      <c r="H218" s="113" t="s">
        <v>2705</v>
      </c>
      <c r="I218" s="114"/>
      <c r="J218" s="113" t="s">
        <v>2725</v>
      </c>
      <c r="K218" s="113" t="s">
        <v>2726</v>
      </c>
      <c r="L218" s="113" t="s">
        <v>2573</v>
      </c>
      <c r="M218" s="37" t="s">
        <v>2865</v>
      </c>
      <c r="N218" s="113" t="s">
        <v>52</v>
      </c>
      <c r="O218" s="32"/>
      <c r="P218" s="43" t="s">
        <v>55</v>
      </c>
      <c r="Q218" s="43" t="s">
        <v>55</v>
      </c>
      <c r="R218" s="116" t="s">
        <v>2866</v>
      </c>
      <c r="S218" s="117"/>
      <c r="T218" s="117"/>
      <c r="U218" s="117"/>
      <c r="V218" s="117"/>
      <c r="W218" s="117"/>
      <c r="X218" s="117"/>
      <c r="Y218" s="97"/>
      <c r="Z218" s="97"/>
      <c r="AA218" s="97"/>
      <c r="AB218" s="97"/>
      <c r="AC218" s="97"/>
    </row>
    <row r="219">
      <c r="A219" s="111"/>
      <c r="B219" s="15">
        <v>46218.0</v>
      </c>
      <c r="C219" s="112" t="s">
        <v>25</v>
      </c>
      <c r="D219" s="21" t="s">
        <v>2867</v>
      </c>
      <c r="E219" s="23"/>
      <c r="F219" s="23"/>
      <c r="G219" s="99" t="s">
        <v>2731</v>
      </c>
      <c r="H219" s="113" t="s">
        <v>2705</v>
      </c>
      <c r="I219" s="114"/>
      <c r="J219" s="113" t="s">
        <v>2732</v>
      </c>
      <c r="K219" s="113" t="s">
        <v>2733</v>
      </c>
      <c r="L219" s="113" t="s">
        <v>2573</v>
      </c>
      <c r="M219" s="37" t="s">
        <v>2868</v>
      </c>
      <c r="N219" s="113" t="s">
        <v>52</v>
      </c>
      <c r="O219" s="32"/>
      <c r="P219" s="43" t="s">
        <v>55</v>
      </c>
      <c r="Q219" s="43" t="s">
        <v>55</v>
      </c>
      <c r="R219" s="116" t="s">
        <v>2870</v>
      </c>
      <c r="S219" s="117"/>
      <c r="T219" s="117"/>
      <c r="U219" s="117"/>
      <c r="V219" s="117"/>
      <c r="W219" s="117"/>
      <c r="X219" s="117"/>
      <c r="Y219" s="97"/>
      <c r="Z219" s="97"/>
      <c r="AA219" s="97"/>
      <c r="AB219" s="97"/>
      <c r="AC219" s="97"/>
    </row>
    <row r="220">
      <c r="A220" s="111"/>
      <c r="B220" s="15">
        <v>46218.0</v>
      </c>
      <c r="C220" s="112" t="s">
        <v>25</v>
      </c>
      <c r="D220" s="21" t="s">
        <v>2873</v>
      </c>
      <c r="E220" s="23"/>
      <c r="F220" s="23"/>
      <c r="G220" s="99" t="s">
        <v>2874</v>
      </c>
      <c r="H220" s="113" t="s">
        <v>2705</v>
      </c>
      <c r="I220" s="114"/>
      <c r="J220" s="113" t="s">
        <v>2706</v>
      </c>
      <c r="K220" s="99" t="s">
        <v>64</v>
      </c>
      <c r="L220" s="113" t="s">
        <v>2876</v>
      </c>
      <c r="M220" s="37" t="s">
        <v>2877</v>
      </c>
      <c r="N220" s="113" t="s">
        <v>52</v>
      </c>
      <c r="O220" s="32"/>
      <c r="P220" s="43" t="s">
        <v>53</v>
      </c>
      <c r="Q220" s="43" t="s">
        <v>54</v>
      </c>
      <c r="R220" s="116" t="s">
        <v>2878</v>
      </c>
      <c r="S220" s="117"/>
      <c r="T220" s="117"/>
      <c r="U220" s="117"/>
      <c r="V220" s="117"/>
      <c r="W220" s="117"/>
      <c r="X220" s="117"/>
      <c r="Y220" s="97"/>
      <c r="Z220" s="97"/>
      <c r="AA220" s="97"/>
      <c r="AB220" s="97"/>
      <c r="AC220" s="97"/>
    </row>
    <row r="221">
      <c r="A221" s="111"/>
      <c r="B221" s="15">
        <v>46218.0</v>
      </c>
      <c r="C221" s="112" t="s">
        <v>25</v>
      </c>
      <c r="D221" s="21" t="s">
        <v>2879</v>
      </c>
      <c r="E221" s="23"/>
      <c r="F221" s="23"/>
      <c r="G221" s="99" t="s">
        <v>2880</v>
      </c>
      <c r="H221" s="113" t="s">
        <v>2705</v>
      </c>
      <c r="I221" s="114"/>
      <c r="J221" s="113" t="s">
        <v>2706</v>
      </c>
      <c r="K221" s="99" t="s">
        <v>64</v>
      </c>
      <c r="L221" s="113" t="s">
        <v>2881</v>
      </c>
      <c r="M221" s="37" t="s">
        <v>2882</v>
      </c>
      <c r="N221" s="113" t="s">
        <v>52</v>
      </c>
      <c r="O221" s="32"/>
      <c r="P221" s="43" t="s">
        <v>55</v>
      </c>
      <c r="Q221" s="43" t="s">
        <v>55</v>
      </c>
      <c r="R221" s="116" t="s">
        <v>2883</v>
      </c>
      <c r="S221" s="117"/>
      <c r="T221" s="117"/>
      <c r="U221" s="117"/>
      <c r="V221" s="117"/>
      <c r="W221" s="117"/>
      <c r="X221" s="117"/>
      <c r="Y221" s="97"/>
      <c r="Z221" s="97"/>
      <c r="AA221" s="97"/>
      <c r="AB221" s="97"/>
      <c r="AC221" s="97"/>
    </row>
    <row r="222">
      <c r="A222" s="111"/>
      <c r="B222" s="15">
        <v>46218.0</v>
      </c>
      <c r="C222" s="112" t="s">
        <v>25</v>
      </c>
      <c r="D222" s="21" t="s">
        <v>2885</v>
      </c>
      <c r="E222" s="23"/>
      <c r="F222" s="23"/>
      <c r="G222" s="99" t="s">
        <v>2712</v>
      </c>
      <c r="H222" s="113" t="s">
        <v>2705</v>
      </c>
      <c r="I222" s="114"/>
      <c r="J222" s="113" t="s">
        <v>2713</v>
      </c>
      <c r="K222" s="113" t="s">
        <v>2888</v>
      </c>
      <c r="L222" s="113" t="s">
        <v>2715</v>
      </c>
      <c r="M222" s="37" t="s">
        <v>2891</v>
      </c>
      <c r="N222" s="113" t="s">
        <v>52</v>
      </c>
      <c r="O222" s="32"/>
      <c r="P222" s="43" t="s">
        <v>55</v>
      </c>
      <c r="Q222" s="43" t="s">
        <v>419</v>
      </c>
      <c r="R222" s="116" t="s">
        <v>420</v>
      </c>
      <c r="S222" s="117"/>
      <c r="T222" s="117"/>
      <c r="U222" s="117"/>
      <c r="V222" s="117"/>
      <c r="W222" s="117"/>
      <c r="X222" s="117"/>
      <c r="Y222" s="97"/>
      <c r="Z222" s="97"/>
      <c r="AA222" s="97"/>
      <c r="AB222" s="97"/>
      <c r="AC222" s="97"/>
    </row>
    <row r="223">
      <c r="A223" s="111"/>
      <c r="B223" s="15">
        <v>46218.0</v>
      </c>
      <c r="C223" s="112" t="s">
        <v>25</v>
      </c>
      <c r="D223" s="21" t="s">
        <v>2892</v>
      </c>
      <c r="E223" s="23"/>
      <c r="F223" s="23"/>
      <c r="G223" s="99" t="s">
        <v>2718</v>
      </c>
      <c r="H223" s="113" t="s">
        <v>2705</v>
      </c>
      <c r="I223" s="114"/>
      <c r="J223" s="113" t="s">
        <v>2719</v>
      </c>
      <c r="K223" s="113" t="s">
        <v>2893</v>
      </c>
      <c r="L223" s="113" t="s">
        <v>2715</v>
      </c>
      <c r="M223" s="37" t="s">
        <v>2894</v>
      </c>
      <c r="N223" s="113" t="s">
        <v>52</v>
      </c>
      <c r="O223" s="32"/>
      <c r="P223" s="43" t="s">
        <v>53</v>
      </c>
      <c r="Q223" s="43" t="s">
        <v>54</v>
      </c>
      <c r="R223" s="116" t="s">
        <v>2722</v>
      </c>
      <c r="S223" s="117"/>
      <c r="T223" s="117"/>
      <c r="U223" s="117"/>
      <c r="V223" s="117"/>
      <c r="W223" s="117"/>
      <c r="X223" s="117"/>
      <c r="Y223" s="97"/>
      <c r="Z223" s="97"/>
      <c r="AA223" s="97"/>
      <c r="AB223" s="97"/>
      <c r="AC223" s="97"/>
    </row>
    <row r="224">
      <c r="A224" s="111"/>
      <c r="B224" s="15">
        <v>46218.0</v>
      </c>
      <c r="C224" s="112" t="s">
        <v>25</v>
      </c>
      <c r="D224" s="21" t="s">
        <v>2898</v>
      </c>
      <c r="E224" s="23"/>
      <c r="F224" s="23"/>
      <c r="G224" s="99" t="s">
        <v>2724</v>
      </c>
      <c r="H224" s="113" t="s">
        <v>2705</v>
      </c>
      <c r="I224" s="114"/>
      <c r="J224" s="113" t="s">
        <v>2725</v>
      </c>
      <c r="K224" s="113" t="s">
        <v>2726</v>
      </c>
      <c r="L224" s="113" t="s">
        <v>2573</v>
      </c>
      <c r="M224" s="37" t="s">
        <v>2900</v>
      </c>
      <c r="N224" s="113" t="s">
        <v>52</v>
      </c>
      <c r="O224" s="32"/>
      <c r="P224" s="43" t="s">
        <v>55</v>
      </c>
      <c r="Q224" s="43" t="s">
        <v>55</v>
      </c>
      <c r="R224" s="116" t="s">
        <v>2901</v>
      </c>
      <c r="S224" s="117"/>
      <c r="T224" s="117"/>
      <c r="U224" s="117"/>
      <c r="V224" s="117"/>
      <c r="W224" s="117"/>
      <c r="X224" s="117"/>
      <c r="Y224" s="97"/>
      <c r="Z224" s="97"/>
      <c r="AA224" s="97"/>
      <c r="AB224" s="97"/>
      <c r="AC224" s="97"/>
    </row>
    <row r="225">
      <c r="A225" s="111"/>
      <c r="B225" s="15">
        <v>46218.0</v>
      </c>
      <c r="C225" s="112" t="s">
        <v>25</v>
      </c>
      <c r="D225" s="21" t="s">
        <v>2902</v>
      </c>
      <c r="E225" s="23"/>
      <c r="F225" s="23"/>
      <c r="G225" s="99" t="s">
        <v>2731</v>
      </c>
      <c r="H225" s="113" t="s">
        <v>2705</v>
      </c>
      <c r="I225" s="114"/>
      <c r="J225" s="113" t="s">
        <v>2732</v>
      </c>
      <c r="K225" s="113" t="s">
        <v>2733</v>
      </c>
      <c r="L225" s="113" t="s">
        <v>2573</v>
      </c>
      <c r="M225" s="37" t="s">
        <v>2903</v>
      </c>
      <c r="N225" s="113" t="s">
        <v>52</v>
      </c>
      <c r="O225" s="32"/>
      <c r="P225" s="43" t="s">
        <v>55</v>
      </c>
      <c r="Q225" s="43" t="s">
        <v>55</v>
      </c>
      <c r="R225" s="116" t="s">
        <v>2906</v>
      </c>
      <c r="S225" s="117"/>
      <c r="T225" s="117"/>
      <c r="U225" s="117"/>
      <c r="V225" s="117"/>
      <c r="W225" s="117"/>
      <c r="X225" s="117"/>
      <c r="Y225" s="97"/>
      <c r="Z225" s="97"/>
      <c r="AA225" s="97"/>
      <c r="AB225" s="97"/>
      <c r="AC225" s="97"/>
    </row>
    <row r="226">
      <c r="A226" s="111"/>
      <c r="B226" s="15">
        <v>46219.0</v>
      </c>
      <c r="C226" s="112" t="s">
        <v>25</v>
      </c>
      <c r="D226" s="21" t="s">
        <v>2910</v>
      </c>
      <c r="E226" s="23"/>
      <c r="F226" s="23"/>
      <c r="G226" s="99" t="s">
        <v>2911</v>
      </c>
      <c r="H226" s="113" t="s">
        <v>2705</v>
      </c>
      <c r="I226" s="114"/>
      <c r="J226" s="113" t="s">
        <v>2706</v>
      </c>
      <c r="K226" s="99" t="s">
        <v>64</v>
      </c>
      <c r="L226" s="113" t="s">
        <v>2912</v>
      </c>
      <c r="M226" s="37" t="s">
        <v>2913</v>
      </c>
      <c r="N226" s="113" t="s">
        <v>52</v>
      </c>
      <c r="O226" s="32"/>
      <c r="P226" s="43" t="s">
        <v>55</v>
      </c>
      <c r="Q226" s="43" t="s">
        <v>55</v>
      </c>
      <c r="R226" s="116" t="s">
        <v>2914</v>
      </c>
      <c r="S226" s="117"/>
      <c r="T226" s="117"/>
      <c r="U226" s="117"/>
      <c r="V226" s="117"/>
      <c r="W226" s="117"/>
      <c r="X226" s="117"/>
      <c r="Y226" s="97"/>
      <c r="Z226" s="97"/>
      <c r="AA226" s="97"/>
      <c r="AB226" s="97"/>
      <c r="AC226" s="97"/>
    </row>
    <row r="227">
      <c r="A227" s="111"/>
      <c r="B227" s="15">
        <v>46219.0</v>
      </c>
      <c r="C227" s="112" t="s">
        <v>25</v>
      </c>
      <c r="D227" s="21" t="s">
        <v>2915</v>
      </c>
      <c r="E227" s="23"/>
      <c r="F227" s="23"/>
      <c r="G227" s="99" t="s">
        <v>2712</v>
      </c>
      <c r="H227" s="113" t="s">
        <v>2705</v>
      </c>
      <c r="I227" s="114"/>
      <c r="J227" s="113" t="s">
        <v>2713</v>
      </c>
      <c r="K227" s="113" t="s">
        <v>2888</v>
      </c>
      <c r="L227" s="113" t="s">
        <v>2715</v>
      </c>
      <c r="M227" s="37" t="s">
        <v>2918</v>
      </c>
      <c r="N227" s="113" t="s">
        <v>52</v>
      </c>
      <c r="O227" s="32"/>
      <c r="P227" s="43" t="s">
        <v>55</v>
      </c>
      <c r="Q227" s="43" t="s">
        <v>419</v>
      </c>
      <c r="R227" s="116" t="s">
        <v>420</v>
      </c>
      <c r="S227" s="117"/>
      <c r="T227" s="117"/>
      <c r="U227" s="117"/>
      <c r="V227" s="117"/>
      <c r="W227" s="117"/>
      <c r="X227" s="117"/>
      <c r="Y227" s="97"/>
      <c r="Z227" s="97"/>
      <c r="AA227" s="97"/>
      <c r="AB227" s="97"/>
      <c r="AC227" s="97"/>
    </row>
    <row r="228">
      <c r="A228" s="111"/>
      <c r="B228" s="15">
        <v>46219.0</v>
      </c>
      <c r="C228" s="112" t="s">
        <v>25</v>
      </c>
      <c r="D228" s="21" t="s">
        <v>2922</v>
      </c>
      <c r="E228" s="23"/>
      <c r="F228" s="23"/>
      <c r="G228" s="99" t="s">
        <v>2718</v>
      </c>
      <c r="H228" s="113" t="s">
        <v>2705</v>
      </c>
      <c r="I228" s="114"/>
      <c r="J228" s="113" t="s">
        <v>2719</v>
      </c>
      <c r="K228" s="113" t="s">
        <v>2893</v>
      </c>
      <c r="L228" s="113" t="s">
        <v>2715</v>
      </c>
      <c r="M228" s="37" t="s">
        <v>2923</v>
      </c>
      <c r="N228" s="113" t="s">
        <v>52</v>
      </c>
      <c r="O228" s="32"/>
      <c r="P228" s="43" t="s">
        <v>53</v>
      </c>
      <c r="Q228" s="43" t="s">
        <v>54</v>
      </c>
      <c r="R228" s="116" t="s">
        <v>2722</v>
      </c>
      <c r="S228" s="117"/>
      <c r="T228" s="117"/>
      <c r="U228" s="117"/>
      <c r="V228" s="117"/>
      <c r="W228" s="117"/>
      <c r="X228" s="117"/>
      <c r="Y228" s="97"/>
      <c r="Z228" s="97"/>
      <c r="AA228" s="97"/>
      <c r="AB228" s="97"/>
      <c r="AC228" s="97"/>
    </row>
    <row r="229">
      <c r="A229" s="111"/>
      <c r="B229" s="15">
        <v>46219.0</v>
      </c>
      <c r="C229" s="112" t="s">
        <v>25</v>
      </c>
      <c r="D229" s="21" t="s">
        <v>2924</v>
      </c>
      <c r="E229" s="23"/>
      <c r="F229" s="23"/>
      <c r="G229" s="99" t="s">
        <v>2911</v>
      </c>
      <c r="H229" s="113" t="s">
        <v>2705</v>
      </c>
      <c r="I229" s="114"/>
      <c r="J229" s="113" t="s">
        <v>2706</v>
      </c>
      <c r="K229" s="99" t="s">
        <v>64</v>
      </c>
      <c r="L229" s="113" t="s">
        <v>2925</v>
      </c>
      <c r="M229" s="37" t="s">
        <v>2926</v>
      </c>
      <c r="N229" s="113" t="s">
        <v>52</v>
      </c>
      <c r="O229" s="32"/>
      <c r="P229" s="43" t="s">
        <v>55</v>
      </c>
      <c r="Q229" s="43" t="s">
        <v>55</v>
      </c>
      <c r="R229" s="116" t="s">
        <v>2932</v>
      </c>
      <c r="S229" s="117"/>
      <c r="T229" s="117"/>
      <c r="U229" s="117"/>
      <c r="V229" s="117"/>
      <c r="W229" s="117"/>
      <c r="X229" s="117"/>
      <c r="Y229" s="97"/>
      <c r="Z229" s="97"/>
      <c r="AA229" s="97"/>
      <c r="AB229" s="97"/>
      <c r="AC229" s="97"/>
    </row>
    <row r="230">
      <c r="A230" s="111"/>
      <c r="B230" s="15">
        <v>46219.0</v>
      </c>
      <c r="C230" s="112" t="s">
        <v>25</v>
      </c>
      <c r="D230" s="21" t="s">
        <v>2933</v>
      </c>
      <c r="E230" s="23"/>
      <c r="F230" s="23"/>
      <c r="G230" s="99" t="s">
        <v>2712</v>
      </c>
      <c r="H230" s="113" t="s">
        <v>2705</v>
      </c>
      <c r="I230" s="114"/>
      <c r="J230" s="113" t="s">
        <v>2713</v>
      </c>
      <c r="K230" s="113" t="s">
        <v>2934</v>
      </c>
      <c r="L230" s="113" t="s">
        <v>2715</v>
      </c>
      <c r="M230" s="37" t="s">
        <v>2935</v>
      </c>
      <c r="N230" s="113" t="s">
        <v>52</v>
      </c>
      <c r="O230" s="32"/>
      <c r="P230" s="43" t="s">
        <v>55</v>
      </c>
      <c r="Q230" s="43" t="s">
        <v>419</v>
      </c>
      <c r="R230" s="116" t="s">
        <v>420</v>
      </c>
      <c r="S230" s="117"/>
      <c r="T230" s="117"/>
      <c r="U230" s="117"/>
      <c r="V230" s="117"/>
      <c r="W230" s="117"/>
      <c r="X230" s="117"/>
      <c r="Y230" s="97"/>
      <c r="Z230" s="97"/>
      <c r="AA230" s="97"/>
      <c r="AB230" s="97"/>
      <c r="AC230" s="97"/>
    </row>
    <row r="231">
      <c r="A231" s="111"/>
      <c r="B231" s="15">
        <v>46219.0</v>
      </c>
      <c r="C231" s="112" t="s">
        <v>25</v>
      </c>
      <c r="D231" s="21" t="s">
        <v>2940</v>
      </c>
      <c r="E231" s="23"/>
      <c r="F231" s="23"/>
      <c r="G231" s="99" t="s">
        <v>2718</v>
      </c>
      <c r="H231" s="113" t="s">
        <v>2705</v>
      </c>
      <c r="I231" s="114"/>
      <c r="J231" s="113" t="s">
        <v>2719</v>
      </c>
      <c r="K231" s="113" t="s">
        <v>2942</v>
      </c>
      <c r="L231" s="113" t="s">
        <v>2715</v>
      </c>
      <c r="M231" s="37" t="s">
        <v>2943</v>
      </c>
      <c r="N231" s="113" t="s">
        <v>52</v>
      </c>
      <c r="O231" s="32"/>
      <c r="P231" s="43" t="s">
        <v>53</v>
      </c>
      <c r="Q231" s="43" t="s">
        <v>54</v>
      </c>
      <c r="R231" s="116" t="s">
        <v>2944</v>
      </c>
      <c r="S231" s="117"/>
      <c r="T231" s="117"/>
      <c r="U231" s="117"/>
      <c r="V231" s="117"/>
      <c r="W231" s="117"/>
      <c r="X231" s="117"/>
      <c r="Y231" s="97"/>
      <c r="Z231" s="97"/>
      <c r="AA231" s="97"/>
      <c r="AB231" s="97"/>
      <c r="AC231" s="97"/>
    </row>
    <row r="232">
      <c r="A232" s="111"/>
      <c r="B232" s="15">
        <v>46219.0</v>
      </c>
      <c r="C232" s="112" t="s">
        <v>25</v>
      </c>
      <c r="D232" s="21" t="s">
        <v>2945</v>
      </c>
      <c r="E232" s="23"/>
      <c r="F232" s="23"/>
      <c r="G232" s="99" t="s">
        <v>2874</v>
      </c>
      <c r="H232" s="113" t="s">
        <v>2705</v>
      </c>
      <c r="I232" s="114"/>
      <c r="J232" s="113" t="s">
        <v>2706</v>
      </c>
      <c r="K232" s="99" t="s">
        <v>64</v>
      </c>
      <c r="L232" s="113" t="s">
        <v>2946</v>
      </c>
      <c r="M232" s="37" t="s">
        <v>2947</v>
      </c>
      <c r="N232" s="113" t="s">
        <v>52</v>
      </c>
      <c r="O232" s="32"/>
      <c r="P232" s="43" t="s">
        <v>53</v>
      </c>
      <c r="Q232" s="43" t="s">
        <v>54</v>
      </c>
      <c r="R232" s="116" t="s">
        <v>2954</v>
      </c>
      <c r="S232" s="117"/>
      <c r="T232" s="117"/>
      <c r="U232" s="117"/>
      <c r="V232" s="117"/>
      <c r="W232" s="117"/>
      <c r="X232" s="117"/>
      <c r="Y232" s="97"/>
      <c r="Z232" s="97"/>
      <c r="AA232" s="97"/>
      <c r="AB232" s="97"/>
      <c r="AC232" s="97"/>
    </row>
    <row r="233">
      <c r="A233" s="111"/>
      <c r="B233" s="15">
        <v>46219.0</v>
      </c>
      <c r="C233" s="112" t="s">
        <v>25</v>
      </c>
      <c r="D233" s="21" t="s">
        <v>2955</v>
      </c>
      <c r="E233" s="23"/>
      <c r="F233" s="23"/>
      <c r="G233" s="99" t="s">
        <v>2712</v>
      </c>
      <c r="H233" s="113" t="s">
        <v>2705</v>
      </c>
      <c r="I233" s="114"/>
      <c r="J233" s="113" t="s">
        <v>2713</v>
      </c>
      <c r="K233" s="113" t="s">
        <v>2934</v>
      </c>
      <c r="L233" s="113" t="s">
        <v>2715</v>
      </c>
      <c r="M233" s="37" t="s">
        <v>2956</v>
      </c>
      <c r="N233" s="113" t="s">
        <v>52</v>
      </c>
      <c r="O233" s="32"/>
      <c r="P233" s="43" t="s">
        <v>55</v>
      </c>
      <c r="Q233" s="43" t="s">
        <v>419</v>
      </c>
      <c r="R233" s="116" t="s">
        <v>420</v>
      </c>
      <c r="S233" s="117"/>
      <c r="T233" s="117"/>
      <c r="U233" s="117"/>
      <c r="V233" s="117"/>
      <c r="W233" s="117"/>
      <c r="X233" s="117"/>
      <c r="Y233" s="97"/>
      <c r="Z233" s="97"/>
      <c r="AA233" s="97"/>
      <c r="AB233" s="97"/>
      <c r="AC233" s="97"/>
    </row>
    <row r="234">
      <c r="A234" s="111"/>
      <c r="B234" s="15">
        <v>46219.0</v>
      </c>
      <c r="C234" s="112" t="s">
        <v>25</v>
      </c>
      <c r="D234" s="21" t="s">
        <v>2957</v>
      </c>
      <c r="E234" s="23"/>
      <c r="F234" s="23"/>
      <c r="G234" s="99" t="s">
        <v>2718</v>
      </c>
      <c r="H234" s="113" t="s">
        <v>2705</v>
      </c>
      <c r="I234" s="114"/>
      <c r="J234" s="113" t="s">
        <v>2719</v>
      </c>
      <c r="K234" s="113" t="s">
        <v>2942</v>
      </c>
      <c r="L234" s="113" t="s">
        <v>2715</v>
      </c>
      <c r="M234" s="37" t="s">
        <v>2961</v>
      </c>
      <c r="N234" s="113" t="s">
        <v>52</v>
      </c>
      <c r="O234" s="32"/>
      <c r="P234" s="43" t="s">
        <v>53</v>
      </c>
      <c r="Q234" s="43" t="s">
        <v>54</v>
      </c>
      <c r="R234" s="116" t="s">
        <v>2965</v>
      </c>
      <c r="S234" s="117"/>
      <c r="T234" s="117"/>
      <c r="U234" s="117"/>
      <c r="V234" s="117"/>
      <c r="W234" s="117"/>
      <c r="X234" s="117"/>
      <c r="Y234" s="97"/>
      <c r="Z234" s="97"/>
      <c r="AA234" s="97"/>
      <c r="AB234" s="97"/>
      <c r="AC234" s="97"/>
    </row>
    <row r="235">
      <c r="A235" s="111"/>
      <c r="B235" s="15">
        <v>46219.0</v>
      </c>
      <c r="C235" s="112" t="s">
        <v>25</v>
      </c>
      <c r="D235" s="21" t="s">
        <v>2966</v>
      </c>
      <c r="E235" s="23"/>
      <c r="F235" s="23"/>
      <c r="G235" s="99" t="s">
        <v>2874</v>
      </c>
      <c r="H235" s="113" t="s">
        <v>2705</v>
      </c>
      <c r="I235" s="114"/>
      <c r="J235" s="113" t="s">
        <v>2706</v>
      </c>
      <c r="K235" s="99" t="s">
        <v>64</v>
      </c>
      <c r="L235" s="113" t="s">
        <v>2967</v>
      </c>
      <c r="M235" s="37" t="s">
        <v>2968</v>
      </c>
      <c r="N235" s="113" t="s">
        <v>52</v>
      </c>
      <c r="O235" s="32"/>
      <c r="P235" s="43" t="s">
        <v>53</v>
      </c>
      <c r="Q235" s="43" t="s">
        <v>54</v>
      </c>
      <c r="R235" s="116" t="s">
        <v>2970</v>
      </c>
      <c r="S235" s="117"/>
      <c r="T235" s="117"/>
      <c r="U235" s="117"/>
      <c r="V235" s="117"/>
      <c r="W235" s="117"/>
      <c r="X235" s="117"/>
      <c r="Y235" s="97"/>
      <c r="Z235" s="97"/>
      <c r="AA235" s="97"/>
      <c r="AB235" s="97"/>
      <c r="AC235" s="97"/>
    </row>
    <row r="236">
      <c r="A236" s="111"/>
      <c r="B236" s="15">
        <v>46219.0</v>
      </c>
      <c r="C236" s="112" t="s">
        <v>25</v>
      </c>
      <c r="D236" s="21" t="s">
        <v>2972</v>
      </c>
      <c r="E236" s="23"/>
      <c r="F236" s="23"/>
      <c r="G236" s="99" t="s">
        <v>2911</v>
      </c>
      <c r="H236" s="113" t="s">
        <v>2705</v>
      </c>
      <c r="I236" s="114"/>
      <c r="J236" s="113" t="s">
        <v>2706</v>
      </c>
      <c r="K236" s="99" t="s">
        <v>64</v>
      </c>
      <c r="L236" s="113" t="s">
        <v>2973</v>
      </c>
      <c r="M236" s="37" t="s">
        <v>2975</v>
      </c>
      <c r="N236" s="113" t="s">
        <v>52</v>
      </c>
      <c r="O236" s="32"/>
      <c r="P236" s="43" t="s">
        <v>53</v>
      </c>
      <c r="Q236" s="43" t="s">
        <v>54</v>
      </c>
      <c r="R236" s="116" t="s">
        <v>2978</v>
      </c>
      <c r="S236" s="117"/>
      <c r="T236" s="117"/>
      <c r="U236" s="117"/>
      <c r="V236" s="117"/>
      <c r="W236" s="117"/>
      <c r="X236" s="117"/>
      <c r="Y236" s="97"/>
      <c r="Z236" s="97"/>
      <c r="AA236" s="97"/>
      <c r="AB236" s="97"/>
      <c r="AC236" s="97"/>
    </row>
    <row r="237">
      <c r="A237" s="111"/>
      <c r="B237" s="15">
        <v>46219.0</v>
      </c>
      <c r="C237" s="112" t="s">
        <v>25</v>
      </c>
      <c r="D237" s="21" t="s">
        <v>2979</v>
      </c>
      <c r="E237" s="32"/>
      <c r="F237" s="32"/>
      <c r="G237" s="99" t="s">
        <v>2712</v>
      </c>
      <c r="H237" s="113" t="s">
        <v>2705</v>
      </c>
      <c r="I237" s="114"/>
      <c r="J237" s="113" t="s">
        <v>2713</v>
      </c>
      <c r="K237" s="113" t="s">
        <v>2980</v>
      </c>
      <c r="L237" s="113" t="s">
        <v>2715</v>
      </c>
      <c r="M237" s="37" t="s">
        <v>2981</v>
      </c>
      <c r="N237" s="113" t="s">
        <v>52</v>
      </c>
      <c r="O237" s="32"/>
      <c r="P237" s="43" t="s">
        <v>55</v>
      </c>
      <c r="Q237" s="43" t="s">
        <v>419</v>
      </c>
      <c r="R237" s="116" t="s">
        <v>420</v>
      </c>
      <c r="S237" s="117"/>
      <c r="T237" s="117"/>
      <c r="U237" s="117"/>
      <c r="V237" s="117"/>
      <c r="W237" s="117"/>
      <c r="X237" s="117"/>
      <c r="Y237" s="97"/>
      <c r="Z237" s="97"/>
      <c r="AA237" s="97"/>
      <c r="AB237" s="97"/>
      <c r="AC237" s="97"/>
    </row>
    <row r="238">
      <c r="A238" s="111"/>
      <c r="B238" s="15">
        <v>46219.0</v>
      </c>
      <c r="C238" s="112" t="s">
        <v>25</v>
      </c>
      <c r="D238" s="21" t="s">
        <v>2987</v>
      </c>
      <c r="E238" s="32"/>
      <c r="F238" s="32"/>
      <c r="G238" s="99" t="s">
        <v>2718</v>
      </c>
      <c r="H238" s="113" t="s">
        <v>2705</v>
      </c>
      <c r="I238" s="114"/>
      <c r="J238" s="113" t="s">
        <v>2719</v>
      </c>
      <c r="K238" s="113" t="s">
        <v>2988</v>
      </c>
      <c r="L238" s="113" t="s">
        <v>2715</v>
      </c>
      <c r="M238" s="37" t="s">
        <v>2989</v>
      </c>
      <c r="N238" s="113" t="s">
        <v>52</v>
      </c>
      <c r="O238" s="32"/>
      <c r="P238" s="43" t="s">
        <v>53</v>
      </c>
      <c r="Q238" s="43" t="s">
        <v>54</v>
      </c>
      <c r="R238" s="116" t="s">
        <v>2991</v>
      </c>
      <c r="S238" s="117"/>
      <c r="T238" s="117"/>
      <c r="U238" s="117"/>
      <c r="V238" s="117"/>
      <c r="W238" s="117"/>
      <c r="X238" s="117"/>
      <c r="Y238" s="97"/>
      <c r="Z238" s="97"/>
      <c r="AA238" s="97"/>
      <c r="AB238" s="97"/>
      <c r="AC238" s="97"/>
    </row>
    <row r="239">
      <c r="A239" s="111"/>
      <c r="B239" s="15">
        <v>46219.0</v>
      </c>
      <c r="C239" s="112" t="s">
        <v>25</v>
      </c>
      <c r="D239" s="21" t="s">
        <v>2993</v>
      </c>
      <c r="E239" s="32"/>
      <c r="F239" s="32"/>
      <c r="G239" s="99" t="s">
        <v>2712</v>
      </c>
      <c r="H239" s="113" t="s">
        <v>2705</v>
      </c>
      <c r="I239" s="114"/>
      <c r="J239" s="113" t="s">
        <v>2713</v>
      </c>
      <c r="K239" s="113" t="s">
        <v>2994</v>
      </c>
      <c r="L239" s="113" t="s">
        <v>2715</v>
      </c>
      <c r="M239" s="37" t="s">
        <v>2995</v>
      </c>
      <c r="N239" s="113" t="s">
        <v>52</v>
      </c>
      <c r="O239" s="32"/>
      <c r="P239" s="43" t="s">
        <v>55</v>
      </c>
      <c r="Q239" s="43" t="s">
        <v>419</v>
      </c>
      <c r="R239" s="116" t="s">
        <v>420</v>
      </c>
      <c r="S239" s="117"/>
      <c r="T239" s="117"/>
      <c r="U239" s="117"/>
      <c r="V239" s="117"/>
      <c r="W239" s="117"/>
      <c r="X239" s="117"/>
      <c r="Y239" s="97"/>
      <c r="Z239" s="97"/>
      <c r="AA239" s="97"/>
      <c r="AB239" s="97"/>
      <c r="AC239" s="97"/>
    </row>
    <row r="240">
      <c r="A240" s="111"/>
      <c r="B240" s="15">
        <v>46219.0</v>
      </c>
      <c r="C240" s="112" t="s">
        <v>25</v>
      </c>
      <c r="D240" s="21" t="s">
        <v>2996</v>
      </c>
      <c r="E240" s="32"/>
      <c r="F240" s="32"/>
      <c r="G240" s="99" t="s">
        <v>2718</v>
      </c>
      <c r="H240" s="113" t="s">
        <v>2705</v>
      </c>
      <c r="I240" s="114"/>
      <c r="J240" s="113" t="s">
        <v>2719</v>
      </c>
      <c r="K240" s="113" t="s">
        <v>2997</v>
      </c>
      <c r="L240" s="113" t="s">
        <v>2715</v>
      </c>
      <c r="M240" s="37" t="s">
        <v>2999</v>
      </c>
      <c r="N240" s="113" t="s">
        <v>52</v>
      </c>
      <c r="O240" s="32"/>
      <c r="P240" s="43" t="s">
        <v>53</v>
      </c>
      <c r="Q240" s="43" t="s">
        <v>54</v>
      </c>
      <c r="R240" s="116" t="s">
        <v>3005</v>
      </c>
      <c r="S240" s="117"/>
      <c r="T240" s="117"/>
      <c r="U240" s="117"/>
      <c r="V240" s="117"/>
      <c r="W240" s="117"/>
      <c r="X240" s="117"/>
      <c r="Y240" s="97"/>
      <c r="Z240" s="97"/>
      <c r="AA240" s="97"/>
      <c r="AB240" s="97"/>
      <c r="AC240" s="97"/>
    </row>
    <row r="241">
      <c r="A241" s="111"/>
      <c r="B241" s="82">
        <v>135.0</v>
      </c>
      <c r="C241" s="112" t="s">
        <v>25</v>
      </c>
      <c r="D241" s="83" t="s">
        <v>3006</v>
      </c>
      <c r="E241" s="84" t="s">
        <v>3008</v>
      </c>
      <c r="F241" s="84" t="s">
        <v>78</v>
      </c>
      <c r="G241" s="109" t="s">
        <v>3009</v>
      </c>
      <c r="H241" s="113" t="s">
        <v>2705</v>
      </c>
      <c r="I241" s="114"/>
      <c r="J241" s="113" t="s">
        <v>2706</v>
      </c>
      <c r="K241" s="113" t="s">
        <v>2761</v>
      </c>
      <c r="L241" s="113" t="s">
        <v>3010</v>
      </c>
      <c r="M241" s="37" t="s">
        <v>3011</v>
      </c>
      <c r="N241" s="113" t="s">
        <v>52</v>
      </c>
      <c r="O241" s="32"/>
      <c r="P241" s="43" t="s">
        <v>53</v>
      </c>
      <c r="Q241" s="43" t="s">
        <v>54</v>
      </c>
      <c r="R241" s="116" t="s">
        <v>3013</v>
      </c>
      <c r="S241" s="117"/>
      <c r="T241" s="117"/>
      <c r="U241" s="117"/>
      <c r="V241" s="117"/>
      <c r="W241" s="117"/>
      <c r="X241" s="117"/>
      <c r="Y241" s="97"/>
      <c r="Z241" s="97"/>
      <c r="AA241" s="97"/>
      <c r="AB241" s="97"/>
      <c r="AC241" s="97"/>
    </row>
    <row r="242">
      <c r="A242" s="111"/>
      <c r="B242" s="15">
        <v>46219.0</v>
      </c>
      <c r="C242" s="112" t="s">
        <v>25</v>
      </c>
      <c r="D242" s="21" t="s">
        <v>3018</v>
      </c>
      <c r="E242" s="32"/>
      <c r="F242" s="32"/>
      <c r="G242" s="99" t="s">
        <v>2911</v>
      </c>
      <c r="H242" s="113" t="s">
        <v>2705</v>
      </c>
      <c r="I242" s="114"/>
      <c r="J242" s="113" t="s">
        <v>2706</v>
      </c>
      <c r="K242" s="99" t="s">
        <v>3020</v>
      </c>
      <c r="L242" s="113" t="s">
        <v>3021</v>
      </c>
      <c r="M242" s="37" t="s">
        <v>3022</v>
      </c>
      <c r="N242" s="113" t="s">
        <v>52</v>
      </c>
      <c r="O242" s="32"/>
      <c r="P242" s="43" t="s">
        <v>53</v>
      </c>
      <c r="Q242" s="43" t="s">
        <v>54</v>
      </c>
      <c r="R242" s="116" t="s">
        <v>3023</v>
      </c>
      <c r="S242" s="117"/>
      <c r="T242" s="117"/>
      <c r="U242" s="117"/>
      <c r="V242" s="117"/>
      <c r="W242" s="117"/>
      <c r="X242" s="117"/>
      <c r="Y242" s="97"/>
      <c r="Z242" s="97"/>
      <c r="AA242" s="97"/>
      <c r="AB242" s="97"/>
      <c r="AC242" s="97"/>
    </row>
    <row r="243">
      <c r="A243" s="111"/>
      <c r="B243" s="15">
        <v>46219.0</v>
      </c>
      <c r="C243" s="112" t="s">
        <v>25</v>
      </c>
      <c r="D243" s="21" t="s">
        <v>3024</v>
      </c>
      <c r="E243" s="23"/>
      <c r="F243" s="23"/>
      <c r="G243" s="99" t="s">
        <v>2712</v>
      </c>
      <c r="H243" s="113" t="s">
        <v>2705</v>
      </c>
      <c r="I243" s="114"/>
      <c r="J243" s="113" t="s">
        <v>2713</v>
      </c>
      <c r="K243" s="113" t="s">
        <v>2994</v>
      </c>
      <c r="L243" s="113" t="s">
        <v>2715</v>
      </c>
      <c r="M243" s="37" t="s">
        <v>3026</v>
      </c>
      <c r="N243" s="113" t="s">
        <v>52</v>
      </c>
      <c r="O243" s="32"/>
      <c r="P243" s="43" t="s">
        <v>55</v>
      </c>
      <c r="Q243" s="43" t="s">
        <v>419</v>
      </c>
      <c r="R243" s="116" t="s">
        <v>420</v>
      </c>
      <c r="S243" s="117"/>
      <c r="T243" s="117"/>
      <c r="U243" s="117"/>
      <c r="V243" s="117"/>
      <c r="W243" s="117"/>
      <c r="X243" s="117"/>
      <c r="Y243" s="97"/>
      <c r="Z243" s="97"/>
      <c r="AA243" s="97"/>
      <c r="AB243" s="97"/>
      <c r="AC243" s="97"/>
    </row>
    <row r="244">
      <c r="A244" s="111"/>
      <c r="B244" s="15">
        <v>46219.0</v>
      </c>
      <c r="C244" s="112" t="s">
        <v>25</v>
      </c>
      <c r="D244" s="21" t="s">
        <v>3031</v>
      </c>
      <c r="E244" s="23"/>
      <c r="F244" s="23"/>
      <c r="G244" s="99" t="s">
        <v>2718</v>
      </c>
      <c r="H244" s="113" t="s">
        <v>2705</v>
      </c>
      <c r="I244" s="114"/>
      <c r="J244" s="113" t="s">
        <v>2719</v>
      </c>
      <c r="K244" s="113" t="s">
        <v>2997</v>
      </c>
      <c r="L244" s="113" t="s">
        <v>2715</v>
      </c>
      <c r="M244" s="37" t="s">
        <v>3032</v>
      </c>
      <c r="N244" s="113" t="s">
        <v>52</v>
      </c>
      <c r="O244" s="32"/>
      <c r="P244" s="43" t="s">
        <v>53</v>
      </c>
      <c r="Q244" s="43" t="s">
        <v>54</v>
      </c>
      <c r="R244" s="116" t="s">
        <v>3035</v>
      </c>
      <c r="S244" s="117"/>
      <c r="T244" s="117"/>
      <c r="U244" s="117"/>
      <c r="V244" s="117"/>
      <c r="W244" s="117"/>
      <c r="X244" s="117"/>
      <c r="Y244" s="97"/>
      <c r="Z244" s="97"/>
      <c r="AA244" s="97"/>
      <c r="AB244" s="97"/>
      <c r="AC244" s="97"/>
    </row>
    <row r="245">
      <c r="A245" s="111"/>
      <c r="B245" s="15">
        <v>46219.0</v>
      </c>
      <c r="C245" s="112" t="s">
        <v>25</v>
      </c>
      <c r="D245" s="21" t="s">
        <v>3039</v>
      </c>
      <c r="E245" s="23"/>
      <c r="F245" s="23"/>
      <c r="G245" s="99" t="s">
        <v>2911</v>
      </c>
      <c r="H245" s="113" t="s">
        <v>2705</v>
      </c>
      <c r="I245" s="114"/>
      <c r="J245" s="113" t="s">
        <v>2706</v>
      </c>
      <c r="K245" s="99" t="s">
        <v>3040</v>
      </c>
      <c r="L245" s="113" t="s">
        <v>3041</v>
      </c>
      <c r="M245" s="37" t="s">
        <v>3042</v>
      </c>
      <c r="N245" s="113" t="s">
        <v>52</v>
      </c>
      <c r="O245" s="32"/>
      <c r="P245" s="43" t="s">
        <v>53</v>
      </c>
      <c r="Q245" s="43" t="s">
        <v>54</v>
      </c>
      <c r="R245" s="116" t="s">
        <v>3043</v>
      </c>
      <c r="S245" s="117"/>
      <c r="T245" s="117"/>
      <c r="U245" s="117"/>
      <c r="V245" s="117"/>
      <c r="W245" s="117"/>
      <c r="X245" s="117"/>
      <c r="Y245" s="97"/>
      <c r="Z245" s="97"/>
      <c r="AA245" s="97"/>
      <c r="AB245" s="97"/>
      <c r="AC245" s="97"/>
    </row>
    <row r="246">
      <c r="A246" s="111"/>
      <c r="B246" s="15">
        <v>46219.0</v>
      </c>
      <c r="C246" s="112" t="s">
        <v>25</v>
      </c>
      <c r="D246" s="21" t="s">
        <v>3044</v>
      </c>
      <c r="E246" s="23"/>
      <c r="F246" s="23"/>
      <c r="G246" s="99" t="s">
        <v>2712</v>
      </c>
      <c r="H246" s="113" t="s">
        <v>2705</v>
      </c>
      <c r="I246" s="114"/>
      <c r="J246" s="113" t="s">
        <v>2713</v>
      </c>
      <c r="K246" s="113" t="s">
        <v>2994</v>
      </c>
      <c r="L246" s="113" t="s">
        <v>2715</v>
      </c>
      <c r="M246" s="37" t="s">
        <v>3045</v>
      </c>
      <c r="N246" s="113" t="s">
        <v>52</v>
      </c>
      <c r="O246" s="32"/>
      <c r="P246" s="43" t="s">
        <v>55</v>
      </c>
      <c r="Q246" s="43" t="s">
        <v>419</v>
      </c>
      <c r="R246" s="116" t="s">
        <v>420</v>
      </c>
      <c r="S246" s="117"/>
      <c r="T246" s="117"/>
      <c r="U246" s="117"/>
      <c r="V246" s="117"/>
      <c r="W246" s="117"/>
      <c r="X246" s="117"/>
      <c r="Y246" s="97"/>
      <c r="Z246" s="97"/>
      <c r="AA246" s="97"/>
      <c r="AB246" s="97"/>
      <c r="AC246" s="97"/>
    </row>
    <row r="247">
      <c r="A247" s="111"/>
      <c r="B247" s="15">
        <v>46219.0</v>
      </c>
      <c r="C247" s="112" t="s">
        <v>25</v>
      </c>
      <c r="D247" s="21" t="s">
        <v>3051</v>
      </c>
      <c r="E247" s="23"/>
      <c r="F247" s="23"/>
      <c r="G247" s="99" t="s">
        <v>2718</v>
      </c>
      <c r="H247" s="113" t="s">
        <v>2705</v>
      </c>
      <c r="I247" s="114"/>
      <c r="J247" s="113" t="s">
        <v>2719</v>
      </c>
      <c r="K247" s="113" t="s">
        <v>2997</v>
      </c>
      <c r="L247" s="113" t="s">
        <v>2715</v>
      </c>
      <c r="M247" s="37" t="s">
        <v>3052</v>
      </c>
      <c r="N247" s="113" t="s">
        <v>52</v>
      </c>
      <c r="O247" s="32"/>
      <c r="P247" s="43" t="s">
        <v>53</v>
      </c>
      <c r="Q247" s="43" t="s">
        <v>54</v>
      </c>
      <c r="R247" s="116" t="s">
        <v>3053</v>
      </c>
      <c r="S247" s="117"/>
      <c r="T247" s="117"/>
      <c r="U247" s="117"/>
      <c r="V247" s="117"/>
      <c r="W247" s="117"/>
      <c r="X247" s="117"/>
      <c r="Y247" s="97"/>
      <c r="Z247" s="97"/>
      <c r="AA247" s="97"/>
      <c r="AB247" s="97"/>
      <c r="AC247" s="97"/>
    </row>
    <row r="248">
      <c r="A248" s="111"/>
      <c r="B248" s="15">
        <v>46219.0</v>
      </c>
      <c r="C248" s="112" t="s">
        <v>25</v>
      </c>
      <c r="D248" s="21" t="s">
        <v>3054</v>
      </c>
      <c r="E248" s="23"/>
      <c r="F248" s="23"/>
      <c r="G248" s="99" t="s">
        <v>2712</v>
      </c>
      <c r="H248" s="113" t="s">
        <v>2705</v>
      </c>
      <c r="I248" s="114"/>
      <c r="J248" s="113" t="s">
        <v>2713</v>
      </c>
      <c r="K248" s="113" t="s">
        <v>2994</v>
      </c>
      <c r="L248" s="113" t="s">
        <v>2715</v>
      </c>
      <c r="M248" s="37" t="s">
        <v>3060</v>
      </c>
      <c r="N248" s="113" t="s">
        <v>52</v>
      </c>
      <c r="O248" s="32"/>
      <c r="P248" s="43" t="s">
        <v>55</v>
      </c>
      <c r="Q248" s="43" t="s">
        <v>419</v>
      </c>
      <c r="R248" s="116" t="s">
        <v>420</v>
      </c>
      <c r="S248" s="117"/>
      <c r="T248" s="117"/>
      <c r="U248" s="117"/>
      <c r="V248" s="117"/>
      <c r="W248" s="117"/>
      <c r="X248" s="117"/>
      <c r="Y248" s="97"/>
      <c r="Z248" s="97"/>
      <c r="AA248" s="97"/>
      <c r="AB248" s="97"/>
      <c r="AC248" s="97"/>
    </row>
    <row r="249">
      <c r="A249" s="111"/>
      <c r="B249" s="15">
        <v>46219.0</v>
      </c>
      <c r="C249" s="112" t="s">
        <v>25</v>
      </c>
      <c r="D249" s="21" t="s">
        <v>3061</v>
      </c>
      <c r="E249" s="23"/>
      <c r="F249" s="23"/>
      <c r="G249" s="99" t="s">
        <v>2718</v>
      </c>
      <c r="H249" s="113" t="s">
        <v>2705</v>
      </c>
      <c r="I249" s="114"/>
      <c r="J249" s="113" t="s">
        <v>2719</v>
      </c>
      <c r="K249" s="113" t="s">
        <v>2997</v>
      </c>
      <c r="L249" s="113" t="s">
        <v>2715</v>
      </c>
      <c r="M249" s="37" t="s">
        <v>3062</v>
      </c>
      <c r="N249" s="113" t="s">
        <v>52</v>
      </c>
      <c r="O249" s="32"/>
      <c r="P249" s="43" t="s">
        <v>53</v>
      </c>
      <c r="Q249" s="43" t="s">
        <v>54</v>
      </c>
      <c r="R249" s="116" t="s">
        <v>3067</v>
      </c>
      <c r="S249" s="117"/>
      <c r="T249" s="117"/>
      <c r="U249" s="117"/>
      <c r="V249" s="117"/>
      <c r="W249" s="117"/>
      <c r="X249" s="117"/>
      <c r="Y249" s="97"/>
      <c r="Z249" s="97"/>
      <c r="AA249" s="97"/>
      <c r="AB249" s="97"/>
      <c r="AC249" s="97"/>
    </row>
    <row r="250">
      <c r="A250" s="111"/>
      <c r="B250" s="15">
        <v>46219.0</v>
      </c>
      <c r="C250" s="112" t="s">
        <v>25</v>
      </c>
      <c r="D250" s="21" t="s">
        <v>3069</v>
      </c>
      <c r="E250" s="23"/>
      <c r="F250" s="23"/>
      <c r="G250" s="99" t="s">
        <v>2712</v>
      </c>
      <c r="H250" s="113" t="s">
        <v>2705</v>
      </c>
      <c r="I250" s="114"/>
      <c r="J250" s="113" t="s">
        <v>2713</v>
      </c>
      <c r="K250" s="113" t="s">
        <v>3070</v>
      </c>
      <c r="L250" s="113" t="s">
        <v>2715</v>
      </c>
      <c r="M250" s="37" t="s">
        <v>3071</v>
      </c>
      <c r="N250" s="113" t="s">
        <v>52</v>
      </c>
      <c r="O250" s="32"/>
      <c r="P250" s="43" t="s">
        <v>55</v>
      </c>
      <c r="Q250" s="43" t="s">
        <v>419</v>
      </c>
      <c r="R250" s="116" t="s">
        <v>420</v>
      </c>
      <c r="S250" s="117"/>
      <c r="T250" s="117"/>
      <c r="U250" s="117"/>
      <c r="V250" s="117"/>
      <c r="W250" s="117"/>
      <c r="X250" s="117"/>
      <c r="Y250" s="97"/>
      <c r="Z250" s="97"/>
      <c r="AA250" s="97"/>
      <c r="AB250" s="97"/>
      <c r="AC250" s="97"/>
    </row>
    <row r="251">
      <c r="A251" s="111"/>
      <c r="B251" s="15">
        <v>46219.0</v>
      </c>
      <c r="C251" s="112" t="s">
        <v>25</v>
      </c>
      <c r="D251" s="21" t="s">
        <v>3072</v>
      </c>
      <c r="E251" s="23"/>
      <c r="F251" s="23"/>
      <c r="G251" s="99" t="s">
        <v>2718</v>
      </c>
      <c r="H251" s="113" t="s">
        <v>2705</v>
      </c>
      <c r="I251" s="114"/>
      <c r="J251" s="113" t="s">
        <v>2719</v>
      </c>
      <c r="K251" s="113" t="s">
        <v>3074</v>
      </c>
      <c r="L251" s="113" t="s">
        <v>2715</v>
      </c>
      <c r="M251" s="37" t="s">
        <v>3075</v>
      </c>
      <c r="N251" s="113" t="s">
        <v>52</v>
      </c>
      <c r="O251" s="32"/>
      <c r="P251" s="43" t="s">
        <v>53</v>
      </c>
      <c r="Q251" s="43" t="s">
        <v>54</v>
      </c>
      <c r="R251" s="116" t="s">
        <v>3079</v>
      </c>
      <c r="S251" s="117"/>
      <c r="T251" s="117"/>
      <c r="U251" s="117"/>
      <c r="V251" s="117"/>
      <c r="W251" s="117"/>
      <c r="X251" s="117"/>
      <c r="Y251" s="97"/>
      <c r="Z251" s="97"/>
      <c r="AA251" s="97"/>
      <c r="AB251" s="97"/>
      <c r="AC251" s="97"/>
    </row>
    <row r="252">
      <c r="A252" s="111"/>
      <c r="B252" s="15">
        <v>46219.0</v>
      </c>
      <c r="C252" s="112" t="s">
        <v>25</v>
      </c>
      <c r="D252" s="21" t="s">
        <v>3081</v>
      </c>
      <c r="E252" s="23"/>
      <c r="F252" s="23"/>
      <c r="G252" s="99" t="s">
        <v>2874</v>
      </c>
      <c r="H252" s="113" t="s">
        <v>2705</v>
      </c>
      <c r="I252" s="114"/>
      <c r="J252" s="113" t="s">
        <v>2706</v>
      </c>
      <c r="K252" s="99" t="s">
        <v>2842</v>
      </c>
      <c r="L252" s="113" t="s">
        <v>2843</v>
      </c>
      <c r="M252" s="37" t="s">
        <v>3082</v>
      </c>
      <c r="N252" s="113" t="s">
        <v>52</v>
      </c>
      <c r="O252" s="32"/>
      <c r="P252" s="43" t="s">
        <v>55</v>
      </c>
      <c r="Q252" s="43" t="s">
        <v>55</v>
      </c>
      <c r="R252" s="116" t="s">
        <v>3083</v>
      </c>
      <c r="S252" s="117"/>
      <c r="T252" s="117"/>
      <c r="U252" s="117"/>
      <c r="V252" s="117"/>
      <c r="W252" s="117"/>
      <c r="X252" s="117"/>
      <c r="Y252" s="97"/>
      <c r="Z252" s="97"/>
      <c r="AA252" s="97"/>
      <c r="AB252" s="97"/>
      <c r="AC252" s="97"/>
    </row>
    <row r="253">
      <c r="A253" s="111"/>
      <c r="B253" s="15">
        <v>46219.0</v>
      </c>
      <c r="C253" s="112" t="s">
        <v>25</v>
      </c>
      <c r="D253" s="21" t="s">
        <v>3084</v>
      </c>
      <c r="E253" s="23"/>
      <c r="F253" s="23"/>
      <c r="G253" s="99" t="s">
        <v>2712</v>
      </c>
      <c r="H253" s="113" t="s">
        <v>2705</v>
      </c>
      <c r="I253" s="114"/>
      <c r="J253" s="113" t="s">
        <v>2713</v>
      </c>
      <c r="K253" s="113" t="s">
        <v>3070</v>
      </c>
      <c r="L253" s="113" t="s">
        <v>2715</v>
      </c>
      <c r="M253" s="37" t="s">
        <v>3088</v>
      </c>
      <c r="N253" s="113" t="s">
        <v>52</v>
      </c>
      <c r="O253" s="32"/>
      <c r="P253" s="43" t="s">
        <v>55</v>
      </c>
      <c r="Q253" s="43" t="s">
        <v>419</v>
      </c>
      <c r="R253" s="116" t="s">
        <v>420</v>
      </c>
      <c r="S253" s="117"/>
      <c r="T253" s="117"/>
      <c r="U253" s="117"/>
      <c r="V253" s="117"/>
      <c r="W253" s="117"/>
      <c r="X253" s="117"/>
      <c r="Y253" s="97"/>
      <c r="Z253" s="97"/>
      <c r="AA253" s="97"/>
      <c r="AB253" s="97"/>
      <c r="AC253" s="97"/>
    </row>
    <row r="254">
      <c r="A254" s="111"/>
      <c r="B254" s="15">
        <v>46219.0</v>
      </c>
      <c r="C254" s="112" t="s">
        <v>25</v>
      </c>
      <c r="D254" s="21" t="s">
        <v>3091</v>
      </c>
      <c r="E254" s="23"/>
      <c r="F254" s="23"/>
      <c r="G254" s="99" t="s">
        <v>2718</v>
      </c>
      <c r="H254" s="113" t="s">
        <v>2705</v>
      </c>
      <c r="I254" s="114"/>
      <c r="J254" s="113" t="s">
        <v>2719</v>
      </c>
      <c r="K254" s="113" t="s">
        <v>3074</v>
      </c>
      <c r="L254" s="113" t="s">
        <v>2715</v>
      </c>
      <c r="M254" s="37" t="s">
        <v>3092</v>
      </c>
      <c r="N254" s="113" t="s">
        <v>52</v>
      </c>
      <c r="O254" s="32"/>
      <c r="P254" s="43" t="s">
        <v>53</v>
      </c>
      <c r="Q254" s="43" t="s">
        <v>54</v>
      </c>
      <c r="R254" s="116" t="s">
        <v>3093</v>
      </c>
      <c r="S254" s="117"/>
      <c r="T254" s="117"/>
      <c r="U254" s="117"/>
      <c r="V254" s="117"/>
      <c r="W254" s="117"/>
      <c r="X254" s="117"/>
      <c r="Y254" s="97"/>
      <c r="Z254" s="97"/>
      <c r="AA254" s="97"/>
      <c r="AB254" s="97"/>
      <c r="AC254" s="97"/>
    </row>
    <row r="255">
      <c r="A255" s="111"/>
      <c r="B255" s="15">
        <v>46219.0</v>
      </c>
      <c r="C255" s="112" t="s">
        <v>25</v>
      </c>
      <c r="D255" s="21" t="s">
        <v>3099</v>
      </c>
      <c r="E255" s="23"/>
      <c r="F255" s="23"/>
      <c r="G255" s="99" t="s">
        <v>2874</v>
      </c>
      <c r="H255" s="113" t="s">
        <v>2705</v>
      </c>
      <c r="I255" s="114"/>
      <c r="J255" s="113" t="s">
        <v>2706</v>
      </c>
      <c r="K255" s="99" t="s">
        <v>2842</v>
      </c>
      <c r="L255" s="113" t="s">
        <v>2843</v>
      </c>
      <c r="M255" s="37" t="s">
        <v>3100</v>
      </c>
      <c r="N255" s="113" t="s">
        <v>52</v>
      </c>
      <c r="O255" s="32"/>
      <c r="P255" s="43" t="s">
        <v>55</v>
      </c>
      <c r="Q255" s="43" t="s">
        <v>55</v>
      </c>
      <c r="R255" s="116" t="s">
        <v>3101</v>
      </c>
      <c r="S255" s="117"/>
      <c r="T255" s="117"/>
      <c r="U255" s="117"/>
      <c r="V255" s="117"/>
      <c r="W255" s="117"/>
      <c r="X255" s="117"/>
      <c r="Y255" s="97"/>
      <c r="Z255" s="97"/>
      <c r="AA255" s="97"/>
      <c r="AB255" s="97"/>
      <c r="AC255" s="97"/>
    </row>
    <row r="256">
      <c r="A256" s="111"/>
      <c r="B256" s="15">
        <v>46219.0</v>
      </c>
      <c r="C256" s="112" t="s">
        <v>25</v>
      </c>
      <c r="D256" s="21" t="s">
        <v>3102</v>
      </c>
      <c r="E256" s="23"/>
      <c r="F256" s="23"/>
      <c r="G256" s="99" t="s">
        <v>2911</v>
      </c>
      <c r="H256" s="113" t="s">
        <v>2705</v>
      </c>
      <c r="I256" s="114"/>
      <c r="J256" s="113" t="s">
        <v>2706</v>
      </c>
      <c r="K256" s="99" t="s">
        <v>3104</v>
      </c>
      <c r="L256" s="113" t="s">
        <v>3106</v>
      </c>
      <c r="M256" s="37" t="s">
        <v>3107</v>
      </c>
      <c r="N256" s="113" t="s">
        <v>52</v>
      </c>
      <c r="O256" s="32"/>
      <c r="P256" s="43" t="s">
        <v>55</v>
      </c>
      <c r="Q256" s="43" t="s">
        <v>55</v>
      </c>
      <c r="R256" s="116" t="s">
        <v>3111</v>
      </c>
      <c r="S256" s="117"/>
      <c r="T256" s="117"/>
      <c r="U256" s="117"/>
      <c r="V256" s="117"/>
      <c r="W256" s="117"/>
      <c r="X256" s="117"/>
      <c r="Y256" s="97"/>
      <c r="Z256" s="97"/>
      <c r="AA256" s="97"/>
      <c r="AB256" s="97"/>
      <c r="AC256" s="97"/>
    </row>
    <row r="257">
      <c r="A257" s="111"/>
      <c r="B257" s="15">
        <v>46219.0</v>
      </c>
      <c r="C257" s="112" t="s">
        <v>25</v>
      </c>
      <c r="D257" s="21" t="s">
        <v>3112</v>
      </c>
      <c r="E257" s="23"/>
      <c r="F257" s="23"/>
      <c r="G257" s="99" t="s">
        <v>2712</v>
      </c>
      <c r="H257" s="113" t="s">
        <v>2705</v>
      </c>
      <c r="I257" s="114"/>
      <c r="J257" s="113" t="s">
        <v>2713</v>
      </c>
      <c r="K257" s="113" t="s">
        <v>3070</v>
      </c>
      <c r="L257" s="113" t="s">
        <v>2715</v>
      </c>
      <c r="M257" s="37" t="s">
        <v>3114</v>
      </c>
      <c r="N257" s="113" t="s">
        <v>52</v>
      </c>
      <c r="O257" s="32"/>
      <c r="P257" s="43" t="s">
        <v>55</v>
      </c>
      <c r="Q257" s="43" t="s">
        <v>419</v>
      </c>
      <c r="R257" s="116" t="s">
        <v>420</v>
      </c>
      <c r="S257" s="117"/>
      <c r="T257" s="117"/>
      <c r="U257" s="117"/>
      <c r="V257" s="117"/>
      <c r="W257" s="117"/>
      <c r="X257" s="117"/>
      <c r="Y257" s="97"/>
      <c r="Z257" s="97"/>
      <c r="AA257" s="97"/>
      <c r="AB257" s="97"/>
      <c r="AC257" s="97"/>
    </row>
    <row r="258">
      <c r="A258" s="111"/>
      <c r="B258" s="15">
        <v>46219.0</v>
      </c>
      <c r="C258" s="112" t="s">
        <v>25</v>
      </c>
      <c r="D258" s="21" t="s">
        <v>3116</v>
      </c>
      <c r="E258" s="23"/>
      <c r="F258" s="23"/>
      <c r="G258" s="99" t="s">
        <v>2718</v>
      </c>
      <c r="H258" s="113" t="s">
        <v>2705</v>
      </c>
      <c r="I258" s="114"/>
      <c r="J258" s="113" t="s">
        <v>2719</v>
      </c>
      <c r="K258" s="113" t="s">
        <v>3074</v>
      </c>
      <c r="L258" s="113" t="s">
        <v>2715</v>
      </c>
      <c r="M258" s="37" t="s">
        <v>3117</v>
      </c>
      <c r="N258" s="113" t="s">
        <v>52</v>
      </c>
      <c r="O258" s="32"/>
      <c r="P258" s="43" t="s">
        <v>53</v>
      </c>
      <c r="Q258" s="43" t="s">
        <v>54</v>
      </c>
      <c r="R258" s="116" t="s">
        <v>3120</v>
      </c>
      <c r="S258" s="117"/>
      <c r="T258" s="117"/>
      <c r="U258" s="117"/>
      <c r="V258" s="117"/>
      <c r="W258" s="117"/>
      <c r="X258" s="117"/>
      <c r="Y258" s="97"/>
      <c r="Z258" s="97"/>
      <c r="AA258" s="97"/>
      <c r="AB258" s="97"/>
      <c r="AC258" s="97"/>
    </row>
    <row r="259">
      <c r="A259" s="111"/>
      <c r="B259" s="15">
        <v>46219.0</v>
      </c>
      <c r="C259" s="112" t="s">
        <v>25</v>
      </c>
      <c r="D259" s="21" t="s">
        <v>3121</v>
      </c>
      <c r="E259" s="23"/>
      <c r="F259" s="23"/>
      <c r="G259" s="99" t="s">
        <v>2911</v>
      </c>
      <c r="H259" s="113" t="s">
        <v>2705</v>
      </c>
      <c r="I259" s="114"/>
      <c r="J259" s="113" t="s">
        <v>2706</v>
      </c>
      <c r="K259" s="99" t="s">
        <v>3122</v>
      </c>
      <c r="L259" s="113" t="s">
        <v>3123</v>
      </c>
      <c r="M259" s="37" t="s">
        <v>3124</v>
      </c>
      <c r="N259" s="113" t="s">
        <v>52</v>
      </c>
      <c r="O259" s="32"/>
      <c r="P259" s="43" t="s">
        <v>55</v>
      </c>
      <c r="Q259" s="43" t="s">
        <v>55</v>
      </c>
      <c r="R259" s="116" t="s">
        <v>3125</v>
      </c>
      <c r="S259" s="117"/>
      <c r="T259" s="117"/>
      <c r="U259" s="117"/>
      <c r="V259" s="117"/>
      <c r="W259" s="117"/>
      <c r="X259" s="117"/>
      <c r="Y259" s="97"/>
      <c r="Z259" s="97"/>
      <c r="AA259" s="97"/>
      <c r="AB259" s="97"/>
      <c r="AC259" s="97"/>
    </row>
    <row r="260">
      <c r="A260" s="111"/>
      <c r="B260" s="15">
        <v>46219.0</v>
      </c>
      <c r="C260" s="112" t="s">
        <v>25</v>
      </c>
      <c r="D260" s="21" t="s">
        <v>3126</v>
      </c>
      <c r="E260" s="32"/>
      <c r="F260" s="32"/>
      <c r="G260" s="99" t="s">
        <v>2712</v>
      </c>
      <c r="H260" s="113" t="s">
        <v>2705</v>
      </c>
      <c r="I260" s="114"/>
      <c r="J260" s="113" t="s">
        <v>2713</v>
      </c>
      <c r="K260" s="113" t="s">
        <v>3070</v>
      </c>
      <c r="L260" s="113" t="s">
        <v>2715</v>
      </c>
      <c r="M260" s="37" t="s">
        <v>3127</v>
      </c>
      <c r="N260" s="113" t="s">
        <v>52</v>
      </c>
      <c r="O260" s="32"/>
      <c r="P260" s="43" t="s">
        <v>55</v>
      </c>
      <c r="Q260" s="43" t="s">
        <v>419</v>
      </c>
      <c r="R260" s="116" t="s">
        <v>420</v>
      </c>
      <c r="S260" s="117"/>
      <c r="T260" s="117"/>
      <c r="U260" s="117"/>
      <c r="V260" s="117"/>
      <c r="W260" s="117"/>
      <c r="X260" s="117"/>
      <c r="Y260" s="97"/>
      <c r="Z260" s="97"/>
      <c r="AA260" s="97"/>
      <c r="AB260" s="97"/>
      <c r="AC260" s="97"/>
    </row>
    <row r="261">
      <c r="A261" s="111"/>
      <c r="B261" s="15">
        <v>46219.0</v>
      </c>
      <c r="C261" s="112" t="s">
        <v>25</v>
      </c>
      <c r="D261" s="21" t="s">
        <v>3128</v>
      </c>
      <c r="E261" s="32"/>
      <c r="F261" s="32"/>
      <c r="G261" s="99" t="s">
        <v>2718</v>
      </c>
      <c r="H261" s="113" t="s">
        <v>2705</v>
      </c>
      <c r="I261" s="114"/>
      <c r="J261" s="113" t="s">
        <v>2719</v>
      </c>
      <c r="K261" s="113" t="s">
        <v>3074</v>
      </c>
      <c r="L261" s="113" t="s">
        <v>2715</v>
      </c>
      <c r="M261" s="37" t="s">
        <v>3133</v>
      </c>
      <c r="N261" s="113" t="s">
        <v>52</v>
      </c>
      <c r="O261" s="32"/>
      <c r="P261" s="43" t="s">
        <v>53</v>
      </c>
      <c r="Q261" s="43" t="s">
        <v>54</v>
      </c>
      <c r="R261" s="116" t="s">
        <v>3134</v>
      </c>
      <c r="S261" s="117"/>
      <c r="T261" s="117"/>
      <c r="U261" s="117"/>
      <c r="V261" s="117"/>
      <c r="W261" s="117"/>
      <c r="X261" s="117"/>
      <c r="Y261" s="97"/>
      <c r="Z261" s="97"/>
      <c r="AA261" s="97"/>
      <c r="AB261" s="97"/>
      <c r="AC261" s="97"/>
    </row>
    <row r="262">
      <c r="A262" s="111"/>
      <c r="B262" s="15">
        <v>46219.0</v>
      </c>
      <c r="C262" s="112" t="s">
        <v>25</v>
      </c>
      <c r="D262" s="21" t="s">
        <v>3136</v>
      </c>
      <c r="E262" s="32"/>
      <c r="F262" s="32"/>
      <c r="G262" s="99" t="s">
        <v>2874</v>
      </c>
      <c r="H262" s="113" t="s">
        <v>2705</v>
      </c>
      <c r="I262" s="114"/>
      <c r="J262" s="113" t="s">
        <v>2706</v>
      </c>
      <c r="K262" s="99" t="s">
        <v>3137</v>
      </c>
      <c r="L262" s="113" t="s">
        <v>3138</v>
      </c>
      <c r="M262" s="37" t="s">
        <v>3139</v>
      </c>
      <c r="N262" s="113" t="s">
        <v>52</v>
      </c>
      <c r="O262" s="32"/>
      <c r="P262" s="43" t="s">
        <v>53</v>
      </c>
      <c r="Q262" s="43" t="s">
        <v>54</v>
      </c>
      <c r="R262" s="116" t="s">
        <v>3143</v>
      </c>
      <c r="S262" s="117"/>
      <c r="T262" s="117"/>
      <c r="U262" s="117"/>
      <c r="V262" s="117"/>
      <c r="W262" s="117"/>
      <c r="X262" s="117"/>
      <c r="Y262" s="97"/>
      <c r="Z262" s="97"/>
      <c r="AA262" s="97"/>
      <c r="AB262" s="97"/>
      <c r="AC262" s="97"/>
    </row>
    <row r="263">
      <c r="A263" s="111"/>
      <c r="B263" s="15">
        <v>46219.0</v>
      </c>
      <c r="C263" s="112" t="s">
        <v>25</v>
      </c>
      <c r="D263" s="21" t="s">
        <v>3144</v>
      </c>
      <c r="E263" s="32"/>
      <c r="F263" s="32"/>
      <c r="G263" s="99" t="s">
        <v>2911</v>
      </c>
      <c r="H263" s="113" t="s">
        <v>2705</v>
      </c>
      <c r="I263" s="114"/>
      <c r="J263" s="113" t="s">
        <v>2706</v>
      </c>
      <c r="K263" s="99" t="s">
        <v>3145</v>
      </c>
      <c r="L263" s="113" t="s">
        <v>3146</v>
      </c>
      <c r="M263" s="37" t="s">
        <v>3147</v>
      </c>
      <c r="N263" s="113" t="s">
        <v>52</v>
      </c>
      <c r="O263" s="32"/>
      <c r="P263" s="43" t="s">
        <v>53</v>
      </c>
      <c r="Q263" s="43" t="s">
        <v>54</v>
      </c>
      <c r="R263" s="116" t="s">
        <v>3148</v>
      </c>
      <c r="S263" s="117"/>
      <c r="T263" s="117"/>
      <c r="U263" s="117"/>
      <c r="V263" s="117"/>
      <c r="W263" s="117"/>
      <c r="X263" s="117"/>
      <c r="Y263" s="97"/>
      <c r="Z263" s="97"/>
      <c r="AA263" s="97"/>
      <c r="AB263" s="97"/>
      <c r="AC263" s="97"/>
    </row>
    <row r="264">
      <c r="A264" s="111"/>
      <c r="B264" s="15">
        <v>46219.0</v>
      </c>
      <c r="C264" s="112" t="s">
        <v>25</v>
      </c>
      <c r="D264" s="21" t="s">
        <v>3152</v>
      </c>
      <c r="E264" s="32"/>
      <c r="F264" s="32"/>
      <c r="G264" s="99" t="s">
        <v>2712</v>
      </c>
      <c r="H264" s="113" t="s">
        <v>2705</v>
      </c>
      <c r="I264" s="114"/>
      <c r="J264" s="113" t="s">
        <v>2713</v>
      </c>
      <c r="K264" s="113" t="s">
        <v>3153</v>
      </c>
      <c r="L264" s="113" t="s">
        <v>2715</v>
      </c>
      <c r="M264" s="37" t="s">
        <v>3154</v>
      </c>
      <c r="N264" s="113" t="s">
        <v>52</v>
      </c>
      <c r="O264" s="32"/>
      <c r="P264" s="43" t="s">
        <v>55</v>
      </c>
      <c r="Q264" s="43" t="s">
        <v>419</v>
      </c>
      <c r="R264" s="116" t="s">
        <v>420</v>
      </c>
      <c r="S264" s="117"/>
      <c r="T264" s="117"/>
      <c r="U264" s="117"/>
      <c r="V264" s="117"/>
      <c r="W264" s="117"/>
      <c r="X264" s="117"/>
      <c r="Y264" s="97"/>
      <c r="Z264" s="97"/>
      <c r="AA264" s="97"/>
      <c r="AB264" s="97"/>
      <c r="AC264" s="97"/>
    </row>
    <row r="265">
      <c r="A265" s="111"/>
      <c r="B265" s="15">
        <v>46219.0</v>
      </c>
      <c r="C265" s="112" t="s">
        <v>25</v>
      </c>
      <c r="D265" s="21" t="s">
        <v>3155</v>
      </c>
      <c r="E265" s="32"/>
      <c r="F265" s="32"/>
      <c r="G265" s="99" t="s">
        <v>2718</v>
      </c>
      <c r="H265" s="113" t="s">
        <v>2705</v>
      </c>
      <c r="I265" s="114"/>
      <c r="J265" s="113" t="s">
        <v>2719</v>
      </c>
      <c r="K265" s="113" t="s">
        <v>3156</v>
      </c>
      <c r="L265" s="113" t="s">
        <v>2715</v>
      </c>
      <c r="M265" s="37" t="s">
        <v>3157</v>
      </c>
      <c r="N265" s="113" t="s">
        <v>52</v>
      </c>
      <c r="O265" s="32"/>
      <c r="P265" s="43" t="s">
        <v>53</v>
      </c>
      <c r="Q265" s="43" t="s">
        <v>54</v>
      </c>
      <c r="R265" s="116" t="s">
        <v>3160</v>
      </c>
      <c r="S265" s="117"/>
      <c r="T265" s="117"/>
      <c r="U265" s="117"/>
      <c r="V265" s="117"/>
      <c r="W265" s="117"/>
      <c r="X265" s="117"/>
      <c r="Y265" s="97"/>
      <c r="Z265" s="97"/>
      <c r="AA265" s="97"/>
      <c r="AB265" s="97"/>
      <c r="AC265" s="97"/>
    </row>
    <row r="266">
      <c r="A266" s="111"/>
      <c r="B266" s="15">
        <v>46219.0</v>
      </c>
      <c r="C266" s="112" t="s">
        <v>25</v>
      </c>
      <c r="D266" s="21" t="s">
        <v>3161</v>
      </c>
      <c r="E266" s="32"/>
      <c r="F266" s="32"/>
      <c r="G266" s="99" t="s">
        <v>2874</v>
      </c>
      <c r="H266" s="113" t="s">
        <v>2705</v>
      </c>
      <c r="I266" s="114"/>
      <c r="J266" s="113" t="s">
        <v>2706</v>
      </c>
      <c r="K266" s="99" t="s">
        <v>2842</v>
      </c>
      <c r="L266" s="113" t="s">
        <v>3162</v>
      </c>
      <c r="M266" s="37" t="s">
        <v>3163</v>
      </c>
      <c r="N266" s="113" t="s">
        <v>52</v>
      </c>
      <c r="O266" s="32"/>
      <c r="P266" s="43" t="s">
        <v>55</v>
      </c>
      <c r="Q266" s="43" t="s">
        <v>55</v>
      </c>
      <c r="R266" s="116" t="s">
        <v>3168</v>
      </c>
      <c r="S266" s="117"/>
      <c r="T266" s="117"/>
      <c r="U266" s="117"/>
      <c r="V266" s="117"/>
      <c r="W266" s="117"/>
      <c r="X266" s="117"/>
      <c r="Y266" s="97"/>
      <c r="Z266" s="97"/>
      <c r="AA266" s="97"/>
      <c r="AB266" s="97"/>
      <c r="AC266" s="97"/>
    </row>
    <row r="267">
      <c r="A267" s="111"/>
      <c r="B267" s="15">
        <v>46219.0</v>
      </c>
      <c r="C267" s="112" t="s">
        <v>25</v>
      </c>
      <c r="D267" s="21" t="s">
        <v>3169</v>
      </c>
      <c r="E267" s="32"/>
      <c r="F267" s="32"/>
      <c r="G267" s="99" t="s">
        <v>2911</v>
      </c>
      <c r="H267" s="113" t="s">
        <v>2705</v>
      </c>
      <c r="I267" s="114"/>
      <c r="J267" s="113" t="s">
        <v>2706</v>
      </c>
      <c r="K267" s="99" t="s">
        <v>3170</v>
      </c>
      <c r="L267" s="113" t="s">
        <v>3171</v>
      </c>
      <c r="M267" s="37" t="s">
        <v>3172</v>
      </c>
      <c r="N267" s="113" t="s">
        <v>52</v>
      </c>
      <c r="O267" s="32"/>
      <c r="P267" s="43" t="s">
        <v>53</v>
      </c>
      <c r="Q267" s="43" t="s">
        <v>54</v>
      </c>
      <c r="R267" s="116" t="s">
        <v>3175</v>
      </c>
      <c r="S267" s="117"/>
      <c r="T267" s="117"/>
      <c r="U267" s="117"/>
      <c r="V267" s="117"/>
      <c r="W267" s="117"/>
      <c r="X267" s="117"/>
      <c r="Y267" s="97"/>
      <c r="Z267" s="97"/>
      <c r="AA267" s="97"/>
      <c r="AB267" s="97"/>
      <c r="AC267" s="97"/>
    </row>
    <row r="268">
      <c r="A268" s="111"/>
      <c r="B268" s="15">
        <v>46219.0</v>
      </c>
      <c r="C268" s="112" t="s">
        <v>25</v>
      </c>
      <c r="D268" s="21" t="s">
        <v>3177</v>
      </c>
      <c r="E268" s="32"/>
      <c r="F268" s="32"/>
      <c r="G268" s="99" t="s">
        <v>2712</v>
      </c>
      <c r="H268" s="113" t="s">
        <v>2705</v>
      </c>
      <c r="I268" s="114"/>
      <c r="J268" s="113" t="s">
        <v>2713</v>
      </c>
      <c r="K268" s="113" t="s">
        <v>3153</v>
      </c>
      <c r="L268" s="113" t="s">
        <v>2715</v>
      </c>
      <c r="M268" s="37" t="s">
        <v>3178</v>
      </c>
      <c r="N268" s="113" t="s">
        <v>52</v>
      </c>
      <c r="O268" s="32"/>
      <c r="P268" s="43" t="s">
        <v>55</v>
      </c>
      <c r="Q268" s="43" t="s">
        <v>419</v>
      </c>
      <c r="R268" s="116" t="s">
        <v>420</v>
      </c>
      <c r="S268" s="117"/>
      <c r="T268" s="117"/>
      <c r="U268" s="117"/>
      <c r="V268" s="117"/>
      <c r="W268" s="117"/>
      <c r="X268" s="117"/>
      <c r="Y268" s="97"/>
      <c r="Z268" s="97"/>
      <c r="AA268" s="97"/>
      <c r="AB268" s="97"/>
      <c r="AC268" s="97"/>
    </row>
    <row r="269">
      <c r="A269" s="111"/>
      <c r="B269" s="15">
        <v>46219.0</v>
      </c>
      <c r="C269" s="112" t="s">
        <v>25</v>
      </c>
      <c r="D269" s="21" t="s">
        <v>3182</v>
      </c>
      <c r="E269" s="23"/>
      <c r="F269" s="23"/>
      <c r="G269" s="99" t="s">
        <v>2718</v>
      </c>
      <c r="H269" s="113" t="s">
        <v>2705</v>
      </c>
      <c r="I269" s="114"/>
      <c r="J269" s="113" t="s">
        <v>2719</v>
      </c>
      <c r="K269" s="113" t="s">
        <v>3156</v>
      </c>
      <c r="L269" s="113" t="s">
        <v>2715</v>
      </c>
      <c r="M269" s="37" t="s">
        <v>3183</v>
      </c>
      <c r="N269" s="113" t="s">
        <v>52</v>
      </c>
      <c r="O269" s="32"/>
      <c r="P269" s="43" t="s">
        <v>53</v>
      </c>
      <c r="Q269" s="43" t="s">
        <v>54</v>
      </c>
      <c r="R269" s="116" t="s">
        <v>3184</v>
      </c>
      <c r="S269" s="117"/>
      <c r="T269" s="117"/>
      <c r="U269" s="117"/>
      <c r="V269" s="117"/>
      <c r="W269" s="117"/>
      <c r="X269" s="117"/>
      <c r="Y269" s="97"/>
      <c r="Z269" s="97"/>
      <c r="AA269" s="97"/>
      <c r="AB269" s="97"/>
      <c r="AC269" s="97"/>
    </row>
    <row r="270">
      <c r="A270" s="111"/>
      <c r="B270" s="82">
        <v>145.0</v>
      </c>
      <c r="C270" s="112" t="s">
        <v>25</v>
      </c>
      <c r="D270" s="83" t="s">
        <v>3190</v>
      </c>
      <c r="E270" s="84" t="s">
        <v>3191</v>
      </c>
      <c r="F270" s="84" t="s">
        <v>78</v>
      </c>
      <c r="G270" s="109" t="s">
        <v>3192</v>
      </c>
      <c r="H270" s="113" t="s">
        <v>2705</v>
      </c>
      <c r="I270" s="114"/>
      <c r="J270" s="113" t="s">
        <v>2706</v>
      </c>
      <c r="K270" s="113" t="s">
        <v>2761</v>
      </c>
      <c r="L270" s="113" t="s">
        <v>3193</v>
      </c>
      <c r="M270" s="37" t="s">
        <v>3194</v>
      </c>
      <c r="N270" s="113" t="s">
        <v>52</v>
      </c>
      <c r="O270" s="32"/>
      <c r="P270" s="43" t="s">
        <v>53</v>
      </c>
      <c r="Q270" s="43" t="s">
        <v>54</v>
      </c>
      <c r="R270" s="116" t="s">
        <v>3195</v>
      </c>
      <c r="S270" s="117"/>
      <c r="T270" s="117"/>
      <c r="U270" s="117"/>
      <c r="V270" s="117"/>
      <c r="W270" s="117"/>
      <c r="X270" s="117"/>
      <c r="Y270" s="97"/>
      <c r="Z270" s="97"/>
      <c r="AA270" s="97"/>
      <c r="AB270" s="97"/>
      <c r="AC270" s="97"/>
    </row>
    <row r="271">
      <c r="A271" s="111"/>
      <c r="B271" s="15">
        <v>46219.0</v>
      </c>
      <c r="C271" s="112" t="s">
        <v>25</v>
      </c>
      <c r="D271" s="21" t="s">
        <v>3196</v>
      </c>
      <c r="E271" s="23"/>
      <c r="F271" s="23"/>
      <c r="G271" s="99" t="s">
        <v>2874</v>
      </c>
      <c r="H271" s="113" t="s">
        <v>2705</v>
      </c>
      <c r="I271" s="114"/>
      <c r="J271" s="113" t="s">
        <v>2706</v>
      </c>
      <c r="K271" s="99" t="s">
        <v>2842</v>
      </c>
      <c r="L271" s="113" t="s">
        <v>3162</v>
      </c>
      <c r="M271" s="37" t="s">
        <v>3198</v>
      </c>
      <c r="N271" s="113" t="s">
        <v>52</v>
      </c>
      <c r="O271" s="32"/>
      <c r="P271" s="43" t="s">
        <v>55</v>
      </c>
      <c r="Q271" s="43" t="s">
        <v>55</v>
      </c>
      <c r="R271" s="116" t="s">
        <v>3199</v>
      </c>
      <c r="S271" s="117"/>
      <c r="T271" s="117"/>
      <c r="U271" s="117"/>
      <c r="V271" s="117"/>
      <c r="W271" s="117"/>
      <c r="X271" s="117"/>
      <c r="Y271" s="97"/>
      <c r="Z271" s="97"/>
      <c r="AA271" s="97"/>
      <c r="AB271" s="97"/>
      <c r="AC271" s="97"/>
    </row>
    <row r="272">
      <c r="A272" s="111"/>
      <c r="B272" s="15">
        <v>46219.0</v>
      </c>
      <c r="C272" s="112" t="s">
        <v>25</v>
      </c>
      <c r="D272" s="21" t="s">
        <v>3200</v>
      </c>
      <c r="E272" s="23"/>
      <c r="F272" s="23"/>
      <c r="G272" s="99" t="s">
        <v>2911</v>
      </c>
      <c r="H272" s="113" t="s">
        <v>2705</v>
      </c>
      <c r="I272" s="114"/>
      <c r="J272" s="113" t="s">
        <v>2706</v>
      </c>
      <c r="K272" s="99" t="s">
        <v>3201</v>
      </c>
      <c r="L272" s="113" t="s">
        <v>3193</v>
      </c>
      <c r="M272" s="37" t="s">
        <v>3202</v>
      </c>
      <c r="N272" s="113" t="s">
        <v>52</v>
      </c>
      <c r="O272" s="32"/>
      <c r="P272" s="43" t="s">
        <v>53</v>
      </c>
      <c r="Q272" s="43" t="s">
        <v>54</v>
      </c>
      <c r="R272" s="116" t="s">
        <v>3203</v>
      </c>
      <c r="S272" s="117"/>
      <c r="T272" s="117"/>
      <c r="U272" s="117"/>
      <c r="V272" s="117"/>
      <c r="W272" s="117"/>
      <c r="X272" s="117"/>
      <c r="Y272" s="97"/>
      <c r="Z272" s="97"/>
      <c r="AA272" s="97"/>
      <c r="AB272" s="97"/>
      <c r="AC272" s="97"/>
    </row>
    <row r="273">
      <c r="A273" s="111"/>
      <c r="B273" s="15">
        <v>46219.0</v>
      </c>
      <c r="C273" s="112" t="s">
        <v>25</v>
      </c>
      <c r="D273" s="21" t="s">
        <v>3206</v>
      </c>
      <c r="E273" s="23"/>
      <c r="F273" s="23"/>
      <c r="G273" s="99" t="s">
        <v>2712</v>
      </c>
      <c r="H273" s="113" t="s">
        <v>2705</v>
      </c>
      <c r="I273" s="114"/>
      <c r="J273" s="113" t="s">
        <v>2713</v>
      </c>
      <c r="K273" s="113" t="s">
        <v>3153</v>
      </c>
      <c r="L273" s="113" t="s">
        <v>2715</v>
      </c>
      <c r="M273" s="37" t="s">
        <v>3208</v>
      </c>
      <c r="N273" s="113" t="s">
        <v>52</v>
      </c>
      <c r="O273" s="32"/>
      <c r="P273" s="43" t="s">
        <v>55</v>
      </c>
      <c r="Q273" s="43" t="s">
        <v>419</v>
      </c>
      <c r="R273" s="116" t="s">
        <v>420</v>
      </c>
      <c r="S273" s="117"/>
      <c r="T273" s="117"/>
      <c r="U273" s="117"/>
      <c r="V273" s="117"/>
      <c r="W273" s="117"/>
      <c r="X273" s="117"/>
      <c r="Y273" s="97"/>
      <c r="Z273" s="97"/>
      <c r="AA273" s="97"/>
      <c r="AB273" s="97"/>
      <c r="AC273" s="97"/>
    </row>
    <row r="274">
      <c r="A274" s="111"/>
      <c r="B274" s="15">
        <v>46219.0</v>
      </c>
      <c r="C274" s="112" t="s">
        <v>25</v>
      </c>
      <c r="D274" s="21" t="s">
        <v>3209</v>
      </c>
      <c r="E274" s="23"/>
      <c r="F274" s="23"/>
      <c r="G274" s="99" t="s">
        <v>2718</v>
      </c>
      <c r="H274" s="113" t="s">
        <v>2705</v>
      </c>
      <c r="I274" s="114"/>
      <c r="J274" s="113" t="s">
        <v>2719</v>
      </c>
      <c r="K274" s="113" t="s">
        <v>3156</v>
      </c>
      <c r="L274" s="113" t="s">
        <v>2715</v>
      </c>
      <c r="M274" s="37" t="s">
        <v>3210</v>
      </c>
      <c r="N274" s="113" t="s">
        <v>52</v>
      </c>
      <c r="O274" s="32"/>
      <c r="P274" s="43" t="s">
        <v>53</v>
      </c>
      <c r="Q274" s="43" t="s">
        <v>54</v>
      </c>
      <c r="R274" s="116" t="s">
        <v>3213</v>
      </c>
      <c r="S274" s="117"/>
      <c r="T274" s="117"/>
      <c r="U274" s="117"/>
      <c r="V274" s="117"/>
      <c r="W274" s="117"/>
      <c r="X274" s="117"/>
      <c r="Y274" s="97"/>
      <c r="Z274" s="97"/>
      <c r="AA274" s="97"/>
      <c r="AB274" s="97"/>
      <c r="AC274" s="97"/>
    </row>
    <row r="275">
      <c r="A275" s="111"/>
      <c r="B275" s="15">
        <v>46219.0</v>
      </c>
      <c r="C275" s="112" t="s">
        <v>25</v>
      </c>
      <c r="D275" s="21" t="s">
        <v>3214</v>
      </c>
      <c r="E275" s="23"/>
      <c r="F275" s="23"/>
      <c r="G275" s="99" t="s">
        <v>2712</v>
      </c>
      <c r="H275" s="113" t="s">
        <v>2705</v>
      </c>
      <c r="I275" s="114"/>
      <c r="J275" s="113" t="s">
        <v>2713</v>
      </c>
      <c r="K275" s="113" t="s">
        <v>3153</v>
      </c>
      <c r="L275" s="113" t="s">
        <v>2715</v>
      </c>
      <c r="M275" s="37" t="s">
        <v>3215</v>
      </c>
      <c r="N275" s="113" t="s">
        <v>52</v>
      </c>
      <c r="O275" s="32"/>
      <c r="P275" s="43" t="s">
        <v>55</v>
      </c>
      <c r="Q275" s="43" t="s">
        <v>419</v>
      </c>
      <c r="R275" s="116" t="s">
        <v>420</v>
      </c>
      <c r="S275" s="117"/>
      <c r="T275" s="117"/>
      <c r="U275" s="117"/>
      <c r="V275" s="117"/>
      <c r="W275" s="117"/>
      <c r="X275" s="117"/>
      <c r="Y275" s="97"/>
      <c r="Z275" s="97"/>
      <c r="AA275" s="97"/>
      <c r="AB275" s="97"/>
      <c r="AC275" s="97"/>
    </row>
    <row r="276">
      <c r="A276" s="111"/>
      <c r="B276" s="15">
        <v>46219.0</v>
      </c>
      <c r="C276" s="112" t="s">
        <v>25</v>
      </c>
      <c r="D276" s="21" t="s">
        <v>3216</v>
      </c>
      <c r="E276" s="23"/>
      <c r="F276" s="23"/>
      <c r="G276" s="99" t="s">
        <v>2718</v>
      </c>
      <c r="H276" s="113" t="s">
        <v>2705</v>
      </c>
      <c r="I276" s="114"/>
      <c r="J276" s="113" t="s">
        <v>2719</v>
      </c>
      <c r="K276" s="113" t="s">
        <v>3156</v>
      </c>
      <c r="L276" s="113" t="s">
        <v>2715</v>
      </c>
      <c r="M276" s="37" t="s">
        <v>3218</v>
      </c>
      <c r="N276" s="113" t="s">
        <v>52</v>
      </c>
      <c r="O276" s="32"/>
      <c r="P276" s="43" t="s">
        <v>53</v>
      </c>
      <c r="Q276" s="43" t="s">
        <v>54</v>
      </c>
      <c r="R276" s="116" t="s">
        <v>3219</v>
      </c>
      <c r="S276" s="117"/>
      <c r="T276" s="117"/>
      <c r="U276" s="117"/>
      <c r="V276" s="117"/>
      <c r="W276" s="117"/>
      <c r="X276" s="117"/>
      <c r="Y276" s="97"/>
      <c r="Z276" s="97"/>
      <c r="AA276" s="97"/>
      <c r="AB276" s="97"/>
      <c r="AC276" s="97"/>
    </row>
    <row r="277">
      <c r="A277" s="111"/>
      <c r="B277" s="15">
        <v>46220.0</v>
      </c>
      <c r="C277" s="112" t="s">
        <v>25</v>
      </c>
      <c r="D277" s="21" t="s">
        <v>3220</v>
      </c>
      <c r="E277" s="23"/>
      <c r="F277" s="23"/>
      <c r="G277" s="99" t="s">
        <v>59</v>
      </c>
      <c r="H277" s="113" t="s">
        <v>37</v>
      </c>
      <c r="I277" s="114"/>
      <c r="J277" s="113" t="s">
        <v>3221</v>
      </c>
      <c r="K277" s="113" t="s">
        <v>3222</v>
      </c>
      <c r="L277" s="113" t="s">
        <v>3223</v>
      </c>
      <c r="M277" s="37" t="s">
        <v>3224</v>
      </c>
      <c r="N277" s="113" t="s">
        <v>52</v>
      </c>
      <c r="O277" s="32"/>
      <c r="P277" s="43" t="s">
        <v>55</v>
      </c>
      <c r="Q277" s="43" t="s">
        <v>419</v>
      </c>
      <c r="R277" s="116" t="s">
        <v>420</v>
      </c>
      <c r="S277" s="117"/>
      <c r="T277" s="117"/>
      <c r="U277" s="117"/>
      <c r="V277" s="117"/>
      <c r="W277" s="117"/>
      <c r="X277" s="117"/>
      <c r="Y277" s="97"/>
      <c r="Z277" s="97"/>
      <c r="AA277" s="97"/>
      <c r="AB277" s="97"/>
      <c r="AC277" s="97"/>
    </row>
    <row r="278">
      <c r="A278" s="111"/>
      <c r="B278" s="15">
        <v>46220.0</v>
      </c>
      <c r="C278" s="112" t="s">
        <v>25</v>
      </c>
      <c r="D278" s="21" t="s">
        <v>3226</v>
      </c>
      <c r="E278" s="23"/>
      <c r="F278" s="23"/>
      <c r="G278" s="99" t="s">
        <v>398</v>
      </c>
      <c r="H278" s="113" t="s">
        <v>37</v>
      </c>
      <c r="I278" s="114"/>
      <c r="J278" s="113" t="s">
        <v>3227</v>
      </c>
      <c r="K278" s="113" t="s">
        <v>3228</v>
      </c>
      <c r="L278" s="113" t="s">
        <v>3229</v>
      </c>
      <c r="M278" s="37" t="s">
        <v>3230</v>
      </c>
      <c r="N278" s="113" t="s">
        <v>52</v>
      </c>
      <c r="O278" s="32"/>
      <c r="P278" s="43" t="s">
        <v>53</v>
      </c>
      <c r="Q278" s="43" t="s">
        <v>54</v>
      </c>
      <c r="R278" s="116" t="s">
        <v>3232</v>
      </c>
      <c r="S278" s="117"/>
      <c r="T278" s="117"/>
      <c r="U278" s="117"/>
      <c r="V278" s="117"/>
      <c r="W278" s="117"/>
      <c r="X278" s="117"/>
      <c r="Y278" s="97"/>
      <c r="Z278" s="97"/>
      <c r="AA278" s="97"/>
      <c r="AB278" s="97"/>
      <c r="AC278" s="97"/>
    </row>
    <row r="279">
      <c r="A279" s="111"/>
      <c r="B279" s="15">
        <v>46220.0</v>
      </c>
      <c r="C279" s="112" t="s">
        <v>25</v>
      </c>
      <c r="D279" s="21" t="s">
        <v>3233</v>
      </c>
      <c r="E279" s="23"/>
      <c r="F279" s="23"/>
      <c r="G279" s="99" t="s">
        <v>3234</v>
      </c>
      <c r="H279" s="113" t="s">
        <v>37</v>
      </c>
      <c r="I279" s="114"/>
      <c r="J279" s="113" t="s">
        <v>3235</v>
      </c>
      <c r="K279" s="113" t="s">
        <v>3236</v>
      </c>
      <c r="L279" s="113" t="s">
        <v>3237</v>
      </c>
      <c r="M279" s="37" t="s">
        <v>3238</v>
      </c>
      <c r="N279" s="113" t="s">
        <v>52</v>
      </c>
      <c r="O279" s="32"/>
      <c r="P279" s="43" t="s">
        <v>55</v>
      </c>
      <c r="Q279" s="43" t="s">
        <v>55</v>
      </c>
      <c r="R279" s="116" t="s">
        <v>3240</v>
      </c>
      <c r="S279" s="117"/>
      <c r="T279" s="117"/>
      <c r="U279" s="117"/>
      <c r="V279" s="117"/>
      <c r="W279" s="117"/>
      <c r="X279" s="117"/>
      <c r="Y279" s="97"/>
      <c r="Z279" s="97"/>
      <c r="AA279" s="97"/>
      <c r="AB279" s="97"/>
      <c r="AC279" s="97"/>
    </row>
    <row r="280">
      <c r="A280" s="111"/>
      <c r="B280" s="15">
        <v>46220.0</v>
      </c>
      <c r="C280" s="112" t="s">
        <v>25</v>
      </c>
      <c r="D280" s="21" t="s">
        <v>3241</v>
      </c>
      <c r="E280" s="23"/>
      <c r="F280" s="23"/>
      <c r="G280" s="99" t="s">
        <v>3242</v>
      </c>
      <c r="H280" s="113" t="s">
        <v>37</v>
      </c>
      <c r="I280" s="114"/>
      <c r="J280" s="113" t="s">
        <v>3243</v>
      </c>
      <c r="K280" s="113" t="s">
        <v>3244</v>
      </c>
      <c r="L280" s="113" t="s">
        <v>3245</v>
      </c>
      <c r="M280" s="37" t="s">
        <v>3246</v>
      </c>
      <c r="N280" s="113" t="s">
        <v>52</v>
      </c>
      <c r="O280" s="32"/>
      <c r="P280" s="43" t="s">
        <v>53</v>
      </c>
      <c r="Q280" s="43" t="s">
        <v>54</v>
      </c>
      <c r="R280" s="116" t="s">
        <v>3248</v>
      </c>
      <c r="S280" s="117"/>
      <c r="T280" s="117"/>
      <c r="U280" s="117"/>
      <c r="V280" s="117"/>
      <c r="W280" s="117"/>
      <c r="X280" s="117"/>
      <c r="Y280" s="97"/>
      <c r="Z280" s="97"/>
      <c r="AA280" s="97"/>
      <c r="AB280" s="97"/>
      <c r="AC280" s="97"/>
    </row>
    <row r="281">
      <c r="A281" s="111"/>
      <c r="B281" s="15">
        <v>46220.0</v>
      </c>
      <c r="C281" s="112" t="s">
        <v>25</v>
      </c>
      <c r="D281" s="21" t="s">
        <v>3249</v>
      </c>
      <c r="E281" s="23"/>
      <c r="F281" s="23"/>
      <c r="G281" s="99" t="s">
        <v>3250</v>
      </c>
      <c r="H281" s="113" t="s">
        <v>37</v>
      </c>
      <c r="I281" s="114"/>
      <c r="J281" s="113" t="s">
        <v>3235</v>
      </c>
      <c r="K281" s="99" t="s">
        <v>3251</v>
      </c>
      <c r="L281" s="113" t="s">
        <v>3252</v>
      </c>
      <c r="M281" s="37" t="s">
        <v>3253</v>
      </c>
      <c r="N281" s="113" t="s">
        <v>52</v>
      </c>
      <c r="O281" s="32"/>
      <c r="P281" s="43" t="s">
        <v>53</v>
      </c>
      <c r="Q281" s="43" t="s">
        <v>54</v>
      </c>
      <c r="R281" s="116" t="s">
        <v>3254</v>
      </c>
      <c r="S281" s="117"/>
      <c r="T281" s="117"/>
      <c r="U281" s="117"/>
      <c r="V281" s="117"/>
      <c r="W281" s="117"/>
      <c r="X281" s="117"/>
      <c r="Y281" s="97"/>
      <c r="Z281" s="97"/>
      <c r="AA281" s="97"/>
      <c r="AB281" s="97"/>
      <c r="AC281" s="97"/>
    </row>
    <row r="282">
      <c r="A282" s="111"/>
      <c r="B282" s="15">
        <v>46220.0</v>
      </c>
      <c r="C282" s="112" t="s">
        <v>25</v>
      </c>
      <c r="D282" s="21" t="s">
        <v>3257</v>
      </c>
      <c r="E282" s="23"/>
      <c r="F282" s="23"/>
      <c r="G282" s="99" t="s">
        <v>3258</v>
      </c>
      <c r="H282" s="113" t="s">
        <v>37</v>
      </c>
      <c r="I282" s="114"/>
      <c r="J282" s="113" t="s">
        <v>3259</v>
      </c>
      <c r="K282" s="113" t="s">
        <v>3260</v>
      </c>
      <c r="L282" s="113" t="s">
        <v>3261</v>
      </c>
      <c r="M282" s="37" t="s">
        <v>3262</v>
      </c>
      <c r="N282" s="113" t="s">
        <v>52</v>
      </c>
      <c r="O282" s="32"/>
      <c r="P282" s="43" t="s">
        <v>55</v>
      </c>
      <c r="Q282" s="43" t="s">
        <v>419</v>
      </c>
      <c r="R282" s="116" t="s">
        <v>420</v>
      </c>
      <c r="S282" s="117"/>
      <c r="T282" s="117"/>
      <c r="U282" s="117"/>
      <c r="V282" s="117"/>
      <c r="W282" s="117"/>
      <c r="X282" s="117"/>
      <c r="Y282" s="97"/>
      <c r="Z282" s="97"/>
      <c r="AA282" s="97"/>
      <c r="AB282" s="97"/>
      <c r="AC282" s="97"/>
    </row>
    <row r="283">
      <c r="A283" s="111"/>
      <c r="B283" s="15">
        <v>46220.0</v>
      </c>
      <c r="C283" s="112" t="s">
        <v>25</v>
      </c>
      <c r="D283" s="21" t="s">
        <v>3263</v>
      </c>
      <c r="E283" s="23"/>
      <c r="F283" s="23"/>
      <c r="G283" s="99" t="s">
        <v>3264</v>
      </c>
      <c r="H283" s="113" t="s">
        <v>37</v>
      </c>
      <c r="I283" s="114"/>
      <c r="J283" s="113" t="s">
        <v>3266</v>
      </c>
      <c r="K283" s="113" t="s">
        <v>3267</v>
      </c>
      <c r="L283" s="113" t="s">
        <v>3268</v>
      </c>
      <c r="M283" s="37" t="s">
        <v>3269</v>
      </c>
      <c r="N283" s="113" t="s">
        <v>52</v>
      </c>
      <c r="O283" s="32"/>
      <c r="P283" s="43" t="s">
        <v>53</v>
      </c>
      <c r="Q283" s="43" t="s">
        <v>54</v>
      </c>
      <c r="R283" s="116" t="s">
        <v>3270</v>
      </c>
      <c r="S283" s="117"/>
      <c r="T283" s="117"/>
      <c r="U283" s="117"/>
      <c r="V283" s="117"/>
      <c r="W283" s="117"/>
      <c r="X283" s="117"/>
      <c r="Y283" s="97"/>
      <c r="Z283" s="97"/>
      <c r="AA283" s="97"/>
      <c r="AB283" s="97"/>
      <c r="AC283" s="97"/>
    </row>
    <row r="284">
      <c r="A284" s="111"/>
      <c r="B284" s="15">
        <v>46220.0</v>
      </c>
      <c r="C284" s="112" t="s">
        <v>25</v>
      </c>
      <c r="D284" s="21" t="s">
        <v>3271</v>
      </c>
      <c r="E284" s="23"/>
      <c r="F284" s="23"/>
      <c r="G284" s="99" t="s">
        <v>3272</v>
      </c>
      <c r="H284" s="113" t="s">
        <v>37</v>
      </c>
      <c r="I284" s="114"/>
      <c r="J284" s="113" t="s">
        <v>3266</v>
      </c>
      <c r="K284" s="113" t="s">
        <v>3273</v>
      </c>
      <c r="L284" s="113" t="s">
        <v>3274</v>
      </c>
      <c r="M284" s="37" t="s">
        <v>3275</v>
      </c>
      <c r="N284" s="113" t="s">
        <v>52</v>
      </c>
      <c r="O284" s="32"/>
      <c r="P284" s="43" t="s">
        <v>53</v>
      </c>
      <c r="Q284" s="43" t="s">
        <v>54</v>
      </c>
      <c r="R284" s="116" t="s">
        <v>3277</v>
      </c>
      <c r="S284" s="117"/>
      <c r="T284" s="117"/>
      <c r="U284" s="117"/>
      <c r="V284" s="117"/>
      <c r="W284" s="117"/>
      <c r="X284" s="117"/>
      <c r="Y284" s="97"/>
      <c r="Z284" s="97"/>
      <c r="AA284" s="97"/>
      <c r="AB284" s="97"/>
      <c r="AC284" s="97"/>
    </row>
    <row r="285">
      <c r="A285" s="111"/>
      <c r="B285" s="15">
        <v>46220.0</v>
      </c>
      <c r="C285" s="112" t="s">
        <v>25</v>
      </c>
      <c r="D285" s="21" t="s">
        <v>3278</v>
      </c>
      <c r="E285" s="23"/>
      <c r="F285" s="23"/>
      <c r="G285" s="99" t="s">
        <v>3279</v>
      </c>
      <c r="H285" s="113" t="s">
        <v>37</v>
      </c>
      <c r="I285" s="114"/>
      <c r="J285" s="113" t="s">
        <v>3266</v>
      </c>
      <c r="K285" s="113" t="s">
        <v>3280</v>
      </c>
      <c r="L285" s="113" t="s">
        <v>3281</v>
      </c>
      <c r="M285" s="37" t="s">
        <v>3282</v>
      </c>
      <c r="N285" s="113" t="s">
        <v>52</v>
      </c>
      <c r="O285" s="32"/>
      <c r="P285" s="43" t="s">
        <v>55</v>
      </c>
      <c r="Q285" s="43" t="s">
        <v>55</v>
      </c>
      <c r="R285" s="116" t="s">
        <v>3284</v>
      </c>
      <c r="S285" s="117"/>
      <c r="T285" s="117"/>
      <c r="U285" s="117"/>
      <c r="V285" s="117"/>
      <c r="W285" s="117"/>
      <c r="X285" s="117"/>
      <c r="Y285" s="97"/>
      <c r="Z285" s="97"/>
      <c r="AA285" s="97"/>
      <c r="AB285" s="97"/>
      <c r="AC285" s="97"/>
    </row>
    <row r="286">
      <c r="A286" s="111"/>
      <c r="B286" s="15">
        <v>46220.0</v>
      </c>
      <c r="C286" s="112" t="s">
        <v>25</v>
      </c>
      <c r="D286" s="21" t="s">
        <v>3285</v>
      </c>
      <c r="E286" s="23"/>
      <c r="F286" s="23"/>
      <c r="G286" s="99" t="s">
        <v>3286</v>
      </c>
      <c r="H286" s="113" t="s">
        <v>37</v>
      </c>
      <c r="I286" s="114"/>
      <c r="J286" s="113" t="s">
        <v>3287</v>
      </c>
      <c r="K286" s="113" t="s">
        <v>3288</v>
      </c>
      <c r="L286" s="113" t="s">
        <v>3289</v>
      </c>
      <c r="M286" s="37" t="s">
        <v>3290</v>
      </c>
      <c r="N286" s="113" t="s">
        <v>52</v>
      </c>
      <c r="O286" s="32"/>
      <c r="P286" s="43" t="s">
        <v>53</v>
      </c>
      <c r="Q286" s="43" t="s">
        <v>54</v>
      </c>
      <c r="R286" s="116" t="s">
        <v>3291</v>
      </c>
      <c r="S286" s="117"/>
      <c r="T286" s="117"/>
      <c r="U286" s="117"/>
      <c r="V286" s="117"/>
      <c r="W286" s="117"/>
      <c r="X286" s="117"/>
      <c r="Y286" s="97"/>
      <c r="Z286" s="97"/>
      <c r="AA286" s="97"/>
      <c r="AB286" s="97"/>
      <c r="AC286" s="97"/>
    </row>
    <row r="287">
      <c r="A287" s="111"/>
      <c r="B287" s="15">
        <v>46220.0</v>
      </c>
      <c r="C287" s="112" t="s">
        <v>25</v>
      </c>
      <c r="D287" s="21" t="s">
        <v>3292</v>
      </c>
      <c r="E287" s="23"/>
      <c r="F287" s="23"/>
      <c r="G287" s="99" t="s">
        <v>1809</v>
      </c>
      <c r="H287" s="113" t="s">
        <v>37</v>
      </c>
      <c r="I287" s="114"/>
      <c r="J287" s="113" t="s">
        <v>3294</v>
      </c>
      <c r="K287" s="113" t="s">
        <v>3295</v>
      </c>
      <c r="L287" s="113" t="s">
        <v>3296</v>
      </c>
      <c r="M287" s="37" t="s">
        <v>3297</v>
      </c>
      <c r="N287" s="113" t="s">
        <v>52</v>
      </c>
      <c r="O287" s="32"/>
      <c r="P287" s="43" t="s">
        <v>55</v>
      </c>
      <c r="Q287" s="43" t="s">
        <v>419</v>
      </c>
      <c r="R287" s="116" t="s">
        <v>420</v>
      </c>
      <c r="S287" s="117"/>
      <c r="T287" s="117"/>
      <c r="U287" s="117"/>
      <c r="V287" s="117"/>
      <c r="W287" s="117"/>
      <c r="X287" s="117"/>
      <c r="Y287" s="97"/>
      <c r="Z287" s="97"/>
      <c r="AA287" s="97"/>
      <c r="AB287" s="97"/>
      <c r="AC287" s="97"/>
    </row>
    <row r="288">
      <c r="A288" s="111"/>
      <c r="B288" s="15">
        <v>46220.0</v>
      </c>
      <c r="C288" s="112" t="s">
        <v>25</v>
      </c>
      <c r="D288" s="21" t="s">
        <v>3298</v>
      </c>
      <c r="E288" s="23"/>
      <c r="F288" s="23"/>
      <c r="G288" s="99" t="s">
        <v>3299</v>
      </c>
      <c r="H288" s="113" t="s">
        <v>3300</v>
      </c>
      <c r="I288" s="114"/>
      <c r="J288" s="113" t="s">
        <v>3301</v>
      </c>
      <c r="K288" s="113" t="s">
        <v>3304</v>
      </c>
      <c r="L288" s="113" t="s">
        <v>3305</v>
      </c>
      <c r="M288" s="152" t="s">
        <v>3306</v>
      </c>
      <c r="N288" s="113" t="s">
        <v>52</v>
      </c>
      <c r="O288" s="32"/>
      <c r="P288" s="43" t="s">
        <v>53</v>
      </c>
      <c r="Q288" s="43" t="s">
        <v>54</v>
      </c>
      <c r="R288" s="116" t="s">
        <v>3307</v>
      </c>
      <c r="S288" s="117"/>
      <c r="T288" s="117"/>
      <c r="U288" s="117"/>
      <c r="V288" s="117"/>
      <c r="W288" s="117"/>
      <c r="X288" s="117"/>
      <c r="Y288" s="97"/>
      <c r="Z288" s="97"/>
      <c r="AA288" s="97"/>
      <c r="AB288" s="97"/>
      <c r="AC288" s="97"/>
    </row>
    <row r="289">
      <c r="A289" s="111"/>
      <c r="B289" s="15">
        <v>46220.0</v>
      </c>
      <c r="C289" s="112" t="s">
        <v>25</v>
      </c>
      <c r="D289" s="21" t="s">
        <v>3308</v>
      </c>
      <c r="E289" s="23"/>
      <c r="F289" s="23"/>
      <c r="G289" s="99" t="s">
        <v>3309</v>
      </c>
      <c r="H289" s="113" t="s">
        <v>3310</v>
      </c>
      <c r="I289" s="114"/>
      <c r="J289" s="113" t="s">
        <v>3311</v>
      </c>
      <c r="K289" s="113" t="s">
        <v>3312</v>
      </c>
      <c r="L289" s="113" t="s">
        <v>3313</v>
      </c>
      <c r="M289" s="37" t="s">
        <v>3314</v>
      </c>
      <c r="N289" s="113" t="s">
        <v>52</v>
      </c>
      <c r="O289" s="32"/>
      <c r="P289" s="43" t="s">
        <v>53</v>
      </c>
      <c r="Q289" s="43" t="s">
        <v>54</v>
      </c>
      <c r="R289" s="116" t="s">
        <v>3316</v>
      </c>
      <c r="S289" s="117"/>
      <c r="T289" s="117"/>
      <c r="U289" s="117"/>
      <c r="V289" s="117"/>
      <c r="W289" s="117"/>
      <c r="X289" s="117"/>
      <c r="Y289" s="97"/>
      <c r="Z289" s="97"/>
      <c r="AA289" s="97"/>
      <c r="AB289" s="97"/>
      <c r="AC289" s="97"/>
    </row>
    <row r="290">
      <c r="A290" s="111"/>
      <c r="B290" s="15">
        <v>46220.0</v>
      </c>
      <c r="C290" s="112" t="s">
        <v>25</v>
      </c>
      <c r="D290" s="21" t="s">
        <v>3317</v>
      </c>
      <c r="E290" s="23"/>
      <c r="F290" s="23"/>
      <c r="G290" s="99" t="s">
        <v>141</v>
      </c>
      <c r="H290" s="113" t="s">
        <v>37</v>
      </c>
      <c r="I290" s="114"/>
      <c r="J290" s="113" t="s">
        <v>3318</v>
      </c>
      <c r="K290" s="113" t="s">
        <v>3319</v>
      </c>
      <c r="L290" s="113" t="s">
        <v>3320</v>
      </c>
      <c r="M290" s="37" t="s">
        <v>3321</v>
      </c>
      <c r="N290" s="113" t="s">
        <v>52</v>
      </c>
      <c r="O290" s="32"/>
      <c r="P290" s="43" t="s">
        <v>53</v>
      </c>
      <c r="Q290" s="43" t="s">
        <v>54</v>
      </c>
      <c r="R290" s="116" t="s">
        <v>3323</v>
      </c>
      <c r="S290" s="117"/>
      <c r="T290" s="117"/>
      <c r="U290" s="117"/>
      <c r="V290" s="117"/>
      <c r="W290" s="117"/>
      <c r="X290" s="117"/>
      <c r="Y290" s="97"/>
      <c r="Z290" s="97"/>
      <c r="AA290" s="97"/>
      <c r="AB290" s="97"/>
      <c r="AC290" s="97"/>
    </row>
    <row r="291">
      <c r="A291" s="111"/>
      <c r="B291" s="15">
        <v>46220.0</v>
      </c>
      <c r="C291" s="112" t="s">
        <v>25</v>
      </c>
      <c r="D291" s="21" t="s">
        <v>3325</v>
      </c>
      <c r="E291" s="23"/>
      <c r="F291" s="23"/>
      <c r="G291" s="99" t="s">
        <v>3326</v>
      </c>
      <c r="H291" s="113" t="s">
        <v>3327</v>
      </c>
      <c r="I291" s="114"/>
      <c r="J291" s="113" t="s">
        <v>3328</v>
      </c>
      <c r="K291" s="113" t="s">
        <v>625</v>
      </c>
      <c r="L291" s="113" t="s">
        <v>3329</v>
      </c>
      <c r="M291" s="37" t="s">
        <v>3330</v>
      </c>
      <c r="N291" s="113" t="s">
        <v>52</v>
      </c>
      <c r="O291" s="32"/>
      <c r="P291" s="43" t="s">
        <v>53</v>
      </c>
      <c r="Q291" s="43" t="s">
        <v>54</v>
      </c>
      <c r="R291" s="116" t="s">
        <v>3331</v>
      </c>
      <c r="S291" s="117"/>
      <c r="T291" s="117"/>
      <c r="U291" s="117"/>
      <c r="V291" s="117"/>
      <c r="W291" s="117"/>
      <c r="X291" s="117"/>
      <c r="Y291" s="97"/>
      <c r="Z291" s="97"/>
      <c r="AA291" s="97"/>
      <c r="AB291" s="97"/>
      <c r="AC291" s="97"/>
    </row>
    <row r="292">
      <c r="A292" s="111"/>
      <c r="B292" s="15">
        <v>46220.0</v>
      </c>
      <c r="C292" s="112" t="s">
        <v>25</v>
      </c>
      <c r="D292" s="21" t="s">
        <v>3334</v>
      </c>
      <c r="E292" s="23"/>
      <c r="F292" s="23"/>
      <c r="G292" s="99" t="s">
        <v>3335</v>
      </c>
      <c r="H292" s="113" t="s">
        <v>37</v>
      </c>
      <c r="I292" s="114"/>
      <c r="J292" s="113" t="s">
        <v>3336</v>
      </c>
      <c r="K292" s="99" t="s">
        <v>64</v>
      </c>
      <c r="L292" s="113" t="s">
        <v>3337</v>
      </c>
      <c r="M292" s="37" t="s">
        <v>3338</v>
      </c>
      <c r="N292" s="113" t="s">
        <v>52</v>
      </c>
      <c r="O292" s="32"/>
      <c r="P292" s="43" t="s">
        <v>53</v>
      </c>
      <c r="Q292" s="43" t="s">
        <v>54</v>
      </c>
      <c r="R292" s="116" t="s">
        <v>3339</v>
      </c>
      <c r="S292" s="117"/>
      <c r="T292" s="117"/>
      <c r="U292" s="117"/>
      <c r="V292" s="117"/>
      <c r="W292" s="117"/>
      <c r="X292" s="117"/>
      <c r="Y292" s="97"/>
      <c r="Z292" s="97"/>
      <c r="AA292" s="97"/>
      <c r="AB292" s="97"/>
      <c r="AC292" s="97"/>
    </row>
    <row r="293">
      <c r="A293" s="111"/>
      <c r="B293" s="15">
        <v>46220.0</v>
      </c>
      <c r="C293" s="112" t="s">
        <v>25</v>
      </c>
      <c r="D293" s="21" t="s">
        <v>3346</v>
      </c>
      <c r="E293" s="23"/>
      <c r="F293" s="23"/>
      <c r="G293" s="99" t="s">
        <v>3347</v>
      </c>
      <c r="H293" s="113" t="s">
        <v>37</v>
      </c>
      <c r="I293" s="114"/>
      <c r="J293" s="113" t="s">
        <v>3348</v>
      </c>
      <c r="K293" s="99" t="s">
        <v>64</v>
      </c>
      <c r="L293" s="113" t="s">
        <v>3349</v>
      </c>
      <c r="M293" s="37" t="s">
        <v>3350</v>
      </c>
      <c r="N293" s="113" t="s">
        <v>52</v>
      </c>
      <c r="O293" s="32"/>
      <c r="P293" s="43" t="s">
        <v>53</v>
      </c>
      <c r="Q293" s="43" t="s">
        <v>54</v>
      </c>
      <c r="R293" s="116" t="s">
        <v>3351</v>
      </c>
      <c r="S293" s="117"/>
      <c r="T293" s="117"/>
      <c r="U293" s="117"/>
      <c r="V293" s="117"/>
      <c r="W293" s="117"/>
      <c r="X293" s="117"/>
      <c r="Y293" s="97"/>
      <c r="Z293" s="97"/>
      <c r="AA293" s="97"/>
      <c r="AB293" s="97"/>
      <c r="AC293" s="97"/>
    </row>
    <row r="294">
      <c r="A294" s="111"/>
      <c r="B294" s="15">
        <v>46220.0</v>
      </c>
      <c r="C294" s="112" t="s">
        <v>25</v>
      </c>
      <c r="D294" s="21" t="s">
        <v>3352</v>
      </c>
      <c r="E294" s="23"/>
      <c r="F294" s="23"/>
      <c r="G294" s="99" t="s">
        <v>3355</v>
      </c>
      <c r="H294" s="113" t="s">
        <v>37</v>
      </c>
      <c r="I294" s="114"/>
      <c r="J294" s="113" t="s">
        <v>3357</v>
      </c>
      <c r="K294" s="99" t="s">
        <v>64</v>
      </c>
      <c r="L294" s="113" t="s">
        <v>3359</v>
      </c>
      <c r="M294" s="37" t="s">
        <v>3360</v>
      </c>
      <c r="N294" s="113" t="s">
        <v>52</v>
      </c>
      <c r="O294" s="32"/>
      <c r="P294" s="43" t="s">
        <v>53</v>
      </c>
      <c r="Q294" s="43" t="s">
        <v>54</v>
      </c>
      <c r="R294" s="116" t="s">
        <v>3361</v>
      </c>
      <c r="S294" s="117"/>
      <c r="T294" s="117"/>
      <c r="U294" s="117"/>
      <c r="V294" s="117"/>
      <c r="W294" s="117"/>
      <c r="X294" s="117"/>
      <c r="Y294" s="97"/>
      <c r="Z294" s="97"/>
      <c r="AA294" s="97"/>
      <c r="AB294" s="97"/>
      <c r="AC294" s="97"/>
    </row>
    <row r="295">
      <c r="A295" s="111"/>
      <c r="B295" s="15">
        <v>46220.0</v>
      </c>
      <c r="C295" s="112" t="s">
        <v>25</v>
      </c>
      <c r="D295" s="21" t="s">
        <v>3362</v>
      </c>
      <c r="E295" s="23"/>
      <c r="F295" s="23"/>
      <c r="G295" s="99" t="s">
        <v>3363</v>
      </c>
      <c r="H295" s="113" t="s">
        <v>37</v>
      </c>
      <c r="I295" s="114"/>
      <c r="J295" s="113" t="s">
        <v>3357</v>
      </c>
      <c r="K295" s="99" t="s">
        <v>3364</v>
      </c>
      <c r="L295" s="113" t="s">
        <v>3365</v>
      </c>
      <c r="M295" s="37" t="s">
        <v>3366</v>
      </c>
      <c r="N295" s="113" t="s">
        <v>52</v>
      </c>
      <c r="O295" s="32"/>
      <c r="P295" s="43" t="s">
        <v>55</v>
      </c>
      <c r="Q295" s="43" t="s">
        <v>55</v>
      </c>
      <c r="R295" s="116" t="s">
        <v>3370</v>
      </c>
      <c r="S295" s="117"/>
      <c r="T295" s="117"/>
      <c r="U295" s="117"/>
      <c r="V295" s="117"/>
      <c r="W295" s="117"/>
      <c r="X295" s="117"/>
      <c r="Y295" s="97"/>
      <c r="Z295" s="97"/>
      <c r="AA295" s="97"/>
      <c r="AB295" s="97"/>
      <c r="AC295" s="97"/>
    </row>
    <row r="296">
      <c r="A296" s="111"/>
      <c r="B296" s="15">
        <v>46220.0</v>
      </c>
      <c r="C296" s="112" t="s">
        <v>25</v>
      </c>
      <c r="D296" s="21" t="s">
        <v>3373</v>
      </c>
      <c r="E296" s="23"/>
      <c r="F296" s="23"/>
      <c r="G296" s="99" t="s">
        <v>3374</v>
      </c>
      <c r="H296" s="113" t="s">
        <v>37</v>
      </c>
      <c r="I296" s="114"/>
      <c r="J296" s="113" t="s">
        <v>3357</v>
      </c>
      <c r="K296" s="99" t="s">
        <v>3375</v>
      </c>
      <c r="L296" s="113" t="s">
        <v>3376</v>
      </c>
      <c r="M296" s="37" t="s">
        <v>3377</v>
      </c>
      <c r="N296" s="113" t="s">
        <v>52</v>
      </c>
      <c r="O296" s="30" t="s">
        <v>3378</v>
      </c>
      <c r="P296" s="43" t="s">
        <v>53</v>
      </c>
      <c r="Q296" s="43" t="s">
        <v>54</v>
      </c>
      <c r="R296" s="116" t="s">
        <v>3382</v>
      </c>
      <c r="S296" s="117"/>
      <c r="T296" s="117"/>
      <c r="U296" s="117"/>
      <c r="V296" s="117"/>
      <c r="W296" s="117"/>
      <c r="X296" s="117"/>
      <c r="Y296" s="97"/>
      <c r="Z296" s="97"/>
      <c r="AA296" s="97"/>
      <c r="AB296" s="97"/>
      <c r="AC296" s="97"/>
    </row>
    <row r="297">
      <c r="A297" s="111"/>
      <c r="B297" s="15">
        <v>46220.0</v>
      </c>
      <c r="C297" s="112" t="s">
        <v>25</v>
      </c>
      <c r="D297" s="21" t="s">
        <v>3385</v>
      </c>
      <c r="E297" s="23"/>
      <c r="F297" s="23"/>
      <c r="G297" s="99" t="s">
        <v>1983</v>
      </c>
      <c r="H297" s="113" t="s">
        <v>37</v>
      </c>
      <c r="I297" s="114"/>
      <c r="J297" s="113" t="s">
        <v>3386</v>
      </c>
      <c r="K297" s="113" t="s">
        <v>3387</v>
      </c>
      <c r="L297" s="113" t="s">
        <v>3388</v>
      </c>
      <c r="M297" s="37" t="s">
        <v>3389</v>
      </c>
      <c r="N297" s="113" t="s">
        <v>52</v>
      </c>
      <c r="O297" s="32"/>
      <c r="P297" s="43" t="s">
        <v>53</v>
      </c>
      <c r="Q297" s="43" t="s">
        <v>54</v>
      </c>
      <c r="R297" s="116" t="s">
        <v>3390</v>
      </c>
      <c r="S297" s="117"/>
      <c r="T297" s="117"/>
      <c r="U297" s="117"/>
      <c r="V297" s="117"/>
      <c r="W297" s="117"/>
      <c r="X297" s="117"/>
      <c r="Y297" s="97"/>
      <c r="Z297" s="97"/>
      <c r="AA297" s="97"/>
      <c r="AB297" s="97"/>
      <c r="AC297" s="97"/>
    </row>
    <row r="298">
      <c r="A298" s="111"/>
      <c r="B298" s="15">
        <v>46220.0</v>
      </c>
      <c r="C298" s="112" t="s">
        <v>25</v>
      </c>
      <c r="D298" s="21" t="s">
        <v>3392</v>
      </c>
      <c r="E298" s="23"/>
      <c r="F298" s="23"/>
      <c r="G298" s="99" t="s">
        <v>3395</v>
      </c>
      <c r="H298" s="113" t="s">
        <v>3397</v>
      </c>
      <c r="I298" s="114"/>
      <c r="J298" s="113" t="s">
        <v>3386</v>
      </c>
      <c r="K298" s="113" t="s">
        <v>3399</v>
      </c>
      <c r="L298" s="113" t="s">
        <v>3400</v>
      </c>
      <c r="M298" s="37" t="s">
        <v>3401</v>
      </c>
      <c r="N298" s="113" t="s">
        <v>52</v>
      </c>
      <c r="O298" s="32"/>
      <c r="P298" s="43" t="s">
        <v>53</v>
      </c>
      <c r="Q298" s="43" t="s">
        <v>54</v>
      </c>
      <c r="R298" s="116" t="s">
        <v>3402</v>
      </c>
      <c r="S298" s="117"/>
      <c r="T298" s="117"/>
      <c r="U298" s="117"/>
      <c r="V298" s="117"/>
      <c r="W298" s="117"/>
      <c r="X298" s="117"/>
      <c r="Y298" s="97"/>
      <c r="Z298" s="97"/>
      <c r="AA298" s="97"/>
      <c r="AB298" s="97"/>
      <c r="AC298" s="97"/>
    </row>
    <row r="299">
      <c r="A299" s="111"/>
      <c r="B299" s="15">
        <v>46220.0</v>
      </c>
      <c r="C299" s="112" t="s">
        <v>25</v>
      </c>
      <c r="D299" s="21" t="s">
        <v>3404</v>
      </c>
      <c r="E299" s="23"/>
      <c r="F299" s="23"/>
      <c r="G299" s="99" t="s">
        <v>3407</v>
      </c>
      <c r="H299" s="113" t="s">
        <v>3409</v>
      </c>
      <c r="I299" s="114"/>
      <c r="J299" s="113" t="s">
        <v>3411</v>
      </c>
      <c r="K299" s="113" t="s">
        <v>3412</v>
      </c>
      <c r="L299" s="113" t="s">
        <v>3413</v>
      </c>
      <c r="M299" s="37" t="s">
        <v>3414</v>
      </c>
      <c r="N299" s="113" t="s">
        <v>52</v>
      </c>
      <c r="O299" s="32"/>
      <c r="P299" s="43" t="s">
        <v>53</v>
      </c>
      <c r="Q299" s="43" t="s">
        <v>54</v>
      </c>
      <c r="R299" s="116" t="s">
        <v>3415</v>
      </c>
      <c r="S299" s="117"/>
      <c r="T299" s="117"/>
      <c r="U299" s="117"/>
      <c r="V299" s="117"/>
      <c r="W299" s="117"/>
      <c r="X299" s="117"/>
      <c r="Y299" s="97"/>
      <c r="Z299" s="97"/>
      <c r="AA299" s="97"/>
      <c r="AB299" s="97"/>
      <c r="AC299" s="97"/>
    </row>
    <row r="300">
      <c r="A300" s="111"/>
      <c r="B300" s="15">
        <v>46220.0</v>
      </c>
      <c r="C300" s="112" t="s">
        <v>25</v>
      </c>
      <c r="D300" s="21" t="s">
        <v>3416</v>
      </c>
      <c r="E300" s="23"/>
      <c r="F300" s="23"/>
      <c r="G300" s="99" t="s">
        <v>3418</v>
      </c>
      <c r="H300" s="113" t="s">
        <v>37</v>
      </c>
      <c r="I300" s="114"/>
      <c r="J300" s="113" t="s">
        <v>3421</v>
      </c>
      <c r="K300" s="113" t="s">
        <v>3422</v>
      </c>
      <c r="L300" s="113" t="s">
        <v>3424</v>
      </c>
      <c r="M300" s="37" t="s">
        <v>3425</v>
      </c>
      <c r="N300" s="113" t="s">
        <v>52</v>
      </c>
      <c r="O300" s="32"/>
      <c r="P300" s="43" t="s">
        <v>53</v>
      </c>
      <c r="Q300" s="43" t="s">
        <v>54</v>
      </c>
      <c r="R300" s="116" t="s">
        <v>3427</v>
      </c>
      <c r="S300" s="117"/>
      <c r="T300" s="117"/>
      <c r="U300" s="117"/>
      <c r="V300" s="117"/>
      <c r="W300" s="117"/>
      <c r="X300" s="117"/>
      <c r="Y300" s="97"/>
      <c r="Z300" s="97"/>
      <c r="AA300" s="97"/>
      <c r="AB300" s="97"/>
      <c r="AC300" s="97"/>
    </row>
    <row r="301">
      <c r="A301" s="111"/>
      <c r="B301" s="15">
        <v>46220.0</v>
      </c>
      <c r="C301" s="112" t="s">
        <v>25</v>
      </c>
      <c r="D301" s="21" t="s">
        <v>3428</v>
      </c>
      <c r="E301" s="23"/>
      <c r="F301" s="23"/>
      <c r="G301" s="99" t="s">
        <v>3429</v>
      </c>
      <c r="H301" s="113" t="s">
        <v>37</v>
      </c>
      <c r="I301" s="114"/>
      <c r="J301" s="113" t="s">
        <v>3430</v>
      </c>
      <c r="K301" s="113" t="s">
        <v>3431</v>
      </c>
      <c r="L301" s="113" t="s">
        <v>3432</v>
      </c>
      <c r="M301" s="37" t="s">
        <v>3434</v>
      </c>
      <c r="N301" s="113" t="s">
        <v>52</v>
      </c>
      <c r="O301" s="32"/>
      <c r="P301" s="43" t="s">
        <v>55</v>
      </c>
      <c r="Q301" s="43" t="s">
        <v>55</v>
      </c>
      <c r="R301" s="116" t="s">
        <v>3438</v>
      </c>
      <c r="S301" s="117"/>
      <c r="T301" s="117"/>
      <c r="U301" s="117"/>
      <c r="V301" s="117"/>
      <c r="W301" s="117"/>
      <c r="X301" s="117"/>
      <c r="Y301" s="97"/>
      <c r="Z301" s="97"/>
      <c r="AA301" s="97"/>
      <c r="AB301" s="97"/>
      <c r="AC301" s="97"/>
    </row>
    <row r="302">
      <c r="A302" s="111"/>
      <c r="B302" s="176" t="s">
        <v>3439</v>
      </c>
      <c r="C302" s="124" t="s">
        <v>25</v>
      </c>
      <c r="D302" s="125" t="s">
        <v>3440</v>
      </c>
      <c r="E302" s="126" t="s">
        <v>3441</v>
      </c>
      <c r="F302" s="126" t="s">
        <v>3442</v>
      </c>
      <c r="G302" s="125" t="s">
        <v>3443</v>
      </c>
      <c r="H302" s="127" t="s">
        <v>3444</v>
      </c>
      <c r="I302" s="128"/>
      <c r="J302" s="127" t="s">
        <v>3445</v>
      </c>
      <c r="K302" s="127" t="s">
        <v>3446</v>
      </c>
      <c r="L302" s="127" t="s">
        <v>3447</v>
      </c>
      <c r="M302" s="129" t="s">
        <v>3448</v>
      </c>
      <c r="N302" s="127" t="s">
        <v>52</v>
      </c>
      <c r="O302" s="97"/>
      <c r="P302" s="43" t="s">
        <v>53</v>
      </c>
      <c r="Q302" s="130" t="s">
        <v>54</v>
      </c>
      <c r="R302" s="116" t="s">
        <v>3449</v>
      </c>
      <c r="S302" s="117"/>
      <c r="T302" s="117"/>
      <c r="U302" s="117"/>
      <c r="V302" s="117"/>
      <c r="W302" s="117"/>
      <c r="X302" s="117"/>
      <c r="Y302" s="97"/>
      <c r="Z302" s="97"/>
      <c r="AA302" s="97"/>
      <c r="AB302" s="97"/>
      <c r="AC302" s="97"/>
    </row>
    <row r="303">
      <c r="A303" s="111"/>
      <c r="B303" s="131">
        <v>46223.0</v>
      </c>
      <c r="C303" s="124" t="s">
        <v>25</v>
      </c>
      <c r="D303" s="125" t="s">
        <v>3450</v>
      </c>
      <c r="E303" s="126" t="s">
        <v>3451</v>
      </c>
      <c r="F303" s="126" t="s">
        <v>3442</v>
      </c>
      <c r="G303" s="125" t="s">
        <v>3452</v>
      </c>
      <c r="H303" s="127" t="s">
        <v>3453</v>
      </c>
      <c r="I303" s="128"/>
      <c r="J303" s="127" t="s">
        <v>3454</v>
      </c>
      <c r="K303" s="127" t="s">
        <v>3455</v>
      </c>
      <c r="L303" s="127" t="s">
        <v>3456</v>
      </c>
      <c r="M303" s="129" t="s">
        <v>3457</v>
      </c>
      <c r="N303" s="127" t="s">
        <v>52</v>
      </c>
      <c r="O303" s="97"/>
      <c r="P303" s="130" t="s">
        <v>53</v>
      </c>
      <c r="Q303" s="130" t="s">
        <v>54</v>
      </c>
      <c r="R303" s="116" t="s">
        <v>3459</v>
      </c>
      <c r="S303" s="117"/>
      <c r="T303" s="117"/>
      <c r="U303" s="117"/>
      <c r="V303" s="117"/>
      <c r="W303" s="117"/>
      <c r="X303" s="117"/>
      <c r="Y303" s="97"/>
      <c r="Z303" s="97"/>
      <c r="AA303" s="97"/>
      <c r="AB303" s="97"/>
      <c r="AC303" s="97"/>
    </row>
    <row r="304">
      <c r="A304" s="111"/>
      <c r="B304" s="131">
        <v>46223.0</v>
      </c>
      <c r="C304" s="124" t="s">
        <v>25</v>
      </c>
      <c r="D304" s="125" t="s">
        <v>3462</v>
      </c>
      <c r="E304" s="126" t="s">
        <v>3463</v>
      </c>
      <c r="F304" s="126" t="s">
        <v>3442</v>
      </c>
      <c r="G304" s="125" t="s">
        <v>3465</v>
      </c>
      <c r="H304" s="127" t="s">
        <v>3466</v>
      </c>
      <c r="I304" s="128"/>
      <c r="J304" s="127" t="s">
        <v>3467</v>
      </c>
      <c r="K304" s="127" t="s">
        <v>3468</v>
      </c>
      <c r="L304" s="127" t="s">
        <v>3469</v>
      </c>
      <c r="M304" s="129" t="s">
        <v>3470</v>
      </c>
      <c r="N304" s="127" t="s">
        <v>52</v>
      </c>
      <c r="O304" s="97"/>
      <c r="P304" s="130" t="s">
        <v>53</v>
      </c>
      <c r="Q304" s="130" t="s">
        <v>54</v>
      </c>
      <c r="R304" s="116" t="s">
        <v>3471</v>
      </c>
      <c r="S304" s="117"/>
      <c r="T304" s="117"/>
      <c r="U304" s="117"/>
      <c r="V304" s="117"/>
      <c r="W304" s="117"/>
      <c r="X304" s="117"/>
      <c r="Y304" s="97"/>
      <c r="Z304" s="97"/>
      <c r="AA304" s="97"/>
      <c r="AB304" s="97"/>
      <c r="AC304" s="97"/>
    </row>
    <row r="305">
      <c r="A305" s="111"/>
      <c r="B305" s="131">
        <v>46224.0</v>
      </c>
      <c r="C305" s="124" t="s">
        <v>25</v>
      </c>
      <c r="D305" s="125" t="s">
        <v>3472</v>
      </c>
      <c r="E305" s="132"/>
      <c r="F305" s="132"/>
      <c r="G305" s="125" t="s">
        <v>3473</v>
      </c>
      <c r="H305" s="127" t="s">
        <v>3474</v>
      </c>
      <c r="I305" s="133" t="s">
        <v>3475</v>
      </c>
      <c r="J305" s="127" t="s">
        <v>3476</v>
      </c>
      <c r="K305" s="127" t="s">
        <v>3477</v>
      </c>
      <c r="L305" s="127" t="s">
        <v>3478</v>
      </c>
      <c r="M305" s="129" t="s">
        <v>3479</v>
      </c>
      <c r="N305" s="127" t="s">
        <v>52</v>
      </c>
      <c r="O305" s="97"/>
      <c r="P305" s="43" t="s">
        <v>53</v>
      </c>
      <c r="Q305" s="130" t="s">
        <v>54</v>
      </c>
      <c r="R305" s="116" t="s">
        <v>3480</v>
      </c>
      <c r="S305" s="117"/>
      <c r="T305" s="117"/>
      <c r="U305" s="117"/>
      <c r="V305" s="117"/>
      <c r="W305" s="117"/>
      <c r="X305" s="117"/>
      <c r="Y305" s="97"/>
      <c r="Z305" s="97"/>
      <c r="AA305" s="97"/>
      <c r="AB305" s="97"/>
      <c r="AC305" s="97"/>
    </row>
    <row r="306">
      <c r="A306" s="111"/>
      <c r="B306" s="131">
        <v>46224.0</v>
      </c>
      <c r="C306" s="124" t="s">
        <v>25</v>
      </c>
      <c r="D306" s="125" t="s">
        <v>3481</v>
      </c>
      <c r="E306" s="132"/>
      <c r="F306" s="132"/>
      <c r="G306" s="125" t="s">
        <v>3482</v>
      </c>
      <c r="H306" s="127" t="s">
        <v>3483</v>
      </c>
      <c r="I306" s="133" t="s">
        <v>3484</v>
      </c>
      <c r="J306" s="127" t="s">
        <v>3485</v>
      </c>
      <c r="K306" s="127" t="s">
        <v>3486</v>
      </c>
      <c r="L306" s="127" t="s">
        <v>3487</v>
      </c>
      <c r="M306" s="129" t="s">
        <v>3488</v>
      </c>
      <c r="N306" s="127" t="s">
        <v>52</v>
      </c>
      <c r="O306" s="97"/>
      <c r="P306" s="43" t="s">
        <v>53</v>
      </c>
      <c r="Q306" s="130" t="s">
        <v>54</v>
      </c>
      <c r="R306" s="116" t="s">
        <v>3489</v>
      </c>
      <c r="S306" s="117"/>
      <c r="T306" s="117"/>
      <c r="U306" s="117"/>
      <c r="V306" s="117"/>
      <c r="W306" s="117"/>
      <c r="X306" s="117"/>
      <c r="Y306" s="97"/>
      <c r="Z306" s="97"/>
      <c r="AA306" s="97"/>
      <c r="AB306" s="97"/>
      <c r="AC306" s="97"/>
    </row>
    <row r="307">
      <c r="A307" s="111"/>
      <c r="B307" s="131">
        <v>46228.0</v>
      </c>
      <c r="C307" s="124" t="s">
        <v>25</v>
      </c>
      <c r="D307" s="125" t="s">
        <v>3491</v>
      </c>
      <c r="E307" s="132"/>
      <c r="F307" s="132"/>
      <c r="G307" s="125" t="s">
        <v>3493</v>
      </c>
      <c r="H307" s="127" t="s">
        <v>3494</v>
      </c>
      <c r="I307" s="128"/>
      <c r="J307" s="127" t="s">
        <v>3496</v>
      </c>
      <c r="K307" s="127" t="s">
        <v>3497</v>
      </c>
      <c r="L307" s="127" t="s">
        <v>3498</v>
      </c>
      <c r="M307" s="129" t="s">
        <v>3499</v>
      </c>
      <c r="N307" s="127" t="s">
        <v>52</v>
      </c>
      <c r="O307" s="97"/>
      <c r="P307" s="43" t="s">
        <v>53</v>
      </c>
      <c r="Q307" s="130" t="s">
        <v>54</v>
      </c>
      <c r="R307" s="116" t="s">
        <v>3500</v>
      </c>
      <c r="S307" s="117"/>
      <c r="T307" s="117"/>
      <c r="U307" s="117"/>
      <c r="V307" s="117"/>
      <c r="W307" s="117"/>
      <c r="X307" s="117"/>
      <c r="Y307" s="97"/>
      <c r="Z307" s="97"/>
      <c r="AA307" s="97"/>
      <c r="AB307" s="97"/>
      <c r="AC307" s="97"/>
    </row>
    <row r="308">
      <c r="A308" s="111"/>
      <c r="B308" s="131">
        <v>46228.0</v>
      </c>
      <c r="C308" s="124" t="s">
        <v>25</v>
      </c>
      <c r="D308" s="125" t="s">
        <v>3501</v>
      </c>
      <c r="E308" s="132"/>
      <c r="F308" s="132"/>
      <c r="G308" s="125" t="s">
        <v>3502</v>
      </c>
      <c r="H308" s="127" t="s">
        <v>3503</v>
      </c>
      <c r="I308" s="128"/>
      <c r="J308" s="127" t="s">
        <v>3504</v>
      </c>
      <c r="K308" s="127" t="s">
        <v>3505</v>
      </c>
      <c r="L308" s="127" t="s">
        <v>3506</v>
      </c>
      <c r="M308" s="129" t="s">
        <v>3507</v>
      </c>
      <c r="N308" s="127" t="s">
        <v>52</v>
      </c>
      <c r="O308" s="97"/>
      <c r="P308" s="43" t="s">
        <v>53</v>
      </c>
      <c r="Q308" s="130" t="s">
        <v>54</v>
      </c>
      <c r="R308" s="116" t="s">
        <v>3508</v>
      </c>
      <c r="S308" s="117"/>
      <c r="T308" s="117"/>
      <c r="U308" s="117"/>
      <c r="V308" s="117"/>
      <c r="W308" s="117"/>
      <c r="X308" s="117"/>
      <c r="Y308" s="97"/>
      <c r="Z308" s="97"/>
      <c r="AA308" s="97"/>
      <c r="AB308" s="97"/>
      <c r="AC308" s="97"/>
    </row>
    <row r="309">
      <c r="A309" s="111"/>
      <c r="B309" s="131">
        <v>46228.0</v>
      </c>
      <c r="C309" s="124" t="s">
        <v>25</v>
      </c>
      <c r="D309" s="125" t="s">
        <v>3509</v>
      </c>
      <c r="E309" s="132"/>
      <c r="F309" s="132"/>
      <c r="G309" s="125" t="s">
        <v>3510</v>
      </c>
      <c r="H309" s="127" t="s">
        <v>3511</v>
      </c>
      <c r="I309" s="133" t="s">
        <v>3512</v>
      </c>
      <c r="J309" s="127" t="s">
        <v>3513</v>
      </c>
      <c r="K309" s="127" t="s">
        <v>3514</v>
      </c>
      <c r="L309" s="127" t="s">
        <v>3515</v>
      </c>
      <c r="M309" s="129" t="s">
        <v>3516</v>
      </c>
      <c r="N309" s="127" t="s">
        <v>52</v>
      </c>
      <c r="O309" s="97"/>
      <c r="P309" s="130" t="s">
        <v>53</v>
      </c>
      <c r="Q309" s="130" t="s">
        <v>54</v>
      </c>
      <c r="R309" s="116"/>
      <c r="S309" s="117"/>
      <c r="T309" s="117"/>
      <c r="U309" s="117"/>
      <c r="V309" s="117"/>
      <c r="W309" s="117"/>
      <c r="X309" s="117"/>
      <c r="Y309" s="97"/>
      <c r="Z309" s="97"/>
      <c r="AA309" s="97"/>
      <c r="AB309" s="97"/>
      <c r="AC309" s="97"/>
    </row>
    <row r="310">
      <c r="A310" s="111"/>
      <c r="B310" s="131">
        <v>46228.0</v>
      </c>
      <c r="C310" s="124" t="s">
        <v>25</v>
      </c>
      <c r="D310" s="125" t="s">
        <v>3518</v>
      </c>
      <c r="E310" s="132"/>
      <c r="F310" s="132"/>
      <c r="G310" s="125" t="s">
        <v>3519</v>
      </c>
      <c r="H310" s="127" t="s">
        <v>3520</v>
      </c>
      <c r="I310" s="133" t="s">
        <v>3522</v>
      </c>
      <c r="J310" s="127" t="s">
        <v>3523</v>
      </c>
      <c r="K310" s="127" t="s">
        <v>3525</v>
      </c>
      <c r="L310" s="127" t="s">
        <v>3526</v>
      </c>
      <c r="M310" s="129" t="s">
        <v>3527</v>
      </c>
      <c r="N310" s="127" t="s">
        <v>52</v>
      </c>
      <c r="O310" s="97"/>
      <c r="P310" s="130" t="s">
        <v>53</v>
      </c>
      <c r="Q310" s="130" t="s">
        <v>54</v>
      </c>
      <c r="R310" s="116"/>
      <c r="S310" s="117"/>
      <c r="T310" s="117"/>
      <c r="U310" s="117"/>
      <c r="V310" s="117"/>
      <c r="W310" s="117"/>
      <c r="X310" s="117"/>
      <c r="Y310" s="97"/>
      <c r="Z310" s="97"/>
      <c r="AA310" s="97"/>
      <c r="AB310" s="97"/>
      <c r="AC310" s="97"/>
    </row>
    <row r="311">
      <c r="A311" s="111"/>
      <c r="B311" s="131"/>
      <c r="C311" s="124"/>
      <c r="D311" s="125"/>
      <c r="E311" s="132"/>
      <c r="F311" s="132"/>
      <c r="G311" s="125"/>
      <c r="H311" s="127"/>
      <c r="I311" s="128"/>
      <c r="J311" s="127"/>
      <c r="K311" s="127"/>
      <c r="L311" s="127"/>
      <c r="M311" s="129"/>
      <c r="N311" s="127"/>
      <c r="O311" s="97"/>
      <c r="P311" s="130"/>
      <c r="Q311" s="130"/>
      <c r="R311" s="116"/>
      <c r="S311" s="117"/>
      <c r="T311" s="117"/>
      <c r="U311" s="117"/>
      <c r="V311" s="117"/>
      <c r="W311" s="117"/>
      <c r="X311" s="117"/>
      <c r="Y311" s="97"/>
      <c r="Z311" s="97"/>
      <c r="AA311" s="97"/>
      <c r="AB311" s="97"/>
      <c r="AC311" s="97"/>
    </row>
    <row r="312">
      <c r="A312" s="111"/>
      <c r="B312" s="131"/>
      <c r="C312" s="124"/>
      <c r="D312" s="125"/>
      <c r="E312" s="132"/>
      <c r="F312" s="132"/>
      <c r="G312" s="125"/>
      <c r="H312" s="127"/>
      <c r="I312" s="128"/>
      <c r="J312" s="127"/>
      <c r="K312" s="127"/>
      <c r="L312" s="127"/>
      <c r="M312" s="129"/>
      <c r="N312" s="127"/>
      <c r="O312" s="97"/>
      <c r="P312" s="130"/>
      <c r="Q312" s="130"/>
      <c r="R312" s="116"/>
      <c r="S312" s="117"/>
      <c r="T312" s="117"/>
      <c r="U312" s="117"/>
      <c r="V312" s="117"/>
      <c r="W312" s="117"/>
      <c r="X312" s="117"/>
      <c r="Y312" s="97"/>
      <c r="Z312" s="97"/>
      <c r="AA312" s="97"/>
      <c r="AB312" s="97"/>
      <c r="AC312" s="97"/>
    </row>
    <row r="313">
      <c r="A313" s="111"/>
      <c r="B313" s="131"/>
      <c r="C313" s="124"/>
      <c r="D313" s="125"/>
      <c r="E313" s="132"/>
      <c r="F313" s="132"/>
      <c r="G313" s="125"/>
      <c r="H313" s="127"/>
      <c r="I313" s="128"/>
      <c r="J313" s="127"/>
      <c r="K313" s="127"/>
      <c r="L313" s="127"/>
      <c r="M313" s="129"/>
      <c r="N313" s="127"/>
      <c r="O313" s="97"/>
      <c r="P313" s="130"/>
      <c r="Q313" s="130"/>
      <c r="R313" s="116"/>
      <c r="S313" s="117"/>
      <c r="T313" s="117"/>
      <c r="U313" s="117"/>
      <c r="V313" s="117"/>
      <c r="W313" s="117"/>
      <c r="X313" s="117"/>
      <c r="Y313" s="97"/>
      <c r="Z313" s="97"/>
      <c r="AA313" s="97"/>
      <c r="AB313" s="97"/>
      <c r="AC313" s="97"/>
    </row>
  </sheetData>
  <dataValidations>
    <dataValidation type="list" allowBlank="1" showErrorMessage="1" sqref="C2:C313">
      <formula1>"Tuần 1,Tuần 2,Tuần 3,Tuần 4"</formula1>
    </dataValidation>
    <dataValidation type="list" allowBlank="1" showErrorMessage="1" sqref="V24:V313">
      <formula1>"New,Reopent,InProcess,Resoved,Reject,dev done"</formula1>
    </dataValidation>
    <dataValidation type="list" allowBlank="1" showErrorMessage="1" sqref="P2:Q313">
      <formula1>"BA confirm,Reopen,InProcess,Pass,Reject,dev done,Open,Resolved"</formula1>
    </dataValidation>
    <dataValidation type="list" allowBlank="1" showErrorMessage="1" sqref="N2:N313 T24:T313">
      <formula1>"Pass,Fail,N/R"</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 r:id="rId191" ref="M192"/>
    <hyperlink r:id="rId192" ref="M193"/>
    <hyperlink r:id="rId193" ref="M194"/>
    <hyperlink r:id="rId194" ref="M195"/>
    <hyperlink r:id="rId195" ref="M196"/>
    <hyperlink r:id="rId196" ref="M197"/>
    <hyperlink r:id="rId197" ref="M198"/>
    <hyperlink r:id="rId198" ref="M199"/>
    <hyperlink r:id="rId199" ref="M200"/>
    <hyperlink r:id="rId200" ref="M201"/>
    <hyperlink r:id="rId201" ref="M202"/>
    <hyperlink r:id="rId202" ref="M203"/>
    <hyperlink r:id="rId203" ref="M204"/>
    <hyperlink r:id="rId204" ref="M205"/>
    <hyperlink r:id="rId205" ref="M206"/>
    <hyperlink r:id="rId206" ref="M207"/>
    <hyperlink r:id="rId207" ref="M208"/>
    <hyperlink r:id="rId208" ref="M209"/>
    <hyperlink r:id="rId209" ref="M210"/>
    <hyperlink r:id="rId210" ref="M211"/>
    <hyperlink r:id="rId211" ref="M212"/>
    <hyperlink r:id="rId212" ref="M213"/>
    <hyperlink r:id="rId213" ref="M214"/>
    <hyperlink r:id="rId214" ref="M215"/>
    <hyperlink r:id="rId215" ref="M216"/>
    <hyperlink r:id="rId216" ref="M217"/>
    <hyperlink r:id="rId217" ref="M218"/>
    <hyperlink r:id="rId218" ref="M219"/>
    <hyperlink r:id="rId219" ref="M220"/>
    <hyperlink r:id="rId220" ref="M221"/>
    <hyperlink r:id="rId221" ref="M222"/>
    <hyperlink r:id="rId222" ref="M223"/>
    <hyperlink r:id="rId223" ref="M224"/>
    <hyperlink r:id="rId224" ref="M225"/>
    <hyperlink r:id="rId225" ref="M226"/>
    <hyperlink r:id="rId226" ref="M227"/>
    <hyperlink r:id="rId227" ref="M228"/>
    <hyperlink r:id="rId228" ref="M229"/>
    <hyperlink r:id="rId229" ref="M230"/>
    <hyperlink r:id="rId230" ref="M231"/>
    <hyperlink r:id="rId231" ref="M232"/>
    <hyperlink r:id="rId232" ref="M233"/>
    <hyperlink r:id="rId233" ref="M234"/>
    <hyperlink r:id="rId234" ref="M235"/>
    <hyperlink r:id="rId235" ref="M236"/>
    <hyperlink r:id="rId236" ref="M237"/>
    <hyperlink r:id="rId237" ref="M238"/>
    <hyperlink r:id="rId238" ref="M239"/>
    <hyperlink r:id="rId239" ref="M240"/>
    <hyperlink r:id="rId240" ref="M241"/>
    <hyperlink r:id="rId241" ref="M242"/>
    <hyperlink r:id="rId242" ref="M243"/>
    <hyperlink r:id="rId243" ref="M244"/>
    <hyperlink r:id="rId244" ref="M245"/>
    <hyperlink r:id="rId245" ref="M246"/>
    <hyperlink r:id="rId246" ref="M247"/>
    <hyperlink r:id="rId247" ref="M248"/>
    <hyperlink r:id="rId248" ref="M249"/>
    <hyperlink r:id="rId249" ref="M250"/>
    <hyperlink r:id="rId250" ref="M251"/>
    <hyperlink r:id="rId251" ref="M252"/>
    <hyperlink r:id="rId252" ref="M253"/>
    <hyperlink r:id="rId253" ref="M254"/>
    <hyperlink r:id="rId254" ref="M255"/>
    <hyperlink r:id="rId255" ref="M256"/>
    <hyperlink r:id="rId256" ref="M257"/>
    <hyperlink r:id="rId257" ref="M258"/>
    <hyperlink r:id="rId258" ref="M259"/>
    <hyperlink r:id="rId259" ref="M260"/>
    <hyperlink r:id="rId260" ref="M261"/>
    <hyperlink r:id="rId261" ref="M262"/>
    <hyperlink r:id="rId262" ref="M263"/>
    <hyperlink r:id="rId263" ref="M264"/>
    <hyperlink r:id="rId264" ref="M265"/>
    <hyperlink r:id="rId265" ref="M266"/>
    <hyperlink r:id="rId266" ref="M267"/>
    <hyperlink r:id="rId267" ref="M268"/>
    <hyperlink r:id="rId268" ref="M269"/>
    <hyperlink r:id="rId269" ref="M270"/>
    <hyperlink r:id="rId270" ref="M271"/>
    <hyperlink r:id="rId271" ref="M272"/>
    <hyperlink r:id="rId272" ref="M273"/>
    <hyperlink r:id="rId273" ref="M274"/>
    <hyperlink r:id="rId274" ref="M275"/>
    <hyperlink r:id="rId275" ref="M276"/>
    <hyperlink r:id="rId276" ref="M277"/>
    <hyperlink r:id="rId277" ref="M278"/>
    <hyperlink r:id="rId278" ref="M279"/>
    <hyperlink r:id="rId279" ref="M280"/>
    <hyperlink r:id="rId280" ref="M281"/>
    <hyperlink r:id="rId281" ref="M282"/>
    <hyperlink r:id="rId282" ref="M283"/>
    <hyperlink r:id="rId283" ref="M284"/>
    <hyperlink r:id="rId284" ref="M285"/>
    <hyperlink r:id="rId285" ref="M286"/>
    <hyperlink r:id="rId286" ref="M287"/>
    <hyperlink r:id="rId287" ref="M288"/>
    <hyperlink r:id="rId288" ref="M289"/>
    <hyperlink r:id="rId289" ref="M290"/>
    <hyperlink r:id="rId290" ref="M291"/>
    <hyperlink r:id="rId291" ref="M292"/>
    <hyperlink r:id="rId292" ref="M293"/>
    <hyperlink r:id="rId293" ref="M294"/>
    <hyperlink r:id="rId294" ref="M295"/>
    <hyperlink r:id="rId295" ref="M296"/>
    <hyperlink r:id="rId296" ref="M297"/>
    <hyperlink r:id="rId297" ref="M298"/>
    <hyperlink r:id="rId298" ref="M299"/>
    <hyperlink r:id="rId299" ref="M300"/>
    <hyperlink r:id="rId300" ref="M301"/>
  </hyperlinks>
  <drawing r:id="rId301"/>
  <tableParts count="1">
    <tablePart r:id="rId30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7.25"/>
    <col customWidth="1" min="2" max="2" width="12.0"/>
    <col customWidth="1" min="4" max="4" width="20.0"/>
    <col customWidth="1" min="6" max="6" width="28.25"/>
    <col customWidth="1" min="7" max="7" width="23.25"/>
    <col customWidth="1" min="8" max="8" width="33.88"/>
    <col customWidth="1" min="9" max="9" width="21.13"/>
    <col customWidth="1" min="10" max="10" width="33.88"/>
    <col customWidth="1" min="11" max="12" width="34.5"/>
    <col customWidth="1" min="13" max="13" width="26.63"/>
    <col customWidth="1" min="15" max="15" width="20.13"/>
    <col customWidth="1" min="16" max="16" width="17.63"/>
    <col customWidth="1" min="17" max="17" width="14.38"/>
    <col customWidth="1" min="18" max="18" width="33.63"/>
  </cols>
  <sheetData>
    <row r="1">
      <c r="A1" s="1"/>
      <c r="B1" s="2" t="s">
        <v>1</v>
      </c>
      <c r="C1" s="2" t="s">
        <v>2</v>
      </c>
      <c r="D1" s="2" t="s">
        <v>3</v>
      </c>
      <c r="E1" s="2" t="s">
        <v>4</v>
      </c>
      <c r="F1" s="4" t="s">
        <v>5</v>
      </c>
      <c r="G1" s="2" t="s">
        <v>6</v>
      </c>
      <c r="H1" s="2" t="s">
        <v>7</v>
      </c>
      <c r="I1" s="2" t="s">
        <v>8</v>
      </c>
      <c r="J1" s="2" t="s">
        <v>9</v>
      </c>
      <c r="K1" s="2" t="s">
        <v>10</v>
      </c>
      <c r="L1" s="2" t="s">
        <v>11</v>
      </c>
      <c r="M1" s="2" t="s">
        <v>12</v>
      </c>
      <c r="N1" s="2" t="s">
        <v>13</v>
      </c>
      <c r="O1" s="2" t="s">
        <v>14</v>
      </c>
      <c r="P1" s="7" t="s">
        <v>15</v>
      </c>
      <c r="Q1" s="4" t="s">
        <v>16</v>
      </c>
      <c r="R1" s="4" t="s">
        <v>17</v>
      </c>
      <c r="S1" s="2" t="s">
        <v>18</v>
      </c>
      <c r="T1" s="2" t="s">
        <v>19</v>
      </c>
      <c r="U1" s="2" t="s">
        <v>20</v>
      </c>
      <c r="V1" s="2" t="s">
        <v>21</v>
      </c>
      <c r="W1" s="2" t="s">
        <v>22</v>
      </c>
      <c r="X1" s="2" t="s">
        <v>23</v>
      </c>
      <c r="Y1" s="9"/>
      <c r="Z1" s="9"/>
      <c r="AA1" s="9"/>
      <c r="AB1" s="10"/>
      <c r="AC1" s="9"/>
      <c r="AD1" s="10"/>
    </row>
    <row r="2">
      <c r="A2" s="12"/>
      <c r="B2" s="15">
        <v>46223.0</v>
      </c>
      <c r="C2" s="19" t="s">
        <v>26</v>
      </c>
      <c r="D2" s="21" t="s">
        <v>29</v>
      </c>
      <c r="E2" s="24"/>
      <c r="F2" s="24"/>
      <c r="G2" s="28" t="s">
        <v>33</v>
      </c>
      <c r="H2" s="28" t="s">
        <v>37</v>
      </c>
      <c r="I2" s="24"/>
      <c r="J2" s="28" t="s">
        <v>40</v>
      </c>
      <c r="K2" s="28" t="s">
        <v>41</v>
      </c>
      <c r="L2" s="28" t="s">
        <v>42</v>
      </c>
      <c r="M2" s="35" t="s">
        <v>44</v>
      </c>
      <c r="N2" s="28" t="s">
        <v>52</v>
      </c>
      <c r="O2" s="24"/>
      <c r="P2" s="36"/>
      <c r="Q2" s="38"/>
      <c r="R2" s="40"/>
      <c r="S2" s="42"/>
      <c r="T2" s="42"/>
      <c r="U2" s="42"/>
      <c r="V2" s="42"/>
      <c r="W2" s="42"/>
      <c r="X2" s="42"/>
    </row>
    <row r="3">
      <c r="A3" s="45"/>
      <c r="B3" s="49">
        <v>46223.0</v>
      </c>
      <c r="C3" s="52" t="s">
        <v>26</v>
      </c>
      <c r="D3" s="21" t="s">
        <v>58</v>
      </c>
      <c r="E3" s="54"/>
      <c r="F3" s="54"/>
      <c r="G3" s="55" t="s">
        <v>59</v>
      </c>
      <c r="H3" s="55" t="s">
        <v>37</v>
      </c>
      <c r="I3" s="54"/>
      <c r="J3" s="55" t="s">
        <v>62</v>
      </c>
      <c r="K3" s="28" t="s">
        <v>64</v>
      </c>
      <c r="L3" s="55" t="s">
        <v>66</v>
      </c>
      <c r="M3" s="59" t="s">
        <v>67</v>
      </c>
      <c r="N3" s="55" t="s">
        <v>52</v>
      </c>
      <c r="O3" s="54"/>
      <c r="P3" s="62"/>
      <c r="Q3" s="66"/>
      <c r="R3" s="67"/>
      <c r="S3" s="68"/>
      <c r="T3" s="68"/>
      <c r="U3" s="68"/>
      <c r="V3" s="68"/>
      <c r="W3" s="68"/>
      <c r="X3" s="68"/>
    </row>
    <row r="4">
      <c r="A4" s="12"/>
      <c r="B4" s="15">
        <v>46223.0</v>
      </c>
      <c r="C4" s="19" t="s">
        <v>26</v>
      </c>
      <c r="D4" s="21" t="s">
        <v>88</v>
      </c>
      <c r="E4" s="24"/>
      <c r="F4" s="24"/>
      <c r="G4" s="28" t="s">
        <v>90</v>
      </c>
      <c r="H4" s="28" t="s">
        <v>37</v>
      </c>
      <c r="I4" s="24"/>
      <c r="J4" s="28" t="s">
        <v>91</v>
      </c>
      <c r="K4" s="28" t="s">
        <v>92</v>
      </c>
      <c r="L4" s="28" t="s">
        <v>94</v>
      </c>
      <c r="M4" s="72" t="s">
        <v>95</v>
      </c>
      <c r="N4" s="28" t="s">
        <v>52</v>
      </c>
      <c r="O4" s="24"/>
      <c r="P4" s="36"/>
      <c r="Q4" s="38"/>
      <c r="R4" s="40"/>
      <c r="S4" s="42"/>
      <c r="T4" s="42"/>
      <c r="U4" s="42"/>
      <c r="V4" s="42"/>
      <c r="W4" s="42"/>
      <c r="X4" s="42"/>
    </row>
    <row r="5">
      <c r="A5" s="45"/>
      <c r="B5" s="49">
        <v>46223.0</v>
      </c>
      <c r="C5" s="52" t="s">
        <v>26</v>
      </c>
      <c r="D5" s="21" t="s">
        <v>109</v>
      </c>
      <c r="E5" s="54"/>
      <c r="F5" s="54"/>
      <c r="G5" s="55" t="s">
        <v>116</v>
      </c>
      <c r="H5" s="55" t="s">
        <v>37</v>
      </c>
      <c r="I5" s="54"/>
      <c r="J5" s="55" t="s">
        <v>120</v>
      </c>
      <c r="K5" s="55" t="s">
        <v>121</v>
      </c>
      <c r="L5" s="55" t="s">
        <v>123</v>
      </c>
      <c r="M5" s="80" t="s">
        <v>124</v>
      </c>
      <c r="N5" s="55" t="s">
        <v>52</v>
      </c>
      <c r="O5" s="54"/>
      <c r="P5" s="62"/>
      <c r="Q5" s="66"/>
      <c r="R5" s="67"/>
      <c r="S5" s="68"/>
      <c r="T5" s="68"/>
      <c r="U5" s="68"/>
      <c r="V5" s="68"/>
      <c r="W5" s="68"/>
      <c r="X5" s="68"/>
    </row>
    <row r="6">
      <c r="A6" s="12"/>
      <c r="B6" s="15">
        <v>46223.0</v>
      </c>
      <c r="C6" s="19" t="s">
        <v>26</v>
      </c>
      <c r="D6" s="21" t="s">
        <v>138</v>
      </c>
      <c r="E6" s="24"/>
      <c r="F6" s="24"/>
      <c r="G6" s="28" t="s">
        <v>141</v>
      </c>
      <c r="H6" s="28" t="s">
        <v>143</v>
      </c>
      <c r="I6" s="24"/>
      <c r="J6" s="28" t="s">
        <v>146</v>
      </c>
      <c r="K6" s="28" t="s">
        <v>148</v>
      </c>
      <c r="L6" s="28" t="s">
        <v>149</v>
      </c>
      <c r="M6" s="72" t="s">
        <v>151</v>
      </c>
      <c r="N6" s="28" t="s">
        <v>52</v>
      </c>
      <c r="O6" s="24"/>
      <c r="P6" s="36"/>
      <c r="Q6" s="38"/>
      <c r="R6" s="40"/>
      <c r="S6" s="42"/>
      <c r="T6" s="42"/>
      <c r="U6" s="42"/>
      <c r="V6" s="42"/>
      <c r="W6" s="42"/>
      <c r="X6" s="42"/>
    </row>
    <row r="7">
      <c r="A7" s="45"/>
      <c r="B7" s="49">
        <v>46223.0</v>
      </c>
      <c r="C7" s="52" t="s">
        <v>26</v>
      </c>
      <c r="D7" s="21" t="s">
        <v>164</v>
      </c>
      <c r="E7" s="54"/>
      <c r="F7" s="54"/>
      <c r="G7" s="55" t="s">
        <v>168</v>
      </c>
      <c r="H7" s="55" t="s">
        <v>172</v>
      </c>
      <c r="I7" s="54"/>
      <c r="J7" s="55" t="s">
        <v>175</v>
      </c>
      <c r="K7" s="55" t="s">
        <v>178</v>
      </c>
      <c r="L7" s="55" t="s">
        <v>179</v>
      </c>
      <c r="M7" s="59" t="s">
        <v>180</v>
      </c>
      <c r="N7" s="55" t="s">
        <v>52</v>
      </c>
      <c r="O7" s="54"/>
      <c r="P7" s="62"/>
      <c r="Q7" s="66"/>
      <c r="R7" s="67"/>
      <c r="S7" s="68"/>
      <c r="T7" s="68"/>
      <c r="U7" s="68"/>
      <c r="V7" s="68"/>
      <c r="W7" s="68"/>
      <c r="X7" s="68"/>
    </row>
    <row r="8">
      <c r="A8" s="12"/>
      <c r="B8" s="15">
        <v>46223.0</v>
      </c>
      <c r="C8" s="19" t="s">
        <v>26</v>
      </c>
      <c r="D8" s="21" t="s">
        <v>189</v>
      </c>
      <c r="E8" s="24"/>
      <c r="F8" s="24"/>
      <c r="G8" s="28" t="s">
        <v>191</v>
      </c>
      <c r="H8" s="28" t="s">
        <v>143</v>
      </c>
      <c r="I8" s="24"/>
      <c r="J8" s="28" t="s">
        <v>193</v>
      </c>
      <c r="K8" s="28" t="s">
        <v>195</v>
      </c>
      <c r="L8" s="28" t="s">
        <v>197</v>
      </c>
      <c r="M8" s="72" t="s">
        <v>199</v>
      </c>
      <c r="N8" s="28" t="s">
        <v>52</v>
      </c>
      <c r="O8" s="24"/>
      <c r="P8" s="36"/>
      <c r="Q8" s="38"/>
      <c r="R8" s="40"/>
      <c r="S8" s="42"/>
      <c r="T8" s="42"/>
      <c r="U8" s="42"/>
      <c r="V8" s="42"/>
      <c r="W8" s="42"/>
      <c r="X8" s="42"/>
    </row>
    <row r="9">
      <c r="A9" s="45"/>
      <c r="B9" s="49">
        <v>46223.0</v>
      </c>
      <c r="C9" s="52" t="s">
        <v>26</v>
      </c>
      <c r="D9" s="21" t="s">
        <v>214</v>
      </c>
      <c r="E9" s="54"/>
      <c r="F9" s="54"/>
      <c r="G9" s="55" t="s">
        <v>215</v>
      </c>
      <c r="H9" s="55" t="s">
        <v>37</v>
      </c>
      <c r="I9" s="54"/>
      <c r="J9" s="55" t="s">
        <v>221</v>
      </c>
      <c r="K9" s="55" t="s">
        <v>223</v>
      </c>
      <c r="L9" s="55" t="s">
        <v>94</v>
      </c>
      <c r="M9" s="80" t="s">
        <v>227</v>
      </c>
      <c r="N9" s="55" t="s">
        <v>52</v>
      </c>
      <c r="O9" s="54"/>
      <c r="P9" s="62"/>
      <c r="Q9" s="66"/>
      <c r="R9" s="67"/>
      <c r="S9" s="68"/>
      <c r="T9" s="68"/>
      <c r="U9" s="68"/>
      <c r="V9" s="68"/>
      <c r="W9" s="68"/>
      <c r="X9" s="68"/>
    </row>
    <row r="10">
      <c r="A10" s="12"/>
      <c r="B10" s="15">
        <v>46223.0</v>
      </c>
      <c r="C10" s="19" t="s">
        <v>26</v>
      </c>
      <c r="D10" s="21" t="s">
        <v>243</v>
      </c>
      <c r="E10" s="24"/>
      <c r="F10" s="24"/>
      <c r="G10" s="28" t="s">
        <v>246</v>
      </c>
      <c r="H10" s="28" t="s">
        <v>37</v>
      </c>
      <c r="I10" s="24"/>
      <c r="J10" s="28" t="s">
        <v>247</v>
      </c>
      <c r="K10" s="28" t="s">
        <v>248</v>
      </c>
      <c r="L10" s="28" t="s">
        <v>249</v>
      </c>
      <c r="M10" s="72" t="s">
        <v>250</v>
      </c>
      <c r="N10" s="28" t="s">
        <v>52</v>
      </c>
      <c r="O10" s="24"/>
      <c r="P10" s="36"/>
      <c r="Q10" s="38"/>
      <c r="R10" s="40"/>
      <c r="S10" s="42"/>
      <c r="T10" s="42"/>
      <c r="U10" s="42"/>
      <c r="V10" s="42"/>
      <c r="W10" s="42"/>
      <c r="X10" s="42"/>
    </row>
    <row r="11">
      <c r="A11" s="45"/>
      <c r="B11" s="49">
        <v>46223.0</v>
      </c>
      <c r="C11" s="52" t="s">
        <v>26</v>
      </c>
      <c r="D11" s="21" t="s">
        <v>269</v>
      </c>
      <c r="E11" s="54"/>
      <c r="F11" s="54"/>
      <c r="G11" s="55" t="s">
        <v>59</v>
      </c>
      <c r="H11" s="55" t="s">
        <v>37</v>
      </c>
      <c r="I11" s="54"/>
      <c r="J11" s="55" t="s">
        <v>273</v>
      </c>
      <c r="K11" s="28" t="s">
        <v>64</v>
      </c>
      <c r="L11" s="55" t="s">
        <v>274</v>
      </c>
      <c r="M11" s="59" t="s">
        <v>276</v>
      </c>
      <c r="N11" s="55" t="s">
        <v>52</v>
      </c>
      <c r="O11" s="54"/>
      <c r="P11" s="62"/>
      <c r="Q11" s="66"/>
      <c r="R11" s="67"/>
      <c r="S11" s="68"/>
      <c r="T11" s="68"/>
      <c r="U11" s="68"/>
      <c r="V11" s="68"/>
      <c r="W11" s="68"/>
      <c r="X11" s="68"/>
    </row>
    <row r="12">
      <c r="A12" s="12"/>
      <c r="B12" s="15">
        <v>46223.0</v>
      </c>
      <c r="C12" s="19" t="s">
        <v>26</v>
      </c>
      <c r="D12" s="21" t="s">
        <v>294</v>
      </c>
      <c r="E12" s="24"/>
      <c r="F12" s="24"/>
      <c r="G12" s="28" t="s">
        <v>191</v>
      </c>
      <c r="H12" s="28" t="s">
        <v>37</v>
      </c>
      <c r="I12" s="24"/>
      <c r="J12" s="28" t="s">
        <v>301</v>
      </c>
      <c r="K12" s="28" t="s">
        <v>303</v>
      </c>
      <c r="L12" s="28" t="s">
        <v>305</v>
      </c>
      <c r="M12" s="91" t="s">
        <v>307</v>
      </c>
      <c r="N12" s="28" t="s">
        <v>52</v>
      </c>
      <c r="O12" s="24"/>
      <c r="P12" s="36"/>
      <c r="Q12" s="38"/>
      <c r="R12" s="40"/>
      <c r="S12" s="42"/>
      <c r="T12" s="42"/>
      <c r="U12" s="42"/>
      <c r="V12" s="42"/>
      <c r="W12" s="42"/>
      <c r="X12" s="42"/>
    </row>
    <row r="13">
      <c r="A13" s="45"/>
      <c r="B13" s="49">
        <v>46223.0</v>
      </c>
      <c r="C13" s="93" t="s">
        <v>26</v>
      </c>
      <c r="D13" s="21" t="s">
        <v>322</v>
      </c>
      <c r="E13" s="54"/>
      <c r="F13" s="54"/>
      <c r="G13" s="94" t="s">
        <v>326</v>
      </c>
      <c r="H13" s="94" t="s">
        <v>37</v>
      </c>
      <c r="I13" s="95"/>
      <c r="J13" s="94" t="s">
        <v>336</v>
      </c>
      <c r="K13" s="94" t="s">
        <v>341</v>
      </c>
      <c r="L13" s="94" t="s">
        <v>343</v>
      </c>
      <c r="M13" s="96" t="s">
        <v>344</v>
      </c>
      <c r="N13" s="94" t="s">
        <v>52</v>
      </c>
      <c r="O13" s="54"/>
      <c r="P13" s="62"/>
      <c r="Q13" s="66"/>
      <c r="R13" s="67"/>
      <c r="S13" s="68"/>
      <c r="T13" s="68"/>
      <c r="U13" s="68"/>
      <c r="V13" s="68"/>
      <c r="W13" s="68"/>
      <c r="X13" s="68"/>
      <c r="Y13" s="97"/>
      <c r="Z13" s="97"/>
      <c r="AA13" s="97"/>
      <c r="AB13" s="97"/>
      <c r="AC13" s="97"/>
    </row>
    <row r="14">
      <c r="A14" s="12"/>
      <c r="B14" s="15">
        <v>46223.0</v>
      </c>
      <c r="C14" s="98" t="s">
        <v>26</v>
      </c>
      <c r="D14" s="21" t="s">
        <v>360</v>
      </c>
      <c r="E14" s="24"/>
      <c r="F14" s="24"/>
      <c r="G14" s="99" t="s">
        <v>361</v>
      </c>
      <c r="H14" s="99" t="s">
        <v>37</v>
      </c>
      <c r="I14" s="100"/>
      <c r="J14" s="99" t="s">
        <v>336</v>
      </c>
      <c r="K14" s="99" t="s">
        <v>64</v>
      </c>
      <c r="L14" s="99" t="s">
        <v>367</v>
      </c>
      <c r="M14" s="101" t="s">
        <v>370</v>
      </c>
      <c r="N14" s="99" t="s">
        <v>52</v>
      </c>
      <c r="O14" s="24"/>
      <c r="P14" s="36"/>
      <c r="Q14" s="38"/>
      <c r="R14" s="40"/>
      <c r="S14" s="42"/>
      <c r="T14" s="42"/>
      <c r="U14" s="42"/>
      <c r="V14" s="42"/>
      <c r="W14" s="42"/>
      <c r="X14" s="42"/>
      <c r="Y14" s="97"/>
      <c r="Z14" s="97"/>
      <c r="AA14" s="97"/>
      <c r="AB14" s="97"/>
      <c r="AC14" s="97"/>
    </row>
    <row r="15">
      <c r="A15" s="45"/>
      <c r="B15" s="49">
        <v>46223.0</v>
      </c>
      <c r="C15" s="93" t="s">
        <v>26</v>
      </c>
      <c r="D15" s="21" t="s">
        <v>385</v>
      </c>
      <c r="E15" s="54"/>
      <c r="F15" s="54"/>
      <c r="G15" s="94" t="s">
        <v>387</v>
      </c>
      <c r="H15" s="94" t="s">
        <v>37</v>
      </c>
      <c r="I15" s="95"/>
      <c r="J15" s="94" t="s">
        <v>336</v>
      </c>
      <c r="K15" s="94" t="s">
        <v>392</v>
      </c>
      <c r="L15" s="94" t="s">
        <v>395</v>
      </c>
      <c r="M15" s="102" t="s">
        <v>396</v>
      </c>
      <c r="N15" s="94" t="s">
        <v>52</v>
      </c>
      <c r="O15" s="54"/>
      <c r="P15" s="62"/>
      <c r="Q15" s="66"/>
      <c r="R15" s="67"/>
      <c r="S15" s="68"/>
      <c r="T15" s="68"/>
      <c r="U15" s="68"/>
      <c r="V15" s="68"/>
      <c r="W15" s="68"/>
      <c r="X15" s="68"/>
      <c r="Y15" s="97"/>
      <c r="Z15" s="97"/>
      <c r="AA15" s="97"/>
      <c r="AB15" s="97"/>
      <c r="AC15" s="97"/>
    </row>
    <row r="16">
      <c r="A16" s="12"/>
      <c r="B16" s="15">
        <v>46223.0</v>
      </c>
      <c r="C16" s="98" t="s">
        <v>26</v>
      </c>
      <c r="D16" s="21" t="s">
        <v>415</v>
      </c>
      <c r="E16" s="24"/>
      <c r="F16" s="24"/>
      <c r="G16" s="99" t="s">
        <v>417</v>
      </c>
      <c r="H16" s="99" t="s">
        <v>37</v>
      </c>
      <c r="I16" s="100"/>
      <c r="J16" s="99" t="s">
        <v>418</v>
      </c>
      <c r="K16" s="99" t="s">
        <v>421</v>
      </c>
      <c r="L16" s="99" t="s">
        <v>423</v>
      </c>
      <c r="M16" s="101" t="s">
        <v>424</v>
      </c>
      <c r="N16" s="99" t="s">
        <v>52</v>
      </c>
      <c r="O16" s="24"/>
      <c r="P16" s="36"/>
      <c r="Q16" s="38"/>
      <c r="R16" s="40"/>
      <c r="S16" s="42"/>
      <c r="T16" s="42"/>
      <c r="U16" s="42"/>
      <c r="V16" s="42"/>
      <c r="W16" s="42"/>
      <c r="X16" s="42"/>
      <c r="Y16" s="97"/>
      <c r="Z16" s="97"/>
      <c r="AA16" s="97"/>
      <c r="AB16" s="97"/>
      <c r="AC16" s="97"/>
    </row>
    <row r="17">
      <c r="A17" s="45"/>
      <c r="B17" s="49">
        <v>46223.0</v>
      </c>
      <c r="C17" s="93" t="s">
        <v>26</v>
      </c>
      <c r="D17" s="21" t="s">
        <v>438</v>
      </c>
      <c r="E17" s="54"/>
      <c r="F17" s="54"/>
      <c r="G17" s="94" t="s">
        <v>440</v>
      </c>
      <c r="H17" s="94" t="s">
        <v>37</v>
      </c>
      <c r="I17" s="95"/>
      <c r="J17" s="94" t="s">
        <v>443</v>
      </c>
      <c r="K17" s="94" t="s">
        <v>444</v>
      </c>
      <c r="L17" s="94" t="s">
        <v>445</v>
      </c>
      <c r="M17" s="104" t="s">
        <v>448</v>
      </c>
      <c r="N17" s="94" t="s">
        <v>52</v>
      </c>
      <c r="O17" s="54"/>
      <c r="P17" s="62"/>
      <c r="Q17" s="66"/>
      <c r="R17" s="67"/>
      <c r="S17" s="68"/>
      <c r="T17" s="68"/>
      <c r="U17" s="68"/>
      <c r="V17" s="68"/>
      <c r="W17" s="68"/>
      <c r="X17" s="68"/>
      <c r="Y17" s="97"/>
      <c r="Z17" s="97"/>
      <c r="AA17" s="97"/>
      <c r="AB17" s="97"/>
      <c r="AC17" s="97"/>
    </row>
    <row r="18">
      <c r="A18" s="12"/>
      <c r="B18" s="15">
        <v>46223.0</v>
      </c>
      <c r="C18" s="98" t="s">
        <v>26</v>
      </c>
      <c r="D18" s="21" t="s">
        <v>461</v>
      </c>
      <c r="E18" s="24"/>
      <c r="F18" s="24"/>
      <c r="G18" s="99" t="s">
        <v>462</v>
      </c>
      <c r="H18" s="99" t="s">
        <v>37</v>
      </c>
      <c r="I18" s="100"/>
      <c r="J18" s="99" t="s">
        <v>466</v>
      </c>
      <c r="K18" s="99" t="s">
        <v>467</v>
      </c>
      <c r="L18" s="99" t="s">
        <v>468</v>
      </c>
      <c r="M18" s="101" t="s">
        <v>470</v>
      </c>
      <c r="N18" s="99" t="s">
        <v>52</v>
      </c>
      <c r="O18" s="24"/>
      <c r="P18" s="36"/>
      <c r="Q18" s="38"/>
      <c r="R18" s="40"/>
      <c r="S18" s="42"/>
      <c r="T18" s="42"/>
      <c r="U18" s="42"/>
      <c r="V18" s="42"/>
      <c r="W18" s="42"/>
      <c r="X18" s="42"/>
      <c r="Y18" s="97"/>
      <c r="Z18" s="97"/>
      <c r="AA18" s="97"/>
      <c r="AB18" s="97"/>
      <c r="AC18" s="97"/>
    </row>
    <row r="19">
      <c r="A19" s="45"/>
      <c r="B19" s="49">
        <v>46223.0</v>
      </c>
      <c r="C19" s="93" t="s">
        <v>26</v>
      </c>
      <c r="D19" s="21" t="s">
        <v>481</v>
      </c>
      <c r="E19" s="54"/>
      <c r="F19" s="54"/>
      <c r="G19" s="94" t="s">
        <v>484</v>
      </c>
      <c r="H19" s="94" t="s">
        <v>485</v>
      </c>
      <c r="I19" s="95"/>
      <c r="J19" s="94" t="s">
        <v>487</v>
      </c>
      <c r="K19" s="94" t="s">
        <v>492</v>
      </c>
      <c r="L19" s="94" t="s">
        <v>495</v>
      </c>
      <c r="M19" s="104" t="s">
        <v>496</v>
      </c>
      <c r="N19" s="94" t="s">
        <v>52</v>
      </c>
      <c r="O19" s="54"/>
      <c r="P19" s="62"/>
      <c r="Q19" s="66"/>
      <c r="R19" s="67"/>
      <c r="S19" s="68"/>
      <c r="T19" s="68"/>
      <c r="U19" s="68"/>
      <c r="V19" s="68"/>
      <c r="W19" s="68"/>
      <c r="X19" s="68"/>
      <c r="Y19" s="97"/>
      <c r="Z19" s="97"/>
      <c r="AA19" s="97"/>
      <c r="AB19" s="97"/>
      <c r="AC19" s="97"/>
    </row>
    <row r="20">
      <c r="A20" s="105"/>
      <c r="B20" s="107">
        <v>155.0</v>
      </c>
      <c r="C20" s="98" t="s">
        <v>26</v>
      </c>
      <c r="D20" s="108" t="s">
        <v>508</v>
      </c>
      <c r="E20" s="85" t="s">
        <v>511</v>
      </c>
      <c r="F20" s="85" t="s">
        <v>514</v>
      </c>
      <c r="G20" s="109" t="s">
        <v>516</v>
      </c>
      <c r="H20" s="99" t="s">
        <v>37</v>
      </c>
      <c r="I20" s="100"/>
      <c r="J20" s="99" t="s">
        <v>520</v>
      </c>
      <c r="K20" s="99" t="s">
        <v>523</v>
      </c>
      <c r="L20" s="99" t="s">
        <v>524</v>
      </c>
      <c r="M20" s="101" t="s">
        <v>526</v>
      </c>
      <c r="N20" s="99" t="s">
        <v>52</v>
      </c>
      <c r="O20" s="24"/>
      <c r="P20" s="36"/>
      <c r="Q20" s="38"/>
      <c r="R20" s="40"/>
      <c r="S20" s="42"/>
      <c r="T20" s="42"/>
      <c r="U20" s="42"/>
      <c r="V20" s="42"/>
      <c r="W20" s="42"/>
      <c r="X20" s="42"/>
      <c r="Y20" s="97"/>
      <c r="Z20" s="97"/>
      <c r="AA20" s="97"/>
      <c r="AB20" s="97"/>
      <c r="AC20" s="97"/>
    </row>
    <row r="21">
      <c r="A21" s="45"/>
      <c r="B21" s="49">
        <v>46223.0</v>
      </c>
      <c r="C21" s="93" t="s">
        <v>26</v>
      </c>
      <c r="D21" s="21" t="s">
        <v>535</v>
      </c>
      <c r="E21" s="54"/>
      <c r="F21" s="54"/>
      <c r="G21" s="94" t="s">
        <v>538</v>
      </c>
      <c r="H21" s="94" t="s">
        <v>37</v>
      </c>
      <c r="I21" s="95"/>
      <c r="J21" s="94" t="s">
        <v>540</v>
      </c>
      <c r="K21" s="94" t="s">
        <v>541</v>
      </c>
      <c r="L21" s="94" t="s">
        <v>542</v>
      </c>
      <c r="M21" s="104" t="s">
        <v>543</v>
      </c>
      <c r="N21" s="94" t="s">
        <v>52</v>
      </c>
      <c r="O21" s="54"/>
      <c r="P21" s="62"/>
      <c r="Q21" s="66"/>
      <c r="R21" s="67"/>
      <c r="S21" s="68"/>
      <c r="T21" s="68"/>
      <c r="U21" s="68"/>
      <c r="V21" s="68"/>
      <c r="W21" s="68"/>
      <c r="X21" s="68"/>
      <c r="Y21" s="97"/>
      <c r="Z21" s="97"/>
      <c r="AA21" s="97"/>
      <c r="AB21" s="97"/>
      <c r="AC21" s="97"/>
    </row>
    <row r="22">
      <c r="A22" s="12"/>
      <c r="B22" s="15">
        <v>46223.0</v>
      </c>
      <c r="C22" s="98" t="s">
        <v>26</v>
      </c>
      <c r="D22" s="21" t="s">
        <v>560</v>
      </c>
      <c r="E22" s="24"/>
      <c r="F22" s="24"/>
      <c r="G22" s="99" t="s">
        <v>561</v>
      </c>
      <c r="H22" s="99" t="s">
        <v>37</v>
      </c>
      <c r="I22" s="100"/>
      <c r="J22" s="99" t="s">
        <v>563</v>
      </c>
      <c r="K22" s="99" t="s">
        <v>565</v>
      </c>
      <c r="L22" s="99" t="s">
        <v>566</v>
      </c>
      <c r="M22" s="101" t="s">
        <v>567</v>
      </c>
      <c r="N22" s="99" t="s">
        <v>52</v>
      </c>
      <c r="O22" s="24"/>
      <c r="P22" s="36"/>
      <c r="Q22" s="38"/>
      <c r="R22" s="40"/>
      <c r="S22" s="42"/>
      <c r="T22" s="42"/>
      <c r="U22" s="42"/>
      <c r="V22" s="42"/>
      <c r="W22" s="42"/>
      <c r="X22" s="42"/>
      <c r="Y22" s="97"/>
      <c r="Z22" s="97"/>
      <c r="AA22" s="97"/>
      <c r="AB22" s="97"/>
      <c r="AC22" s="97"/>
    </row>
    <row r="23">
      <c r="A23" s="12"/>
      <c r="B23" s="49">
        <v>46223.0</v>
      </c>
      <c r="C23" s="93" t="s">
        <v>26</v>
      </c>
      <c r="D23" s="21" t="s">
        <v>579</v>
      </c>
      <c r="E23" s="24"/>
      <c r="F23" s="24"/>
      <c r="G23" s="94" t="s">
        <v>583</v>
      </c>
      <c r="H23" s="94" t="s">
        <v>585</v>
      </c>
      <c r="I23" s="95"/>
      <c r="J23" s="94" t="s">
        <v>587</v>
      </c>
      <c r="K23" s="94" t="s">
        <v>588</v>
      </c>
      <c r="L23" s="94" t="s">
        <v>590</v>
      </c>
      <c r="M23" s="104" t="s">
        <v>591</v>
      </c>
      <c r="N23" s="94" t="s">
        <v>52</v>
      </c>
      <c r="O23" s="54"/>
      <c r="P23" s="62"/>
      <c r="Q23" s="66"/>
      <c r="R23" s="67"/>
      <c r="S23" s="68"/>
      <c r="T23" s="68"/>
      <c r="U23" s="68"/>
      <c r="V23" s="68"/>
      <c r="W23" s="68"/>
      <c r="X23" s="68"/>
      <c r="Y23" s="97"/>
      <c r="Z23" s="97"/>
      <c r="AA23" s="97"/>
      <c r="AB23" s="97"/>
      <c r="AC23" s="97"/>
    </row>
    <row r="24">
      <c r="A24" s="105"/>
      <c r="B24" s="107">
        <v>157.0</v>
      </c>
      <c r="C24" s="98" t="s">
        <v>26</v>
      </c>
      <c r="D24" s="108" t="s">
        <v>607</v>
      </c>
      <c r="E24" s="85" t="s">
        <v>609</v>
      </c>
      <c r="F24" s="85" t="s">
        <v>611</v>
      </c>
      <c r="G24" s="109" t="s">
        <v>614</v>
      </c>
      <c r="H24" s="99" t="s">
        <v>143</v>
      </c>
      <c r="I24" s="100"/>
      <c r="J24" s="99" t="s">
        <v>624</v>
      </c>
      <c r="K24" s="99" t="s">
        <v>625</v>
      </c>
      <c r="L24" s="99" t="s">
        <v>626</v>
      </c>
      <c r="M24" s="101" t="s">
        <v>627</v>
      </c>
      <c r="N24" s="99" t="s">
        <v>52</v>
      </c>
      <c r="O24" s="24"/>
      <c r="P24" s="36"/>
      <c r="Q24" s="38"/>
      <c r="R24" s="40"/>
      <c r="S24" s="42"/>
      <c r="T24" s="42"/>
      <c r="U24" s="42"/>
      <c r="V24" s="42"/>
      <c r="W24" s="42"/>
      <c r="X24" s="42"/>
      <c r="Y24" s="97"/>
      <c r="Z24" s="97"/>
      <c r="AA24" s="97"/>
      <c r="AB24" s="97"/>
      <c r="AC24" s="97"/>
    </row>
    <row r="25">
      <c r="A25" s="12"/>
      <c r="B25" s="49">
        <v>46223.0</v>
      </c>
      <c r="C25" s="93" t="s">
        <v>26</v>
      </c>
      <c r="D25" s="21" t="s">
        <v>642</v>
      </c>
      <c r="E25" s="24"/>
      <c r="F25" s="24"/>
      <c r="G25" s="99" t="s">
        <v>407</v>
      </c>
      <c r="H25" s="94" t="s">
        <v>172</v>
      </c>
      <c r="I25" s="95"/>
      <c r="J25" s="94" t="s">
        <v>624</v>
      </c>
      <c r="K25" s="94" t="s">
        <v>650</v>
      </c>
      <c r="L25" s="94" t="s">
        <v>651</v>
      </c>
      <c r="M25" s="102" t="s">
        <v>652</v>
      </c>
      <c r="N25" s="94" t="s">
        <v>52</v>
      </c>
      <c r="O25" s="54"/>
      <c r="P25" s="62"/>
      <c r="Q25" s="66"/>
      <c r="R25" s="67"/>
      <c r="S25" s="68"/>
      <c r="T25" s="68"/>
      <c r="U25" s="68"/>
      <c r="V25" s="68"/>
      <c r="W25" s="68"/>
      <c r="X25" s="68"/>
      <c r="Y25" s="97"/>
      <c r="Z25" s="97"/>
      <c r="AA25" s="97"/>
      <c r="AB25" s="97"/>
      <c r="AC25" s="97"/>
    </row>
    <row r="26">
      <c r="A26" s="12"/>
      <c r="B26" s="15">
        <v>46223.0</v>
      </c>
      <c r="C26" s="98" t="s">
        <v>26</v>
      </c>
      <c r="D26" s="21" t="s">
        <v>674</v>
      </c>
      <c r="E26" s="24"/>
      <c r="F26" s="24"/>
      <c r="G26" s="99" t="s">
        <v>675</v>
      </c>
      <c r="H26" s="99" t="s">
        <v>143</v>
      </c>
      <c r="I26" s="100"/>
      <c r="J26" s="99" t="s">
        <v>687</v>
      </c>
      <c r="K26" s="99" t="s">
        <v>688</v>
      </c>
      <c r="L26" s="99" t="s">
        <v>690</v>
      </c>
      <c r="M26" s="35" t="s">
        <v>692</v>
      </c>
      <c r="N26" s="99" t="s">
        <v>52</v>
      </c>
      <c r="O26" s="24"/>
      <c r="P26" s="36"/>
      <c r="Q26" s="38"/>
      <c r="R26" s="40"/>
      <c r="S26" s="42"/>
      <c r="T26" s="42"/>
      <c r="U26" s="42"/>
      <c r="V26" s="42"/>
      <c r="W26" s="42"/>
      <c r="X26" s="42"/>
      <c r="Y26" s="97"/>
      <c r="Z26" s="97"/>
      <c r="AA26" s="97"/>
      <c r="AB26" s="97"/>
      <c r="AC26" s="97"/>
    </row>
    <row r="27">
      <c r="A27" s="12"/>
      <c r="B27" s="49">
        <v>46223.0</v>
      </c>
      <c r="C27" s="93" t="s">
        <v>26</v>
      </c>
      <c r="D27" s="21" t="s">
        <v>720</v>
      </c>
      <c r="E27" s="24"/>
      <c r="F27" s="24"/>
      <c r="G27" s="99" t="s">
        <v>33</v>
      </c>
      <c r="H27" s="94" t="s">
        <v>37</v>
      </c>
      <c r="I27" s="95"/>
      <c r="J27" s="94" t="s">
        <v>730</v>
      </c>
      <c r="K27" s="99" t="s">
        <v>64</v>
      </c>
      <c r="L27" s="94" t="s">
        <v>732</v>
      </c>
      <c r="M27" s="104" t="s">
        <v>733</v>
      </c>
      <c r="N27" s="94" t="s">
        <v>52</v>
      </c>
      <c r="O27" s="54"/>
      <c r="P27" s="62"/>
      <c r="Q27" s="66"/>
      <c r="R27" s="67"/>
      <c r="S27" s="68"/>
      <c r="T27" s="68"/>
      <c r="U27" s="68"/>
      <c r="V27" s="68"/>
      <c r="W27" s="68"/>
      <c r="X27" s="68"/>
      <c r="Y27" s="97"/>
      <c r="Z27" s="97"/>
      <c r="AA27" s="97"/>
      <c r="AB27" s="97"/>
      <c r="AC27" s="97"/>
    </row>
    <row r="28">
      <c r="A28" s="12"/>
      <c r="B28" s="15">
        <v>46223.0</v>
      </c>
      <c r="C28" s="98" t="s">
        <v>26</v>
      </c>
      <c r="D28" s="21" t="s">
        <v>749</v>
      </c>
      <c r="E28" s="24"/>
      <c r="F28" s="24"/>
      <c r="G28" s="99" t="s">
        <v>750</v>
      </c>
      <c r="H28" s="99" t="s">
        <v>37</v>
      </c>
      <c r="I28" s="100"/>
      <c r="J28" s="99" t="s">
        <v>730</v>
      </c>
      <c r="K28" s="99" t="s">
        <v>64</v>
      </c>
      <c r="L28" s="99" t="s">
        <v>755</v>
      </c>
      <c r="M28" s="101" t="s">
        <v>757</v>
      </c>
      <c r="N28" s="99" t="s">
        <v>52</v>
      </c>
      <c r="O28" s="24"/>
      <c r="P28" s="36"/>
      <c r="Q28" s="38"/>
      <c r="R28" s="40"/>
      <c r="S28" s="42"/>
      <c r="T28" s="42"/>
      <c r="U28" s="42"/>
      <c r="V28" s="42"/>
      <c r="W28" s="42"/>
      <c r="X28" s="42"/>
      <c r="Y28" s="97"/>
      <c r="Z28" s="97"/>
      <c r="AA28" s="97"/>
      <c r="AB28" s="97"/>
      <c r="AC28" s="97"/>
    </row>
    <row r="29">
      <c r="A29" s="12"/>
      <c r="B29" s="49">
        <v>46223.0</v>
      </c>
      <c r="C29" s="93" t="s">
        <v>26</v>
      </c>
      <c r="D29" s="21" t="s">
        <v>774</v>
      </c>
      <c r="E29" s="24"/>
      <c r="F29" s="24"/>
      <c r="G29" s="99" t="s">
        <v>777</v>
      </c>
      <c r="H29" s="94" t="s">
        <v>37</v>
      </c>
      <c r="I29" s="95"/>
      <c r="J29" s="94" t="s">
        <v>783</v>
      </c>
      <c r="K29" s="94" t="s">
        <v>784</v>
      </c>
      <c r="L29" s="94" t="s">
        <v>786</v>
      </c>
      <c r="M29" s="104" t="s">
        <v>788</v>
      </c>
      <c r="N29" s="94" t="s">
        <v>52</v>
      </c>
      <c r="O29" s="54"/>
      <c r="P29" s="62"/>
      <c r="Q29" s="66"/>
      <c r="R29" s="67"/>
      <c r="S29" s="68"/>
      <c r="T29" s="68"/>
      <c r="U29" s="68"/>
      <c r="V29" s="68"/>
      <c r="W29" s="68"/>
      <c r="X29" s="68"/>
      <c r="Y29" s="97"/>
      <c r="Z29" s="97"/>
      <c r="AA29" s="97"/>
      <c r="AB29" s="97"/>
      <c r="AC29" s="97"/>
    </row>
    <row r="30">
      <c r="A30" s="12"/>
      <c r="B30" s="15">
        <v>46223.0</v>
      </c>
      <c r="C30" s="98" t="s">
        <v>26</v>
      </c>
      <c r="D30" s="21" t="s">
        <v>809</v>
      </c>
      <c r="E30" s="24"/>
      <c r="F30" s="24"/>
      <c r="G30" s="99" t="s">
        <v>816</v>
      </c>
      <c r="H30" s="99" t="s">
        <v>37</v>
      </c>
      <c r="I30" s="100"/>
      <c r="J30" s="99" t="s">
        <v>819</v>
      </c>
      <c r="K30" s="99" t="s">
        <v>820</v>
      </c>
      <c r="L30" s="99" t="s">
        <v>822</v>
      </c>
      <c r="M30" s="101" t="s">
        <v>823</v>
      </c>
      <c r="N30" s="99" t="s">
        <v>52</v>
      </c>
      <c r="O30" s="24"/>
      <c r="P30" s="36"/>
      <c r="Q30" s="38"/>
      <c r="R30" s="40"/>
      <c r="S30" s="42"/>
      <c r="T30" s="42"/>
      <c r="U30" s="42"/>
      <c r="V30" s="42"/>
      <c r="W30" s="42"/>
      <c r="X30" s="42"/>
      <c r="Y30" s="97"/>
      <c r="Z30" s="97"/>
      <c r="AA30" s="97"/>
      <c r="AB30" s="97"/>
      <c r="AC30" s="97"/>
    </row>
    <row r="31">
      <c r="A31" s="12"/>
      <c r="B31" s="49">
        <v>46223.0</v>
      </c>
      <c r="C31" s="93" t="s">
        <v>26</v>
      </c>
      <c r="D31" s="21" t="s">
        <v>840</v>
      </c>
      <c r="E31" s="24"/>
      <c r="F31" s="24"/>
      <c r="G31" s="99" t="s">
        <v>846</v>
      </c>
      <c r="H31" s="94" t="s">
        <v>847</v>
      </c>
      <c r="I31" s="95"/>
      <c r="J31" s="94" t="s">
        <v>849</v>
      </c>
      <c r="K31" s="99" t="s">
        <v>852</v>
      </c>
      <c r="L31" s="94" t="s">
        <v>853</v>
      </c>
      <c r="M31" s="96" t="s">
        <v>856</v>
      </c>
      <c r="N31" s="94" t="s">
        <v>52</v>
      </c>
      <c r="O31" s="54"/>
      <c r="P31" s="62"/>
      <c r="Q31" s="66"/>
      <c r="R31" s="67"/>
      <c r="S31" s="68"/>
      <c r="T31" s="68"/>
      <c r="U31" s="68"/>
      <c r="V31" s="68"/>
      <c r="W31" s="68"/>
      <c r="X31" s="68"/>
      <c r="Y31" s="97"/>
      <c r="Z31" s="97"/>
      <c r="AA31" s="97"/>
      <c r="AB31" s="97"/>
      <c r="AC31" s="97"/>
    </row>
    <row r="32">
      <c r="A32" s="105"/>
      <c r="B32" s="107">
        <v>161.0</v>
      </c>
      <c r="C32" s="98" t="s">
        <v>26</v>
      </c>
      <c r="D32" s="108" t="s">
        <v>876</v>
      </c>
      <c r="E32" s="85" t="s">
        <v>877</v>
      </c>
      <c r="F32" s="85" t="s">
        <v>879</v>
      </c>
      <c r="G32" s="109" t="s">
        <v>880</v>
      </c>
      <c r="H32" s="99" t="s">
        <v>143</v>
      </c>
      <c r="I32" s="100"/>
      <c r="J32" s="99" t="s">
        <v>882</v>
      </c>
      <c r="K32" s="99" t="s">
        <v>885</v>
      </c>
      <c r="L32" s="99" t="s">
        <v>886</v>
      </c>
      <c r="M32" s="101" t="s">
        <v>889</v>
      </c>
      <c r="N32" s="99" t="s">
        <v>52</v>
      </c>
      <c r="O32" s="24"/>
      <c r="P32" s="36"/>
      <c r="Q32" s="38"/>
      <c r="R32" s="40"/>
      <c r="S32" s="42"/>
      <c r="T32" s="42"/>
      <c r="U32" s="42"/>
      <c r="V32" s="42"/>
      <c r="W32" s="42"/>
      <c r="X32" s="42"/>
      <c r="Y32" s="97"/>
      <c r="Z32" s="97"/>
      <c r="AA32" s="97"/>
      <c r="AB32" s="97"/>
      <c r="AC32" s="97"/>
    </row>
    <row r="33">
      <c r="A33" s="12"/>
      <c r="B33" s="49">
        <v>46223.0</v>
      </c>
      <c r="C33" s="93" t="s">
        <v>26</v>
      </c>
      <c r="D33" s="21" t="s">
        <v>906</v>
      </c>
      <c r="E33" s="24"/>
      <c r="F33" s="24"/>
      <c r="G33" s="99" t="s">
        <v>407</v>
      </c>
      <c r="H33" s="94" t="s">
        <v>172</v>
      </c>
      <c r="I33" s="95"/>
      <c r="J33" s="94" t="s">
        <v>882</v>
      </c>
      <c r="K33" s="94" t="s">
        <v>915</v>
      </c>
      <c r="L33" s="94" t="s">
        <v>916</v>
      </c>
      <c r="M33" s="104" t="s">
        <v>917</v>
      </c>
      <c r="N33" s="94" t="s">
        <v>52</v>
      </c>
      <c r="O33" s="54"/>
      <c r="P33" s="62"/>
      <c r="Q33" s="66"/>
      <c r="R33" s="67"/>
      <c r="S33" s="68"/>
      <c r="T33" s="68"/>
      <c r="U33" s="68"/>
      <c r="V33" s="68"/>
      <c r="W33" s="68"/>
      <c r="X33" s="68"/>
      <c r="Y33" s="97"/>
      <c r="Z33" s="97"/>
      <c r="AA33" s="97"/>
      <c r="AB33" s="97"/>
      <c r="AC33" s="97"/>
    </row>
    <row r="34">
      <c r="A34" s="105"/>
      <c r="B34" s="107">
        <v>165.0</v>
      </c>
      <c r="C34" s="98" t="s">
        <v>26</v>
      </c>
      <c r="D34" s="108" t="s">
        <v>937</v>
      </c>
      <c r="E34" s="85" t="s">
        <v>938</v>
      </c>
      <c r="F34" s="85" t="s">
        <v>722</v>
      </c>
      <c r="G34" s="109" t="s">
        <v>940</v>
      </c>
      <c r="H34" s="99" t="s">
        <v>847</v>
      </c>
      <c r="I34" s="100"/>
      <c r="J34" s="99" t="s">
        <v>942</v>
      </c>
      <c r="K34" s="99" t="s">
        <v>943</v>
      </c>
      <c r="L34" s="99" t="s">
        <v>944</v>
      </c>
      <c r="M34" s="101" t="s">
        <v>945</v>
      </c>
      <c r="N34" s="99" t="s">
        <v>52</v>
      </c>
      <c r="O34" s="24"/>
      <c r="P34" s="36"/>
      <c r="Q34" s="38"/>
      <c r="R34" s="40"/>
      <c r="S34" s="42"/>
      <c r="T34" s="42"/>
      <c r="U34" s="42"/>
      <c r="V34" s="42"/>
      <c r="W34" s="42"/>
      <c r="X34" s="42"/>
      <c r="Y34" s="97"/>
      <c r="Z34" s="97"/>
      <c r="AA34" s="97"/>
      <c r="AB34" s="97"/>
      <c r="AC34" s="97"/>
    </row>
    <row r="35">
      <c r="A35" s="105"/>
      <c r="B35" s="107">
        <v>176.0</v>
      </c>
      <c r="C35" s="93" t="s">
        <v>26</v>
      </c>
      <c r="D35" s="108" t="s">
        <v>962</v>
      </c>
      <c r="E35" s="85" t="s">
        <v>963</v>
      </c>
      <c r="F35" s="85" t="s">
        <v>965</v>
      </c>
      <c r="G35" s="109" t="s">
        <v>967</v>
      </c>
      <c r="H35" s="94" t="s">
        <v>968</v>
      </c>
      <c r="I35" s="95"/>
      <c r="J35" s="94" t="s">
        <v>971</v>
      </c>
      <c r="K35" s="94" t="s">
        <v>976</v>
      </c>
      <c r="L35" s="94" t="s">
        <v>977</v>
      </c>
      <c r="M35" s="96" t="s">
        <v>979</v>
      </c>
      <c r="N35" s="94" t="s">
        <v>52</v>
      </c>
      <c r="O35" s="54"/>
      <c r="P35" s="62"/>
      <c r="Q35" s="66"/>
      <c r="R35" s="67"/>
      <c r="S35" s="68"/>
      <c r="T35" s="68"/>
      <c r="U35" s="68"/>
      <c r="V35" s="68"/>
      <c r="W35" s="68"/>
      <c r="X35" s="68"/>
      <c r="Y35" s="97"/>
      <c r="Z35" s="97"/>
      <c r="AA35" s="97"/>
      <c r="AB35" s="97"/>
      <c r="AC35" s="97"/>
    </row>
    <row r="36">
      <c r="A36" s="111"/>
      <c r="B36" s="123"/>
      <c r="C36" s="124"/>
      <c r="D36" s="125"/>
      <c r="E36" s="126"/>
      <c r="F36" s="126"/>
      <c r="G36" s="125"/>
      <c r="H36" s="127"/>
      <c r="I36" s="128"/>
      <c r="J36" s="127"/>
      <c r="K36" s="127"/>
      <c r="L36" s="127"/>
      <c r="M36" s="129"/>
      <c r="N36" s="127"/>
      <c r="O36" s="97"/>
      <c r="P36" s="43"/>
      <c r="Q36" s="130"/>
      <c r="R36" s="116"/>
      <c r="S36" s="117"/>
      <c r="T36" s="117"/>
      <c r="U36" s="117"/>
      <c r="V36" s="117"/>
      <c r="W36" s="117"/>
      <c r="X36" s="117"/>
      <c r="Y36" s="97"/>
      <c r="Z36" s="97"/>
      <c r="AA36" s="97"/>
      <c r="AB36" s="97"/>
      <c r="AC36" s="97"/>
    </row>
    <row r="37">
      <c r="A37" s="111"/>
      <c r="B37" s="131"/>
      <c r="C37" s="124"/>
      <c r="D37" s="125"/>
      <c r="E37" s="126"/>
      <c r="F37" s="126"/>
      <c r="G37" s="125"/>
      <c r="H37" s="127"/>
      <c r="I37" s="128"/>
      <c r="J37" s="127"/>
      <c r="K37" s="127"/>
      <c r="L37" s="127"/>
      <c r="M37" s="129"/>
      <c r="N37" s="127"/>
      <c r="O37" s="97"/>
      <c r="P37" s="130"/>
      <c r="Q37" s="130"/>
      <c r="R37" s="116"/>
      <c r="S37" s="117"/>
      <c r="T37" s="117"/>
      <c r="U37" s="117"/>
      <c r="V37" s="117"/>
      <c r="W37" s="117"/>
      <c r="X37" s="117"/>
      <c r="Y37" s="97"/>
      <c r="Z37" s="97"/>
      <c r="AA37" s="97"/>
      <c r="AB37" s="97"/>
      <c r="AC37" s="97"/>
    </row>
    <row r="38">
      <c r="A38" s="111"/>
      <c r="B38" s="131"/>
      <c r="C38" s="124"/>
      <c r="D38" s="125"/>
      <c r="E38" s="126"/>
      <c r="F38" s="126"/>
      <c r="G38" s="125"/>
      <c r="H38" s="127"/>
      <c r="I38" s="128"/>
      <c r="J38" s="127"/>
      <c r="K38" s="127"/>
      <c r="L38" s="127"/>
      <c r="M38" s="129"/>
      <c r="N38" s="127"/>
      <c r="O38" s="97"/>
      <c r="P38" s="130"/>
      <c r="Q38" s="130"/>
      <c r="R38" s="116"/>
      <c r="S38" s="117"/>
      <c r="T38" s="117"/>
      <c r="U38" s="117"/>
      <c r="V38" s="117"/>
      <c r="W38" s="117"/>
      <c r="X38" s="117"/>
      <c r="Y38" s="97"/>
      <c r="Z38" s="97"/>
      <c r="AA38" s="97"/>
      <c r="AB38" s="97"/>
      <c r="AC38" s="97"/>
    </row>
    <row r="39">
      <c r="A39" s="111"/>
      <c r="B39" s="131"/>
      <c r="C39" s="124"/>
      <c r="D39" s="125"/>
      <c r="E39" s="132"/>
      <c r="F39" s="132"/>
      <c r="G39" s="125"/>
      <c r="H39" s="127"/>
      <c r="I39" s="133"/>
      <c r="J39" s="127"/>
      <c r="K39" s="127"/>
      <c r="L39" s="127"/>
      <c r="M39" s="129"/>
      <c r="N39" s="127"/>
      <c r="O39" s="97"/>
      <c r="P39" s="43"/>
      <c r="Q39" s="130"/>
      <c r="R39" s="116"/>
      <c r="S39" s="117"/>
      <c r="T39" s="117"/>
      <c r="U39" s="117"/>
      <c r="V39" s="117"/>
      <c r="W39" s="117"/>
      <c r="X39" s="117"/>
      <c r="Y39" s="97"/>
      <c r="Z39" s="97"/>
      <c r="AA39" s="97"/>
      <c r="AB39" s="97"/>
      <c r="AC39" s="97"/>
    </row>
    <row r="40">
      <c r="A40" s="111"/>
      <c r="B40" s="131"/>
      <c r="C40" s="124"/>
      <c r="D40" s="125"/>
      <c r="E40" s="132"/>
      <c r="F40" s="132"/>
      <c r="G40" s="125"/>
      <c r="H40" s="127"/>
      <c r="I40" s="133"/>
      <c r="J40" s="127"/>
      <c r="K40" s="127"/>
      <c r="L40" s="127"/>
      <c r="M40" s="129"/>
      <c r="N40" s="127"/>
      <c r="O40" s="97"/>
      <c r="P40" s="43"/>
      <c r="Q40" s="130"/>
      <c r="R40" s="116"/>
      <c r="S40" s="117"/>
      <c r="T40" s="117"/>
      <c r="U40" s="117"/>
      <c r="V40" s="117"/>
      <c r="W40" s="117"/>
      <c r="X40" s="117"/>
      <c r="Y40" s="97"/>
      <c r="Z40" s="97"/>
      <c r="AA40" s="97"/>
      <c r="AB40" s="97"/>
      <c r="AC40" s="97"/>
    </row>
    <row r="41">
      <c r="A41" s="111"/>
      <c r="B41" s="131"/>
      <c r="C41" s="124"/>
      <c r="D41" s="125"/>
      <c r="E41" s="132"/>
      <c r="F41" s="132"/>
      <c r="G41" s="125"/>
      <c r="H41" s="127"/>
      <c r="I41" s="128"/>
      <c r="J41" s="127"/>
      <c r="K41" s="127"/>
      <c r="L41" s="127"/>
      <c r="M41" s="129"/>
      <c r="N41" s="127"/>
      <c r="O41" s="97"/>
      <c r="P41" s="43"/>
      <c r="Q41" s="130"/>
      <c r="R41" s="116"/>
      <c r="S41" s="117"/>
      <c r="T41" s="117"/>
      <c r="U41" s="117"/>
      <c r="V41" s="117"/>
      <c r="W41" s="117"/>
      <c r="X41" s="117"/>
      <c r="Y41" s="97"/>
      <c r="Z41" s="97"/>
      <c r="AA41" s="97"/>
      <c r="AB41" s="97"/>
      <c r="AC41" s="97"/>
    </row>
    <row r="42">
      <c r="A42" s="111"/>
      <c r="B42" s="131"/>
      <c r="C42" s="124"/>
      <c r="D42" s="125"/>
      <c r="E42" s="132"/>
      <c r="F42" s="132"/>
      <c r="G42" s="125"/>
      <c r="H42" s="127"/>
      <c r="I42" s="128"/>
      <c r="J42" s="127"/>
      <c r="K42" s="127"/>
      <c r="L42" s="127"/>
      <c r="M42" s="129"/>
      <c r="N42" s="127"/>
      <c r="O42" s="97"/>
      <c r="P42" s="43"/>
      <c r="Q42" s="130"/>
      <c r="R42" s="116"/>
      <c r="S42" s="117"/>
      <c r="T42" s="117"/>
      <c r="U42" s="117"/>
      <c r="V42" s="117"/>
      <c r="W42" s="117"/>
      <c r="X42" s="117"/>
      <c r="Y42" s="97"/>
      <c r="Z42" s="97"/>
      <c r="AA42" s="97"/>
      <c r="AB42" s="97"/>
      <c r="AC42" s="97"/>
    </row>
    <row r="43">
      <c r="A43" s="111"/>
      <c r="B43" s="131"/>
      <c r="C43" s="124"/>
      <c r="D43" s="125"/>
      <c r="E43" s="132"/>
      <c r="F43" s="132"/>
      <c r="G43" s="125"/>
      <c r="H43" s="127"/>
      <c r="I43" s="133"/>
      <c r="J43" s="127"/>
      <c r="K43" s="127"/>
      <c r="L43" s="127"/>
      <c r="M43" s="129"/>
      <c r="N43" s="127"/>
      <c r="O43" s="97"/>
      <c r="P43" s="130"/>
      <c r="Q43" s="130"/>
      <c r="R43" s="116"/>
      <c r="S43" s="117"/>
      <c r="T43" s="117"/>
      <c r="U43" s="117"/>
      <c r="V43" s="117"/>
      <c r="W43" s="117"/>
      <c r="X43" s="117"/>
      <c r="Y43" s="97"/>
      <c r="Z43" s="97"/>
      <c r="AA43" s="97"/>
      <c r="AB43" s="97"/>
      <c r="AC43" s="97"/>
    </row>
    <row r="44">
      <c r="A44" s="111"/>
      <c r="B44" s="131"/>
      <c r="C44" s="124"/>
      <c r="D44" s="125"/>
      <c r="E44" s="132"/>
      <c r="F44" s="132"/>
      <c r="G44" s="125"/>
      <c r="H44" s="127"/>
      <c r="I44" s="133"/>
      <c r="J44" s="127"/>
      <c r="K44" s="127"/>
      <c r="L44" s="127"/>
      <c r="M44" s="129"/>
      <c r="N44" s="127"/>
      <c r="O44" s="97"/>
      <c r="P44" s="130"/>
      <c r="Q44" s="130"/>
      <c r="R44" s="116"/>
      <c r="S44" s="117"/>
      <c r="T44" s="117"/>
      <c r="U44" s="117"/>
      <c r="V44" s="117"/>
      <c r="W44" s="117"/>
      <c r="X44" s="117"/>
      <c r="Y44" s="97"/>
      <c r="Z44" s="97"/>
      <c r="AA44" s="97"/>
      <c r="AB44" s="97"/>
      <c r="AC44" s="97"/>
    </row>
    <row r="45">
      <c r="A45" s="111"/>
      <c r="B45" s="131"/>
      <c r="C45" s="124"/>
      <c r="D45" s="125"/>
      <c r="E45" s="132"/>
      <c r="F45" s="132"/>
      <c r="G45" s="125"/>
      <c r="H45" s="127"/>
      <c r="I45" s="128"/>
      <c r="J45" s="127"/>
      <c r="K45" s="127"/>
      <c r="L45" s="127"/>
      <c r="M45" s="129"/>
      <c r="N45" s="127"/>
      <c r="O45" s="97"/>
      <c r="P45" s="130"/>
      <c r="Q45" s="130"/>
      <c r="R45" s="116"/>
      <c r="S45" s="117"/>
      <c r="T45" s="117"/>
      <c r="U45" s="117"/>
      <c r="V45" s="117"/>
      <c r="W45" s="117"/>
      <c r="X45" s="117"/>
      <c r="Y45" s="97"/>
      <c r="Z45" s="97"/>
      <c r="AA45" s="97"/>
      <c r="AB45" s="97"/>
      <c r="AC45" s="97"/>
    </row>
    <row r="46">
      <c r="A46" s="111"/>
      <c r="B46" s="131"/>
      <c r="C46" s="124"/>
      <c r="D46" s="125"/>
      <c r="E46" s="132"/>
      <c r="F46" s="132"/>
      <c r="G46" s="125"/>
      <c r="H46" s="127"/>
      <c r="I46" s="128"/>
      <c r="J46" s="127"/>
      <c r="K46" s="127"/>
      <c r="L46" s="127"/>
      <c r="M46" s="129"/>
      <c r="N46" s="127"/>
      <c r="O46" s="97"/>
      <c r="P46" s="130"/>
      <c r="Q46" s="130"/>
      <c r="R46" s="116"/>
      <c r="S46" s="117"/>
      <c r="T46" s="117"/>
      <c r="U46" s="117"/>
      <c r="V46" s="117"/>
      <c r="W46" s="117"/>
      <c r="X46" s="117"/>
      <c r="Y46" s="97"/>
      <c r="Z46" s="97"/>
      <c r="AA46" s="97"/>
      <c r="AB46" s="97"/>
      <c r="AC46" s="97"/>
    </row>
    <row r="47">
      <c r="A47" s="111"/>
      <c r="B47" s="131"/>
      <c r="C47" s="124"/>
      <c r="D47" s="125"/>
      <c r="E47" s="132"/>
      <c r="F47" s="132"/>
      <c r="G47" s="125"/>
      <c r="H47" s="127"/>
      <c r="I47" s="128"/>
      <c r="J47" s="127"/>
      <c r="K47" s="127"/>
      <c r="L47" s="127"/>
      <c r="M47" s="129"/>
      <c r="N47" s="127"/>
      <c r="O47" s="97"/>
      <c r="P47" s="130"/>
      <c r="Q47" s="130"/>
      <c r="R47" s="116"/>
      <c r="S47" s="117"/>
      <c r="T47" s="117"/>
      <c r="U47" s="117"/>
      <c r="V47" s="117"/>
      <c r="W47" s="117"/>
      <c r="X47" s="117"/>
      <c r="Y47" s="97"/>
      <c r="Z47" s="97"/>
      <c r="AA47" s="97"/>
      <c r="AB47" s="97"/>
      <c r="AC47" s="97"/>
    </row>
  </sheetData>
  <autoFilter ref="$A$1:$AD$35"/>
  <dataValidations>
    <dataValidation type="list" allowBlank="1" showErrorMessage="1" sqref="C2:C47">
      <formula1>"Tuần 1,Tuần 2,Tuần 3,Tuần 4"</formula1>
    </dataValidation>
    <dataValidation type="list" allowBlank="1" showErrorMessage="1" sqref="V13:V47">
      <formula1>"New,Reopent,InProcess,Resoved,Reject,dev done"</formula1>
    </dataValidation>
    <dataValidation type="list" allowBlank="1" showErrorMessage="1" sqref="P2:Q47">
      <formula1>"BA confirm,Reopen,InProcess,Pass,Reject,dev done,Open,Resolved"</formula1>
    </dataValidation>
    <dataValidation type="list" allowBlank="1" showErrorMessage="1" sqref="N2:N47 T13:T47">
      <formula1>"Pass,Fail,N/R"</formula1>
    </dataValidation>
  </dataValidations>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s>
  <drawing r:id="rId3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13"/>
    <col customWidth="1" min="2" max="6" width="12.63"/>
    <col customWidth="1" min="8" max="8" width="2.0"/>
  </cols>
  <sheetData>
    <row r="1" ht="15.75" customHeight="1">
      <c r="A1" s="134"/>
      <c r="B1" s="135"/>
      <c r="C1" s="136" t="s">
        <v>75</v>
      </c>
      <c r="D1" s="137"/>
      <c r="E1" s="137"/>
      <c r="F1" s="137"/>
      <c r="G1" s="135"/>
      <c r="H1" s="138"/>
      <c r="I1" s="136" t="s">
        <v>28</v>
      </c>
      <c r="J1" s="137"/>
      <c r="K1" s="137"/>
      <c r="L1" s="137"/>
      <c r="M1" s="137"/>
      <c r="N1" s="135"/>
    </row>
    <row r="2" ht="15.75" customHeight="1">
      <c r="A2" s="139" t="s">
        <v>1124</v>
      </c>
      <c r="B2" s="139" t="s">
        <v>1126</v>
      </c>
      <c r="C2" s="140">
        <v>46171.0</v>
      </c>
      <c r="D2" s="140">
        <v>46203.0</v>
      </c>
      <c r="E2" s="140">
        <v>46204.0</v>
      </c>
      <c r="F2" s="140">
        <v>46205.0</v>
      </c>
      <c r="G2" s="140">
        <v>46206.0</v>
      </c>
      <c r="H2" s="141"/>
      <c r="I2" s="140">
        <v>46209.0</v>
      </c>
      <c r="J2" s="140">
        <v>46210.0</v>
      </c>
      <c r="K2" s="140">
        <v>46211.0</v>
      </c>
      <c r="L2" s="140">
        <v>46212.0</v>
      </c>
      <c r="M2" s="140">
        <v>46213.0</v>
      </c>
      <c r="N2" s="140">
        <v>46214.0</v>
      </c>
    </row>
    <row r="3" ht="15.75" customHeight="1">
      <c r="A3" s="142" t="s">
        <v>1134</v>
      </c>
      <c r="B3" s="143"/>
      <c r="C3" s="143"/>
      <c r="D3" s="143"/>
      <c r="E3" s="143"/>
      <c r="F3" s="143"/>
      <c r="G3" s="143"/>
      <c r="H3" s="144"/>
      <c r="I3" s="144"/>
      <c r="J3" s="144"/>
      <c r="K3" s="144"/>
      <c r="L3" s="144"/>
      <c r="M3" s="144"/>
      <c r="N3" s="144"/>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C1:G1"/>
    <mergeCell ref="I1:N1"/>
  </mergeCells>
  <drawing r:id="rId1"/>
</worksheet>
</file>